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3" codeName="{2415A153-8570-D804-BEE2-DBEC5437C898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Volumes/TINY FLASH/Quizzing/"/>
    </mc:Choice>
  </mc:AlternateContent>
  <xr:revisionPtr revIDLastSave="0" documentId="13_ncr:1_{0E5C693B-1C34-E644-81D4-909A84723CEB}" xr6:coauthVersionLast="45" xr6:coauthVersionMax="45" xr10:uidLastSave="{00000000-0000-0000-0000-000000000000}"/>
  <bookViews>
    <workbookView xWindow="0" yWindow="460" windowWidth="31160" windowHeight="19160" activeTab="1" xr2:uid="{00000000-000D-0000-FFFF-FFFF00000000}"/>
  </bookViews>
  <sheets>
    <sheet name="MAINQ" sheetId="1" r:id="rId1"/>
    <sheet name="Ind" sheetId="3" r:id="rId2"/>
    <sheet name="ROOK" sheetId="19" r:id="rId3"/>
    <sheet name="Team" sheetId="4" r:id="rId4"/>
  </sheets>
  <definedNames>
    <definedName name="_xlnm._FilterDatabase" localSheetId="1" hidden="1">Ind!$A$2:$L$54</definedName>
    <definedName name="_xlnm._FilterDatabase" localSheetId="0" hidden="1">MAINQ!$A$1:$W$72</definedName>
    <definedName name="_xlnm._FilterDatabase" localSheetId="2" hidden="1">ROOK!$A$1:$J$19</definedName>
    <definedName name="_xlnm._FilterDatabase" localSheetId="3" hidden="1">Team!$B$1:$J$23</definedName>
    <definedName name="GWI">#REF!</definedName>
    <definedName name="_xlnm.Print_Area" localSheetId="1">Ind!$A$1:$L$110</definedName>
    <definedName name="_xlnm.Print_Area" localSheetId="2">ROOK!$A$1:$J$39</definedName>
    <definedName name="_xlnm.Print_Area" localSheetId="3">Team!$A$1:$J$37</definedName>
    <definedName name="QQ">#REF!</definedName>
    <definedName name="TT">MAINQ!$E$2:$V$71</definedName>
    <definedName name="YTDInd">MAINQ!$D$2:$V$78</definedName>
  </definedName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3" i="1" l="1"/>
  <c r="S4" i="1"/>
  <c r="S5" i="1"/>
  <c r="S6" i="1"/>
  <c r="S7" i="1"/>
  <c r="S8" i="1"/>
  <c r="S9" i="1"/>
  <c r="S10" i="1"/>
  <c r="S11" i="1"/>
  <c r="S12" i="1"/>
  <c r="S13" i="1"/>
  <c r="S15" i="1"/>
  <c r="S16" i="1"/>
  <c r="S17" i="1"/>
  <c r="S18" i="1"/>
  <c r="S19" i="1"/>
  <c r="S20" i="1"/>
  <c r="S21" i="1"/>
  <c r="S24" i="1"/>
  <c r="S27" i="1"/>
  <c r="S28" i="1"/>
  <c r="S29" i="1"/>
  <c r="S30" i="1"/>
  <c r="S32" i="1"/>
  <c r="S34" i="1"/>
  <c r="S35" i="1"/>
  <c r="S40" i="1"/>
  <c r="S41" i="1"/>
  <c r="S42" i="1"/>
  <c r="S46" i="1"/>
  <c r="S47" i="1"/>
  <c r="S48" i="1"/>
  <c r="S50" i="1"/>
  <c r="R3" i="1"/>
  <c r="R4" i="1"/>
  <c r="R5" i="1"/>
  <c r="R6" i="1"/>
  <c r="R7" i="1"/>
  <c r="R8" i="1"/>
  <c r="R9" i="1"/>
  <c r="R10" i="1"/>
  <c r="R11" i="1"/>
  <c r="R12" i="1"/>
  <c r="R13" i="1"/>
  <c r="R14" i="1"/>
  <c r="S14" i="1" s="1"/>
  <c r="R15" i="1"/>
  <c r="R16" i="1"/>
  <c r="R17" i="1"/>
  <c r="R18" i="1"/>
  <c r="R19" i="1"/>
  <c r="R20" i="1"/>
  <c r="R21" i="1"/>
  <c r="R22" i="1"/>
  <c r="S22" i="1" s="1"/>
  <c r="R23" i="1"/>
  <c r="S23" i="1" s="1"/>
  <c r="R24" i="1"/>
  <c r="R25" i="1"/>
  <c r="S25" i="1" s="1"/>
  <c r="R26" i="1"/>
  <c r="S26" i="1" s="1"/>
  <c r="R27" i="1"/>
  <c r="R28" i="1"/>
  <c r="R29" i="1"/>
  <c r="R30" i="1"/>
  <c r="R31" i="1"/>
  <c r="S31" i="1" s="1"/>
  <c r="R32" i="1"/>
  <c r="R33" i="1"/>
  <c r="S33" i="1" s="1"/>
  <c r="R34" i="1"/>
  <c r="T34" i="1" s="1"/>
  <c r="R35" i="1"/>
  <c r="R36" i="1"/>
  <c r="S36" i="1" s="1"/>
  <c r="R37" i="1"/>
  <c r="S37" i="1" s="1"/>
  <c r="R38" i="1"/>
  <c r="S38" i="1" s="1"/>
  <c r="R39" i="1"/>
  <c r="S39" i="1" s="1"/>
  <c r="R40" i="1"/>
  <c r="R41" i="1"/>
  <c r="R42" i="1"/>
  <c r="R43" i="1"/>
  <c r="S43" i="1" s="1"/>
  <c r="R44" i="1"/>
  <c r="S44" i="1" s="1"/>
  <c r="R45" i="1"/>
  <c r="S45" i="1" s="1"/>
  <c r="R46" i="1"/>
  <c r="R47" i="1"/>
  <c r="R48" i="1"/>
  <c r="R49" i="1"/>
  <c r="S49" i="1" s="1"/>
  <c r="R54" i="1"/>
  <c r="S54" i="1" s="1"/>
  <c r="R50" i="1"/>
  <c r="R51" i="1"/>
  <c r="S51" i="1" s="1"/>
  <c r="R52" i="1"/>
  <c r="S52" i="1" s="1"/>
  <c r="R53" i="1"/>
  <c r="S53" i="1" s="1"/>
  <c r="R55" i="1"/>
  <c r="S55" i="1" s="1"/>
  <c r="R63" i="1"/>
  <c r="S63" i="1" s="1"/>
  <c r="R64" i="1"/>
  <c r="S64" i="1" s="1"/>
  <c r="T21" i="1" s="1"/>
  <c r="R58" i="1"/>
  <c r="S58" i="1" s="1"/>
  <c r="R59" i="1"/>
  <c r="S59" i="1" s="1"/>
  <c r="R60" i="1"/>
  <c r="S60" i="1" s="1"/>
  <c r="R57" i="1"/>
  <c r="S57" i="1" s="1"/>
  <c r="R56" i="1"/>
  <c r="R71" i="1"/>
  <c r="S71" i="1" s="1"/>
  <c r="R62" i="1"/>
  <c r="S62" i="1" s="1"/>
  <c r="R66" i="1"/>
  <c r="S66" i="1" s="1"/>
  <c r="R65" i="1"/>
  <c r="S65" i="1" s="1"/>
  <c r="R68" i="1"/>
  <c r="S68" i="1" s="1"/>
  <c r="R61" i="1"/>
  <c r="S61" i="1" s="1"/>
  <c r="R70" i="1"/>
  <c r="S70" i="1" s="1"/>
  <c r="R69" i="1"/>
  <c r="S69" i="1" s="1"/>
  <c r="T69" i="1" s="1"/>
  <c r="R67" i="1"/>
  <c r="S67" i="1" s="1"/>
  <c r="R72" i="1"/>
  <c r="S72" i="1" s="1"/>
  <c r="R2" i="1"/>
  <c r="T13" i="1" l="1"/>
  <c r="T20" i="1"/>
  <c r="T9" i="1"/>
  <c r="T72" i="1"/>
  <c r="T24" i="1"/>
  <c r="T58" i="1"/>
  <c r="T51" i="1"/>
  <c r="T70" i="1"/>
  <c r="T16" i="1"/>
  <c r="S56" i="1"/>
  <c r="T5" i="1" s="1"/>
  <c r="T32" i="1"/>
  <c r="T15" i="1"/>
  <c r="T30" i="1"/>
  <c r="T6" i="1"/>
  <c r="T68" i="1"/>
  <c r="T19" i="1"/>
  <c r="T8" i="1"/>
  <c r="T50" i="1"/>
  <c r="T27" i="1"/>
  <c r="T35" i="1"/>
  <c r="T11" i="1"/>
  <c r="T3" i="1"/>
  <c r="T10" i="1"/>
  <c r="T71" i="1"/>
  <c r="T39" i="1"/>
  <c r="T22" i="1"/>
  <c r="T59" i="1"/>
  <c r="T53" i="1"/>
  <c r="T43" i="1"/>
  <c r="T67" i="1"/>
  <c r="T61" i="1"/>
  <c r="T57" i="1"/>
  <c r="T7" i="1"/>
  <c r="T62" i="1"/>
  <c r="T41" i="1"/>
  <c r="T26" i="1"/>
  <c r="T14" i="1"/>
  <c r="T60" i="1"/>
  <c r="T42" i="1"/>
  <c r="T55" i="1"/>
  <c r="T44" i="1"/>
  <c r="T45" i="1"/>
  <c r="T49" i="1"/>
  <c r="T66" i="1"/>
  <c r="T38" i="1"/>
  <c r="T18" i="1"/>
  <c r="T25" i="1"/>
  <c r="T46" i="1"/>
  <c r="T54" i="1"/>
  <c r="T40" i="1"/>
  <c r="T28" i="1"/>
  <c r="T36" i="1"/>
  <c r="T65" i="1"/>
  <c r="T31" i="1"/>
  <c r="T64" i="1"/>
  <c r="T23" i="1"/>
  <c r="T47" i="1"/>
  <c r="T17" i="1"/>
  <c r="T48" i="1"/>
  <c r="T63" i="1"/>
  <c r="T52" i="1"/>
  <c r="T29" i="1"/>
  <c r="S2" i="1"/>
  <c r="T12" i="1" s="1"/>
  <c r="J17" i="4"/>
  <c r="J18" i="4"/>
  <c r="J20" i="4"/>
  <c r="J19" i="4"/>
  <c r="J12" i="4"/>
  <c r="J13" i="4"/>
  <c r="J10" i="4"/>
  <c r="J16" i="4"/>
  <c r="J14" i="4"/>
  <c r="J7" i="4"/>
  <c r="J9" i="4"/>
  <c r="J11" i="4"/>
  <c r="J8" i="4"/>
  <c r="J5" i="4"/>
  <c r="J15" i="4"/>
  <c r="J6" i="4"/>
  <c r="J2" i="4"/>
  <c r="J3" i="4"/>
  <c r="J4" i="4"/>
  <c r="L73" i="3"/>
  <c r="AF13" i="4"/>
  <c r="AD11" i="4"/>
  <c r="AD13" i="4" s="1"/>
  <c r="AG13" i="4" s="1"/>
  <c r="C11" i="19"/>
  <c r="D11" i="19"/>
  <c r="E11" i="19"/>
  <c r="F11" i="19"/>
  <c r="G11" i="19"/>
  <c r="H11" i="19"/>
  <c r="I11" i="19"/>
  <c r="C28" i="3"/>
  <c r="D28" i="3"/>
  <c r="E28" i="3"/>
  <c r="C14" i="3"/>
  <c r="D14" i="3"/>
  <c r="E14" i="3"/>
  <c r="C35" i="3"/>
  <c r="D35" i="3"/>
  <c r="E35" i="3"/>
  <c r="C40" i="3"/>
  <c r="D40" i="3"/>
  <c r="E40" i="3"/>
  <c r="C71" i="3"/>
  <c r="D71" i="3"/>
  <c r="E71" i="3"/>
  <c r="C43" i="3"/>
  <c r="D43" i="3"/>
  <c r="E43" i="3"/>
  <c r="C56" i="3"/>
  <c r="D56" i="3"/>
  <c r="E56" i="3"/>
  <c r="N107" i="3"/>
  <c r="N108" i="3"/>
  <c r="N69" i="3"/>
  <c r="N70" i="3"/>
  <c r="N71" i="3"/>
  <c r="N72" i="3"/>
  <c r="N73" i="3"/>
  <c r="C4" i="1"/>
  <c r="C5" i="1"/>
  <c r="C8" i="1"/>
  <c r="C18" i="1"/>
  <c r="C17" i="1"/>
  <c r="C3" i="1"/>
  <c r="C7" i="1"/>
  <c r="C12" i="1"/>
  <c r="C11" i="1"/>
  <c r="C9" i="1"/>
  <c r="C16" i="1"/>
  <c r="C43" i="1"/>
  <c r="C20" i="1"/>
  <c r="C6" i="1"/>
  <c r="C64" i="1"/>
  <c r="C13" i="1"/>
  <c r="C44" i="1"/>
  <c r="C55" i="1"/>
  <c r="C42" i="1"/>
  <c r="C22" i="1"/>
  <c r="C51" i="1"/>
  <c r="C24" i="1"/>
  <c r="C30" i="1"/>
  <c r="C27" i="1"/>
  <c r="C47" i="1"/>
  <c r="C10" i="1"/>
  <c r="C35" i="1"/>
  <c r="C60" i="1"/>
  <c r="C39" i="1"/>
  <c r="C26" i="1"/>
  <c r="C14" i="1"/>
  <c r="C32" i="1"/>
  <c r="C59" i="1"/>
  <c r="C40" i="1"/>
  <c r="C71" i="1"/>
  <c r="C58" i="1"/>
  <c r="C28" i="1"/>
  <c r="C34" i="1"/>
  <c r="C33" i="1"/>
  <c r="C23" i="1"/>
  <c r="C68" i="1"/>
  <c r="C25" i="1"/>
  <c r="C46" i="1"/>
  <c r="C45" i="1"/>
  <c r="C19" i="1"/>
  <c r="C48" i="1"/>
  <c r="C56" i="1"/>
  <c r="C57" i="1"/>
  <c r="C53" i="1"/>
  <c r="C61" i="1"/>
  <c r="C63" i="1"/>
  <c r="C50" i="1"/>
  <c r="C37" i="1"/>
  <c r="C15" i="1"/>
  <c r="C38" i="1"/>
  <c r="C65" i="1"/>
  <c r="C36" i="1"/>
  <c r="C21" i="1"/>
  <c r="C69" i="1"/>
  <c r="C31" i="1"/>
  <c r="C49" i="1"/>
  <c r="C41" i="1"/>
  <c r="C67" i="1"/>
  <c r="C62" i="1"/>
  <c r="C72" i="1"/>
  <c r="C52" i="1"/>
  <c r="C66" i="1"/>
  <c r="C54" i="1"/>
  <c r="C29" i="1"/>
  <c r="C70" i="1"/>
  <c r="L43" i="3"/>
  <c r="L40" i="3"/>
  <c r="J11" i="19"/>
  <c r="L59" i="3"/>
  <c r="Q3" i="4"/>
  <c r="Q4" i="4"/>
  <c r="Q5" i="4"/>
  <c r="Q6" i="4"/>
  <c r="Q7" i="4"/>
  <c r="Q8" i="4"/>
  <c r="Q9" i="4"/>
  <c r="J40" i="1" s="1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2" i="4"/>
  <c r="I12" i="19"/>
  <c r="I8" i="19"/>
  <c r="I10" i="19"/>
  <c r="I9" i="19"/>
  <c r="I6" i="19"/>
  <c r="I4" i="19"/>
  <c r="I7" i="19"/>
  <c r="I5" i="19"/>
  <c r="I2" i="19"/>
  <c r="I3" i="19"/>
  <c r="H12" i="19"/>
  <c r="H8" i="19"/>
  <c r="H10" i="19"/>
  <c r="H9" i="19"/>
  <c r="H6" i="19"/>
  <c r="H4" i="19"/>
  <c r="H5" i="19"/>
  <c r="H7" i="19"/>
  <c r="H3" i="19"/>
  <c r="H2" i="19"/>
  <c r="G12" i="19"/>
  <c r="F12" i="19"/>
  <c r="E12" i="19"/>
  <c r="D12" i="19"/>
  <c r="C12" i="19"/>
  <c r="G3" i="19"/>
  <c r="F3" i="19"/>
  <c r="G6" i="19"/>
  <c r="F6" i="19"/>
  <c r="G2" i="19"/>
  <c r="F2" i="19"/>
  <c r="G8" i="19"/>
  <c r="F8" i="19"/>
  <c r="G9" i="19"/>
  <c r="F9" i="19"/>
  <c r="G5" i="19"/>
  <c r="F5" i="19"/>
  <c r="G10" i="19"/>
  <c r="F10" i="19"/>
  <c r="G4" i="19"/>
  <c r="F4" i="19"/>
  <c r="G7" i="19"/>
  <c r="F7" i="19"/>
  <c r="C61" i="3"/>
  <c r="D61" i="3"/>
  <c r="E61" i="3"/>
  <c r="C2" i="19"/>
  <c r="D2" i="19"/>
  <c r="E2" i="19"/>
  <c r="C8" i="19"/>
  <c r="D8" i="19"/>
  <c r="E8" i="19"/>
  <c r="C73" i="3"/>
  <c r="D73" i="3"/>
  <c r="E73" i="3"/>
  <c r="C54" i="3"/>
  <c r="D54" i="3"/>
  <c r="E54" i="3"/>
  <c r="C64" i="3"/>
  <c r="D64" i="3"/>
  <c r="E64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D42" i="3"/>
  <c r="D34" i="3"/>
  <c r="D33" i="3"/>
  <c r="D25" i="3"/>
  <c r="D45" i="3"/>
  <c r="D19" i="3"/>
  <c r="D10" i="3"/>
  <c r="D24" i="3"/>
  <c r="D52" i="3"/>
  <c r="D12" i="3"/>
  <c r="D51" i="3"/>
  <c r="D65" i="3"/>
  <c r="D72" i="3"/>
  <c r="D27" i="3"/>
  <c r="D6" i="3"/>
  <c r="D59" i="3"/>
  <c r="D29" i="3"/>
  <c r="D60" i="3"/>
  <c r="D17" i="3"/>
  <c r="D58" i="3"/>
  <c r="D66" i="3"/>
  <c r="D44" i="3"/>
  <c r="D13" i="3"/>
  <c r="D48" i="3"/>
  <c r="D18" i="3"/>
  <c r="D63" i="3"/>
  <c r="D20" i="3"/>
  <c r="D50" i="3"/>
  <c r="D32" i="3"/>
  <c r="D11" i="3"/>
  <c r="D7" i="3"/>
  <c r="D31" i="3"/>
  <c r="D46" i="3"/>
  <c r="D53" i="3"/>
  <c r="D57" i="3"/>
  <c r="D55" i="3"/>
  <c r="D70" i="3"/>
  <c r="D26" i="3"/>
  <c r="D22" i="3"/>
  <c r="D38" i="3"/>
  <c r="D5" i="3"/>
  <c r="D39" i="3"/>
  <c r="D47" i="3"/>
  <c r="D23" i="3"/>
  <c r="D4" i="3"/>
  <c r="D37" i="3"/>
  <c r="D68" i="3"/>
  <c r="D41" i="3"/>
  <c r="D49" i="3"/>
  <c r="D30" i="3"/>
  <c r="D69" i="3"/>
  <c r="D67" i="3"/>
  <c r="D3" i="3"/>
  <c r="D21" i="3"/>
  <c r="D15" i="3"/>
  <c r="D62" i="3"/>
  <c r="D16" i="3"/>
  <c r="D8" i="3"/>
  <c r="D36" i="3"/>
  <c r="D9" i="3"/>
  <c r="C69" i="3"/>
  <c r="E69" i="3"/>
  <c r="C58" i="3"/>
  <c r="E58" i="3"/>
  <c r="C46" i="3"/>
  <c r="E46" i="3"/>
  <c r="C59" i="3"/>
  <c r="E59" i="3"/>
  <c r="N3" i="3"/>
  <c r="C31" i="3"/>
  <c r="E31" i="3"/>
  <c r="C32" i="3"/>
  <c r="E32" i="3"/>
  <c r="C26" i="3"/>
  <c r="E26" i="3"/>
  <c r="T3" i="4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C6" i="19"/>
  <c r="D6" i="19"/>
  <c r="E6" i="19"/>
  <c r="C5" i="19"/>
  <c r="D5" i="19"/>
  <c r="E5" i="19"/>
  <c r="C4" i="19"/>
  <c r="D4" i="19"/>
  <c r="E4" i="19"/>
  <c r="C9" i="19"/>
  <c r="D9" i="19"/>
  <c r="E9" i="19"/>
  <c r="C10" i="19"/>
  <c r="D10" i="19"/>
  <c r="E10" i="19"/>
  <c r="C7" i="19"/>
  <c r="D7" i="19"/>
  <c r="E7" i="19"/>
  <c r="C37" i="3"/>
  <c r="E37" i="3"/>
  <c r="C72" i="3"/>
  <c r="E72" i="3"/>
  <c r="C18" i="3"/>
  <c r="E18" i="3"/>
  <c r="C42" i="3"/>
  <c r="E42" i="3"/>
  <c r="C38" i="3"/>
  <c r="E38" i="3"/>
  <c r="C48" i="3"/>
  <c r="E48" i="3"/>
  <c r="C13" i="3"/>
  <c r="E13" i="3"/>
  <c r="T2" i="4"/>
  <c r="C2" i="1"/>
  <c r="C3" i="19"/>
  <c r="C29" i="3"/>
  <c r="C36" i="3"/>
  <c r="C30" i="3"/>
  <c r="C16" i="3"/>
  <c r="C25" i="3"/>
  <c r="C12" i="3"/>
  <c r="C52" i="3"/>
  <c r="C66" i="3"/>
  <c r="C4" i="3"/>
  <c r="C62" i="3"/>
  <c r="C5" i="3"/>
  <c r="C10" i="3"/>
  <c r="C60" i="3"/>
  <c r="C21" i="3"/>
  <c r="C53" i="3"/>
  <c r="C70" i="3"/>
  <c r="C44" i="3"/>
  <c r="C65" i="3"/>
  <c r="C19" i="3"/>
  <c r="C68" i="3"/>
  <c r="C45" i="3"/>
  <c r="C20" i="3"/>
  <c r="C17" i="3"/>
  <c r="C34" i="3"/>
  <c r="C27" i="3"/>
  <c r="C6" i="3"/>
  <c r="C23" i="3"/>
  <c r="C47" i="3"/>
  <c r="C9" i="3"/>
  <c r="C67" i="3"/>
  <c r="C11" i="3"/>
  <c r="C33" i="3"/>
  <c r="C51" i="3"/>
  <c r="C24" i="3"/>
  <c r="C39" i="3"/>
  <c r="C63" i="3"/>
  <c r="C7" i="3"/>
  <c r="C22" i="3"/>
  <c r="C55" i="3"/>
  <c r="C3" i="3"/>
  <c r="C8" i="3"/>
  <c r="C49" i="3"/>
  <c r="C50" i="3"/>
  <c r="C41" i="3"/>
  <c r="C57" i="3"/>
  <c r="C15" i="3"/>
  <c r="E36" i="3"/>
  <c r="E29" i="3"/>
  <c r="E15" i="3"/>
  <c r="D3" i="19"/>
  <c r="E3" i="19"/>
  <c r="E4" i="3"/>
  <c r="E47" i="3"/>
  <c r="E45" i="3"/>
  <c r="E12" i="3"/>
  <c r="E5" i="3"/>
  <c r="E62" i="3"/>
  <c r="E34" i="3"/>
  <c r="E6" i="3"/>
  <c r="E11" i="3"/>
  <c r="E22" i="3"/>
  <c r="E49" i="3"/>
  <c r="E7" i="3"/>
  <c r="E53" i="3"/>
  <c r="E10" i="3"/>
  <c r="E21" i="3"/>
  <c r="E9" i="3"/>
  <c r="E68" i="3"/>
  <c r="E8" i="3"/>
  <c r="E3" i="3"/>
  <c r="E19" i="3"/>
  <c r="E51" i="3"/>
  <c r="E41" i="3"/>
  <c r="E50" i="3"/>
  <c r="E30" i="3"/>
  <c r="E65" i="3"/>
  <c r="E55" i="3"/>
  <c r="E27" i="3"/>
  <c r="E44" i="3"/>
  <c r="E33" i="3"/>
  <c r="E23" i="3"/>
  <c r="E63" i="3"/>
  <c r="E66" i="3"/>
  <c r="E24" i="3"/>
  <c r="E25" i="3"/>
  <c r="E70" i="3"/>
  <c r="E60" i="3"/>
  <c r="E20" i="3"/>
  <c r="E52" i="3"/>
  <c r="E17" i="3"/>
  <c r="E16" i="3"/>
  <c r="E39" i="3"/>
  <c r="E57" i="3"/>
  <c r="E67" i="3"/>
  <c r="J2" i="1"/>
  <c r="L72" i="3"/>
  <c r="L54" i="3"/>
  <c r="L60" i="3"/>
  <c r="L22" i="3"/>
  <c r="L51" i="3"/>
  <c r="J6" i="19"/>
  <c r="L41" i="3"/>
  <c r="L46" i="3"/>
  <c r="L55" i="3"/>
  <c r="J3" i="19"/>
  <c r="L29" i="3"/>
  <c r="J5" i="1"/>
  <c r="J14" i="1"/>
  <c r="J13" i="1"/>
  <c r="J23" i="1"/>
  <c r="J39" i="1"/>
  <c r="J37" i="1"/>
  <c r="J33" i="1"/>
  <c r="J12" i="1"/>
  <c r="J6" i="1"/>
  <c r="L45" i="3"/>
  <c r="L49" i="3"/>
  <c r="L47" i="3"/>
  <c r="L32" i="3"/>
  <c r="L64" i="3"/>
  <c r="L42" i="3"/>
  <c r="L24" i="3"/>
  <c r="L26" i="3"/>
  <c r="L39" i="3"/>
  <c r="L69" i="3"/>
  <c r="L67" i="3"/>
  <c r="L44" i="3"/>
  <c r="L58" i="3"/>
  <c r="L53" i="3"/>
  <c r="L48" i="3"/>
  <c r="L65" i="3"/>
  <c r="L37" i="3"/>
  <c r="T4" i="1" l="1"/>
  <c r="T56" i="1"/>
  <c r="T37" i="1"/>
  <c r="T33" i="1"/>
  <c r="J21" i="1"/>
  <c r="J35" i="1"/>
  <c r="J49" i="1"/>
  <c r="J43" i="1"/>
  <c r="J15" i="1"/>
  <c r="J58" i="1"/>
  <c r="J29" i="1"/>
  <c r="J50" i="1"/>
  <c r="J46" i="1"/>
  <c r="J38" i="1"/>
  <c r="J48" i="1"/>
  <c r="J42" i="1"/>
  <c r="J11" i="1"/>
  <c r="J68" i="1"/>
  <c r="J18" i="1"/>
  <c r="J41" i="1"/>
  <c r="J17" i="1"/>
  <c r="J53" i="1"/>
  <c r="J72" i="1"/>
  <c r="J27" i="1"/>
  <c r="J24" i="1"/>
  <c r="J9" i="1"/>
  <c r="J31" i="1"/>
  <c r="J63" i="1"/>
  <c r="J57" i="1"/>
  <c r="J66" i="1"/>
  <c r="J34" i="1"/>
  <c r="J62" i="1"/>
  <c r="J28" i="1"/>
  <c r="J71" i="1"/>
  <c r="J47" i="1"/>
  <c r="J30" i="1"/>
  <c r="J45" i="1"/>
  <c r="J65" i="1"/>
  <c r="J32" i="1"/>
  <c r="J36" i="1"/>
  <c r="J19" i="1"/>
  <c r="J4" i="1"/>
  <c r="J25" i="1"/>
  <c r="J3" i="1"/>
  <c r="J8" i="1"/>
  <c r="J16" i="1"/>
  <c r="J10" i="1"/>
  <c r="J52" i="1"/>
  <c r="J54" i="1"/>
  <c r="J26" i="1"/>
  <c r="J70" i="1"/>
  <c r="J69" i="1"/>
  <c r="J7" i="1"/>
  <c r="J22" i="1"/>
  <c r="J20" i="1"/>
  <c r="L50" i="3"/>
  <c r="A51" i="3" s="1"/>
  <c r="A45" i="3"/>
  <c r="A73" i="3"/>
  <c r="A50" i="3" l="1"/>
  <c r="L8" i="3" l="1"/>
  <c r="L28" i="3" l="1"/>
  <c r="L61" i="3"/>
  <c r="J10" i="19"/>
  <c r="L36" i="3"/>
  <c r="J8" i="19"/>
  <c r="L33" i="3"/>
  <c r="L70" i="3"/>
  <c r="L5" i="3"/>
  <c r="L13" i="3"/>
  <c r="L6" i="3"/>
  <c r="J2" i="19"/>
  <c r="L15" i="3"/>
  <c r="J5" i="19"/>
  <c r="L23" i="3"/>
  <c r="L27" i="3"/>
  <c r="L63" i="3"/>
  <c r="L20" i="3"/>
  <c r="L31" i="3"/>
  <c r="L57" i="3"/>
  <c r="L12" i="3"/>
  <c r="L52" i="3"/>
  <c r="J9" i="19"/>
  <c r="L38" i="3"/>
  <c r="L68" i="3"/>
  <c r="L25" i="3"/>
  <c r="L16" i="3"/>
  <c r="L7" i="3"/>
  <c r="L17" i="3"/>
  <c r="L21" i="3"/>
  <c r="L35" i="3"/>
  <c r="L3" i="3"/>
  <c r="L14" i="3"/>
  <c r="J4" i="19"/>
  <c r="L19" i="3"/>
  <c r="L62" i="3"/>
  <c r="L4" i="3"/>
  <c r="L11" i="3"/>
  <c r="L18" i="3"/>
  <c r="L30" i="3"/>
  <c r="L34" i="3"/>
  <c r="J12" i="19"/>
  <c r="L71" i="3"/>
  <c r="L9" i="3"/>
  <c r="L10" i="3"/>
  <c r="L66" i="3" l="1"/>
  <c r="T2" i="1"/>
  <c r="L56" i="3"/>
  <c r="A56" i="3" s="1"/>
  <c r="J7" i="19"/>
  <c r="A7" i="19" s="1"/>
  <c r="O7" i="19" s="1"/>
  <c r="A3" i="3"/>
  <c r="Q3" i="3" s="1"/>
  <c r="A35" i="3"/>
  <c r="Q35" i="3" s="1"/>
  <c r="A18" i="3"/>
  <c r="Q18" i="3" s="1"/>
  <c r="A4" i="3"/>
  <c r="Q4" i="3" s="1"/>
  <c r="A28" i="3"/>
  <c r="Q28" i="3" s="1"/>
  <c r="A5" i="3"/>
  <c r="Q5" i="3" s="1"/>
  <c r="A2" i="19"/>
  <c r="O2" i="19" s="1"/>
  <c r="A3" i="19"/>
  <c r="O3" i="19" s="1"/>
  <c r="A36" i="3"/>
  <c r="Q36" i="3" s="1"/>
  <c r="A37" i="3"/>
  <c r="Q37" i="3" s="1"/>
  <c r="A46" i="3"/>
  <c r="A47" i="3" s="1"/>
  <c r="A48" i="3" s="1"/>
  <c r="A49" i="3" s="1"/>
  <c r="A52" i="3"/>
  <c r="A53" i="3" s="1"/>
  <c r="A54" i="3" s="1"/>
  <c r="A55" i="3" s="1"/>
  <c r="A27" i="3"/>
  <c r="Q27" i="3" s="1"/>
  <c r="A19" i="3"/>
  <c r="Q19" i="3" s="1"/>
  <c r="A29" i="3"/>
  <c r="Q29" i="3" s="1"/>
  <c r="A30" i="3" l="1"/>
  <c r="Q30" i="3" s="1"/>
  <c r="A57" i="3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8" i="19"/>
  <c r="A38" i="3"/>
  <c r="A20" i="3"/>
  <c r="A6" i="3"/>
  <c r="A31" i="3"/>
  <c r="A4" i="19"/>
  <c r="O8" i="19" l="1"/>
  <c r="A9" i="19"/>
  <c r="O4" i="19"/>
  <c r="A5" i="19"/>
  <c r="Q6" i="3"/>
  <c r="A7" i="3"/>
  <c r="Q31" i="3"/>
  <c r="A32" i="3"/>
  <c r="Q20" i="3"/>
  <c r="A21" i="3"/>
  <c r="Q38" i="3"/>
  <c r="A39" i="3"/>
  <c r="O9" i="19" l="1"/>
  <c r="A10" i="19"/>
  <c r="Q32" i="3"/>
  <c r="A33" i="3"/>
  <c r="Q21" i="3"/>
  <c r="A22" i="3"/>
  <c r="Q7" i="3"/>
  <c r="A8" i="3"/>
  <c r="Q39" i="3"/>
  <c r="A40" i="3"/>
  <c r="O5" i="19"/>
  <c r="A6" i="19"/>
  <c r="O6" i="19" s="1"/>
  <c r="O10" i="19" l="1"/>
  <c r="A11" i="19"/>
  <c r="Q22" i="3"/>
  <c r="A23" i="3"/>
  <c r="Q40" i="3"/>
  <c r="A41" i="3"/>
  <c r="Q8" i="3"/>
  <c r="A9" i="3"/>
  <c r="Q33" i="3"/>
  <c r="A34" i="3"/>
  <c r="Q34" i="3" s="1"/>
  <c r="O11" i="19" l="1"/>
  <c r="A12" i="19"/>
  <c r="Q9" i="3"/>
  <c r="A10" i="3"/>
  <c r="Q23" i="3"/>
  <c r="A24" i="3"/>
  <c r="Q41" i="3"/>
  <c r="A42" i="3"/>
  <c r="Q42" i="3" l="1"/>
  <c r="A43" i="3"/>
  <c r="A44" i="3" s="1"/>
  <c r="Q24" i="3"/>
  <c r="A25" i="3"/>
  <c r="Q10" i="3"/>
  <c r="A11" i="3"/>
  <c r="Q11" i="3" l="1"/>
  <c r="A12" i="3"/>
  <c r="Q25" i="3"/>
  <c r="A26" i="3"/>
  <c r="Q26" i="3" s="1"/>
  <c r="Q12" i="3" l="1"/>
  <c r="A13" i="3"/>
  <c r="Q13" i="3" l="1"/>
  <c r="A14" i="3"/>
  <c r="Q14" i="3" l="1"/>
  <c r="A15" i="3"/>
  <c r="Q15" i="3" l="1"/>
  <c r="A16" i="3"/>
  <c r="Q16" i="3" l="1"/>
  <c r="A17" i="3"/>
  <c r="Q17" i="3" s="1"/>
</calcChain>
</file>

<file path=xl/sharedStrings.xml><?xml version="1.0" encoding="utf-8"?>
<sst xmlns="http://schemas.openxmlformats.org/spreadsheetml/2006/main" count="503" uniqueCount="195">
  <si>
    <t>LH3</t>
  </si>
  <si>
    <t>LH1</t>
  </si>
  <si>
    <t>DAC1</t>
  </si>
  <si>
    <t>ABC2</t>
  </si>
  <si>
    <t>ABC3</t>
  </si>
  <si>
    <t>DAC2</t>
  </si>
  <si>
    <t>LH2</t>
  </si>
  <si>
    <t>ABC1</t>
  </si>
  <si>
    <t>GH1</t>
  </si>
  <si>
    <t>#5</t>
  </si>
  <si>
    <t>#2</t>
  </si>
  <si>
    <t>#1</t>
  </si>
  <si>
    <t>QTR</t>
  </si>
  <si>
    <t>TR</t>
  </si>
  <si>
    <t>TS</t>
  </si>
  <si>
    <t>YTD</t>
  </si>
  <si>
    <t>Ch</t>
  </si>
  <si>
    <t>GWI</t>
  </si>
  <si>
    <t>Team</t>
  </si>
  <si>
    <t>Age</t>
  </si>
  <si>
    <t>Full</t>
  </si>
  <si>
    <t>Name</t>
  </si>
  <si>
    <t>D</t>
  </si>
  <si>
    <t>R</t>
  </si>
  <si>
    <t>Rank</t>
  </si>
  <si>
    <t>DC</t>
  </si>
  <si>
    <t>Meet #5</t>
  </si>
  <si>
    <t>Meet #4</t>
  </si>
  <si>
    <t>Meet #3</t>
  </si>
  <si>
    <t>Meet #2</t>
  </si>
  <si>
    <t>Meet #1</t>
  </si>
  <si>
    <t>LH4</t>
  </si>
  <si>
    <t>Gr</t>
  </si>
  <si>
    <t>N</t>
  </si>
  <si>
    <t>Y</t>
  </si>
  <si>
    <t>R/V</t>
  </si>
  <si>
    <t>Stephen Miller</t>
  </si>
  <si>
    <t>Vet</t>
  </si>
  <si>
    <t>Sam Ashcraft</t>
  </si>
  <si>
    <t>LH5</t>
  </si>
  <si>
    <t>Abigail Taw</t>
  </si>
  <si>
    <t>Samuel Do</t>
  </si>
  <si>
    <t>Maddy Cliffe</t>
  </si>
  <si>
    <t>Annie McKee</t>
  </si>
  <si>
    <t>Rachel Wallace</t>
  </si>
  <si>
    <t>Bib#</t>
  </si>
  <si>
    <t>C/cc</t>
  </si>
  <si>
    <t>YTD Weighted Team Placement</t>
  </si>
  <si>
    <t>District Championships</t>
  </si>
  <si>
    <t>20%</t>
  </si>
  <si>
    <t>25%</t>
  </si>
  <si>
    <t>0%</t>
  </si>
  <si>
    <t>35%</t>
  </si>
  <si>
    <t>Drop Lowest, Remaining 2 are 10%</t>
  </si>
  <si>
    <t>Sophie Ashcraft</t>
  </si>
  <si>
    <t>Emily Salgren</t>
  </si>
  <si>
    <t>LH6</t>
  </si>
  <si>
    <t>#4</t>
  </si>
  <si>
    <t>#3</t>
  </si>
  <si>
    <t>Nathan Truong</t>
  </si>
  <si>
    <t>Annie Barrett</t>
  </si>
  <si>
    <t>Michael Swindler</t>
  </si>
  <si>
    <t>Logan Meredith</t>
  </si>
  <si>
    <t>Eli McKee</t>
  </si>
  <si>
    <t>Thompson Truong</t>
  </si>
  <si>
    <t>Jed Wright</t>
  </si>
  <si>
    <t>Brooke Delamarter</t>
  </si>
  <si>
    <t>Sara Garcia</t>
  </si>
  <si>
    <t>Edgar Garcia</t>
  </si>
  <si>
    <t>LH7</t>
  </si>
  <si>
    <t>LH8</t>
  </si>
  <si>
    <t>Matthew Borden</t>
  </si>
  <si>
    <t>Michael Borden</t>
  </si>
  <si>
    <t>Nathan Pham</t>
  </si>
  <si>
    <t>Ruby Borden</t>
  </si>
  <si>
    <t>Lincoln Delamarter</t>
  </si>
  <si>
    <t>MAD1</t>
  </si>
  <si>
    <t>MAD2</t>
  </si>
  <si>
    <t>ABC4</t>
  </si>
  <si>
    <t>Mia Kerr</t>
  </si>
  <si>
    <t>Danny Kerr</t>
  </si>
  <si>
    <t>Aiden Carlton</t>
  </si>
  <si>
    <t>Dominic Arthur</t>
  </si>
  <si>
    <t>Lindsey Hinthorne</t>
  </si>
  <si>
    <t>LH9</t>
  </si>
  <si>
    <t>Kasey Monroe</t>
  </si>
  <si>
    <t>Abbey Crabtree</t>
  </si>
  <si>
    <t>EBC2</t>
  </si>
  <si>
    <t>EBC1</t>
  </si>
  <si>
    <t>Mariah Sattler</t>
  </si>
  <si>
    <t>Amy Kositzky</t>
  </si>
  <si>
    <t>XCP2</t>
  </si>
  <si>
    <t>XCP1</t>
  </si>
  <si>
    <t>TPC</t>
  </si>
  <si>
    <t>Caitlin Purcell</t>
  </si>
  <si>
    <t>Ashley Purcell</t>
  </si>
  <si>
    <t>Aidan Arthur</t>
  </si>
  <si>
    <t>Abby Zecher</t>
  </si>
  <si>
    <t>Naomi Skeith</t>
  </si>
  <si>
    <t>Aleeciya Meredith</t>
  </si>
  <si>
    <t>Cody Colbern</t>
  </si>
  <si>
    <t>Elijah Schindler</t>
  </si>
  <si>
    <t>Emily Barrett</t>
  </si>
  <si>
    <t>Ethan Wright</t>
  </si>
  <si>
    <t>Karlie Sattler</t>
  </si>
  <si>
    <t>Logan Grieve</t>
  </si>
  <si>
    <t>Riley Meier</t>
  </si>
  <si>
    <t>Tyler French</t>
  </si>
  <si>
    <t>Joy Rice</t>
  </si>
  <si>
    <t>Rook</t>
  </si>
  <si>
    <t>Josiah Rice</t>
  </si>
  <si>
    <t>LH10</t>
  </si>
  <si>
    <t>GIG</t>
  </si>
  <si>
    <t>Martin Pina</t>
  </si>
  <si>
    <t>Team did not attend meet, thus are assigned a (last+1) place finish</t>
  </si>
  <si>
    <t>Jarek Zecher</t>
  </si>
  <si>
    <t>69.36</t>
  </si>
  <si>
    <t>42.96</t>
  </si>
  <si>
    <t>26.12</t>
  </si>
  <si>
    <t>25.49</t>
  </si>
  <si>
    <t>25.03</t>
  </si>
  <si>
    <t>24.47</t>
  </si>
  <si>
    <t>23.88</t>
  </si>
  <si>
    <t>23.40</t>
  </si>
  <si>
    <t>22.38</t>
  </si>
  <si>
    <t>22.17</t>
  </si>
  <si>
    <t>19.47</t>
  </si>
  <si>
    <t>19.33</t>
  </si>
  <si>
    <t>18.43</t>
  </si>
  <si>
    <t>18.26</t>
  </si>
  <si>
    <t>18.08</t>
  </si>
  <si>
    <t>18.05</t>
  </si>
  <si>
    <t>17.98</t>
  </si>
  <si>
    <t>17.45</t>
  </si>
  <si>
    <t>Garret Wright</t>
  </si>
  <si>
    <t>17.03</t>
  </si>
  <si>
    <t>14.04</t>
  </si>
  <si>
    <t>9.48</t>
  </si>
  <si>
    <t>6.57</t>
  </si>
  <si>
    <t>1. Ethan Wright, 69.36</t>
  </si>
  <si>
    <t>2. Jacob Trzeciak, 42.96</t>
  </si>
  <si>
    <t>3. Logan Grieve, 26.12</t>
  </si>
  <si>
    <t>4. Garrett Wright, 24.47</t>
  </si>
  <si>
    <t>5. Karlie Sattler, 23.40</t>
  </si>
  <si>
    <t>6. Emily Barrett, 18.05</t>
  </si>
  <si>
    <t>7. Joy Rice, 17.03</t>
  </si>
  <si>
    <t>8. Samuel Wright, 14.04</t>
  </si>
  <si>
    <t>9. Hezikiah Thieme, 9.48</t>
  </si>
  <si>
    <t>10. Nathan Hinthorne, 6.57</t>
  </si>
  <si>
    <t>86.31</t>
  </si>
  <si>
    <t>86.04</t>
  </si>
  <si>
    <t>85.83</t>
  </si>
  <si>
    <t>73.04</t>
  </si>
  <si>
    <t>69.71</t>
  </si>
  <si>
    <t>69.56</t>
  </si>
  <si>
    <t>68.33</t>
  </si>
  <si>
    <t>66.72</t>
  </si>
  <si>
    <t>64.51</t>
  </si>
  <si>
    <t>59.83</t>
  </si>
  <si>
    <t>56.84</t>
  </si>
  <si>
    <t>56.70</t>
  </si>
  <si>
    <t>54.85</t>
  </si>
  <si>
    <t>50.99</t>
  </si>
  <si>
    <t>43.92</t>
  </si>
  <si>
    <t>33.10</t>
  </si>
  <si>
    <t>32.19</t>
  </si>
  <si>
    <t>26.82</t>
  </si>
  <si>
    <t>24.33</t>
  </si>
  <si>
    <t>24.17</t>
  </si>
  <si>
    <t>23.00</t>
  </si>
  <si>
    <t>22.99</t>
  </si>
  <si>
    <t>22.62</t>
  </si>
  <si>
    <t>21.73</t>
  </si>
  <si>
    <t>20.85</t>
  </si>
  <si>
    <t>Christi Adams</t>
  </si>
  <si>
    <t>Noel Harris</t>
  </si>
  <si>
    <t>Wesley Adams</t>
  </si>
  <si>
    <t>Sam Wright</t>
  </si>
  <si>
    <t>Sophie Nelson</t>
  </si>
  <si>
    <t>Davi Sygney</t>
  </si>
  <si>
    <t>Abby Schindler</t>
  </si>
  <si>
    <t>Tyler Shields</t>
  </si>
  <si>
    <t>Madalyn Dotson</t>
  </si>
  <si>
    <t>Catherine Do</t>
  </si>
  <si>
    <t>Jessica Nguyen</t>
  </si>
  <si>
    <t>Anna Pham</t>
  </si>
  <si>
    <t>Logan Newell</t>
  </si>
  <si>
    <t>Ava Olson</t>
  </si>
  <si>
    <t>Noah Skeith</t>
  </si>
  <si>
    <t>Bryce McNeese</t>
  </si>
  <si>
    <t>Kaela Kim</t>
  </si>
  <si>
    <t>Kelsie McNeese</t>
  </si>
  <si>
    <t>Olivia Harris</t>
  </si>
  <si>
    <t>GIG1</t>
  </si>
  <si>
    <t>MAD3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</si>
</sst>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);[Red]\(0.00\)"/>
    <numFmt numFmtId="165" formatCode="0_);[Red]\(0\)"/>
  </numFmts>
  <fonts count="2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11"/>
      <color indexed="8"/>
      <name val="Calibri"/>
      <family val="2"/>
    </font>
    <font>
      <sz val="12"/>
      <color theme="1"/>
      <name val="Helvetica"/>
      <family val="2"/>
    </font>
    <font>
      <b/>
      <sz val="12"/>
      <color theme="1"/>
      <name val="Helvetic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Helvetica"/>
      <family val="2"/>
    </font>
    <font>
      <b/>
      <sz val="14"/>
      <color theme="1"/>
      <name val="Helvetica"/>
      <family val="2"/>
    </font>
    <font>
      <b/>
      <sz val="11"/>
      <color theme="1"/>
      <name val="Helvetica"/>
      <family val="2"/>
    </font>
    <font>
      <sz val="11"/>
      <color theme="1"/>
      <name val="Helvetica"/>
      <family val="2"/>
    </font>
    <font>
      <sz val="10"/>
      <color theme="1"/>
      <name val="Helvetica"/>
      <family val="2"/>
    </font>
    <font>
      <b/>
      <sz val="10"/>
      <color theme="1"/>
      <name val="Helvetica"/>
      <family val="2"/>
    </font>
    <font>
      <sz val="10"/>
      <color theme="1"/>
      <name val="Calibri"/>
      <family val="2"/>
      <scheme val="minor"/>
    </font>
    <font>
      <sz val="12"/>
      <color theme="0"/>
      <name val="Helvetica"/>
      <family val="2"/>
    </font>
    <font>
      <sz val="10"/>
      <name val="MS Sans Serif"/>
    </font>
    <font>
      <b/>
      <sz val="10"/>
      <name val="Arial"/>
      <family val="2"/>
    </font>
    <font>
      <b/>
      <sz val="10"/>
      <name val="Arial1"/>
    </font>
    <font>
      <sz val="8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772">
    <xf numFmtId="0" fontId="0" fillId="0" borderId="0"/>
    <xf numFmtId="0" fontId="1" fillId="0" borderId="0"/>
    <xf numFmtId="0" fontId="4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8" fillId="0" borderId="0"/>
  </cellStyleXfs>
  <cellXfs count="1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2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1" fontId="2" fillId="0" borderId="0" xfId="1" applyNumberFormat="1" applyFont="1" applyAlignment="1">
      <alignment horizontal="left"/>
    </xf>
    <xf numFmtId="0" fontId="2" fillId="0" borderId="0" xfId="1" applyFont="1" applyAlignment="1">
      <alignment horizontal="left"/>
    </xf>
    <xf numFmtId="165" fontId="2" fillId="0" borderId="0" xfId="1" applyNumberFormat="1" applyFont="1" applyAlignment="1">
      <alignment horizontal="left"/>
    </xf>
    <xf numFmtId="0" fontId="10" fillId="0" borderId="9" xfId="0" applyFont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11" fillId="2" borderId="9" xfId="0" applyFont="1" applyFill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2" fontId="12" fillId="0" borderId="12" xfId="0" applyNumberFormat="1" applyFont="1" applyBorder="1" applyAlignment="1">
      <alignment horizontal="center"/>
    </xf>
    <xf numFmtId="2" fontId="12" fillId="0" borderId="15" xfId="0" applyNumberFormat="1" applyFont="1" applyBorder="1" applyAlignment="1">
      <alignment horizontal="center"/>
    </xf>
    <xf numFmtId="2" fontId="12" fillId="0" borderId="11" xfId="0" applyNumberFormat="1" applyFont="1" applyBorder="1" applyAlignment="1">
      <alignment horizontal="center"/>
    </xf>
    <xf numFmtId="0" fontId="12" fillId="0" borderId="6" xfId="1" applyFont="1" applyBorder="1" applyAlignment="1">
      <alignment horizontal="center"/>
    </xf>
    <xf numFmtId="1" fontId="12" fillId="0" borderId="10" xfId="1" applyNumberFormat="1" applyFont="1" applyBorder="1" applyAlignment="1">
      <alignment horizontal="center"/>
    </xf>
    <xf numFmtId="0" fontId="12" fillId="0" borderId="5" xfId="1" applyFont="1" applyBorder="1" applyAlignment="1">
      <alignment horizontal="center"/>
    </xf>
    <xf numFmtId="0" fontId="12" fillId="0" borderId="4" xfId="1" applyFont="1" applyBorder="1" applyAlignment="1">
      <alignment horizontal="center"/>
    </xf>
    <xf numFmtId="1" fontId="12" fillId="0" borderId="9" xfId="1" applyNumberFormat="1" applyFont="1" applyBorder="1" applyAlignment="1">
      <alignment horizontal="center"/>
    </xf>
    <xf numFmtId="0" fontId="12" fillId="0" borderId="0" xfId="1" applyFont="1" applyAlignment="1">
      <alignment horizontal="center"/>
    </xf>
    <xf numFmtId="0" fontId="12" fillId="0" borderId="8" xfId="1" applyFont="1" applyBorder="1" applyAlignment="1">
      <alignment horizontal="center"/>
    </xf>
    <xf numFmtId="1" fontId="12" fillId="0" borderId="7" xfId="1" applyNumberFormat="1" applyFont="1" applyBorder="1" applyAlignment="1">
      <alignment horizontal="center"/>
    </xf>
    <xf numFmtId="0" fontId="12" fillId="0" borderId="2" xfId="1" applyFont="1" applyBorder="1" applyAlignment="1">
      <alignment horizontal="center"/>
    </xf>
    <xf numFmtId="0" fontId="12" fillId="0" borderId="10" xfId="1" applyFont="1" applyBorder="1" applyAlignment="1">
      <alignment horizontal="center"/>
    </xf>
    <xf numFmtId="0" fontId="12" fillId="0" borderId="9" xfId="1" applyFont="1" applyBorder="1" applyAlignment="1">
      <alignment horizontal="center"/>
    </xf>
    <xf numFmtId="0" fontId="12" fillId="0" borderId="7" xfId="1" applyFont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4" fontId="13" fillId="0" borderId="6" xfId="1" applyNumberFormat="1" applyFont="1" applyBorder="1" applyAlignment="1">
      <alignment horizontal="center"/>
    </xf>
    <xf numFmtId="164" fontId="13" fillId="0" borderId="5" xfId="0" applyNumberFormat="1" applyFont="1" applyBorder="1" applyAlignment="1">
      <alignment horizontal="center"/>
    </xf>
    <xf numFmtId="164" fontId="13" fillId="0" borderId="4" xfId="1" applyNumberFormat="1" applyFont="1" applyBorder="1" applyAlignment="1">
      <alignment horizontal="center"/>
    </xf>
    <xf numFmtId="164" fontId="13" fillId="0" borderId="0" xfId="0" applyNumberFormat="1" applyFont="1" applyAlignment="1">
      <alignment horizontal="center"/>
    </xf>
    <xf numFmtId="164" fontId="13" fillId="0" borderId="8" xfId="1" applyNumberFormat="1" applyFont="1" applyBorder="1" applyAlignment="1">
      <alignment horizontal="center"/>
    </xf>
    <xf numFmtId="164" fontId="13" fillId="0" borderId="2" xfId="0" applyNumberFormat="1" applyFont="1" applyBorder="1" applyAlignment="1">
      <alignment horizontal="center"/>
    </xf>
    <xf numFmtId="164" fontId="5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10" fillId="0" borderId="7" xfId="0" applyFont="1" applyBorder="1" applyAlignment="1">
      <alignment horizontal="center"/>
    </xf>
    <xf numFmtId="0" fontId="1" fillId="0" borderId="0" xfId="0" applyFont="1" applyAlignment="1">
      <alignment wrapText="1"/>
    </xf>
    <xf numFmtId="164" fontId="6" fillId="3" borderId="11" xfId="0" applyNumberFormat="1" applyFont="1" applyFill="1" applyBorder="1" applyAlignment="1">
      <alignment horizontal="center" wrapText="1"/>
    </xf>
    <xf numFmtId="164" fontId="6" fillId="3" borderId="10" xfId="0" applyNumberFormat="1" applyFont="1" applyFill="1" applyBorder="1" applyAlignment="1">
      <alignment horizontal="center"/>
    </xf>
    <xf numFmtId="164" fontId="6" fillId="3" borderId="9" xfId="0" applyNumberFormat="1" applyFont="1" applyFill="1" applyBorder="1" applyAlignment="1">
      <alignment horizontal="center"/>
    </xf>
    <xf numFmtId="164" fontId="6" fillId="3" borderId="7" xfId="0" applyNumberFormat="1" applyFont="1" applyFill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6" fillId="0" borderId="11" xfId="0" applyFont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2" fillId="0" borderId="0" xfId="1" applyFont="1"/>
    <xf numFmtId="164" fontId="2" fillId="0" borderId="0" xfId="1" applyNumberFormat="1" applyFont="1" applyAlignment="1">
      <alignment horizontal="center"/>
    </xf>
    <xf numFmtId="164" fontId="3" fillId="0" borderId="0" xfId="1" applyNumberFormat="1" applyFont="1" applyAlignment="1">
      <alignment horizontal="center"/>
    </xf>
    <xf numFmtId="164" fontId="14" fillId="0" borderId="9" xfId="0" applyNumberFormat="1" applyFont="1" applyBorder="1" applyAlignment="1">
      <alignment horizontal="center"/>
    </xf>
    <xf numFmtId="164" fontId="14" fillId="0" borderId="3" xfId="0" applyNumberFormat="1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5" fillId="0" borderId="12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2" fontId="15" fillId="0" borderId="15" xfId="0" applyNumberFormat="1" applyFont="1" applyBorder="1" applyAlignment="1">
      <alignment horizontal="center" vertical="center"/>
    </xf>
    <xf numFmtId="2" fontId="15" fillId="0" borderId="13" xfId="0" applyNumberFormat="1" applyFont="1" applyBorder="1" applyAlignment="1">
      <alignment horizontal="center" vertical="center"/>
    </xf>
    <xf numFmtId="2" fontId="15" fillId="0" borderId="11" xfId="0" applyNumberFormat="1" applyFont="1" applyBorder="1" applyAlignment="1">
      <alignment horizontal="center" vertical="center"/>
    </xf>
    <xf numFmtId="0" fontId="15" fillId="0" borderId="12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2" fontId="15" fillId="0" borderId="12" xfId="0" applyNumberFormat="1" applyFont="1" applyBorder="1" applyAlignment="1">
      <alignment horizontal="center"/>
    </xf>
    <xf numFmtId="2" fontId="15" fillId="0" borderId="15" xfId="0" applyNumberFormat="1" applyFont="1" applyBorder="1" applyAlignment="1">
      <alignment horizontal="center"/>
    </xf>
    <xf numFmtId="2" fontId="15" fillId="0" borderId="13" xfId="0" applyNumberFormat="1" applyFont="1" applyBorder="1" applyAlignment="1">
      <alignment horizontal="center"/>
    </xf>
    <xf numFmtId="2" fontId="15" fillId="0" borderId="11" xfId="0" applyNumberFormat="1" applyFont="1" applyBorder="1" applyAlignment="1">
      <alignment horizontal="center"/>
    </xf>
    <xf numFmtId="0" fontId="15" fillId="0" borderId="6" xfId="1" applyFont="1" applyBorder="1" applyAlignment="1">
      <alignment horizontal="center"/>
    </xf>
    <xf numFmtId="0" fontId="15" fillId="0" borderId="5" xfId="1" applyFont="1" applyBorder="1" applyAlignment="1">
      <alignment horizontal="center"/>
    </xf>
    <xf numFmtId="0" fontId="15" fillId="0" borderId="10" xfId="1" applyFont="1" applyBorder="1" applyAlignment="1">
      <alignment horizontal="center"/>
    </xf>
    <xf numFmtId="164" fontId="14" fillId="0" borderId="6" xfId="1" applyNumberFormat="1" applyFont="1" applyBorder="1" applyAlignment="1">
      <alignment horizontal="center"/>
    </xf>
    <xf numFmtId="164" fontId="14" fillId="0" borderId="5" xfId="0" applyNumberFormat="1" applyFont="1" applyBorder="1" applyAlignment="1">
      <alignment horizontal="center"/>
    </xf>
    <xf numFmtId="164" fontId="14" fillId="0" borderId="14" xfId="0" applyNumberFormat="1" applyFont="1" applyBorder="1" applyAlignment="1">
      <alignment horizontal="center"/>
    </xf>
    <xf numFmtId="164" fontId="14" fillId="0" borderId="10" xfId="0" applyNumberFormat="1" applyFont="1" applyBorder="1" applyAlignment="1">
      <alignment horizontal="center"/>
    </xf>
    <xf numFmtId="164" fontId="15" fillId="0" borderId="14" xfId="0" applyNumberFormat="1" applyFont="1" applyBorder="1" applyAlignment="1">
      <alignment horizontal="center"/>
    </xf>
    <xf numFmtId="0" fontId="15" fillId="0" borderId="4" xfId="1" applyFont="1" applyBorder="1" applyAlignment="1">
      <alignment horizontal="center"/>
    </xf>
    <xf numFmtId="0" fontId="15" fillId="0" borderId="0" xfId="1" applyFont="1" applyAlignment="1">
      <alignment horizontal="center"/>
    </xf>
    <xf numFmtId="0" fontId="15" fillId="0" borderId="9" xfId="1" applyFont="1" applyBorder="1" applyAlignment="1">
      <alignment horizontal="center"/>
    </xf>
    <xf numFmtId="164" fontId="14" fillId="0" borderId="4" xfId="1" applyNumberFormat="1" applyFont="1" applyBorder="1" applyAlignment="1">
      <alignment horizontal="center"/>
    </xf>
    <xf numFmtId="164" fontId="14" fillId="0" borderId="0" xfId="0" applyNumberFormat="1" applyFont="1" applyAlignment="1">
      <alignment horizontal="center"/>
    </xf>
    <xf numFmtId="164" fontId="15" fillId="0" borderId="3" xfId="0" applyNumberFormat="1" applyFont="1" applyBorder="1" applyAlignment="1">
      <alignment horizontal="center"/>
    </xf>
    <xf numFmtId="0" fontId="15" fillId="0" borderId="8" xfId="1" applyFont="1" applyBorder="1" applyAlignment="1">
      <alignment horizontal="center"/>
    </xf>
    <xf numFmtId="0" fontId="15" fillId="0" borderId="2" xfId="1" applyFont="1" applyBorder="1" applyAlignment="1">
      <alignment horizontal="center"/>
    </xf>
    <xf numFmtId="0" fontId="15" fillId="0" borderId="7" xfId="1" applyFont="1" applyBorder="1" applyAlignment="1">
      <alignment horizontal="center"/>
    </xf>
    <xf numFmtId="164" fontId="14" fillId="0" borderId="8" xfId="1" applyNumberFormat="1" applyFont="1" applyBorder="1" applyAlignment="1">
      <alignment horizontal="center"/>
    </xf>
    <xf numFmtId="164" fontId="14" fillId="0" borderId="2" xfId="0" applyNumberFormat="1" applyFont="1" applyBorder="1" applyAlignment="1">
      <alignment horizontal="center"/>
    </xf>
    <xf numFmtId="164" fontId="14" fillId="0" borderId="1" xfId="0" applyNumberFormat="1" applyFont="1" applyBorder="1" applyAlignment="1">
      <alignment horizontal="center"/>
    </xf>
    <xf numFmtId="164" fontId="14" fillId="0" borderId="7" xfId="0" applyNumberFormat="1" applyFont="1" applyBorder="1" applyAlignment="1">
      <alignment horizontal="center"/>
    </xf>
    <xf numFmtId="164" fontId="15" fillId="0" borderId="1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2" fontId="16" fillId="0" borderId="0" xfId="0" applyNumberFormat="1" applyFont="1" applyAlignment="1">
      <alignment horizontal="center"/>
    </xf>
    <xf numFmtId="0" fontId="2" fillId="0" borderId="0" xfId="1" applyFont="1" applyAlignment="1">
      <alignment horizontal="center"/>
    </xf>
    <xf numFmtId="0" fontId="5" fillId="0" borderId="5" xfId="0" applyFont="1" applyBorder="1" applyAlignment="1">
      <alignment horizontal="center"/>
    </xf>
    <xf numFmtId="164" fontId="12" fillId="0" borderId="10" xfId="0" applyNumberFormat="1" applyFont="1" applyBorder="1" applyAlignment="1">
      <alignment horizontal="center"/>
    </xf>
    <xf numFmtId="164" fontId="12" fillId="0" borderId="9" xfId="0" applyNumberFormat="1" applyFont="1" applyBorder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0" fontId="6" fillId="0" borderId="15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wrapText="1"/>
    </xf>
    <xf numFmtId="0" fontId="17" fillId="4" borderId="0" xfId="0" applyFont="1" applyFill="1" applyAlignment="1">
      <alignment horizontal="left"/>
    </xf>
    <xf numFmtId="0" fontId="17" fillId="4" borderId="0" xfId="0" applyFont="1" applyFill="1" applyAlignment="1">
      <alignment horizontal="center"/>
    </xf>
    <xf numFmtId="0" fontId="19" fillId="0" borderId="0" xfId="771" applyFont="1" applyAlignment="1">
      <alignment horizontal="center"/>
    </xf>
    <xf numFmtId="0" fontId="20" fillId="0" borderId="0" xfId="771" applyFont="1" applyAlignment="1">
      <alignment horizontal="center"/>
    </xf>
    <xf numFmtId="1" fontId="2" fillId="0" borderId="0" xfId="1" applyNumberFormat="1" applyFont="1" applyAlignment="1">
      <alignment horizontal="center"/>
    </xf>
    <xf numFmtId="0" fontId="15" fillId="0" borderId="0" xfId="1" applyFont="1" applyBorder="1" applyAlignment="1">
      <alignment horizontal="center"/>
    </xf>
    <xf numFmtId="164" fontId="14" fillId="0" borderId="0" xfId="0" applyNumberFormat="1" applyFont="1" applyBorder="1" applyAlignment="1">
      <alignment horizontal="center"/>
    </xf>
    <xf numFmtId="2" fontId="15" fillId="0" borderId="12" xfId="0" applyNumberFormat="1" applyFont="1" applyBorder="1" applyAlignment="1">
      <alignment horizontal="center" vertical="center" wrapText="1"/>
    </xf>
    <xf numFmtId="2" fontId="15" fillId="0" borderId="15" xfId="0" applyNumberFormat="1" applyFont="1" applyBorder="1" applyAlignment="1">
      <alignment horizontal="center" vertical="center" wrapText="1"/>
    </xf>
    <xf numFmtId="0" fontId="21" fillId="0" borderId="0" xfId="0" applyFont="1"/>
    <xf numFmtId="0" fontId="2" fillId="0" borderId="0" xfId="0" applyFont="1"/>
    <xf numFmtId="0" fontId="2" fillId="0" borderId="0" xfId="1" applyFont="1" applyAlignment="1"/>
    <xf numFmtId="0" fontId="21" fillId="0" borderId="0" xfId="0" applyFont="1" applyAlignment="1"/>
    <xf numFmtId="0" fontId="2" fillId="0" borderId="0" xfId="0" applyFont="1" applyAlignment="1"/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/>
    </xf>
    <xf numFmtId="1" fontId="15" fillId="0" borderId="10" xfId="1" applyNumberFormat="1" applyFont="1" applyFill="1" applyBorder="1" applyAlignment="1">
      <alignment horizontal="center"/>
    </xf>
    <xf numFmtId="1" fontId="15" fillId="0" borderId="9" xfId="1" applyNumberFormat="1" applyFont="1" applyFill="1" applyBorder="1" applyAlignment="1">
      <alignment horizontal="center"/>
    </xf>
    <xf numFmtId="1" fontId="15" fillId="0" borderId="7" xfId="1" applyNumberFormat="1" applyFont="1" applyFill="1" applyBorder="1" applyAlignment="1">
      <alignment horizontal="center"/>
    </xf>
    <xf numFmtId="0" fontId="16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7" fillId="0" borderId="0" xfId="0" applyFont="1" applyFill="1" applyAlignment="1">
      <alignment horizontal="center"/>
    </xf>
    <xf numFmtId="0" fontId="17" fillId="0" borderId="4" xfId="0" applyFont="1" applyFill="1" applyBorder="1" applyAlignment="1">
      <alignment horizontal="center"/>
    </xf>
  </cellXfs>
  <cellStyles count="772">
    <cellStyle name="Excel Built-in Normal" xfId="2" xr:uid="{00000000-0005-0000-0000-000000000000}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Normal" xfId="0" builtinId="0"/>
    <cellStyle name="Normal 2" xfId="1" xr:uid="{00000000-0005-0000-0000-000002030000}"/>
    <cellStyle name="Normal 4" xfId="771" xr:uid="{7168663C-F7A9-3F4B-986D-6740639C0EDE}"/>
  </cellStyles>
  <dxfs count="15"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CF84A"/>
        </patternFill>
      </fill>
    </dxf>
    <dxf>
      <fill>
        <patternFill>
          <bgColor rgb="FFFAC122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mruColors>
      <color rgb="FF5BD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A1:W72"/>
  <sheetViews>
    <sheetView zoomScale="120" zoomScaleNormal="120" workbookViewId="0">
      <pane xSplit="10" ySplit="1" topLeftCell="O2" activePane="bottomRight" state="frozen"/>
      <selection activeCell="J30" sqref="J30"/>
      <selection pane="topRight" activeCell="J30" sqref="J30"/>
      <selection pane="bottomLeft" activeCell="J30" sqref="J30"/>
      <selection pane="bottomRight" activeCell="W2" sqref="W2"/>
    </sheetView>
  </sheetViews>
  <sheetFormatPr baseColWidth="10" defaultColWidth="12.5" defaultRowHeight="11"/>
  <cols>
    <col min="1" max="2" width="4.33203125" style="10" customWidth="1"/>
    <col min="3" max="3" width="4.33203125" style="11" customWidth="1"/>
    <col min="4" max="4" width="11.5" style="10" bestFit="1" customWidth="1"/>
    <col min="5" max="5" width="6.6640625" style="117" bestFit="1" customWidth="1"/>
    <col min="6" max="6" width="8.5" style="98" hidden="1" customWidth="1"/>
    <col min="7" max="7" width="8.33203125" style="98" hidden="1" customWidth="1"/>
    <col min="8" max="8" width="8" style="98" hidden="1" customWidth="1"/>
    <col min="9" max="9" width="7.33203125" style="98" hidden="1" customWidth="1"/>
    <col min="10" max="10" width="7.83203125" style="98" bestFit="1" customWidth="1"/>
    <col min="11" max="11" width="7.33203125" style="56" bestFit="1" customWidth="1"/>
    <col min="12" max="15" width="7.1640625" style="56" bestFit="1" customWidth="1"/>
    <col min="16" max="16" width="8.5" style="56" bestFit="1" customWidth="1"/>
    <col min="17" max="17" width="7.5" style="56" bestFit="1" customWidth="1"/>
    <col min="18" max="18" width="8.6640625" style="57" bestFit="1" customWidth="1"/>
    <col min="19" max="19" width="5.33203125" style="57" bestFit="1" customWidth="1"/>
    <col min="20" max="20" width="7.6640625" style="56" bestFit="1" customWidth="1"/>
    <col min="21" max="21" width="7.83203125" style="110" bestFit="1" customWidth="1"/>
    <col min="22" max="22" width="8.83203125" style="110" bestFit="1" customWidth="1"/>
    <col min="23" max="23" width="8" style="56" bestFit="1" customWidth="1"/>
    <col min="24" max="16384" width="12.5" style="55"/>
  </cols>
  <sheetData>
    <row r="1" spans="1:23" ht="12" customHeight="1">
      <c r="A1" s="10" t="s">
        <v>23</v>
      </c>
      <c r="B1" s="10" t="s">
        <v>23</v>
      </c>
      <c r="C1" s="11" t="s">
        <v>22</v>
      </c>
      <c r="D1" s="9" t="s">
        <v>20</v>
      </c>
      <c r="E1" s="117" t="s">
        <v>18</v>
      </c>
      <c r="F1" s="98" t="s">
        <v>46</v>
      </c>
      <c r="G1" s="98" t="s">
        <v>45</v>
      </c>
      <c r="H1" s="110" t="s">
        <v>19</v>
      </c>
      <c r="I1" s="110" t="s">
        <v>32</v>
      </c>
      <c r="J1" s="98" t="s">
        <v>25</v>
      </c>
      <c r="K1" s="56" t="s">
        <v>11</v>
      </c>
      <c r="L1" s="56" t="s">
        <v>10</v>
      </c>
      <c r="M1" s="56" t="s">
        <v>58</v>
      </c>
      <c r="N1" s="56" t="s">
        <v>57</v>
      </c>
      <c r="O1" s="56" t="s">
        <v>9</v>
      </c>
      <c r="P1" s="56" t="s">
        <v>17</v>
      </c>
      <c r="Q1" s="56" t="s">
        <v>16</v>
      </c>
      <c r="R1" s="57" t="s">
        <v>15</v>
      </c>
      <c r="T1" s="56" t="s">
        <v>14</v>
      </c>
      <c r="U1" s="110" t="s">
        <v>13</v>
      </c>
      <c r="V1" s="110" t="s">
        <v>12</v>
      </c>
      <c r="W1" s="56" t="s">
        <v>35</v>
      </c>
    </row>
    <row r="2" spans="1:23">
      <c r="A2" s="10">
        <v>1</v>
      </c>
      <c r="B2" s="10">
        <v>1</v>
      </c>
      <c r="C2" s="11">
        <f>A2-B2</f>
        <v>0</v>
      </c>
      <c r="D2" s="115" t="s">
        <v>41</v>
      </c>
      <c r="E2" s="118" t="s">
        <v>7</v>
      </c>
      <c r="J2" s="98" t="str">
        <f>VLOOKUP(E2,Team!Q:R,2,FALSE)</f>
        <v>Y</v>
      </c>
      <c r="K2" s="116">
        <v>84</v>
      </c>
      <c r="R2" s="57">
        <f>IF(ISBLANK(M2),AVERAGE(K2:M2),((SUM(K2:M2)-MIN(K2:M2))*0.1+N2*0.2+O2*0.25+Q2*0.35)/ SUM(IF(ISBLANK(L2),0,0.1) + IF(ISBLANK(M2),0,0.1) + IF(ISBLANK(N2),0,0.2) + IF(ISBLANK(O2),0,0.25) + IF(ISBLANK(Q2),0,0.35)))</f>
        <v>84</v>
      </c>
      <c r="S2" s="57">
        <f>IF(V2&gt;2,(R2/20)*10,0)</f>
        <v>0</v>
      </c>
      <c r="T2" s="56">
        <f>SUMIF(E:E,E2,R:R) + SUMIF(E:E,E2,S:S)</f>
        <v>197</v>
      </c>
      <c r="U2" s="110">
        <v>2</v>
      </c>
      <c r="V2" s="110">
        <v>1</v>
      </c>
      <c r="W2" s="115" t="s">
        <v>37</v>
      </c>
    </row>
    <row r="3" spans="1:23">
      <c r="A3" s="10">
        <v>2</v>
      </c>
      <c r="B3" s="10">
        <v>2</v>
      </c>
      <c r="C3" s="11">
        <f>A3-B3</f>
        <v>0</v>
      </c>
      <c r="D3" s="115" t="s">
        <v>40</v>
      </c>
      <c r="E3" s="118" t="s">
        <v>3</v>
      </c>
      <c r="J3" s="98" t="str">
        <f>VLOOKUP(E3,Team!Q:R,2,FALSE)</f>
        <v>Y</v>
      </c>
      <c r="K3" s="116">
        <v>82.22</v>
      </c>
      <c r="R3" s="57">
        <f>IF(ISBLANK(M3),AVERAGE(K3:M3),((SUM(K3:M3)-MIN(K3:M3))*0.1+N3*0.2+O3*0.25+Q3*0.35)/ SUM(IF(ISBLANK(L3),0,0.1) + IF(ISBLANK(M3),0,0.1) + IF(ISBLANK(N3),0,0.2) + IF(ISBLANK(O3),0,0.25) + IF(ISBLANK(Q3),0,0.35)))</f>
        <v>82.22</v>
      </c>
      <c r="S3" s="57">
        <f>IF(V3&gt;2,(R3/20)*10,0)</f>
        <v>0</v>
      </c>
      <c r="T3" s="56">
        <f>SUMIF(E:E,E3,R:R) + SUMIF(E:E,E3,S:S)</f>
        <v>197.78</v>
      </c>
      <c r="U3" s="110">
        <v>1</v>
      </c>
      <c r="V3" s="110">
        <v>1</v>
      </c>
      <c r="W3" s="115" t="s">
        <v>37</v>
      </c>
    </row>
    <row r="4" spans="1:23">
      <c r="A4" s="10">
        <v>3</v>
      </c>
      <c r="B4" s="10">
        <v>3</v>
      </c>
      <c r="C4" s="11">
        <f>A4-B4</f>
        <v>0</v>
      </c>
      <c r="D4" s="115" t="s">
        <v>66</v>
      </c>
      <c r="E4" s="118" t="s">
        <v>76</v>
      </c>
      <c r="J4" s="98" t="str">
        <f>VLOOKUP(E4,Team!Q:R,2,FALSE)</f>
        <v>Y</v>
      </c>
      <c r="K4" s="116">
        <v>80</v>
      </c>
      <c r="R4" s="57">
        <f>IF(ISBLANK(M4),AVERAGE(K4:M4),((SUM(K4:M4)-MIN(K4:M4))*0.1+N4*0.2+O4*0.25+Q4*0.35)/ SUM(IF(ISBLANK(L4),0,0.1) + IF(ISBLANK(M4),0,0.1) + IF(ISBLANK(N4),0,0.2) + IF(ISBLANK(O4),0,0.25) + IF(ISBLANK(Q4),0,0.35)))</f>
        <v>80</v>
      </c>
      <c r="S4" s="57">
        <f>IF(V4&gt;2,(R4/20)*10,0)</f>
        <v>0</v>
      </c>
      <c r="T4" s="56">
        <f>SUMIF(E:E,E4,R:R) + SUMIF(E:E,E4,S:S)</f>
        <v>155</v>
      </c>
      <c r="U4" s="110">
        <v>4</v>
      </c>
      <c r="V4" s="110">
        <v>1</v>
      </c>
      <c r="W4" s="115" t="s">
        <v>37</v>
      </c>
    </row>
    <row r="5" spans="1:23">
      <c r="A5" s="10">
        <v>4</v>
      </c>
      <c r="B5" s="10">
        <v>4</v>
      </c>
      <c r="C5" s="11">
        <f>A5-B5</f>
        <v>0</v>
      </c>
      <c r="D5" s="115" t="s">
        <v>75</v>
      </c>
      <c r="E5" s="118" t="s">
        <v>76</v>
      </c>
      <c r="J5" s="98" t="str">
        <f>VLOOKUP(E5,Team!Q:R,2,FALSE)</f>
        <v>Y</v>
      </c>
      <c r="K5" s="116">
        <v>75</v>
      </c>
      <c r="R5" s="57">
        <f>IF(ISBLANK(M5),AVERAGE(K5:M5),((SUM(K5:M5)-MIN(K5:M5))*0.1+N5*0.2+O5*0.25+Q5*0.35)/ SUM(IF(ISBLANK(L5),0,0.1) + IF(ISBLANK(M5),0,0.1) + IF(ISBLANK(N5),0,0.2) + IF(ISBLANK(O5),0,0.25) + IF(ISBLANK(Q5),0,0.35)))</f>
        <v>75</v>
      </c>
      <c r="S5" s="57">
        <f>IF(V5&gt;2,(R5/20)*10,0)</f>
        <v>0</v>
      </c>
      <c r="T5" s="56">
        <f>SUMIF(E:E,E5,R:R) + SUMIF(E:E,E5,S:S)</f>
        <v>155</v>
      </c>
      <c r="U5" s="110">
        <v>4</v>
      </c>
      <c r="V5" s="110">
        <v>2</v>
      </c>
      <c r="W5" s="115" t="s">
        <v>37</v>
      </c>
    </row>
    <row r="6" spans="1:23">
      <c r="A6" s="10">
        <v>5</v>
      </c>
      <c r="B6" s="10">
        <v>5</v>
      </c>
      <c r="C6" s="11">
        <f>A6-B6</f>
        <v>0</v>
      </c>
      <c r="D6" s="115" t="s">
        <v>96</v>
      </c>
      <c r="E6" s="118" t="s">
        <v>2</v>
      </c>
      <c r="J6" s="98" t="str">
        <f>VLOOKUP(E6,Team!Q:R,2,FALSE)</f>
        <v>Y</v>
      </c>
      <c r="K6" s="116">
        <v>71.11</v>
      </c>
      <c r="R6" s="57">
        <f>IF(ISBLANK(M6),AVERAGE(K6:M6),((SUM(K6:M6)-MIN(K6:M6))*0.1+N6*0.2+O6*0.25+Q6*0.35)/ SUM(IF(ISBLANK(L6),0,0.1) + IF(ISBLANK(M6),0,0.1) + IF(ISBLANK(N6),0,0.2) + IF(ISBLANK(O6),0,0.25) + IF(ISBLANK(Q6),0,0.35)))</f>
        <v>71.11</v>
      </c>
      <c r="S6" s="57">
        <f>IF(V6&gt;2,(R6/20)*10,0)</f>
        <v>0</v>
      </c>
      <c r="T6" s="56">
        <f>SUMIF(E:E,E6,R:R) + SUMIF(E:E,E6,S:S)</f>
        <v>176.66000000000003</v>
      </c>
      <c r="U6" s="110">
        <v>3</v>
      </c>
      <c r="V6" s="110">
        <v>1</v>
      </c>
      <c r="W6" s="115" t="s">
        <v>37</v>
      </c>
    </row>
    <row r="7" spans="1:23">
      <c r="A7" s="10">
        <v>6</v>
      </c>
      <c r="B7" s="10">
        <v>6</v>
      </c>
      <c r="C7" s="11">
        <f>A7-B7</f>
        <v>0</v>
      </c>
      <c r="D7" s="115" t="s">
        <v>83</v>
      </c>
      <c r="E7" s="118" t="s">
        <v>0</v>
      </c>
      <c r="J7" s="98" t="str">
        <f>VLOOKUP(E7,Team!Q:R,2,FALSE)</f>
        <v>Y</v>
      </c>
      <c r="K7" s="116">
        <v>68.75</v>
      </c>
      <c r="R7" s="57">
        <f>IF(ISBLANK(M7),AVERAGE(K7:M7),((SUM(K7:M7)-MIN(K7:M7))*0.1+N7*0.2+O7*0.25+Q7*0.35)/ SUM(IF(ISBLANK(L7),0,0.1) + IF(ISBLANK(M7),0,0.1) + IF(ISBLANK(N7),0,0.2) + IF(ISBLANK(O7),0,0.25) + IF(ISBLANK(Q7),0,0.35)))</f>
        <v>68.75</v>
      </c>
      <c r="S7" s="57">
        <f>IF(V7&gt;2,(R7/20)*10,0)</f>
        <v>0</v>
      </c>
      <c r="T7" s="56">
        <f>SUMIF(E:E,E7,R:R) + SUMIF(E:E,E7,S:S)</f>
        <v>90</v>
      </c>
      <c r="U7" s="110">
        <v>8</v>
      </c>
      <c r="V7" s="110">
        <v>1</v>
      </c>
      <c r="W7" s="115" t="s">
        <v>37</v>
      </c>
    </row>
    <row r="8" spans="1:23">
      <c r="A8" s="10">
        <v>7</v>
      </c>
      <c r="B8" s="10">
        <v>7</v>
      </c>
      <c r="C8" s="11">
        <f>A8-B8</f>
        <v>0</v>
      </c>
      <c r="D8" s="115" t="s">
        <v>134</v>
      </c>
      <c r="E8" s="118" t="s">
        <v>6</v>
      </c>
      <c r="J8" s="98" t="str">
        <f>VLOOKUP(E8,Team!Q:R,2,FALSE)</f>
        <v>Y</v>
      </c>
      <c r="K8" s="116">
        <v>67.5</v>
      </c>
      <c r="R8" s="57">
        <f>IF(ISBLANK(M8),AVERAGE(K8:M8),((SUM(K8:M8)-MIN(K8:M8))*0.1+N8*0.2+O8*0.25+Q8*0.35)/ SUM(IF(ISBLANK(L8),0,0.1) + IF(ISBLANK(M8),0,0.1) + IF(ISBLANK(N8),0,0.2) + IF(ISBLANK(O8),0,0.25) + IF(ISBLANK(Q8),0,0.35)))</f>
        <v>67.5</v>
      </c>
      <c r="S8" s="57">
        <f>IF(V8&gt;2,(R8/20)*10,0)</f>
        <v>0</v>
      </c>
      <c r="T8" s="56">
        <f>SUMIF(E:E,E8,R:R) + SUMIF(E:E,E8,S:S)</f>
        <v>70</v>
      </c>
      <c r="U8" s="110">
        <v>13</v>
      </c>
      <c r="V8" s="110">
        <v>1</v>
      </c>
      <c r="W8" s="115" t="s">
        <v>37</v>
      </c>
    </row>
    <row r="9" spans="1:23">
      <c r="A9" s="10">
        <v>8</v>
      </c>
      <c r="B9" s="10">
        <v>8</v>
      </c>
      <c r="C9" s="11">
        <f>A9-B9</f>
        <v>0</v>
      </c>
      <c r="D9" s="115" t="s">
        <v>74</v>
      </c>
      <c r="E9" s="118" t="s">
        <v>4</v>
      </c>
      <c r="J9" s="98" t="str">
        <f>VLOOKUP(E9,Team!Q:R,2,FALSE)</f>
        <v>Y</v>
      </c>
      <c r="K9" s="116">
        <v>64.67</v>
      </c>
      <c r="R9" s="57">
        <f>IF(ISBLANK(M9),AVERAGE(K9:M9),((SUM(K9:M9)-MIN(K9:M9))*0.1+N9*0.2+O9*0.25+Q9*0.35)/ SUM(IF(ISBLANK(L9),0,0.1) + IF(ISBLANK(M9),0,0.1) + IF(ISBLANK(N9),0,0.2) + IF(ISBLANK(O9),0,0.25) + IF(ISBLANK(Q9),0,0.35)))</f>
        <v>64.67</v>
      </c>
      <c r="S9" s="57">
        <f>IF(V9&gt;2,(R9/20)*10,0)</f>
        <v>0</v>
      </c>
      <c r="T9" s="56">
        <f>SUMIF(E:E,E9,R:R) + SUMIF(E:E,E9,S:S)</f>
        <v>70.910000000000011</v>
      </c>
      <c r="U9" s="110">
        <v>12</v>
      </c>
      <c r="V9" s="110">
        <v>1</v>
      </c>
      <c r="W9" s="115" t="s">
        <v>37</v>
      </c>
    </row>
    <row r="10" spans="1:23">
      <c r="A10" s="10">
        <v>9</v>
      </c>
      <c r="B10" s="10">
        <v>9</v>
      </c>
      <c r="C10" s="11">
        <f>A10-B10</f>
        <v>0</v>
      </c>
      <c r="D10" s="115" t="s">
        <v>81</v>
      </c>
      <c r="E10" s="118" t="s">
        <v>87</v>
      </c>
      <c r="J10" s="98" t="str">
        <f>VLOOKUP(E10,Team!Q:R,2,FALSE)</f>
        <v>Y</v>
      </c>
      <c r="K10" s="116">
        <v>61.11</v>
      </c>
      <c r="R10" s="57">
        <f>IF(ISBLANK(M10),AVERAGE(K10:M10),((SUM(K10:M10)-MIN(K10:M10))*0.1+N10*0.2+O10*0.25+Q10*0.35)/ SUM(IF(ISBLANK(L10),0,0.1) + IF(ISBLANK(M10),0,0.1) + IF(ISBLANK(N10),0,0.2) + IF(ISBLANK(O10),0,0.25) + IF(ISBLANK(Q10),0,0.35)))</f>
        <v>61.11</v>
      </c>
      <c r="S10" s="57">
        <f>IF(V10&gt;2,(R10/20)*10,0)</f>
        <v>0</v>
      </c>
      <c r="T10" s="56">
        <f>SUMIF(E:E,E10,R:R) + SUMIF(E:E,E10,S:S)</f>
        <v>113.33</v>
      </c>
      <c r="U10" s="110">
        <v>7</v>
      </c>
      <c r="V10" s="110">
        <v>1</v>
      </c>
      <c r="W10" s="115" t="s">
        <v>37</v>
      </c>
    </row>
    <row r="11" spans="1:23">
      <c r="A11" s="10">
        <v>10</v>
      </c>
      <c r="B11" s="10">
        <v>10</v>
      </c>
      <c r="C11" s="11">
        <f>A11-B11</f>
        <v>0</v>
      </c>
      <c r="D11" s="115" t="s">
        <v>62</v>
      </c>
      <c r="E11" s="118" t="s">
        <v>31</v>
      </c>
      <c r="J11" s="98" t="str">
        <f>VLOOKUP(E11,Team!Q:R,2,FALSE)</f>
        <v>Y</v>
      </c>
      <c r="K11" s="116">
        <v>58</v>
      </c>
      <c r="R11" s="57">
        <f>IF(ISBLANK(M11),AVERAGE(K11:M11),((SUM(K11:M11)-MIN(K11:M11))*0.1+N11*0.2+O11*0.25+Q11*0.35)/ SUM(IF(ISBLANK(L11),0,0.1) + IF(ISBLANK(M11),0,0.1) + IF(ISBLANK(N11),0,0.2) + IF(ISBLANK(O11),0,0.25) + IF(ISBLANK(Q11),0,0.35)))</f>
        <v>58</v>
      </c>
      <c r="S11" s="57">
        <f>IF(V11&gt;2,(R11/20)*10,0)</f>
        <v>0</v>
      </c>
      <c r="T11" s="56">
        <f>SUMIF(E:E,E11,R:R) + SUMIF(E:E,E11,S:S)</f>
        <v>131</v>
      </c>
      <c r="U11" s="110">
        <v>6</v>
      </c>
      <c r="V11" s="110">
        <v>1</v>
      </c>
      <c r="W11" s="115" t="s">
        <v>37</v>
      </c>
    </row>
    <row r="12" spans="1:23">
      <c r="A12" s="10">
        <v>11</v>
      </c>
      <c r="B12" s="10">
        <v>11</v>
      </c>
      <c r="C12" s="11">
        <f>A12-B12</f>
        <v>0</v>
      </c>
      <c r="D12" s="115" t="s">
        <v>72</v>
      </c>
      <c r="E12" s="118" t="s">
        <v>7</v>
      </c>
      <c r="J12" s="98" t="str">
        <f>VLOOKUP(E12,Team!Q:R,2,FALSE)</f>
        <v>Y</v>
      </c>
      <c r="K12" s="116">
        <v>56</v>
      </c>
      <c r="R12" s="57">
        <f>IF(ISBLANK(M12),AVERAGE(K12:M12),((SUM(K12:M12)-MIN(K12:M12))*0.1+N12*0.2+O12*0.25+Q12*0.35)/ SUM(IF(ISBLANK(L12),0,0.1) + IF(ISBLANK(M12),0,0.1) + IF(ISBLANK(N12),0,0.2) + IF(ISBLANK(O12),0,0.25) + IF(ISBLANK(Q12),0,0.35)))</f>
        <v>56</v>
      </c>
      <c r="S12" s="57">
        <f>IF(V12&gt;2,(R12/20)*10,0)</f>
        <v>0</v>
      </c>
      <c r="T12" s="56">
        <f>SUMIF(E:E,E12,R:R) + SUMIF(E:E,E12,S:S)</f>
        <v>197</v>
      </c>
      <c r="U12" s="110">
        <v>2</v>
      </c>
      <c r="V12" s="110">
        <v>2</v>
      </c>
      <c r="W12" s="115" t="s">
        <v>37</v>
      </c>
    </row>
    <row r="13" spans="1:23">
      <c r="A13" s="10">
        <v>12</v>
      </c>
      <c r="B13" s="10">
        <v>12</v>
      </c>
      <c r="C13" s="11">
        <f>A13-B13</f>
        <v>0</v>
      </c>
      <c r="D13" s="115" t="s">
        <v>103</v>
      </c>
      <c r="E13" s="118" t="s">
        <v>1</v>
      </c>
      <c r="J13" s="98" t="str">
        <f>VLOOKUP(E13,Team!Q:R,2,FALSE)</f>
        <v>Y</v>
      </c>
      <c r="K13" s="116">
        <v>56</v>
      </c>
      <c r="R13" s="57">
        <f>IF(ISBLANK(M13),AVERAGE(K13:M13),((SUM(K13:M13)-MIN(K13:M13))*0.1+N13*0.2+O13*0.25+Q13*0.35)/ SUM(IF(ISBLANK(L13),0,0.1) + IF(ISBLANK(M13),0,0.1) + IF(ISBLANK(N13),0,0.2) + IF(ISBLANK(O13),0,0.25) + IF(ISBLANK(Q13),0,0.35)))</f>
        <v>56</v>
      </c>
      <c r="S13" s="57">
        <f>IF(V13&gt;2,(R13/20)*10,0)</f>
        <v>0</v>
      </c>
      <c r="T13" s="56">
        <f>SUMIF(E:E,E13,R:R) + SUMIF(E:E,E13,S:S)</f>
        <v>137</v>
      </c>
      <c r="U13" s="110">
        <v>5</v>
      </c>
      <c r="V13" s="110">
        <v>1</v>
      </c>
      <c r="W13" s="115" t="s">
        <v>37</v>
      </c>
    </row>
    <row r="14" spans="1:23">
      <c r="A14" s="10">
        <v>13</v>
      </c>
      <c r="B14" s="10">
        <v>13</v>
      </c>
      <c r="C14" s="11">
        <f>A14-B14</f>
        <v>0</v>
      </c>
      <c r="D14" s="115" t="s">
        <v>71</v>
      </c>
      <c r="E14" s="118" t="s">
        <v>3</v>
      </c>
      <c r="J14" s="98" t="str">
        <f>VLOOKUP(E14,Team!Q:R,2,FALSE)</f>
        <v>Y</v>
      </c>
      <c r="K14" s="116">
        <v>55.56</v>
      </c>
      <c r="R14" s="57">
        <f>IF(ISBLANK(M14),AVERAGE(K14:M14),((SUM(K14:M14)-MIN(K14:M14))*0.1+N14*0.2+O14*0.25+Q14*0.35)/ SUM(IF(ISBLANK(L14),0,0.1) + IF(ISBLANK(M14),0,0.1) + IF(ISBLANK(N14),0,0.2) + IF(ISBLANK(O14),0,0.25) + IF(ISBLANK(Q14),0,0.35)))</f>
        <v>55.56</v>
      </c>
      <c r="S14" s="57">
        <f>IF(V14&gt;2,(R14/20)*10,0)</f>
        <v>0</v>
      </c>
      <c r="T14" s="56">
        <f>SUMIF(E:E,E14,R:R) + SUMIF(E:E,E14,S:S)</f>
        <v>197.78</v>
      </c>
      <c r="U14" s="110">
        <v>1</v>
      </c>
      <c r="V14" s="110">
        <v>2</v>
      </c>
      <c r="W14" s="115" t="s">
        <v>37</v>
      </c>
    </row>
    <row r="15" spans="1:23">
      <c r="A15" s="10">
        <v>14</v>
      </c>
      <c r="B15" s="10">
        <v>14</v>
      </c>
      <c r="C15" s="11">
        <f>A15-B15</f>
        <v>0</v>
      </c>
      <c r="D15" s="115" t="s">
        <v>80</v>
      </c>
      <c r="E15" s="118" t="s">
        <v>87</v>
      </c>
      <c r="J15" s="98" t="str">
        <f>VLOOKUP(E15,Team!Q:R,2,FALSE)</f>
        <v>Y</v>
      </c>
      <c r="K15" s="116">
        <v>52.22</v>
      </c>
      <c r="R15" s="57">
        <f>IF(ISBLANK(M15),AVERAGE(K15:M15),((SUM(K15:M15)-MIN(K15:M15))*0.1+N15*0.2+O15*0.25+Q15*0.35)/ SUM(IF(ISBLANK(L15),0,0.1) + IF(ISBLANK(M15),0,0.1) + IF(ISBLANK(N15),0,0.2) + IF(ISBLANK(O15),0,0.25) + IF(ISBLANK(Q15),0,0.35)))</f>
        <v>52.22</v>
      </c>
      <c r="S15" s="57">
        <f>IF(V15&gt;2,(R15/20)*10,0)</f>
        <v>0</v>
      </c>
      <c r="T15" s="56">
        <f>SUMIF(E:E,E15,R:R) + SUMIF(E:E,E15,S:S)</f>
        <v>113.33</v>
      </c>
      <c r="U15" s="110">
        <v>7</v>
      </c>
      <c r="V15" s="110">
        <v>2</v>
      </c>
      <c r="W15" s="115" t="s">
        <v>37</v>
      </c>
    </row>
    <row r="16" spans="1:23">
      <c r="A16" s="10">
        <v>15</v>
      </c>
      <c r="B16" s="10">
        <v>15</v>
      </c>
      <c r="C16" s="11">
        <f>A16-B16</f>
        <v>0</v>
      </c>
      <c r="D16" s="115" t="s">
        <v>42</v>
      </c>
      <c r="E16" s="118" t="s">
        <v>56</v>
      </c>
      <c r="J16" s="98" t="str">
        <f>VLOOKUP(E16,Team!Q:R,2,FALSE)</f>
        <v>Y</v>
      </c>
      <c r="K16" s="116">
        <v>47.33</v>
      </c>
      <c r="R16" s="57">
        <f>IF(ISBLANK(M16),AVERAGE(K16:M16),((SUM(K16:M16)-MIN(K16:M16))*0.1+N16*0.2+O16*0.25+Q16*0.35)/ SUM(IF(ISBLANK(L16),0,0.1) + IF(ISBLANK(M16),0,0.1) + IF(ISBLANK(N16),0,0.2) + IF(ISBLANK(O16),0,0.25) + IF(ISBLANK(Q16),0,0.35)))</f>
        <v>47.33</v>
      </c>
      <c r="S16" s="57">
        <f>IF(V16&gt;2,(R16/20)*10,0)</f>
        <v>0</v>
      </c>
      <c r="T16" s="56">
        <f>SUMIF(E:E,E16,R:R) + SUMIF(E:E,E16,S:S)</f>
        <v>82.1</v>
      </c>
      <c r="U16" s="110">
        <v>9</v>
      </c>
      <c r="V16" s="110">
        <v>1</v>
      </c>
      <c r="W16" s="115" t="s">
        <v>37</v>
      </c>
    </row>
    <row r="17" spans="1:23">
      <c r="A17" s="10">
        <v>16</v>
      </c>
      <c r="B17" s="10">
        <v>16</v>
      </c>
      <c r="C17" s="11">
        <f>A17-B17</f>
        <v>0</v>
      </c>
      <c r="D17" s="115" t="s">
        <v>102</v>
      </c>
      <c r="E17" s="118" t="s">
        <v>31</v>
      </c>
      <c r="J17" s="98" t="str">
        <f>VLOOKUP(E17,Team!Q:R,2,FALSE)</f>
        <v>Y</v>
      </c>
      <c r="K17" s="116">
        <v>43</v>
      </c>
      <c r="R17" s="57">
        <f>IF(ISBLANK(M17),AVERAGE(K17:M17),((SUM(K17:M17)-MIN(K17:M17))*0.1+N17*0.2+O17*0.25+Q17*0.35)/ SUM(IF(ISBLANK(L17),0,0.1) + IF(ISBLANK(M17),0,0.1) + IF(ISBLANK(N17),0,0.2) + IF(ISBLANK(O17),0,0.25) + IF(ISBLANK(Q17),0,0.35)))</f>
        <v>43</v>
      </c>
      <c r="S17" s="57">
        <f>IF(V17&gt;2,(R17/20)*10,0)</f>
        <v>0</v>
      </c>
      <c r="T17" s="56">
        <f>SUMIF(E:E,E17,R:R) + SUMIF(E:E,E17,S:S)</f>
        <v>131</v>
      </c>
      <c r="U17" s="110">
        <v>6</v>
      </c>
      <c r="V17" s="110">
        <v>2</v>
      </c>
      <c r="W17" s="115" t="s">
        <v>37</v>
      </c>
    </row>
    <row r="18" spans="1:23">
      <c r="A18" s="10">
        <v>17</v>
      </c>
      <c r="B18" s="10">
        <v>17</v>
      </c>
      <c r="C18" s="11">
        <f>A18-B18</f>
        <v>0</v>
      </c>
      <c r="D18" s="115" t="s">
        <v>174</v>
      </c>
      <c r="E18" s="118" t="s">
        <v>2</v>
      </c>
      <c r="J18" s="98" t="str">
        <f>VLOOKUP(E18,Team!Q:R,2,FALSE)</f>
        <v>Y</v>
      </c>
      <c r="K18" s="116">
        <v>42.22</v>
      </c>
      <c r="R18" s="57">
        <f>IF(ISBLANK(M18),AVERAGE(K18:M18),((SUM(K18:M18)-MIN(K18:M18))*0.1+N18*0.2+O18*0.25+Q18*0.35)/ SUM(IF(ISBLANK(L18),0,0.1) + IF(ISBLANK(M18),0,0.1) + IF(ISBLANK(N18),0,0.2) + IF(ISBLANK(O18),0,0.25) + IF(ISBLANK(Q18),0,0.35)))</f>
        <v>42.22</v>
      </c>
      <c r="S18" s="57">
        <f>IF(V18&gt;2,(R18/20)*10,0)</f>
        <v>0</v>
      </c>
      <c r="T18" s="56">
        <f>SUMIF(E:E,E18,R:R) + SUMIF(E:E,E18,S:S)</f>
        <v>176.66000000000003</v>
      </c>
      <c r="U18" s="110">
        <v>3</v>
      </c>
      <c r="V18" s="110">
        <v>2</v>
      </c>
      <c r="W18" s="115" t="s">
        <v>109</v>
      </c>
    </row>
    <row r="19" spans="1:23">
      <c r="A19" s="10">
        <v>18</v>
      </c>
      <c r="B19" s="10">
        <v>18</v>
      </c>
      <c r="C19" s="11">
        <f>A19-B19</f>
        <v>0</v>
      </c>
      <c r="D19" s="115" t="s">
        <v>104</v>
      </c>
      <c r="E19" s="118" t="s">
        <v>70</v>
      </c>
      <c r="J19" s="98" t="str">
        <f>VLOOKUP(E19,Team!Q:R,2,FALSE)</f>
        <v>Y</v>
      </c>
      <c r="K19" s="116">
        <v>42.11</v>
      </c>
      <c r="R19" s="57">
        <f>IF(ISBLANK(M19),AVERAGE(K19:M19),((SUM(K19:M19)-MIN(K19:M19))*0.1+N19*0.2+O19*0.25+Q19*0.35)/ SUM(IF(ISBLANK(L19),0,0.1) + IF(ISBLANK(M19),0,0.1) + IF(ISBLANK(N19),0,0.2) + IF(ISBLANK(O19),0,0.25) + IF(ISBLANK(Q19),0,0.35)))</f>
        <v>42.11</v>
      </c>
      <c r="S19" s="57">
        <f>IF(V19&gt;2,(R19/20)*10,0)</f>
        <v>0</v>
      </c>
      <c r="T19" s="56">
        <f>SUMIF(E:E,E19,R:R) + SUMIF(E:E,E19,S:S)</f>
        <v>60.45</v>
      </c>
      <c r="U19" s="110">
        <v>14</v>
      </c>
      <c r="V19" s="110">
        <v>1</v>
      </c>
      <c r="W19" s="115" t="s">
        <v>37</v>
      </c>
    </row>
    <row r="20" spans="1:23">
      <c r="A20" s="10">
        <v>19</v>
      </c>
      <c r="B20" s="10">
        <v>19</v>
      </c>
      <c r="C20" s="11">
        <f>A20-B20</f>
        <v>0</v>
      </c>
      <c r="D20" s="115" t="s">
        <v>175</v>
      </c>
      <c r="E20" s="118" t="s">
        <v>39</v>
      </c>
      <c r="J20" s="98" t="str">
        <f>VLOOKUP(E20,Team!Q:R,2,FALSE)</f>
        <v>N</v>
      </c>
      <c r="K20" s="116">
        <v>41.67</v>
      </c>
      <c r="R20" s="57">
        <f>IF(ISBLANK(M20),AVERAGE(K20:M20),((SUM(K20:M20)-MIN(K20:M20))*0.1+N20*0.2+O20*0.25+Q20*0.35)/ SUM(IF(ISBLANK(L20),0,0.1) + IF(ISBLANK(M20),0,0.1) + IF(ISBLANK(N20),0,0.2) + IF(ISBLANK(O20),0,0.25) + IF(ISBLANK(Q20),0,0.35)))</f>
        <v>41.67</v>
      </c>
      <c r="S20" s="57">
        <f>IF(V20&gt;2,(R20/20)*10,0)</f>
        <v>0</v>
      </c>
      <c r="T20" s="56">
        <f>SUMIF(E:E,E20,R:R) + SUMIF(E:E,E20,S:S)</f>
        <v>43.774999999999999</v>
      </c>
      <c r="U20" s="110">
        <v>15</v>
      </c>
      <c r="V20" s="110">
        <v>1</v>
      </c>
      <c r="W20" s="115" t="s">
        <v>37</v>
      </c>
    </row>
    <row r="21" spans="1:23">
      <c r="A21" s="10">
        <v>20</v>
      </c>
      <c r="B21" s="10">
        <v>20</v>
      </c>
      <c r="C21" s="11">
        <f>A21-B21</f>
        <v>0</v>
      </c>
      <c r="D21" s="115" t="s">
        <v>176</v>
      </c>
      <c r="E21" s="118" t="s">
        <v>5</v>
      </c>
      <c r="J21" s="98" t="str">
        <f>VLOOKUP(E21,Team!Q:R,2,FALSE)</f>
        <v>Y</v>
      </c>
      <c r="K21" s="116">
        <v>41.11</v>
      </c>
      <c r="R21" s="57">
        <f>IF(ISBLANK(M21),AVERAGE(K21:M21),((SUM(K21:M21)-MIN(K21:M21))*0.1+N21*0.2+O21*0.25+Q21*0.35)/ SUM(IF(ISBLANK(L21),0,0.1) + IF(ISBLANK(M21),0,0.1) + IF(ISBLANK(N21),0,0.2) + IF(ISBLANK(O21),0,0.25) + IF(ISBLANK(Q21),0,0.35)))</f>
        <v>41.11</v>
      </c>
      <c r="S21" s="57">
        <f>IF(V21&gt;2,(R21/20)*10,0)</f>
        <v>0</v>
      </c>
      <c r="T21" s="56">
        <f>SUMIF(E:E,E21,R:R) + SUMIF(E:E,E21,S:S)</f>
        <v>73.22</v>
      </c>
      <c r="U21" s="110">
        <v>11</v>
      </c>
      <c r="V21" s="110">
        <v>1</v>
      </c>
      <c r="W21" s="115" t="s">
        <v>109</v>
      </c>
    </row>
    <row r="22" spans="1:23">
      <c r="A22" s="10">
        <v>21</v>
      </c>
      <c r="B22" s="10">
        <v>21</v>
      </c>
      <c r="C22" s="11">
        <f>A22-B22</f>
        <v>0</v>
      </c>
      <c r="D22" s="115" t="s">
        <v>64</v>
      </c>
      <c r="E22" s="118" t="s">
        <v>3</v>
      </c>
      <c r="J22" s="98" t="str">
        <f>VLOOKUP(E22,Team!Q:R,2,FALSE)</f>
        <v>Y</v>
      </c>
      <c r="K22" s="116">
        <v>40</v>
      </c>
      <c r="R22" s="57">
        <f>IF(ISBLANK(M22),AVERAGE(K22:M22),((SUM(K22:M22)-MIN(K22:M22))*0.1+N22*0.2+O22*0.25+Q22*0.35)/ SUM(IF(ISBLANK(L22),0,0.1) + IF(ISBLANK(M22),0,0.1) + IF(ISBLANK(N22),0,0.2) + IF(ISBLANK(O22),0,0.25) + IF(ISBLANK(Q22),0,0.35)))</f>
        <v>40</v>
      </c>
      <c r="S22" s="57">
        <f>IF(V22&gt;2,(R22/20)*10,0)</f>
        <v>20</v>
      </c>
      <c r="T22" s="56">
        <f>SUMIF(E:E,E22,R:R) + SUMIF(E:E,E22,S:S)</f>
        <v>197.78</v>
      </c>
      <c r="U22" s="110">
        <v>1</v>
      </c>
      <c r="V22" s="110">
        <v>3</v>
      </c>
      <c r="W22" s="115" t="s">
        <v>37</v>
      </c>
    </row>
    <row r="23" spans="1:23">
      <c r="A23" s="10">
        <v>22</v>
      </c>
      <c r="B23" s="10">
        <v>22</v>
      </c>
      <c r="C23" s="11">
        <f>A23-B23</f>
        <v>0</v>
      </c>
      <c r="D23" s="115" t="s">
        <v>54</v>
      </c>
      <c r="E23" s="118" t="s">
        <v>1</v>
      </c>
      <c r="J23" s="98" t="str">
        <f>VLOOKUP(E23,Team!Q:R,2,FALSE)</f>
        <v>Y</v>
      </c>
      <c r="K23" s="116">
        <v>33</v>
      </c>
      <c r="R23" s="57">
        <f>IF(ISBLANK(M23),AVERAGE(K23:M23),((SUM(K23:M23)-MIN(K23:M23))*0.1+N23*0.2+O23*0.25+Q23*0.35)/ SUM(IF(ISBLANK(L23),0,0.1) + IF(ISBLANK(M23),0,0.1) + IF(ISBLANK(N23),0,0.2) + IF(ISBLANK(O23),0,0.25) + IF(ISBLANK(Q23),0,0.35)))</f>
        <v>33</v>
      </c>
      <c r="S23" s="57">
        <f>IF(V23&gt;2,(R23/20)*10,0)</f>
        <v>0</v>
      </c>
      <c r="T23" s="56">
        <f>SUMIF(E:E,E23,R:R) + SUMIF(E:E,E23,S:S)</f>
        <v>137</v>
      </c>
      <c r="U23" s="110">
        <v>5</v>
      </c>
      <c r="V23" s="110">
        <v>2</v>
      </c>
      <c r="W23" s="115" t="s">
        <v>37</v>
      </c>
    </row>
    <row r="24" spans="1:23">
      <c r="A24" s="10">
        <v>23</v>
      </c>
      <c r="B24" s="10">
        <v>23</v>
      </c>
      <c r="C24" s="11">
        <f>A24-B24</f>
        <v>0</v>
      </c>
      <c r="D24" s="115" t="s">
        <v>82</v>
      </c>
      <c r="E24" s="118" t="s">
        <v>5</v>
      </c>
      <c r="J24" s="98" t="str">
        <f>VLOOKUP(E24,Team!Q:R,2,FALSE)</f>
        <v>Y</v>
      </c>
      <c r="K24" s="116">
        <v>32.11</v>
      </c>
      <c r="R24" s="57">
        <f>IF(ISBLANK(M24),AVERAGE(K24:M24),((SUM(K24:M24)-MIN(K24:M24))*0.1+N24*0.2+O24*0.25+Q24*0.35)/ SUM(IF(ISBLANK(L24),0,0.1) + IF(ISBLANK(M24),0,0.1) + IF(ISBLANK(N24),0,0.2) + IF(ISBLANK(O24),0,0.25) + IF(ISBLANK(Q24),0,0.35)))</f>
        <v>32.11</v>
      </c>
      <c r="S24" s="57">
        <f>IF(V24&gt;2,(R24/20)*10,0)</f>
        <v>0</v>
      </c>
      <c r="T24" s="56">
        <f>SUMIF(E:E,E24,R:R) + SUMIF(E:E,E24,S:S)</f>
        <v>73.22</v>
      </c>
      <c r="U24" s="110">
        <v>11</v>
      </c>
      <c r="V24" s="110">
        <v>2</v>
      </c>
      <c r="W24" s="115" t="s">
        <v>37</v>
      </c>
    </row>
    <row r="25" spans="1:23">
      <c r="A25" s="10">
        <v>24</v>
      </c>
      <c r="B25" s="10">
        <v>24</v>
      </c>
      <c r="C25" s="11">
        <f>A25-B25</f>
        <v>0</v>
      </c>
      <c r="D25" s="115" t="s">
        <v>89</v>
      </c>
      <c r="E25" s="118" t="s">
        <v>1</v>
      </c>
      <c r="J25" s="98" t="str">
        <f>VLOOKUP(E25,Team!Q:R,2,FALSE)</f>
        <v>Y</v>
      </c>
      <c r="K25" s="116">
        <v>32</v>
      </c>
      <c r="R25" s="57">
        <f>IF(ISBLANK(M25),AVERAGE(K25:M25),((SUM(K25:M25)-MIN(K25:M25))*0.1+N25*0.2+O25*0.25+Q25*0.35)/ SUM(IF(ISBLANK(L25),0,0.1) + IF(ISBLANK(M25),0,0.1) + IF(ISBLANK(N25),0,0.2) + IF(ISBLANK(O25),0,0.25) + IF(ISBLANK(Q25),0,0.35)))</f>
        <v>32</v>
      </c>
      <c r="S25" s="57">
        <f>IF(V25&gt;2,(R25/20)*10,0)</f>
        <v>16</v>
      </c>
      <c r="T25" s="56">
        <f>SUMIF(E:E,E25,R:R) + SUMIF(E:E,E25,S:S)</f>
        <v>137</v>
      </c>
      <c r="U25" s="110">
        <v>5</v>
      </c>
      <c r="V25" s="110">
        <v>3</v>
      </c>
      <c r="W25" s="115" t="s">
        <v>37</v>
      </c>
    </row>
    <row r="26" spans="1:23">
      <c r="A26" s="10">
        <v>25</v>
      </c>
      <c r="B26" s="10">
        <v>25</v>
      </c>
      <c r="C26" s="11">
        <f>A26-B26</f>
        <v>0</v>
      </c>
      <c r="D26" s="115" t="s">
        <v>36</v>
      </c>
      <c r="E26" s="118" t="s">
        <v>2</v>
      </c>
      <c r="J26" s="98" t="str">
        <f>VLOOKUP(E26,Team!Q:R,2,FALSE)</f>
        <v>Y</v>
      </c>
      <c r="K26" s="116">
        <v>31.11</v>
      </c>
      <c r="R26" s="57">
        <f>IF(ISBLANK(M26),AVERAGE(K26:M26),((SUM(K26:M26)-MIN(K26:M26))*0.1+N26*0.2+O26*0.25+Q26*0.35)/ SUM(IF(ISBLANK(L26),0,0.1) + IF(ISBLANK(M26),0,0.1) + IF(ISBLANK(N26),0,0.2) + IF(ISBLANK(O26),0,0.25) + IF(ISBLANK(Q26),0,0.35)))</f>
        <v>31.11</v>
      </c>
      <c r="S26" s="57">
        <f>IF(V26&gt;2,(R26/20)*10,0)</f>
        <v>15.555</v>
      </c>
      <c r="T26" s="56">
        <f>SUMIF(E:E,E26,R:R) + SUMIF(E:E,E26,S:S)</f>
        <v>176.66000000000003</v>
      </c>
      <c r="U26" s="110">
        <v>3</v>
      </c>
      <c r="V26" s="110">
        <v>3</v>
      </c>
      <c r="W26" s="115" t="s">
        <v>37</v>
      </c>
    </row>
    <row r="27" spans="1:23">
      <c r="A27" s="10">
        <v>26</v>
      </c>
      <c r="B27" s="10">
        <v>26</v>
      </c>
      <c r="C27" s="11">
        <f>A27-B27</f>
        <v>0</v>
      </c>
      <c r="D27" s="115" t="s">
        <v>97</v>
      </c>
      <c r="E27" s="118" t="s">
        <v>193</v>
      </c>
      <c r="J27" s="98" t="str">
        <f>VLOOKUP(E27,Team!Q:R,2,FALSE)</f>
        <v>Y</v>
      </c>
      <c r="K27" s="116">
        <v>29.33</v>
      </c>
      <c r="R27" s="57">
        <f>IF(ISBLANK(M27),AVERAGE(K27:M27),((SUM(K27:M27)-MIN(K27:M27))*0.1+N27*0.2+O27*0.25+Q27*0.35)/ SUM(IF(ISBLANK(L27),0,0.1) + IF(ISBLANK(M27),0,0.1) + IF(ISBLANK(N27),0,0.2) + IF(ISBLANK(O27),0,0.25) + IF(ISBLANK(Q27),0,0.35)))</f>
        <v>29.33</v>
      </c>
      <c r="S27" s="57">
        <f>IF(V27&gt;2,(R27/20)*10,0)</f>
        <v>0</v>
      </c>
      <c r="T27" s="56">
        <f>SUMIF(E:E,E27,R:R) + SUMIF(E:E,E27,S:S)</f>
        <v>74.55</v>
      </c>
      <c r="U27" s="110">
        <v>10</v>
      </c>
      <c r="V27" s="110">
        <v>1</v>
      </c>
      <c r="W27" s="115" t="s">
        <v>37</v>
      </c>
    </row>
    <row r="28" spans="1:23">
      <c r="A28" s="10">
        <v>27</v>
      </c>
      <c r="B28" s="10">
        <v>27</v>
      </c>
      <c r="C28" s="11">
        <f>A28-B28</f>
        <v>0</v>
      </c>
      <c r="D28" s="115" t="s">
        <v>177</v>
      </c>
      <c r="E28" s="118" t="s">
        <v>56</v>
      </c>
      <c r="J28" s="98" t="str">
        <f>VLOOKUP(E28,Team!Q:R,2,FALSE)</f>
        <v>Y</v>
      </c>
      <c r="K28" s="116">
        <v>28.11</v>
      </c>
      <c r="R28" s="57">
        <f>IF(ISBLANK(M28),AVERAGE(K28:M28),((SUM(K28:M28)-MIN(K28:M28))*0.1+N28*0.2+O28*0.25+Q28*0.35)/ SUM(IF(ISBLANK(L28),0,0.1) + IF(ISBLANK(M28),0,0.1) + IF(ISBLANK(N28),0,0.2) + IF(ISBLANK(O28),0,0.25) + IF(ISBLANK(Q28),0,0.35)))</f>
        <v>28.11</v>
      </c>
      <c r="S28" s="57">
        <f>IF(V28&gt;2,(R28/20)*10,0)</f>
        <v>0</v>
      </c>
      <c r="T28" s="56">
        <f>SUMIF(E:E,E28,R:R) + SUMIF(E:E,E28,S:S)</f>
        <v>82.1</v>
      </c>
      <c r="U28" s="110">
        <v>9</v>
      </c>
      <c r="V28" s="110">
        <v>2</v>
      </c>
      <c r="W28" s="115" t="s">
        <v>37</v>
      </c>
    </row>
    <row r="29" spans="1:23">
      <c r="A29" s="10">
        <v>28</v>
      </c>
      <c r="B29" s="10">
        <v>28</v>
      </c>
      <c r="C29" s="11">
        <f>A29-B29</f>
        <v>0</v>
      </c>
      <c r="D29" s="115" t="s">
        <v>63</v>
      </c>
      <c r="E29" s="118" t="s">
        <v>69</v>
      </c>
      <c r="J29" s="98" t="str">
        <f>VLOOKUP(E29,Team!Q:R,2,FALSE)</f>
        <v>Y</v>
      </c>
      <c r="K29" s="116">
        <v>28.11</v>
      </c>
      <c r="R29" s="57">
        <f>IF(ISBLANK(M29),AVERAGE(K29:M29),((SUM(K29:M29)-MIN(K29:M29))*0.1+N29*0.2+O29*0.25+Q29*0.35)/ SUM(IF(ISBLANK(L29),0,0.1) + IF(ISBLANK(M29),0,0.1) + IF(ISBLANK(N29),0,0.2) + IF(ISBLANK(O29),0,0.25) + IF(ISBLANK(Q29),0,0.35)))</f>
        <v>28.11</v>
      </c>
      <c r="S29" s="57">
        <f>IF(V29&gt;2,(R29/20)*10,0)</f>
        <v>0</v>
      </c>
      <c r="T29" s="56">
        <f>SUMIF(E:E,E29,R:R) + SUMIF(E:E,E29,S:S)</f>
        <v>35</v>
      </c>
      <c r="U29" s="110">
        <v>17</v>
      </c>
      <c r="V29" s="110">
        <v>1</v>
      </c>
      <c r="W29" s="115" t="s">
        <v>37</v>
      </c>
    </row>
    <row r="30" spans="1:23">
      <c r="A30" s="10">
        <v>29</v>
      </c>
      <c r="B30" s="10">
        <v>29</v>
      </c>
      <c r="C30" s="11">
        <f>A30-B30</f>
        <v>0</v>
      </c>
      <c r="D30" s="115" t="s">
        <v>178</v>
      </c>
      <c r="E30" s="118" t="s">
        <v>77</v>
      </c>
      <c r="J30" s="98" t="str">
        <f>VLOOKUP(E30,Team!Q:R,2,FALSE)</f>
        <v>N</v>
      </c>
      <c r="K30" s="116">
        <v>27.56</v>
      </c>
      <c r="R30" s="57">
        <f>IF(ISBLANK(M30),AVERAGE(K30:M30),((SUM(K30:M30)-MIN(K30:M30))*0.1+N30*0.2+O30*0.25+Q30*0.35)/ SUM(IF(ISBLANK(L30),0,0.1) + IF(ISBLANK(M30),0,0.1) + IF(ISBLANK(N30),0,0.2) + IF(ISBLANK(O30),0,0.25) + IF(ISBLANK(Q30),0,0.35)))</f>
        <v>27.56</v>
      </c>
      <c r="S30" s="57">
        <f>IF(V30&gt;2,(R30/20)*10,0)</f>
        <v>0</v>
      </c>
      <c r="T30" s="56">
        <f>SUMIF(E:E,E30,R:R) + SUMIF(E:E,E30,S:S)</f>
        <v>32.569999999999993</v>
      </c>
      <c r="U30" s="110">
        <v>18</v>
      </c>
      <c r="V30" s="110">
        <v>1</v>
      </c>
      <c r="W30" s="115" t="s">
        <v>109</v>
      </c>
    </row>
    <row r="31" spans="1:23">
      <c r="A31" s="10">
        <v>30</v>
      </c>
      <c r="B31" s="10">
        <v>30</v>
      </c>
      <c r="C31" s="11">
        <f>A31-B31</f>
        <v>0</v>
      </c>
      <c r="D31" s="115" t="s">
        <v>95</v>
      </c>
      <c r="E31" s="118" t="s">
        <v>193</v>
      </c>
      <c r="J31" s="98" t="str">
        <f>VLOOKUP(E31,Team!Q:R,2,FALSE)</f>
        <v>Y</v>
      </c>
      <c r="K31" s="116">
        <v>27.22</v>
      </c>
      <c r="R31" s="57">
        <f>IF(ISBLANK(M31),AVERAGE(K31:M31),((SUM(K31:M31)-MIN(K31:M31))*0.1+N31*0.2+O31*0.25+Q31*0.35)/ SUM(IF(ISBLANK(L31),0,0.1) + IF(ISBLANK(M31),0,0.1) + IF(ISBLANK(N31),0,0.2) + IF(ISBLANK(O31),0,0.25) + IF(ISBLANK(Q31),0,0.35)))</f>
        <v>27.22</v>
      </c>
      <c r="S31" s="57">
        <f>IF(V31&gt;2,(R31/20)*10,0)</f>
        <v>0</v>
      </c>
      <c r="T31" s="56">
        <f>SUMIF(E:E,E31,R:R) + SUMIF(E:E,E31,S:S)</f>
        <v>74.55</v>
      </c>
      <c r="U31" s="110">
        <v>10</v>
      </c>
      <c r="V31" s="110">
        <v>2</v>
      </c>
      <c r="W31" s="115" t="s">
        <v>37</v>
      </c>
    </row>
    <row r="32" spans="1:23">
      <c r="A32" s="10">
        <v>31</v>
      </c>
      <c r="B32" s="10">
        <v>31</v>
      </c>
      <c r="C32" s="11">
        <f>A32-B32</f>
        <v>0</v>
      </c>
      <c r="D32" s="115" t="s">
        <v>108</v>
      </c>
      <c r="E32" s="118" t="s">
        <v>194</v>
      </c>
      <c r="J32" s="98" t="str">
        <f>VLOOKUP(E32,Team!Q:R,2,FALSE)</f>
        <v>N</v>
      </c>
      <c r="K32" s="116">
        <v>24.56</v>
      </c>
      <c r="R32" s="57">
        <f>IF(ISBLANK(M32),AVERAGE(K32:M32),((SUM(K32:M32)-MIN(K32:M32))*0.1+N32*0.2+O32*0.25+Q32*0.35)/ SUM(IF(ISBLANK(L32),0,0.1) + IF(ISBLANK(M32),0,0.1) + IF(ISBLANK(N32),0,0.2) + IF(ISBLANK(O32),0,0.25) + IF(ISBLANK(Q32),0,0.35)))</f>
        <v>24.56</v>
      </c>
      <c r="S32" s="57">
        <f>IF(V32&gt;2,(R32/20)*10,0)</f>
        <v>0</v>
      </c>
      <c r="T32" s="56">
        <f>SUMIF(E:E,E32,R:R) + SUMIF(E:E,E32,S:S)</f>
        <v>32.9</v>
      </c>
      <c r="U32" s="110">
        <v>16</v>
      </c>
      <c r="V32" s="110">
        <v>1</v>
      </c>
      <c r="W32" s="115" t="s">
        <v>37</v>
      </c>
    </row>
    <row r="33" spans="1:23">
      <c r="A33" s="10">
        <v>32</v>
      </c>
      <c r="B33" s="10">
        <v>32</v>
      </c>
      <c r="C33" s="11">
        <f>A33-B33</f>
        <v>0</v>
      </c>
      <c r="D33" s="115" t="s">
        <v>73</v>
      </c>
      <c r="E33" s="118" t="s">
        <v>7</v>
      </c>
      <c r="J33" s="98" t="str">
        <f>VLOOKUP(E33,Team!Q:R,2,FALSE)</f>
        <v>Y</v>
      </c>
      <c r="K33" s="116">
        <v>24</v>
      </c>
      <c r="R33" s="57">
        <f>IF(ISBLANK(M33),AVERAGE(K33:M33),((SUM(K33:M33)-MIN(K33:M33))*0.1+N33*0.2+O33*0.25+Q33*0.35)/ SUM(IF(ISBLANK(L33),0,0.1) + IF(ISBLANK(M33),0,0.1) + IF(ISBLANK(N33),0,0.2) + IF(ISBLANK(O33),0,0.25) + IF(ISBLANK(Q33),0,0.35)))</f>
        <v>24</v>
      </c>
      <c r="S33" s="57">
        <f>IF(V33&gt;2,(R33/20)*10,0)</f>
        <v>12</v>
      </c>
      <c r="T33" s="56">
        <f>SUMIF(E:E,E33,R:R) + SUMIF(E:E,E33,S:S)</f>
        <v>197</v>
      </c>
      <c r="U33" s="110">
        <v>2</v>
      </c>
      <c r="V33" s="110">
        <v>3</v>
      </c>
      <c r="W33" s="115" t="s">
        <v>37</v>
      </c>
    </row>
    <row r="34" spans="1:23">
      <c r="A34" s="10">
        <v>33</v>
      </c>
      <c r="B34" s="10">
        <v>33</v>
      </c>
      <c r="C34" s="11">
        <f>A34-B34</f>
        <v>0</v>
      </c>
      <c r="D34" s="115" t="s">
        <v>44</v>
      </c>
      <c r="E34" s="118" t="s">
        <v>88</v>
      </c>
      <c r="J34" s="98" t="str">
        <f>VLOOKUP(E34,Team!Q:R,2,FALSE)</f>
        <v>N</v>
      </c>
      <c r="K34" s="116">
        <v>23.22</v>
      </c>
      <c r="R34" s="57">
        <f>IF(ISBLANK(M34),AVERAGE(K34:M34),((SUM(K34:M34)-MIN(K34:M34))*0.1+N34*0.2+O34*0.25+Q34*0.35)/ SUM(IF(ISBLANK(L34),0,0.1) + IF(ISBLANK(M34),0,0.1) + IF(ISBLANK(N34),0,0.2) + IF(ISBLANK(O34),0,0.25) + IF(ISBLANK(Q34),0,0.35)))</f>
        <v>23.22</v>
      </c>
      <c r="S34" s="57">
        <f>IF(V34&gt;2,(R34/20)*10,0)</f>
        <v>0</v>
      </c>
      <c r="T34" s="56">
        <f>SUMIF(E:E,E34,R:R) + SUMIF(E:E,E34,S:S)</f>
        <v>30.779999999999998</v>
      </c>
      <c r="U34" s="110">
        <v>19</v>
      </c>
      <c r="V34" s="110">
        <v>1</v>
      </c>
      <c r="W34" s="115" t="s">
        <v>37</v>
      </c>
    </row>
    <row r="35" spans="1:23">
      <c r="A35" s="10">
        <v>34</v>
      </c>
      <c r="B35" s="10">
        <v>34</v>
      </c>
      <c r="C35" s="11">
        <f>A35-B35</f>
        <v>0</v>
      </c>
      <c r="D35" s="115" t="s">
        <v>43</v>
      </c>
      <c r="E35" s="118" t="s">
        <v>0</v>
      </c>
      <c r="J35" s="98" t="str">
        <f>VLOOKUP(E35,Team!Q:R,2,FALSE)</f>
        <v>Y</v>
      </c>
      <c r="K35" s="116">
        <v>21.25</v>
      </c>
      <c r="R35" s="57">
        <f>IF(ISBLANK(M35),AVERAGE(K35:M35),((SUM(K35:M35)-MIN(K35:M35))*0.1+N35*0.2+O35*0.25+Q35*0.35)/ SUM(IF(ISBLANK(L35),0,0.1) + IF(ISBLANK(M35),0,0.1) + IF(ISBLANK(N35),0,0.2) + IF(ISBLANK(O35),0,0.25) + IF(ISBLANK(Q35),0,0.35)))</f>
        <v>21.25</v>
      </c>
      <c r="S35" s="57">
        <f>IF(V35&gt;2,(R35/20)*10,0)</f>
        <v>0</v>
      </c>
      <c r="T35" s="56">
        <f>SUMIF(E:E,E35,R:R) + SUMIF(E:E,E35,S:S)</f>
        <v>90</v>
      </c>
      <c r="U35" s="110">
        <v>8</v>
      </c>
      <c r="V35" s="110">
        <v>2</v>
      </c>
      <c r="W35" s="115" t="s">
        <v>37</v>
      </c>
    </row>
    <row r="36" spans="1:23">
      <c r="A36" s="10">
        <v>35</v>
      </c>
      <c r="B36" s="10">
        <v>35</v>
      </c>
      <c r="C36" s="11">
        <f>A36-B36</f>
        <v>0</v>
      </c>
      <c r="D36" s="115" t="s">
        <v>105</v>
      </c>
      <c r="E36" s="118" t="s">
        <v>31</v>
      </c>
      <c r="J36" s="98" t="str">
        <f>VLOOKUP(E36,Team!Q:R,2,FALSE)</f>
        <v>Y</v>
      </c>
      <c r="K36" s="116">
        <v>18</v>
      </c>
      <c r="R36" s="57">
        <f>IF(ISBLANK(M36),AVERAGE(K36:M36),((SUM(K36:M36)-MIN(K36:M36))*0.1+N36*0.2+O36*0.25+Q36*0.35)/ SUM(IF(ISBLANK(L36),0,0.1) + IF(ISBLANK(M36),0,0.1) + IF(ISBLANK(N36),0,0.2) + IF(ISBLANK(O36),0,0.25) + IF(ISBLANK(Q36),0,0.35)))</f>
        <v>18</v>
      </c>
      <c r="S36" s="57">
        <f>IF(V36&gt;2,(R36/20)*10,0)</f>
        <v>9</v>
      </c>
      <c r="T36" s="56">
        <f>SUMIF(E:E,E36,R:R) + SUMIF(E:E,E36,S:S)</f>
        <v>131</v>
      </c>
      <c r="U36" s="110">
        <v>6</v>
      </c>
      <c r="V36" s="110">
        <v>3</v>
      </c>
      <c r="W36" s="115" t="s">
        <v>37</v>
      </c>
    </row>
    <row r="37" spans="1:23">
      <c r="A37" s="10">
        <v>36</v>
      </c>
      <c r="B37" s="10">
        <v>36</v>
      </c>
      <c r="C37" s="11">
        <f>A37-B37</f>
        <v>0</v>
      </c>
      <c r="D37" s="115" t="s">
        <v>59</v>
      </c>
      <c r="E37" s="118" t="s">
        <v>7</v>
      </c>
      <c r="J37" s="98" t="str">
        <f>VLOOKUP(E37,Team!Q:R,2,FALSE)</f>
        <v>Y</v>
      </c>
      <c r="K37" s="116">
        <v>14</v>
      </c>
      <c r="R37" s="57">
        <f>IF(ISBLANK(M37),AVERAGE(K37:M37),((SUM(K37:M37)-MIN(K37:M37))*0.1+N37*0.2+O37*0.25+Q37*0.35)/ SUM(IF(ISBLANK(L37),0,0.1) + IF(ISBLANK(M37),0,0.1) + IF(ISBLANK(N37),0,0.2) + IF(ISBLANK(O37),0,0.25) + IF(ISBLANK(Q37),0,0.35)))</f>
        <v>14</v>
      </c>
      <c r="S37" s="57">
        <f>IF(V37&gt;2,(R37/20)*10,0)</f>
        <v>7</v>
      </c>
      <c r="T37" s="56">
        <f>SUMIF(E:E,E37,R:R) + SUMIF(E:E,E37,S:S)</f>
        <v>197</v>
      </c>
      <c r="U37" s="110">
        <v>2</v>
      </c>
      <c r="V37" s="110">
        <v>4</v>
      </c>
      <c r="W37" s="115" t="s">
        <v>37</v>
      </c>
    </row>
    <row r="38" spans="1:23">
      <c r="A38" s="10">
        <v>37</v>
      </c>
      <c r="B38" s="10">
        <v>37</v>
      </c>
      <c r="C38" s="11">
        <f>A38-B38</f>
        <v>0</v>
      </c>
      <c r="D38" s="115" t="s">
        <v>115</v>
      </c>
      <c r="E38" s="118" t="s">
        <v>193</v>
      </c>
      <c r="J38" s="98" t="str">
        <f>VLOOKUP(E38,Team!Q:R,2,FALSE)</f>
        <v>Y</v>
      </c>
      <c r="K38" s="116">
        <v>12</v>
      </c>
      <c r="R38" s="57">
        <f>IF(ISBLANK(M38),AVERAGE(K38:M38),((SUM(K38:M38)-MIN(K38:M38))*0.1+N38*0.2+O38*0.25+Q38*0.35)/ SUM(IF(ISBLANK(L38),0,0.1) + IF(ISBLANK(M38),0,0.1) + IF(ISBLANK(N38),0,0.2) + IF(ISBLANK(O38),0,0.25) + IF(ISBLANK(Q38),0,0.35)))</f>
        <v>12</v>
      </c>
      <c r="S38" s="57">
        <f>IF(V38&gt;2,(R38/20)*10,0)</f>
        <v>6</v>
      </c>
      <c r="T38" s="56">
        <f>SUMIF(E:E,E38,R:R) + SUMIF(E:E,E38,S:S)</f>
        <v>74.55</v>
      </c>
      <c r="U38" s="110">
        <v>10</v>
      </c>
      <c r="V38" s="110">
        <v>3</v>
      </c>
      <c r="W38" s="115" t="s">
        <v>37</v>
      </c>
    </row>
    <row r="39" spans="1:23">
      <c r="A39" s="10">
        <v>38</v>
      </c>
      <c r="B39" s="10">
        <v>38</v>
      </c>
      <c r="C39" s="11">
        <f>A39-B39</f>
        <v>0</v>
      </c>
      <c r="D39" s="115" t="s">
        <v>179</v>
      </c>
      <c r="E39" s="118" t="s">
        <v>2</v>
      </c>
      <c r="J39" s="98" t="str">
        <f>VLOOKUP(E39,Team!Q:R,2,FALSE)</f>
        <v>Y</v>
      </c>
      <c r="K39" s="116">
        <v>11.11</v>
      </c>
      <c r="R39" s="57">
        <f>IF(ISBLANK(M39),AVERAGE(K39:M39),((SUM(K39:M39)-MIN(K39:M39))*0.1+N39*0.2+O39*0.25+Q39*0.35)/ SUM(IF(ISBLANK(L39),0,0.1) + IF(ISBLANK(M39),0,0.1) + IF(ISBLANK(N39),0,0.2) + IF(ISBLANK(O39),0,0.25) + IF(ISBLANK(Q39),0,0.35)))</f>
        <v>11.11</v>
      </c>
      <c r="S39" s="57">
        <f>IF(V39&gt;2,(R39/20)*10,0)</f>
        <v>5.5549999999999997</v>
      </c>
      <c r="T39" s="56">
        <f>SUMIF(E:E,E39,R:R) + SUMIF(E:E,E39,S:S)</f>
        <v>176.66000000000003</v>
      </c>
      <c r="U39" s="110">
        <v>3</v>
      </c>
      <c r="V39" s="110">
        <v>4</v>
      </c>
      <c r="W39" s="115" t="s">
        <v>109</v>
      </c>
    </row>
    <row r="40" spans="1:23">
      <c r="A40" s="10">
        <v>39</v>
      </c>
      <c r="B40" s="10">
        <v>39</v>
      </c>
      <c r="C40" s="11">
        <f>A40-B40</f>
        <v>0</v>
      </c>
      <c r="D40" s="115" t="s">
        <v>55</v>
      </c>
      <c r="E40" s="118" t="s">
        <v>70</v>
      </c>
      <c r="J40" s="98" t="str">
        <f>VLOOKUP(E40,Team!Q:R,2,FALSE)</f>
        <v>Y</v>
      </c>
      <c r="K40" s="116">
        <v>9.67</v>
      </c>
      <c r="R40" s="57">
        <f>IF(ISBLANK(M40),AVERAGE(K40:M40),((SUM(K40:M40)-MIN(K40:M40))*0.1+N40*0.2+O40*0.25+Q40*0.35)/ SUM(IF(ISBLANK(L40),0,0.1) + IF(ISBLANK(M40),0,0.1) + IF(ISBLANK(N40),0,0.2) + IF(ISBLANK(O40),0,0.25) + IF(ISBLANK(Q40),0,0.35)))</f>
        <v>9.67</v>
      </c>
      <c r="S40" s="57">
        <f>IF(V40&gt;2,(R40/20)*10,0)</f>
        <v>0</v>
      </c>
      <c r="T40" s="56">
        <f>SUMIF(E:E,E40,R:R) + SUMIF(E:E,E40,S:S)</f>
        <v>60.45</v>
      </c>
      <c r="U40" s="110">
        <v>14</v>
      </c>
      <c r="V40" s="110">
        <v>2</v>
      </c>
      <c r="W40" s="115" t="s">
        <v>37</v>
      </c>
    </row>
    <row r="41" spans="1:23">
      <c r="A41" s="10">
        <v>40</v>
      </c>
      <c r="B41" s="10">
        <v>40</v>
      </c>
      <c r="C41" s="11">
        <f>A41-B41</f>
        <v>0</v>
      </c>
      <c r="D41" s="115" t="s">
        <v>98</v>
      </c>
      <c r="E41" s="118" t="s">
        <v>88</v>
      </c>
      <c r="J41" s="98" t="str">
        <f>VLOOKUP(E41,Team!Q:R,2,FALSE)</f>
        <v>N</v>
      </c>
      <c r="K41" s="116">
        <v>7.56</v>
      </c>
      <c r="R41" s="57">
        <f>IF(ISBLANK(M41),AVERAGE(K41:M41),((SUM(K41:M41)-MIN(K41:M41))*0.1+N41*0.2+O41*0.25+Q41*0.35)/ SUM(IF(ISBLANK(L41),0,0.1) + IF(ISBLANK(M41),0,0.1) + IF(ISBLANK(N41),0,0.2) + IF(ISBLANK(O41),0,0.25) + IF(ISBLANK(Q41),0,0.35)))</f>
        <v>7.56</v>
      </c>
      <c r="S41" s="57">
        <f>IF(V41&gt;2,(R41/20)*10,0)</f>
        <v>0</v>
      </c>
      <c r="T41" s="56">
        <f>SUMIF(E:E,E41,R:R) + SUMIF(E:E,E41,S:S)</f>
        <v>30.779999999999998</v>
      </c>
      <c r="U41" s="110">
        <v>19</v>
      </c>
      <c r="V41" s="110">
        <v>2</v>
      </c>
      <c r="W41" s="115" t="s">
        <v>37</v>
      </c>
    </row>
    <row r="42" spans="1:23">
      <c r="A42" s="10">
        <v>41</v>
      </c>
      <c r="B42" s="10">
        <v>41</v>
      </c>
      <c r="C42" s="11">
        <f>A42-B42</f>
        <v>0</v>
      </c>
      <c r="D42" s="115" t="s">
        <v>180</v>
      </c>
      <c r="E42" s="118" t="s">
        <v>69</v>
      </c>
      <c r="J42" s="98" t="str">
        <f>VLOOKUP(E42,Team!Q:R,2,FALSE)</f>
        <v>Y</v>
      </c>
      <c r="K42" s="116">
        <v>6.89</v>
      </c>
      <c r="R42" s="57">
        <f>IF(ISBLANK(M42),AVERAGE(K42:M42),((SUM(K42:M42)-MIN(K42:M42))*0.1+N42*0.2+O42*0.25+Q42*0.35)/ SUM(IF(ISBLANK(L42),0,0.1) + IF(ISBLANK(M42),0,0.1) + IF(ISBLANK(N42),0,0.2) + IF(ISBLANK(O42),0,0.25) + IF(ISBLANK(Q42),0,0.35)))</f>
        <v>6.89</v>
      </c>
      <c r="S42" s="57">
        <f>IF(V42&gt;2,(R42/20)*10,0)</f>
        <v>0</v>
      </c>
      <c r="T42" s="56">
        <f>SUMIF(E:E,E42,R:R) + SUMIF(E:E,E42,S:S)</f>
        <v>35</v>
      </c>
      <c r="U42" s="110">
        <v>17</v>
      </c>
      <c r="V42" s="110">
        <v>2</v>
      </c>
      <c r="W42" s="115" t="s">
        <v>37</v>
      </c>
    </row>
    <row r="43" spans="1:23">
      <c r="A43" s="10">
        <v>42</v>
      </c>
      <c r="B43" s="10">
        <v>42</v>
      </c>
      <c r="C43" s="11">
        <f>A43-B43</f>
        <v>0</v>
      </c>
      <c r="D43" s="115" t="s">
        <v>181</v>
      </c>
      <c r="E43" s="118" t="s">
        <v>194</v>
      </c>
      <c r="J43" s="98" t="str">
        <f>VLOOKUP(E43,Team!Q:R,2,FALSE)</f>
        <v>N</v>
      </c>
      <c r="K43" s="116">
        <v>6</v>
      </c>
      <c r="R43" s="57">
        <f>IF(ISBLANK(M43),AVERAGE(K43:M43),((SUM(K43:M43)-MIN(K43:M43))*0.1+N43*0.2+O43*0.25+Q43*0.35)/ SUM(IF(ISBLANK(L43),0,0.1) + IF(ISBLANK(M43),0,0.1) + IF(ISBLANK(N43),0,0.2) + IF(ISBLANK(O43),0,0.25) + IF(ISBLANK(Q43),0,0.35)))</f>
        <v>6</v>
      </c>
      <c r="S43" s="57">
        <f>IF(V43&gt;2,(R43/20)*10,0)</f>
        <v>0</v>
      </c>
      <c r="T43" s="56">
        <f>SUMIF(E:E,E43,R:R) + SUMIF(E:E,E43,S:S)</f>
        <v>32.9</v>
      </c>
      <c r="U43" s="110">
        <v>16</v>
      </c>
      <c r="V43" s="110">
        <v>2</v>
      </c>
      <c r="W43" s="115" t="s">
        <v>109</v>
      </c>
    </row>
    <row r="44" spans="1:23">
      <c r="A44" s="10">
        <v>43</v>
      </c>
      <c r="B44" s="10">
        <v>43</v>
      </c>
      <c r="C44" s="11">
        <f>A44-B44</f>
        <v>0</v>
      </c>
      <c r="D44" s="115" t="s">
        <v>182</v>
      </c>
      <c r="E44" s="118" t="s">
        <v>70</v>
      </c>
      <c r="J44" s="98" t="s">
        <v>33</v>
      </c>
      <c r="K44" s="116">
        <v>5.78</v>
      </c>
      <c r="R44" s="57">
        <f>IF(ISBLANK(M44),AVERAGE(K44:M44),((SUM(K44:M44)-MIN(K44:M44))*0.1+N44*0.2+O44*0.25+Q44*0.35)/ SUM(IF(ISBLANK(L44),0,0.1) + IF(ISBLANK(M44),0,0.1) + IF(ISBLANK(N44),0,0.2) + IF(ISBLANK(O44),0,0.25) + IF(ISBLANK(Q44),0,0.35)))</f>
        <v>5.78</v>
      </c>
      <c r="S44" s="57">
        <f>IF(V44&gt;2,(R44/20)*10,0)</f>
        <v>2.8900000000000006</v>
      </c>
      <c r="T44" s="56">
        <f>SUMIF(E:E,E44,R:R) + SUMIF(E:E,E44,S:S)</f>
        <v>60.45</v>
      </c>
      <c r="U44" s="110">
        <v>14</v>
      </c>
      <c r="V44" s="110">
        <v>3</v>
      </c>
      <c r="W44" s="115" t="s">
        <v>109</v>
      </c>
    </row>
    <row r="45" spans="1:23">
      <c r="A45" s="10">
        <v>44</v>
      </c>
      <c r="B45" s="10">
        <v>44</v>
      </c>
      <c r="C45" s="11">
        <f>A45-B45</f>
        <v>0</v>
      </c>
      <c r="D45" s="115" t="s">
        <v>60</v>
      </c>
      <c r="E45" s="118" t="s">
        <v>56</v>
      </c>
      <c r="J45" s="98" t="str">
        <f>VLOOKUP(E45,Team!Q:R,2,FALSE)</f>
        <v>Y</v>
      </c>
      <c r="K45" s="116">
        <v>4.4400000000000004</v>
      </c>
      <c r="R45" s="57">
        <f>IF(ISBLANK(M45),AVERAGE(K45:M45),((SUM(K45:M45)-MIN(K45:M45))*0.1+N45*0.2+O45*0.25+Q45*0.35)/ SUM(IF(ISBLANK(L45),0,0.1) + IF(ISBLANK(M45),0,0.1) + IF(ISBLANK(N45),0,0.2) + IF(ISBLANK(O45),0,0.25) + IF(ISBLANK(Q45),0,0.35)))</f>
        <v>4.4400000000000004</v>
      </c>
      <c r="S45" s="57">
        <f>IF(V45&gt;2,(R45/20)*10,0)</f>
        <v>2.2200000000000002</v>
      </c>
      <c r="T45" s="56">
        <f>SUMIF(E:E,E45,R:R) + SUMIF(E:E,E45,S:S)</f>
        <v>82.1</v>
      </c>
      <c r="U45" s="110">
        <v>9</v>
      </c>
      <c r="V45" s="110">
        <v>3</v>
      </c>
      <c r="W45" s="115" t="s">
        <v>37</v>
      </c>
    </row>
    <row r="46" spans="1:23">
      <c r="A46" s="10">
        <v>45</v>
      </c>
      <c r="B46" s="10">
        <v>45</v>
      </c>
      <c r="C46" s="11">
        <f>A46-B46</f>
        <v>0</v>
      </c>
      <c r="D46" s="115" t="s">
        <v>101</v>
      </c>
      <c r="E46" s="118" t="s">
        <v>39</v>
      </c>
      <c r="J46" s="98" t="str">
        <f>VLOOKUP(E46,Team!Q:R,2,FALSE)</f>
        <v>N</v>
      </c>
      <c r="K46" s="116">
        <v>3.11</v>
      </c>
      <c r="R46" s="57">
        <f>IF(ISBLANK(M46),AVERAGE(K46:M46),((SUM(K46:M46)-MIN(K46:M46))*0.1+N46*0.2+O46*0.25+Q46*0.35)/ SUM(IF(ISBLANK(L46),0,0.1) + IF(ISBLANK(M46),0,0.1) + IF(ISBLANK(N46),0,0.2) + IF(ISBLANK(O46),0,0.25) + IF(ISBLANK(Q46),0,0.35)))</f>
        <v>3.11</v>
      </c>
      <c r="S46" s="57">
        <f>IF(V46&gt;2,(R46/20)*10,0)</f>
        <v>0</v>
      </c>
      <c r="T46" s="56">
        <f>SUMIF(E:E,E46,R:R) + SUMIF(E:E,E46,S:S)</f>
        <v>43.774999999999999</v>
      </c>
      <c r="U46" s="110">
        <v>15</v>
      </c>
      <c r="V46" s="110">
        <v>2</v>
      </c>
      <c r="W46" s="115" t="s">
        <v>37</v>
      </c>
    </row>
    <row r="47" spans="1:23">
      <c r="A47" s="10">
        <v>46</v>
      </c>
      <c r="B47" s="10">
        <v>46</v>
      </c>
      <c r="C47" s="11">
        <f>A47-B47</f>
        <v>0</v>
      </c>
      <c r="D47" s="115" t="s">
        <v>110</v>
      </c>
      <c r="E47" s="118" t="s">
        <v>77</v>
      </c>
      <c r="J47" s="98" t="str">
        <f>VLOOKUP(E47,Team!Q:R,2,FALSE)</f>
        <v>N</v>
      </c>
      <c r="K47" s="116">
        <v>2.67</v>
      </c>
      <c r="R47" s="57">
        <f>IF(ISBLANK(M47),AVERAGE(K47:M47),((SUM(K47:M47)-MIN(K47:M47))*0.1+N47*0.2+O47*0.25+Q47*0.35)/ SUM(IF(ISBLANK(L47),0,0.1) + IF(ISBLANK(M47),0,0.1) + IF(ISBLANK(N47),0,0.2) + IF(ISBLANK(O47),0,0.25) + IF(ISBLANK(Q47),0,0.35)))</f>
        <v>2.67</v>
      </c>
      <c r="S47" s="57">
        <f>IF(V47&gt;2,(R47/20)*10,0)</f>
        <v>0</v>
      </c>
      <c r="T47" s="56">
        <f>SUMIF(E:E,E47,R:R) + SUMIF(E:E,E47,S:S)</f>
        <v>32.569999999999993</v>
      </c>
      <c r="U47" s="110">
        <v>18</v>
      </c>
      <c r="V47" s="110">
        <v>2</v>
      </c>
      <c r="W47" s="115" t="s">
        <v>37</v>
      </c>
    </row>
    <row r="48" spans="1:23">
      <c r="A48" s="10">
        <v>47</v>
      </c>
      <c r="B48" s="10">
        <v>47</v>
      </c>
      <c r="C48" s="11">
        <f>A48-B48</f>
        <v>0</v>
      </c>
      <c r="D48" s="115" t="s">
        <v>107</v>
      </c>
      <c r="E48" s="118" t="s">
        <v>6</v>
      </c>
      <c r="J48" s="98" t="str">
        <f>VLOOKUP(E48,Team!Q:R,2,FALSE)</f>
        <v>Y</v>
      </c>
      <c r="K48" s="116">
        <v>2.5</v>
      </c>
      <c r="R48" s="57">
        <f>IF(ISBLANK(M48),AVERAGE(K48:M48),((SUM(K48:M48)-MIN(K48:M48))*0.1+N48*0.2+O48*0.25+Q48*0.35)/ SUM(IF(ISBLANK(L48),0,0.1) + IF(ISBLANK(M48),0,0.1) + IF(ISBLANK(N48),0,0.2) + IF(ISBLANK(O48),0,0.25) + IF(ISBLANK(Q48),0,0.35)))</f>
        <v>2.5</v>
      </c>
      <c r="S48" s="57">
        <f>IF(V48&gt;2,(R48/20)*10,0)</f>
        <v>0</v>
      </c>
      <c r="T48" s="56">
        <f>SUMIF(E:E,E48,R:R) + SUMIF(E:E,E48,S:S)</f>
        <v>70</v>
      </c>
      <c r="U48" s="110">
        <v>13</v>
      </c>
      <c r="V48" s="110">
        <v>2</v>
      </c>
      <c r="W48" s="115" t="s">
        <v>37</v>
      </c>
    </row>
    <row r="49" spans="1:23">
      <c r="A49" s="10">
        <v>48</v>
      </c>
      <c r="B49" s="10">
        <v>48</v>
      </c>
      <c r="C49" s="11">
        <f>A49-B49</f>
        <v>0</v>
      </c>
      <c r="D49" s="115" t="s">
        <v>106</v>
      </c>
      <c r="E49" s="118" t="s">
        <v>31</v>
      </c>
      <c r="J49" s="98" t="str">
        <f>VLOOKUP(E49,Team!Q:R,2,FALSE)</f>
        <v>Y</v>
      </c>
      <c r="K49" s="116">
        <v>2</v>
      </c>
      <c r="R49" s="57">
        <f>IF(ISBLANK(M49),AVERAGE(K49:M49),((SUM(K49:M49)-MIN(K49:M49))*0.1+N49*0.2+O49*0.25+Q49*0.35)/ SUM(IF(ISBLANK(L49),0,0.1) + IF(ISBLANK(M49),0,0.1) + IF(ISBLANK(N49),0,0.2) + IF(ISBLANK(O49),0,0.25) + IF(ISBLANK(Q49),0,0.35)))</f>
        <v>2</v>
      </c>
      <c r="S49" s="57">
        <f>IF(V49&gt;2,(R49/20)*10,0)</f>
        <v>1</v>
      </c>
      <c r="T49" s="56">
        <f>SUMIF(E:E,E49,R:R) + SUMIF(E:E,E49,S:S)</f>
        <v>131</v>
      </c>
      <c r="U49" s="110">
        <v>6</v>
      </c>
      <c r="V49" s="110">
        <v>4</v>
      </c>
      <c r="W49" s="115" t="s">
        <v>37</v>
      </c>
    </row>
    <row r="50" spans="1:23">
      <c r="A50" s="10">
        <v>50</v>
      </c>
      <c r="B50" s="10">
        <v>50</v>
      </c>
      <c r="C50" s="11">
        <f>A50-B50</f>
        <v>0</v>
      </c>
      <c r="D50" s="115" t="s">
        <v>183</v>
      </c>
      <c r="E50" s="118" t="s">
        <v>4</v>
      </c>
      <c r="J50" s="98" t="str">
        <f>VLOOKUP(E50,Team!Q:R,2,FALSE)</f>
        <v>Y</v>
      </c>
      <c r="K50" s="116">
        <v>1.56</v>
      </c>
      <c r="R50" s="57">
        <f>IF(ISBLANK(M50),AVERAGE(K50:M50),((SUM(K50:M50)-MIN(K50:M50))*0.1+N50*0.2+O50*0.25+Q50*0.35)/ SUM(IF(ISBLANK(L50),0,0.1) + IF(ISBLANK(M50),0,0.1) + IF(ISBLANK(N50),0,0.2) + IF(ISBLANK(O50),0,0.25) + IF(ISBLANK(Q50),0,0.35)))</f>
        <v>1.56</v>
      </c>
      <c r="S50" s="57">
        <f>IF(V50&gt;2,(R50/20)*10,0)</f>
        <v>0</v>
      </c>
      <c r="T50" s="56">
        <f>SUMIF(E:E,E50,R:R) + SUMIF(E:E,E50,S:S)</f>
        <v>70.910000000000011</v>
      </c>
      <c r="U50" s="110">
        <v>12</v>
      </c>
      <c r="V50" s="110">
        <v>2</v>
      </c>
      <c r="W50" s="115" t="s">
        <v>37</v>
      </c>
    </row>
    <row r="51" spans="1:23">
      <c r="A51" s="10">
        <v>51</v>
      </c>
      <c r="B51" s="10">
        <v>51</v>
      </c>
      <c r="C51" s="11">
        <f>A51-B51</f>
        <v>0</v>
      </c>
      <c r="D51" s="115" t="s">
        <v>184</v>
      </c>
      <c r="E51" s="118" t="s">
        <v>4</v>
      </c>
      <c r="J51" s="98" t="s">
        <v>33</v>
      </c>
      <c r="K51" s="116">
        <v>1.56</v>
      </c>
      <c r="R51" s="57">
        <f>IF(ISBLANK(M51),AVERAGE(K51:M51),((SUM(K51:M51)-MIN(K51:M51))*0.1+N51*0.2+O51*0.25+Q51*0.35)/ SUM(IF(ISBLANK(L51),0,0.1) + IF(ISBLANK(M51),0,0.1) + IF(ISBLANK(N51),0,0.2) + IF(ISBLANK(O51),0,0.25) + IF(ISBLANK(Q51),0,0.35)))</f>
        <v>1.56</v>
      </c>
      <c r="S51" s="57">
        <f>IF(V51&gt;2,(R51/20)*10,0)</f>
        <v>0.78</v>
      </c>
      <c r="T51" s="56">
        <f>SUMIF(E:E,E51,R:R) + SUMIF(E:E,E51,S:S)</f>
        <v>70.910000000000011</v>
      </c>
      <c r="U51" s="110">
        <v>12</v>
      </c>
      <c r="V51" s="110">
        <v>3</v>
      </c>
      <c r="W51" s="115" t="s">
        <v>37</v>
      </c>
    </row>
    <row r="52" spans="1:23">
      <c r="A52" s="10">
        <v>52</v>
      </c>
      <c r="B52" s="10">
        <v>52</v>
      </c>
      <c r="C52" s="11">
        <f>A52-B52</f>
        <v>0</v>
      </c>
      <c r="D52" s="115" t="s">
        <v>185</v>
      </c>
      <c r="E52" s="118" t="s">
        <v>4</v>
      </c>
      <c r="J52" s="98" t="str">
        <f>VLOOKUP(E52,Team!Q:R,2,FALSE)</f>
        <v>Y</v>
      </c>
      <c r="K52" s="116">
        <v>1.56</v>
      </c>
      <c r="R52" s="57">
        <f>IF(ISBLANK(M52),AVERAGE(K52:M52),((SUM(K52:M52)-MIN(K52:M52))*0.1+N52*0.2+O52*0.25+Q52*0.35)/ SUM(IF(ISBLANK(L52),0,0.1) + IF(ISBLANK(M52),0,0.1) + IF(ISBLANK(N52),0,0.2) + IF(ISBLANK(O52),0,0.25) + IF(ISBLANK(Q52),0,0.35)))</f>
        <v>1.56</v>
      </c>
      <c r="S52" s="57">
        <f>IF(V52&gt;2,(R52/20)*10,0)</f>
        <v>0.78</v>
      </c>
      <c r="T52" s="56">
        <f>SUMIF(E:E,E52,R:R) + SUMIF(E:E,E52,S:S)</f>
        <v>70.910000000000011</v>
      </c>
      <c r="U52" s="110">
        <v>12</v>
      </c>
      <c r="V52" s="110">
        <v>4</v>
      </c>
      <c r="W52" s="115" t="s">
        <v>37</v>
      </c>
    </row>
    <row r="53" spans="1:23">
      <c r="A53" s="10">
        <v>53</v>
      </c>
      <c r="B53" s="10">
        <v>53</v>
      </c>
      <c r="C53" s="11">
        <f>A53-B53</f>
        <v>0</v>
      </c>
      <c r="D53" s="116" t="s">
        <v>68</v>
      </c>
      <c r="E53" s="119" t="s">
        <v>194</v>
      </c>
      <c r="J53" s="98" t="str">
        <f>VLOOKUP(E53,Team!Q:R,2,FALSE)</f>
        <v>N</v>
      </c>
      <c r="K53" s="116">
        <v>1.56</v>
      </c>
      <c r="R53" s="57">
        <f>IF(ISBLANK(M53),AVERAGE(K53:M53),((SUM(K53:M53)-MIN(K53:M53))*0.1+N53*0.2+O53*0.25+Q53*0.35)/ SUM(IF(ISBLANK(L53),0,0.1) + IF(ISBLANK(M53),0,0.1) + IF(ISBLANK(N53),0,0.2) + IF(ISBLANK(O53),0,0.25) + IF(ISBLANK(Q53),0,0.35)))</f>
        <v>1.56</v>
      </c>
      <c r="S53" s="57">
        <f>IF(V53&gt;2,(R53/20)*10,0)</f>
        <v>0.78</v>
      </c>
      <c r="T53" s="56">
        <f>SUMIF(E:E,E53,R:R) + SUMIF(E:E,E53,S:S)</f>
        <v>32.9</v>
      </c>
      <c r="U53" s="110">
        <v>16</v>
      </c>
      <c r="V53" s="110">
        <v>3</v>
      </c>
      <c r="W53" s="116" t="s">
        <v>37</v>
      </c>
    </row>
    <row r="54" spans="1:23">
      <c r="A54" s="10">
        <v>49</v>
      </c>
      <c r="B54" s="10">
        <v>49</v>
      </c>
      <c r="C54" s="11">
        <f>A54-B54</f>
        <v>0</v>
      </c>
      <c r="D54" s="115" t="s">
        <v>67</v>
      </c>
      <c r="E54" s="118" t="s">
        <v>77</v>
      </c>
      <c r="J54" s="98" t="str">
        <f>VLOOKUP(E54,Team!Q:R,2,FALSE)</f>
        <v>N</v>
      </c>
      <c r="K54" s="116">
        <v>1.56</v>
      </c>
      <c r="R54" s="57">
        <f>IF(ISBLANK(M54),AVERAGE(K54:M54),((SUM(K54:M54)-MIN(K54:M54))*0.1+N54*0.2+O54*0.25+Q54*0.35)/ SUM(IF(ISBLANK(L54),0,0.1) + IF(ISBLANK(M54),0,0.1) + IF(ISBLANK(N54),0,0.2) + IF(ISBLANK(O54),0,0.25) + IF(ISBLANK(Q54),0,0.35)))</f>
        <v>1.56</v>
      </c>
      <c r="S54" s="57">
        <f>IF(V54&gt;2,(R54/20)*10,0)</f>
        <v>0.78</v>
      </c>
      <c r="T54" s="56">
        <f>SUMIF(E:E,E54,R:R) + SUMIF(E:E,E54,S:S)</f>
        <v>32.569999999999993</v>
      </c>
      <c r="U54" s="110">
        <v>18</v>
      </c>
      <c r="V54" s="110">
        <v>3</v>
      </c>
      <c r="W54" s="115" t="s">
        <v>37</v>
      </c>
    </row>
    <row r="55" spans="1:23">
      <c r="A55" s="10">
        <v>54</v>
      </c>
      <c r="B55" s="10">
        <v>54</v>
      </c>
      <c r="C55" s="11">
        <f>A55-B55</f>
        <v>0</v>
      </c>
      <c r="D55" s="115" t="s">
        <v>186</v>
      </c>
      <c r="E55" s="118" t="s">
        <v>2</v>
      </c>
      <c r="J55" s="98" t="s">
        <v>33</v>
      </c>
      <c r="K55" s="116">
        <v>0</v>
      </c>
      <c r="R55" s="57">
        <f>IF(ISBLANK(M55),AVERAGE(K55:M55),((SUM(K55:M55)-MIN(K55:M55))*0.1+N55*0.2+O55*0.25+Q55*0.35)/ SUM(IF(ISBLANK(L55),0,0.1) + IF(ISBLANK(M55),0,0.1) + IF(ISBLANK(N55),0,0.2) + IF(ISBLANK(O55),0,0.25) + IF(ISBLANK(Q55),0,0.35)))</f>
        <v>0</v>
      </c>
      <c r="S55" s="57">
        <f>IF(V55&gt;2,(R55/20)*10,0)</f>
        <v>0</v>
      </c>
      <c r="T55" s="56">
        <f>SUMIF(E:E,E55,R:R) + SUMIF(E:E,E55,S:S)</f>
        <v>176.66000000000003</v>
      </c>
      <c r="U55" s="110">
        <v>3</v>
      </c>
      <c r="V55" s="110">
        <v>5</v>
      </c>
      <c r="W55" s="115" t="s">
        <v>37</v>
      </c>
    </row>
    <row r="56" spans="1:23">
      <c r="A56" s="10">
        <v>61</v>
      </c>
      <c r="B56" s="10">
        <v>61</v>
      </c>
      <c r="C56" s="11">
        <f>A56-B56</f>
        <v>0</v>
      </c>
      <c r="D56" s="115" t="s">
        <v>113</v>
      </c>
      <c r="E56" s="118" t="s">
        <v>76</v>
      </c>
      <c r="J56" s="98" t="s">
        <v>33</v>
      </c>
      <c r="K56" s="116">
        <v>0</v>
      </c>
      <c r="R56" s="57">
        <f>IF(ISBLANK(M56),AVERAGE(K56:M56),((SUM(K56:M56)-MIN(K56:M56))*0.1+N56*0.2+O56*0.25+Q56*0.35)/ SUM(IF(ISBLANK(L56),0,0.1) + IF(ISBLANK(M56),0,0.1) + IF(ISBLANK(N56),0,0.2) + IF(ISBLANK(O56),0,0.25) + IF(ISBLANK(Q56),0,0.35)))</f>
        <v>0</v>
      </c>
      <c r="S56" s="57">
        <f>IF(V56&gt;2,(R56/20)*10,0)</f>
        <v>0</v>
      </c>
      <c r="T56" s="56">
        <f>SUMIF(E:E,E56,R:R) + SUMIF(E:E,E56,S:S)</f>
        <v>155</v>
      </c>
      <c r="U56" s="110">
        <v>4</v>
      </c>
      <c r="V56" s="110">
        <v>3</v>
      </c>
      <c r="W56" s="115" t="s">
        <v>37</v>
      </c>
    </row>
    <row r="57" spans="1:23">
      <c r="A57" s="10">
        <v>60</v>
      </c>
      <c r="B57" s="10">
        <v>60</v>
      </c>
      <c r="C57" s="11">
        <f>A57-B57</f>
        <v>0</v>
      </c>
      <c r="D57" s="115" t="s">
        <v>187</v>
      </c>
      <c r="E57" s="118" t="s">
        <v>31</v>
      </c>
      <c r="J57" s="98" t="str">
        <f>VLOOKUP(E57,Team!Q:R,2,FALSE)</f>
        <v>Y</v>
      </c>
      <c r="K57" s="116">
        <v>0</v>
      </c>
      <c r="R57" s="57">
        <f>IF(ISBLANK(M57),AVERAGE(K57:M57),((SUM(K57:M57)-MIN(K57:M57))*0.1+N57*0.2+O57*0.25+Q57*0.35)/ SUM(IF(ISBLANK(L57),0,0.1) + IF(ISBLANK(M57),0,0.1) + IF(ISBLANK(N57),0,0.2) + IF(ISBLANK(O57),0,0.25) + IF(ISBLANK(Q57),0,0.35)))</f>
        <v>0</v>
      </c>
      <c r="S57" s="57">
        <f>IF(V57&gt;2,(R57/20)*10,0)</f>
        <v>0</v>
      </c>
      <c r="T57" s="56">
        <f>SUMIF(E:E,E57,R:R) + SUMIF(E:E,E57,S:S)</f>
        <v>131</v>
      </c>
      <c r="U57" s="110">
        <v>6</v>
      </c>
      <c r="V57" s="110">
        <v>5</v>
      </c>
      <c r="W57" s="115" t="s">
        <v>109</v>
      </c>
    </row>
    <row r="58" spans="1:23">
      <c r="A58" s="10">
        <v>57</v>
      </c>
      <c r="B58" s="10">
        <v>57</v>
      </c>
      <c r="C58" s="11">
        <f>A58-B58</f>
        <v>0</v>
      </c>
      <c r="D58" s="115" t="s">
        <v>79</v>
      </c>
      <c r="E58" s="118" t="s">
        <v>87</v>
      </c>
      <c r="J58" s="98" t="str">
        <f>VLOOKUP(E58,Team!Q:R,2,FALSE)</f>
        <v>Y</v>
      </c>
      <c r="K58" s="116">
        <v>0</v>
      </c>
      <c r="R58" s="57">
        <f>IF(ISBLANK(M58),AVERAGE(K58:M58),((SUM(K58:M58)-MIN(K58:M58))*0.1+N58*0.2+O58*0.25+Q58*0.35)/ SUM(IF(ISBLANK(L58),0,0.1) + IF(ISBLANK(M58),0,0.1) + IF(ISBLANK(N58),0,0.2) + IF(ISBLANK(O58),0,0.25) + IF(ISBLANK(Q58),0,0.35)))</f>
        <v>0</v>
      </c>
      <c r="S58" s="57">
        <f>IF(V58&gt;2,(R58/20)*10,0)</f>
        <v>0</v>
      </c>
      <c r="T58" s="56">
        <f>SUMIF(E:E,E58,R:R) + SUMIF(E:E,E58,S:S)</f>
        <v>113.33</v>
      </c>
      <c r="U58" s="110">
        <v>7</v>
      </c>
      <c r="V58" s="110">
        <v>3</v>
      </c>
      <c r="W58" s="115" t="s">
        <v>37</v>
      </c>
    </row>
    <row r="59" spans="1:23">
      <c r="A59" s="10">
        <v>58</v>
      </c>
      <c r="B59" s="10">
        <v>58</v>
      </c>
      <c r="C59" s="11">
        <f>A59-B59</f>
        <v>0</v>
      </c>
      <c r="D59" s="115" t="s">
        <v>90</v>
      </c>
      <c r="E59" s="118" t="s">
        <v>0</v>
      </c>
      <c r="J59" s="98" t="s">
        <v>33</v>
      </c>
      <c r="K59" s="116">
        <v>0</v>
      </c>
      <c r="R59" s="57">
        <f>IF(ISBLANK(M59),AVERAGE(K59:M59),((SUM(K59:M59)-MIN(K59:M59))*0.1+N59*0.2+O59*0.25+Q59*0.35)/ SUM(IF(ISBLANK(L59),0,0.1) + IF(ISBLANK(M59),0,0.1) + IF(ISBLANK(N59),0,0.2) + IF(ISBLANK(O59),0,0.25) + IF(ISBLANK(Q59),0,0.35)))</f>
        <v>0</v>
      </c>
      <c r="S59" s="57">
        <f>IF(V59&gt;2,(R59/20)*10,0)</f>
        <v>0</v>
      </c>
      <c r="T59" s="56">
        <f>SUMIF(E:E,E59,R:R) + SUMIF(E:E,E59,S:S)</f>
        <v>90</v>
      </c>
      <c r="U59" s="110">
        <v>8</v>
      </c>
      <c r="V59" s="110">
        <v>3</v>
      </c>
      <c r="W59" s="115" t="s">
        <v>37</v>
      </c>
    </row>
    <row r="60" spans="1:23">
      <c r="A60" s="10">
        <v>59</v>
      </c>
      <c r="B60" s="10">
        <v>59</v>
      </c>
      <c r="C60" s="11">
        <f>A60-B60</f>
        <v>0</v>
      </c>
      <c r="D60" s="115" t="s">
        <v>99</v>
      </c>
      <c r="E60" s="118" t="s">
        <v>0</v>
      </c>
      <c r="J60" s="98" t="s">
        <v>33</v>
      </c>
      <c r="K60" s="116">
        <v>0</v>
      </c>
      <c r="R60" s="57">
        <f>IF(ISBLANK(M60),AVERAGE(K60:M60),((SUM(K60:M60)-MIN(K60:M60))*0.1+N60*0.2+O60*0.25+Q60*0.35)/ SUM(IF(ISBLANK(L60),0,0.1) + IF(ISBLANK(M60),0,0.1) + IF(ISBLANK(N60),0,0.2) + IF(ISBLANK(O60),0,0.25) + IF(ISBLANK(Q60),0,0.35)))</f>
        <v>0</v>
      </c>
      <c r="S60" s="57">
        <f>IF(V60&gt;2,(R60/20)*10,0)</f>
        <v>0</v>
      </c>
      <c r="T60" s="56">
        <f>SUMIF(E:E,E60,R:R) + SUMIF(E:E,E60,S:S)</f>
        <v>90</v>
      </c>
      <c r="U60" s="110">
        <v>8</v>
      </c>
      <c r="V60" s="110">
        <v>4</v>
      </c>
      <c r="W60" s="115" t="s">
        <v>37</v>
      </c>
    </row>
    <row r="61" spans="1:23">
      <c r="A61" s="10">
        <v>67</v>
      </c>
      <c r="B61" s="10">
        <v>67</v>
      </c>
      <c r="C61" s="11">
        <f>A61-B61</f>
        <v>0</v>
      </c>
      <c r="D61" s="115" t="s">
        <v>100</v>
      </c>
      <c r="E61" s="118" t="s">
        <v>56</v>
      </c>
      <c r="J61" s="98" t="s">
        <v>33</v>
      </c>
      <c r="K61" s="116">
        <v>0</v>
      </c>
      <c r="R61" s="57">
        <f>IF(ISBLANK(M61),AVERAGE(K61:M61),((SUM(K61:M61)-MIN(K61:M61))*0.1+N61*0.2+O61*0.25+Q61*0.35)/ SUM(IF(ISBLANK(L61),0,0.1) + IF(ISBLANK(M61),0,0.1) + IF(ISBLANK(N61),0,0.2) + IF(ISBLANK(O61),0,0.25) + IF(ISBLANK(Q61),0,0.35)))</f>
        <v>0</v>
      </c>
      <c r="S61" s="57">
        <f>IF(V61&gt;2,(R61/20)*10,0)</f>
        <v>0</v>
      </c>
      <c r="T61" s="56">
        <f>SUMIF(E:E,E61,R:R) + SUMIF(E:E,E61,S:S)</f>
        <v>82.1</v>
      </c>
      <c r="U61" s="110">
        <v>9</v>
      </c>
      <c r="V61" s="110">
        <v>4</v>
      </c>
      <c r="W61" s="115" t="s">
        <v>37</v>
      </c>
    </row>
    <row r="62" spans="1:23">
      <c r="A62" s="10">
        <v>63</v>
      </c>
      <c r="B62" s="10">
        <v>63</v>
      </c>
      <c r="C62" s="11">
        <f>A62-B62</f>
        <v>0</v>
      </c>
      <c r="D62" s="115" t="s">
        <v>94</v>
      </c>
      <c r="E62" s="118" t="s">
        <v>193</v>
      </c>
      <c r="J62" s="98" t="str">
        <f>VLOOKUP(E62,Team!Q:R,2,FALSE)</f>
        <v>Y</v>
      </c>
      <c r="K62" s="116">
        <v>0</v>
      </c>
      <c r="R62" s="57">
        <f>IF(ISBLANK(M62),AVERAGE(K62:M62),((SUM(K62:M62)-MIN(K62:M62))*0.1+N62*0.2+O62*0.25+Q62*0.35)/ SUM(IF(ISBLANK(L62),0,0.1) + IF(ISBLANK(M62),0,0.1) + IF(ISBLANK(N62),0,0.2) + IF(ISBLANK(O62),0,0.25) + IF(ISBLANK(Q62),0,0.35)))</f>
        <v>0</v>
      </c>
      <c r="S62" s="57">
        <f>IF(V62&gt;2,(R62/20)*10,0)</f>
        <v>0</v>
      </c>
      <c r="T62" s="56">
        <f>SUMIF(E:E,E62,R:R) + SUMIF(E:E,E62,S:S)</f>
        <v>74.55</v>
      </c>
      <c r="U62" s="110">
        <v>10</v>
      </c>
      <c r="V62" s="110">
        <v>4</v>
      </c>
      <c r="W62" s="115" t="s">
        <v>37</v>
      </c>
    </row>
    <row r="63" spans="1:23">
      <c r="A63" s="10">
        <v>55</v>
      </c>
      <c r="B63" s="10">
        <v>55</v>
      </c>
      <c r="C63" s="11">
        <f>A63-B63</f>
        <v>0</v>
      </c>
      <c r="D63" s="115" t="s">
        <v>85</v>
      </c>
      <c r="E63" s="118" t="s">
        <v>5</v>
      </c>
      <c r="J63" s="98" t="str">
        <f>VLOOKUP(E63,Team!Q:R,2,FALSE)</f>
        <v>Y</v>
      </c>
      <c r="K63" s="116">
        <v>0</v>
      </c>
      <c r="R63" s="57">
        <f>IF(ISBLANK(M63),AVERAGE(K63:M63),((SUM(K63:M63)-MIN(K63:M63))*0.1+N63*0.2+O63*0.25+Q63*0.35)/ SUM(IF(ISBLANK(L63),0,0.1) + IF(ISBLANK(M63),0,0.1) + IF(ISBLANK(N63),0,0.2) + IF(ISBLANK(O63),0,0.25) + IF(ISBLANK(Q63),0,0.35)))</f>
        <v>0</v>
      </c>
      <c r="S63" s="57">
        <f>IF(V63&gt;2,(R63/20)*10,0)</f>
        <v>0</v>
      </c>
      <c r="T63" s="56">
        <f>SUMIF(E:E,E63,R:R) + SUMIF(E:E,E63,S:S)</f>
        <v>73.22</v>
      </c>
      <c r="U63" s="110">
        <v>11</v>
      </c>
      <c r="V63" s="110">
        <v>3</v>
      </c>
      <c r="W63" s="115" t="s">
        <v>37</v>
      </c>
    </row>
    <row r="64" spans="1:23">
      <c r="A64" s="10">
        <v>56</v>
      </c>
      <c r="B64" s="10">
        <v>56</v>
      </c>
      <c r="C64" s="11">
        <f>A64-B64</f>
        <v>0</v>
      </c>
      <c r="D64" s="115" t="s">
        <v>86</v>
      </c>
      <c r="E64" s="118" t="s">
        <v>5</v>
      </c>
      <c r="J64" s="98" t="s">
        <v>33</v>
      </c>
      <c r="K64" s="116">
        <v>0</v>
      </c>
      <c r="R64" s="57">
        <f>IF(ISBLANK(M64),AVERAGE(K64:M64),((SUM(K64:M64)-MIN(K64:M64))*0.1+N64*0.2+O64*0.25+Q64*0.35)/ SUM(IF(ISBLANK(L64),0,0.1) + IF(ISBLANK(M64),0,0.1) + IF(ISBLANK(N64),0,0.2) + IF(ISBLANK(O64),0,0.25) + IF(ISBLANK(Q64),0,0.35)))</f>
        <v>0</v>
      </c>
      <c r="S64" s="57">
        <f>IF(V64&gt;2,(R64/20)*10,0)</f>
        <v>0</v>
      </c>
      <c r="T64" s="56">
        <f>SUMIF(E:E,E64,R:R) + SUMIF(E:E,E64,S:S)</f>
        <v>73.22</v>
      </c>
      <c r="U64" s="110">
        <v>11</v>
      </c>
      <c r="V64" s="110">
        <v>4</v>
      </c>
      <c r="W64" s="115" t="s">
        <v>37</v>
      </c>
    </row>
    <row r="65" spans="1:23">
      <c r="A65" s="10">
        <v>65</v>
      </c>
      <c r="B65" s="10">
        <v>65</v>
      </c>
      <c r="C65" s="11">
        <f>A65-B65</f>
        <v>0</v>
      </c>
      <c r="D65" s="115" t="s">
        <v>189</v>
      </c>
      <c r="E65" s="118" t="s">
        <v>6</v>
      </c>
      <c r="J65" s="98" t="str">
        <f>VLOOKUP(E65,Team!Q:R,2,FALSE)</f>
        <v>Y</v>
      </c>
      <c r="K65" s="116">
        <v>0</v>
      </c>
      <c r="R65" s="57">
        <f>IF(ISBLANK(M65),AVERAGE(K65:M65),((SUM(K65:M65)-MIN(K65:M65))*0.1+N65*0.2+O65*0.25+Q65*0.35)/ SUM(IF(ISBLANK(L65),0,0.1) + IF(ISBLANK(M65),0,0.1) + IF(ISBLANK(N65),0,0.2) + IF(ISBLANK(O65),0,0.25) + IF(ISBLANK(Q65),0,0.35)))</f>
        <v>0</v>
      </c>
      <c r="S65" s="57">
        <f>IF(V65&gt;2,(R65/20)*10,0)</f>
        <v>0</v>
      </c>
      <c r="T65" s="56">
        <f>SUMIF(E:E,E65,R:R) + SUMIF(E:E,E65,S:S)</f>
        <v>70</v>
      </c>
      <c r="U65" s="110">
        <v>13</v>
      </c>
      <c r="V65" s="110">
        <v>3</v>
      </c>
      <c r="W65" s="115" t="s">
        <v>109</v>
      </c>
    </row>
    <row r="66" spans="1:23">
      <c r="A66" s="10">
        <v>64</v>
      </c>
      <c r="B66" s="10">
        <v>64</v>
      </c>
      <c r="C66" s="11">
        <f>A66-B66</f>
        <v>0</v>
      </c>
      <c r="D66" s="115" t="s">
        <v>38</v>
      </c>
      <c r="E66" s="118" t="s">
        <v>6</v>
      </c>
      <c r="J66" s="98" t="str">
        <f>VLOOKUP(E66,Team!Q:R,2,FALSE)</f>
        <v>Y</v>
      </c>
      <c r="K66" s="116">
        <v>0</v>
      </c>
      <c r="R66" s="57">
        <f>IF(ISBLANK(M66),AVERAGE(K66:M66),((SUM(K66:M66)-MIN(K66:M66))*0.1+N66*0.2+O66*0.25+Q66*0.35)/ SUM(IF(ISBLANK(L66),0,0.1) + IF(ISBLANK(M66),0,0.1) + IF(ISBLANK(N66),0,0.2) + IF(ISBLANK(O66),0,0.25) + IF(ISBLANK(Q66),0,0.35)))</f>
        <v>0</v>
      </c>
      <c r="S66" s="57">
        <f>IF(V66&gt;2,(R66/20)*10,0)</f>
        <v>0</v>
      </c>
      <c r="T66" s="56">
        <f>SUMIF(E:E,E66,R:R) + SUMIF(E:E,E66,S:S)</f>
        <v>70</v>
      </c>
      <c r="U66" s="110">
        <v>13</v>
      </c>
      <c r="V66" s="110">
        <v>4</v>
      </c>
      <c r="W66" s="115" t="s">
        <v>37</v>
      </c>
    </row>
    <row r="67" spans="1:23">
      <c r="A67" s="10">
        <v>70</v>
      </c>
      <c r="B67" s="10">
        <v>70</v>
      </c>
      <c r="C67" s="11">
        <f>A67-B67</f>
        <v>0</v>
      </c>
      <c r="D67" s="115" t="s">
        <v>192</v>
      </c>
      <c r="E67" s="118" t="s">
        <v>70</v>
      </c>
      <c r="J67" s="98" t="s">
        <v>33</v>
      </c>
      <c r="K67" s="116">
        <v>0</v>
      </c>
      <c r="R67" s="57">
        <f>IF(ISBLANK(M67),AVERAGE(K67:M67),((SUM(K67:M67)-MIN(K67:M67))*0.1+N67*0.2+O67*0.25+Q67*0.35)/ SUM(IF(ISBLANK(L67),0,0.1) + IF(ISBLANK(M67),0,0.1) + IF(ISBLANK(N67),0,0.2) + IF(ISBLANK(O67),0,0.25) + IF(ISBLANK(Q67),0,0.35)))</f>
        <v>0</v>
      </c>
      <c r="S67" s="57">
        <f>IF(V67&gt;2,(R67/20)*10,0)</f>
        <v>0</v>
      </c>
      <c r="T67" s="56">
        <f>SUMIF(E:E,E67,R:R) + SUMIF(E:E,E67,S:S)</f>
        <v>60.45</v>
      </c>
      <c r="U67" s="110">
        <v>14</v>
      </c>
      <c r="V67" s="110">
        <v>4</v>
      </c>
      <c r="W67" s="115" t="s">
        <v>109</v>
      </c>
    </row>
    <row r="68" spans="1:23">
      <c r="A68" s="10">
        <v>66</v>
      </c>
      <c r="B68" s="10">
        <v>66</v>
      </c>
      <c r="C68" s="11">
        <f>A68-B68</f>
        <v>0</v>
      </c>
      <c r="D68" s="115" t="s">
        <v>190</v>
      </c>
      <c r="E68" s="118" t="s">
        <v>39</v>
      </c>
      <c r="J68" s="98" t="str">
        <f>VLOOKUP(E68,Team!Q:R,2,FALSE)</f>
        <v>N</v>
      </c>
      <c r="K68" s="116">
        <v>0</v>
      </c>
      <c r="R68" s="57">
        <f>IF(ISBLANK(M68),AVERAGE(K68:M68),((SUM(K68:M68)-MIN(K68:M68))*0.1+N68*0.2+O68*0.25+Q68*0.35)/ SUM(IF(ISBLANK(L68),0,0.1) + IF(ISBLANK(M68),0,0.1) + IF(ISBLANK(N68),0,0.2) + IF(ISBLANK(O68),0,0.25) + IF(ISBLANK(Q68),0,0.35)))</f>
        <v>0</v>
      </c>
      <c r="S68" s="57">
        <f>IF(V68&gt;2,(R68/20)*10,0)</f>
        <v>0</v>
      </c>
      <c r="T68" s="56">
        <f>SUMIF(E:E,E68,R:R) + SUMIF(E:E,E68,S:S)</f>
        <v>43.774999999999999</v>
      </c>
      <c r="U68" s="110">
        <v>15</v>
      </c>
      <c r="V68" s="110">
        <v>3</v>
      </c>
      <c r="W68" s="115" t="s">
        <v>109</v>
      </c>
    </row>
    <row r="69" spans="1:23">
      <c r="A69" s="10">
        <v>69</v>
      </c>
      <c r="B69" s="10">
        <v>69</v>
      </c>
      <c r="C69" s="11">
        <f>A69-B69</f>
        <v>0</v>
      </c>
      <c r="D69" s="115" t="s">
        <v>191</v>
      </c>
      <c r="E69" s="118" t="s">
        <v>69</v>
      </c>
      <c r="J69" s="98" t="str">
        <f>VLOOKUP(E69,Team!Q:R,2,FALSE)</f>
        <v>Y</v>
      </c>
      <c r="K69" s="116">
        <v>0</v>
      </c>
      <c r="R69" s="57">
        <f>IF(ISBLANK(M69),AVERAGE(K69:M69),((SUM(K69:M69)-MIN(K69:M69))*0.1+N69*0.2+O69*0.25+Q69*0.35)/ SUM(IF(ISBLANK(L69),0,0.1) + IF(ISBLANK(M69),0,0.1) + IF(ISBLANK(N69),0,0.2) + IF(ISBLANK(O69),0,0.25) + IF(ISBLANK(Q69),0,0.35)))</f>
        <v>0</v>
      </c>
      <c r="S69" s="57">
        <f>IF(V69&gt;2,(R69/20)*10,0)</f>
        <v>0</v>
      </c>
      <c r="T69" s="56">
        <f>SUMIF(E:E,E69,R:R) + SUMIF(E:E,E69,S:S)</f>
        <v>35</v>
      </c>
      <c r="U69" s="110">
        <v>17</v>
      </c>
      <c r="V69" s="110">
        <v>3</v>
      </c>
      <c r="W69" s="115" t="s">
        <v>109</v>
      </c>
    </row>
    <row r="70" spans="1:23">
      <c r="A70" s="10">
        <v>68</v>
      </c>
      <c r="B70" s="10">
        <v>68</v>
      </c>
      <c r="C70" s="11">
        <f>A70-B70</f>
        <v>0</v>
      </c>
      <c r="D70" s="115" t="s">
        <v>65</v>
      </c>
      <c r="E70" s="118" t="s">
        <v>69</v>
      </c>
      <c r="J70" s="98" t="str">
        <f>VLOOKUP(E70,Team!Q:R,2,FALSE)</f>
        <v>Y</v>
      </c>
      <c r="K70" s="116">
        <v>0</v>
      </c>
      <c r="R70" s="57">
        <f>IF(ISBLANK(M70),AVERAGE(K70:M70),((SUM(K70:M70)-MIN(K70:M70))*0.1+N70*0.2+O70*0.25+Q70*0.35)/ SUM(IF(ISBLANK(L70),0,0.1) + IF(ISBLANK(M70),0,0.1) + IF(ISBLANK(N70),0,0.2) + IF(ISBLANK(O70),0,0.25) + IF(ISBLANK(Q70),0,0.35)))</f>
        <v>0</v>
      </c>
      <c r="S70" s="57">
        <f>IF(V70&gt;2,(R70/20)*10,0)</f>
        <v>0</v>
      </c>
      <c r="T70" s="56">
        <f>SUMIF(E:E,E70,R:R) + SUMIF(E:E,E70,S:S)</f>
        <v>35</v>
      </c>
      <c r="U70" s="110">
        <v>17</v>
      </c>
      <c r="V70" s="110">
        <v>4</v>
      </c>
      <c r="W70" s="115" t="s">
        <v>37</v>
      </c>
    </row>
    <row r="71" spans="1:23">
      <c r="A71" s="10">
        <v>62</v>
      </c>
      <c r="B71" s="10">
        <v>62</v>
      </c>
      <c r="C71" s="11">
        <f>A71-B71</f>
        <v>0</v>
      </c>
      <c r="D71" s="115" t="s">
        <v>188</v>
      </c>
      <c r="E71" s="118" t="s">
        <v>88</v>
      </c>
      <c r="J71" s="98" t="str">
        <f>VLOOKUP(E71,Team!Q:R,2,FALSE)</f>
        <v>N</v>
      </c>
      <c r="K71" s="116">
        <v>0</v>
      </c>
      <c r="R71" s="57">
        <f>IF(ISBLANK(M71),AVERAGE(K71:M71),((SUM(K71:M71)-MIN(K71:M71))*0.1+N71*0.2+O71*0.25+Q71*0.35)/ SUM(IF(ISBLANK(L71),0,0.1) + IF(ISBLANK(M71),0,0.1) + IF(ISBLANK(N71),0,0.2) + IF(ISBLANK(O71),0,0.25) + IF(ISBLANK(Q71),0,0.35)))</f>
        <v>0</v>
      </c>
      <c r="S71" s="57">
        <f>IF(V71&gt;2,(R71/20)*10,0)</f>
        <v>0</v>
      </c>
      <c r="T71" s="56">
        <f>SUMIF(E:E,E71,R:R) + SUMIF(E:E,E71,S:S)</f>
        <v>30.779999999999998</v>
      </c>
      <c r="U71" s="110">
        <v>19</v>
      </c>
      <c r="V71" s="110">
        <v>3</v>
      </c>
      <c r="W71" s="115" t="s">
        <v>37</v>
      </c>
    </row>
    <row r="72" spans="1:23">
      <c r="A72" s="10">
        <v>71</v>
      </c>
      <c r="B72" s="10">
        <v>71</v>
      </c>
      <c r="C72" s="11">
        <f>A72-B72</f>
        <v>0</v>
      </c>
      <c r="D72" s="115" t="s">
        <v>61</v>
      </c>
      <c r="E72" s="118" t="s">
        <v>39</v>
      </c>
      <c r="J72" s="98" t="str">
        <f>VLOOKUP(E72,Team!Q:R,2,FALSE)</f>
        <v>N</v>
      </c>
      <c r="K72" s="116">
        <v>-0.67</v>
      </c>
      <c r="R72" s="57">
        <f>IF(ISBLANK(M72),AVERAGE(K72:M72),((SUM(K72:M72)-MIN(K72:M72))*0.1+N72*0.2+O72*0.25+Q72*0.35)/ SUM(IF(ISBLANK(L72),0,0.1) + IF(ISBLANK(M72),0,0.1) + IF(ISBLANK(N72),0,0.2) + IF(ISBLANK(O72),0,0.25) + IF(ISBLANK(Q72),0,0.35)))</f>
        <v>-0.67</v>
      </c>
      <c r="S72" s="57">
        <f>IF(V72&gt;2,(R72/20)*10,0)</f>
        <v>-0.33500000000000002</v>
      </c>
      <c r="T72" s="56">
        <f>SUMIF(E:E,E72,R:R) + SUMIF(E:E,E72,S:S)</f>
        <v>43.774999999999999</v>
      </c>
      <c r="U72" s="110">
        <v>15</v>
      </c>
      <c r="V72" s="110">
        <v>4</v>
      </c>
      <c r="W72" s="115" t="s">
        <v>37</v>
      </c>
    </row>
  </sheetData>
  <autoFilter ref="A1:W72" xr:uid="{00000000-0009-0000-0000-000000000000}">
    <sortState xmlns:xlrd2="http://schemas.microsoft.com/office/spreadsheetml/2017/richdata2" ref="A2:W72">
      <sortCondition descending="1" ref="R1:R72"/>
    </sortState>
  </autoFilter>
  <conditionalFormatting sqref="A1:B1048576">
    <cfRule type="cellIs" dxfId="14" priority="2306" operator="between">
      <formula>20.5</formula>
      <formula>30.5</formula>
    </cfRule>
    <cfRule type="cellIs" dxfId="13" priority="2307" operator="between">
      <formula>15.5</formula>
      <formula>20.5</formula>
    </cfRule>
    <cfRule type="cellIs" dxfId="12" priority="2308" operator="between">
      <formula>5.5</formula>
      <formula>15.5</formula>
    </cfRule>
    <cfRule type="cellIs" dxfId="11" priority="2309" operator="between">
      <formula>0.5</formula>
      <formula>5.5</formula>
    </cfRule>
  </conditionalFormatting>
  <conditionalFormatting sqref="I1:I1048576">
    <cfRule type="cellIs" dxfId="10" priority="146" operator="between">
      <formula>5</formula>
      <formula>8</formula>
    </cfRule>
    <cfRule type="cellIs" dxfId="9" priority="147" operator="between">
      <formula>11</formula>
      <formula>12</formula>
    </cfRule>
  </conditionalFormatting>
  <conditionalFormatting sqref="V1:V33 V38:V1048576">
    <cfRule type="cellIs" dxfId="8" priority="28" operator="equal">
      <formula>4</formula>
    </cfRule>
    <cfRule type="cellIs" dxfId="7" priority="51" operator="equal">
      <formula>3</formula>
    </cfRule>
  </conditionalFormatting>
  <conditionalFormatting sqref="K1:Q1 K73:Q1048576 L2:O72 Q52:Q72">
    <cfRule type="cellIs" dxfId="6" priority="52" operator="between">
      <formula>49.99</formula>
      <formula>60.01</formula>
    </cfRule>
    <cfRule type="cellIs" dxfId="5" priority="53" operator="between">
      <formula>59.99</formula>
      <formula>69.99</formula>
    </cfRule>
    <cfRule type="cellIs" dxfId="4" priority="54" operator="between">
      <formula>69.99</formula>
      <formula>79.99</formula>
    </cfRule>
    <cfRule type="cellIs" dxfId="3" priority="55" operator="between">
      <formula>79.99</formula>
      <formula>90.01</formula>
    </cfRule>
  </conditionalFormatting>
  <conditionalFormatting sqref="U1:U1048576">
    <cfRule type="cellIs" dxfId="2" priority="21" operator="between">
      <formula>9.1</formula>
      <formula>17.9</formula>
    </cfRule>
    <cfRule type="cellIs" dxfId="1" priority="22" operator="greaterThan">
      <formula>18.1</formula>
    </cfRule>
  </conditionalFormatting>
  <conditionalFormatting sqref="V1:V1048576">
    <cfRule type="cellIs" dxfId="0" priority="73" operator="equal">
      <formula>2</formula>
    </cfRule>
  </conditionalFormatting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Q108"/>
  <sheetViews>
    <sheetView tabSelected="1" zoomScale="90" zoomScaleNormal="90" zoomScalePageLayoutView="90" workbookViewId="0">
      <pane xSplit="4" ySplit="2" topLeftCell="E3" activePane="bottomRight" state="frozen"/>
      <selection activeCell="J30" sqref="J30"/>
      <selection pane="topRight" activeCell="J30" sqref="J30"/>
      <selection pane="bottomLeft" activeCell="J30" sqref="J30"/>
      <selection pane="bottomRight" activeCell="G31" sqref="G31"/>
    </sheetView>
  </sheetViews>
  <sheetFormatPr baseColWidth="10" defaultColWidth="8.83203125" defaultRowHeight="15"/>
  <cols>
    <col min="1" max="1" width="5.6640625" style="96" bestFit="1" customWidth="1"/>
    <col min="2" max="2" width="21.5" style="125" bestFit="1" customWidth="1"/>
    <col min="3" max="3" width="7.83203125" style="96" bestFit="1" customWidth="1"/>
    <col min="4" max="4" width="5.6640625" style="96" bestFit="1" customWidth="1"/>
    <col min="5" max="9" width="8.33203125" style="97" bestFit="1" customWidth="1"/>
    <col min="10" max="12" width="6.6640625" style="97" bestFit="1" customWidth="1"/>
    <col min="13" max="13" width="8.83203125" style="34"/>
    <col min="14" max="14" width="4.5" style="34" bestFit="1" customWidth="1"/>
    <col min="15" max="15" width="8.83203125" style="34"/>
    <col min="16" max="16" width="6" style="54" bestFit="1" customWidth="1"/>
    <col min="17" max="17" width="35" style="34" bestFit="1" customWidth="1"/>
    <col min="18" max="16384" width="8.83203125" style="34"/>
  </cols>
  <sheetData>
    <row r="1" spans="1:17" s="54" customFormat="1" ht="24.75" customHeight="1" thickBot="1">
      <c r="A1" s="61"/>
      <c r="B1" s="120"/>
      <c r="C1" s="63"/>
      <c r="D1" s="62"/>
      <c r="E1" s="113" t="s">
        <v>53</v>
      </c>
      <c r="F1" s="114"/>
      <c r="G1" s="114"/>
      <c r="H1" s="64" t="s">
        <v>49</v>
      </c>
      <c r="I1" s="65" t="s">
        <v>50</v>
      </c>
      <c r="J1" s="64" t="s">
        <v>51</v>
      </c>
      <c r="K1" s="66" t="s">
        <v>52</v>
      </c>
      <c r="L1" s="65"/>
    </row>
    <row r="2" spans="1:17" ht="16" thickBot="1">
      <c r="A2" s="67" t="s">
        <v>24</v>
      </c>
      <c r="B2" s="121" t="s">
        <v>21</v>
      </c>
      <c r="C2" s="69" t="s">
        <v>18</v>
      </c>
      <c r="D2" s="68" t="s">
        <v>35</v>
      </c>
      <c r="E2" s="70" t="s">
        <v>30</v>
      </c>
      <c r="F2" s="71" t="s">
        <v>29</v>
      </c>
      <c r="G2" s="71" t="s">
        <v>28</v>
      </c>
      <c r="H2" s="71" t="s">
        <v>27</v>
      </c>
      <c r="I2" s="72" t="s">
        <v>26</v>
      </c>
      <c r="J2" s="71" t="s">
        <v>17</v>
      </c>
      <c r="K2" s="73" t="s">
        <v>25</v>
      </c>
      <c r="L2" s="72" t="s">
        <v>15</v>
      </c>
    </row>
    <row r="3" spans="1:17">
      <c r="A3" s="74">
        <f t="shared" ref="A3:A66" si="0">IF(L3=L2,A2,N3)</f>
        <v>1</v>
      </c>
      <c r="B3" s="122" t="s">
        <v>41</v>
      </c>
      <c r="C3" s="75" t="str">
        <f>VLOOKUP(B3,MAINQ!D:E,2,FALSE)</f>
        <v>ABC1</v>
      </c>
      <c r="D3" s="76" t="str">
        <f>VLOOKUP(B3,MAINQ!D:W,20,FALSE)</f>
        <v>Vet</v>
      </c>
      <c r="E3" s="77">
        <f>VLOOKUP(B3,MAINQ!D:Q,8,FALSE)</f>
        <v>84</v>
      </c>
      <c r="F3" s="78"/>
      <c r="G3" s="78"/>
      <c r="H3" s="78"/>
      <c r="I3" s="79"/>
      <c r="J3" s="78"/>
      <c r="K3" s="80"/>
      <c r="L3" s="81">
        <f t="shared" ref="L3:L49" si="1">VLOOKUP(B3,YTDInd,15,FALSE)</f>
        <v>84</v>
      </c>
      <c r="N3" s="34">
        <f>ROW()-2</f>
        <v>1</v>
      </c>
      <c r="P3" s="54" t="s">
        <v>149</v>
      </c>
      <c r="Q3" s="34" t="str">
        <f>CONCATENATE(A3,". ",B3," - ",C3," - ",P3)</f>
        <v>1. Samuel Do - ABC1 - 86.31</v>
      </c>
    </row>
    <row r="4" spans="1:17">
      <c r="A4" s="82">
        <f t="shared" si="0"/>
        <v>2</v>
      </c>
      <c r="B4" s="123" t="s">
        <v>40</v>
      </c>
      <c r="C4" s="111" t="str">
        <f>VLOOKUP(B4,MAINQ!D:E,2,FALSE)</f>
        <v>ABC2</v>
      </c>
      <c r="D4" s="84" t="str">
        <f>VLOOKUP(B4,MAINQ!D:W,20,FALSE)</f>
        <v>Vet</v>
      </c>
      <c r="E4" s="85">
        <f>VLOOKUP(B4,MAINQ!D:Q,8,FALSE)</f>
        <v>82.22</v>
      </c>
      <c r="F4" s="112"/>
      <c r="G4" s="112"/>
      <c r="H4" s="112"/>
      <c r="I4" s="59"/>
      <c r="J4" s="112"/>
      <c r="K4" s="58"/>
      <c r="L4" s="87">
        <f t="shared" si="1"/>
        <v>82.22</v>
      </c>
      <c r="N4" s="34">
        <f t="shared" ref="N4:N67" si="2">ROW()-2</f>
        <v>2</v>
      </c>
      <c r="P4" s="54" t="s">
        <v>150</v>
      </c>
      <c r="Q4" s="34" t="str">
        <f t="shared" ref="Q4:Q42" si="3">CONCATENATE(A4,". ",B4," - ",C4," - ",P4)</f>
        <v>2. Abigail Taw - ABC2 - 86.04</v>
      </c>
    </row>
    <row r="5" spans="1:17">
      <c r="A5" s="82">
        <f t="shared" si="0"/>
        <v>3</v>
      </c>
      <c r="B5" s="123" t="s">
        <v>66</v>
      </c>
      <c r="C5" s="111" t="str">
        <f>VLOOKUP(B5,MAINQ!D:E,2,FALSE)</f>
        <v>MAD1</v>
      </c>
      <c r="D5" s="84" t="str">
        <f>VLOOKUP(B5,MAINQ!D:W,20,FALSE)</f>
        <v>Vet</v>
      </c>
      <c r="E5" s="85">
        <f>VLOOKUP(B5,MAINQ!D:Q,8,FALSE)</f>
        <v>80</v>
      </c>
      <c r="F5" s="112"/>
      <c r="G5" s="112"/>
      <c r="H5" s="112"/>
      <c r="I5" s="59"/>
      <c r="J5" s="112"/>
      <c r="K5" s="58"/>
      <c r="L5" s="87">
        <f t="shared" si="1"/>
        <v>80</v>
      </c>
      <c r="N5" s="34">
        <f t="shared" si="2"/>
        <v>3</v>
      </c>
      <c r="P5" s="54" t="s">
        <v>151</v>
      </c>
      <c r="Q5" s="34" t="str">
        <f t="shared" si="3"/>
        <v>3. Brooke Delamarter - MAD1 - 85.83</v>
      </c>
    </row>
    <row r="6" spans="1:17">
      <c r="A6" s="82">
        <f t="shared" si="0"/>
        <v>4</v>
      </c>
      <c r="B6" s="123" t="s">
        <v>75</v>
      </c>
      <c r="C6" s="111" t="str">
        <f>VLOOKUP(B6,MAINQ!D:E,2,FALSE)</f>
        <v>MAD1</v>
      </c>
      <c r="D6" s="84" t="str">
        <f>VLOOKUP(B6,MAINQ!D:W,20,FALSE)</f>
        <v>Vet</v>
      </c>
      <c r="E6" s="85">
        <f>VLOOKUP(B6,MAINQ!D:Q,8,FALSE)</f>
        <v>75</v>
      </c>
      <c r="F6" s="112"/>
      <c r="G6" s="112"/>
      <c r="H6" s="112"/>
      <c r="I6" s="59"/>
      <c r="J6" s="112"/>
      <c r="K6" s="58"/>
      <c r="L6" s="87">
        <f t="shared" si="1"/>
        <v>75</v>
      </c>
      <c r="N6" s="34">
        <f t="shared" si="2"/>
        <v>4</v>
      </c>
      <c r="P6" s="54" t="s">
        <v>152</v>
      </c>
      <c r="Q6" s="34" t="str">
        <f t="shared" si="3"/>
        <v>4. Lincoln Delamarter - MAD1 - 73.04</v>
      </c>
    </row>
    <row r="7" spans="1:17" ht="16" thickBot="1">
      <c r="A7" s="88">
        <f t="shared" si="0"/>
        <v>5</v>
      </c>
      <c r="B7" s="124" t="s">
        <v>96</v>
      </c>
      <c r="C7" s="89" t="str">
        <f>VLOOKUP(B7,MAINQ!D:E,2,FALSE)</f>
        <v>DAC1</v>
      </c>
      <c r="D7" s="90" t="str">
        <f>VLOOKUP(B7,MAINQ!D:W,20,FALSE)</f>
        <v>Vet</v>
      </c>
      <c r="E7" s="91">
        <f>VLOOKUP(B7,MAINQ!D:Q,8,FALSE)</f>
        <v>71.11</v>
      </c>
      <c r="F7" s="92"/>
      <c r="G7" s="92"/>
      <c r="H7" s="92"/>
      <c r="I7" s="93"/>
      <c r="J7" s="92"/>
      <c r="K7" s="94"/>
      <c r="L7" s="95">
        <f t="shared" si="1"/>
        <v>71.11</v>
      </c>
      <c r="N7" s="34">
        <f t="shared" si="2"/>
        <v>5</v>
      </c>
      <c r="P7" s="54" t="s">
        <v>153</v>
      </c>
      <c r="Q7" s="34" t="str">
        <f t="shared" si="3"/>
        <v>5. Aidan Arthur - DAC1 - 69.71</v>
      </c>
    </row>
    <row r="8" spans="1:17">
      <c r="A8" s="74">
        <f t="shared" si="0"/>
        <v>6</v>
      </c>
      <c r="B8" s="122" t="s">
        <v>83</v>
      </c>
      <c r="C8" s="75" t="str">
        <f>VLOOKUP(B8,MAINQ!D:E,2,FALSE)</f>
        <v>LH3</v>
      </c>
      <c r="D8" s="76" t="str">
        <f>VLOOKUP(B8,MAINQ!D:W,20,FALSE)</f>
        <v>Vet</v>
      </c>
      <c r="E8" s="77">
        <f>VLOOKUP(B8,MAINQ!D:Q,8,FALSE)</f>
        <v>68.75</v>
      </c>
      <c r="F8" s="78"/>
      <c r="G8" s="78"/>
      <c r="H8" s="78"/>
      <c r="I8" s="78"/>
      <c r="J8" s="80"/>
      <c r="K8" s="79"/>
      <c r="L8" s="81">
        <f t="shared" si="1"/>
        <v>68.75</v>
      </c>
      <c r="N8" s="34">
        <f t="shared" si="2"/>
        <v>6</v>
      </c>
      <c r="P8" s="54" t="s">
        <v>154</v>
      </c>
      <c r="Q8" s="34" t="str">
        <f t="shared" si="3"/>
        <v>6. Lindsey Hinthorne - LH3 - 69.56</v>
      </c>
    </row>
    <row r="9" spans="1:17">
      <c r="A9" s="82">
        <f t="shared" si="0"/>
        <v>7</v>
      </c>
      <c r="B9" s="123" t="s">
        <v>134</v>
      </c>
      <c r="C9" s="111" t="str">
        <f>VLOOKUP(B9,MAINQ!D:E,2,FALSE)</f>
        <v>LH2</v>
      </c>
      <c r="D9" s="84" t="str">
        <f>VLOOKUP(B9,MAINQ!D:W,20,FALSE)</f>
        <v>Vet</v>
      </c>
      <c r="E9" s="85">
        <f>VLOOKUP(B9,MAINQ!D:Q,8,FALSE)</f>
        <v>67.5</v>
      </c>
      <c r="F9" s="112"/>
      <c r="G9" s="112"/>
      <c r="H9" s="112"/>
      <c r="I9" s="112"/>
      <c r="J9" s="58"/>
      <c r="K9" s="59"/>
      <c r="L9" s="87">
        <f t="shared" si="1"/>
        <v>67.5</v>
      </c>
      <c r="N9" s="34">
        <f t="shared" si="2"/>
        <v>7</v>
      </c>
      <c r="P9" s="54" t="s">
        <v>155</v>
      </c>
      <c r="Q9" s="34" t="str">
        <f t="shared" si="3"/>
        <v>7. Garret Wright - LH2 - 68.33</v>
      </c>
    </row>
    <row r="10" spans="1:17">
      <c r="A10" s="82">
        <f t="shared" si="0"/>
        <v>8</v>
      </c>
      <c r="B10" s="123" t="s">
        <v>74</v>
      </c>
      <c r="C10" s="111" t="str">
        <f>VLOOKUP(B10,MAINQ!D:E,2,FALSE)</f>
        <v>ABC3</v>
      </c>
      <c r="D10" s="84" t="str">
        <f>VLOOKUP(B10,MAINQ!D:W,20,FALSE)</f>
        <v>Vet</v>
      </c>
      <c r="E10" s="85">
        <f>VLOOKUP(B10,MAINQ!D:Q,8,FALSE)</f>
        <v>64.67</v>
      </c>
      <c r="F10" s="112"/>
      <c r="G10" s="112"/>
      <c r="H10" s="112"/>
      <c r="I10" s="112"/>
      <c r="J10" s="58"/>
      <c r="K10" s="59"/>
      <c r="L10" s="87">
        <f t="shared" si="1"/>
        <v>64.67</v>
      </c>
      <c r="N10" s="34">
        <f t="shared" si="2"/>
        <v>8</v>
      </c>
      <c r="P10" s="54" t="s">
        <v>156</v>
      </c>
      <c r="Q10" s="34" t="str">
        <f t="shared" si="3"/>
        <v>8. Ruby Borden - ABC3 - 66.72</v>
      </c>
    </row>
    <row r="11" spans="1:17">
      <c r="A11" s="82">
        <f t="shared" si="0"/>
        <v>9</v>
      </c>
      <c r="B11" s="123" t="s">
        <v>81</v>
      </c>
      <c r="C11" s="111" t="str">
        <f>VLOOKUP(B11,MAINQ!D:E,2,FALSE)</f>
        <v>EBC2</v>
      </c>
      <c r="D11" s="84" t="str">
        <f>VLOOKUP(B11,MAINQ!D:W,20,FALSE)</f>
        <v>Vet</v>
      </c>
      <c r="E11" s="85">
        <f>VLOOKUP(B11,MAINQ!D:Q,8,FALSE)</f>
        <v>61.11</v>
      </c>
      <c r="F11" s="112"/>
      <c r="G11" s="112"/>
      <c r="H11" s="112"/>
      <c r="I11" s="112"/>
      <c r="J11" s="58"/>
      <c r="K11" s="59"/>
      <c r="L11" s="87">
        <f t="shared" si="1"/>
        <v>61.11</v>
      </c>
      <c r="N11" s="34">
        <f t="shared" si="2"/>
        <v>9</v>
      </c>
      <c r="P11" s="54" t="s">
        <v>157</v>
      </c>
      <c r="Q11" s="34" t="str">
        <f t="shared" si="3"/>
        <v>9. Aiden Carlton - EBC2 - 64.51</v>
      </c>
    </row>
    <row r="12" spans="1:17" ht="16" thickBot="1">
      <c r="A12" s="88">
        <f t="shared" si="0"/>
        <v>10</v>
      </c>
      <c r="B12" s="124" t="s">
        <v>62</v>
      </c>
      <c r="C12" s="89" t="str">
        <f>VLOOKUP(B12,MAINQ!D:E,2,FALSE)</f>
        <v>LH4</v>
      </c>
      <c r="D12" s="90" t="str">
        <f>VLOOKUP(B12,MAINQ!D:W,20,FALSE)</f>
        <v>Vet</v>
      </c>
      <c r="E12" s="91">
        <f>VLOOKUP(B12,MAINQ!D:Q,8,FALSE)</f>
        <v>58</v>
      </c>
      <c r="F12" s="92"/>
      <c r="G12" s="92"/>
      <c r="H12" s="92"/>
      <c r="I12" s="92"/>
      <c r="J12" s="94"/>
      <c r="K12" s="93"/>
      <c r="L12" s="95">
        <f t="shared" si="1"/>
        <v>58</v>
      </c>
      <c r="N12" s="34">
        <f t="shared" si="2"/>
        <v>10</v>
      </c>
      <c r="P12" s="54" t="s">
        <v>158</v>
      </c>
      <c r="Q12" s="34" t="str">
        <f t="shared" si="3"/>
        <v>10. Logan Meredith - LH4 - 59.83</v>
      </c>
    </row>
    <row r="13" spans="1:17">
      <c r="A13" s="74">
        <f t="shared" si="0"/>
        <v>11</v>
      </c>
      <c r="B13" s="122" t="s">
        <v>72</v>
      </c>
      <c r="C13" s="75" t="str">
        <f>VLOOKUP(B13,MAINQ!D:E,2,FALSE)</f>
        <v>ABC1</v>
      </c>
      <c r="D13" s="76" t="str">
        <f>VLOOKUP(B13,MAINQ!D:W,20,FALSE)</f>
        <v>Vet</v>
      </c>
      <c r="E13" s="77">
        <f>VLOOKUP(B13,MAINQ!D:Q,8,FALSE)</f>
        <v>56</v>
      </c>
      <c r="F13" s="78"/>
      <c r="G13" s="78"/>
      <c r="H13" s="78"/>
      <c r="I13" s="78"/>
      <c r="J13" s="80"/>
      <c r="K13" s="79"/>
      <c r="L13" s="81">
        <f t="shared" si="1"/>
        <v>56</v>
      </c>
      <c r="N13" s="34">
        <f t="shared" si="2"/>
        <v>11</v>
      </c>
      <c r="P13" s="54" t="s">
        <v>159</v>
      </c>
      <c r="Q13" s="34" t="str">
        <f t="shared" si="3"/>
        <v>11. Michael Borden - ABC1 - 56.84</v>
      </c>
    </row>
    <row r="14" spans="1:17">
      <c r="A14" s="82">
        <f t="shared" si="0"/>
        <v>11</v>
      </c>
      <c r="B14" s="123" t="s">
        <v>103</v>
      </c>
      <c r="C14" s="111" t="str">
        <f>VLOOKUP(B14,MAINQ!D:E,2,FALSE)</f>
        <v>LH1</v>
      </c>
      <c r="D14" s="84" t="str">
        <f>VLOOKUP(B14,MAINQ!D:W,20,FALSE)</f>
        <v>Vet</v>
      </c>
      <c r="E14" s="85">
        <f>VLOOKUP(B14,MAINQ!D:Q,8,FALSE)</f>
        <v>56</v>
      </c>
      <c r="F14" s="112"/>
      <c r="G14" s="112"/>
      <c r="H14" s="112"/>
      <c r="I14" s="112"/>
      <c r="J14" s="58"/>
      <c r="K14" s="59"/>
      <c r="L14" s="87">
        <f t="shared" si="1"/>
        <v>56</v>
      </c>
      <c r="N14" s="34">
        <f t="shared" si="2"/>
        <v>12</v>
      </c>
      <c r="P14" s="54" t="s">
        <v>160</v>
      </c>
      <c r="Q14" s="34" t="str">
        <f t="shared" si="3"/>
        <v>11. Ethan Wright - LH1 - 56.70</v>
      </c>
    </row>
    <row r="15" spans="1:17">
      <c r="A15" s="82">
        <f t="shared" si="0"/>
        <v>13</v>
      </c>
      <c r="B15" s="123" t="s">
        <v>71</v>
      </c>
      <c r="C15" s="111" t="str">
        <f>VLOOKUP(B15,MAINQ!D:E,2,FALSE)</f>
        <v>ABC2</v>
      </c>
      <c r="D15" s="84" t="str">
        <f>VLOOKUP(B15,MAINQ!D:W,20,FALSE)</f>
        <v>Vet</v>
      </c>
      <c r="E15" s="85">
        <f>VLOOKUP(B15,MAINQ!D:Q,8,FALSE)</f>
        <v>55.56</v>
      </c>
      <c r="F15" s="112"/>
      <c r="G15" s="112"/>
      <c r="H15" s="112"/>
      <c r="I15" s="112"/>
      <c r="J15" s="58"/>
      <c r="K15" s="59"/>
      <c r="L15" s="87">
        <f t="shared" si="1"/>
        <v>55.56</v>
      </c>
      <c r="N15" s="34">
        <f t="shared" si="2"/>
        <v>13</v>
      </c>
      <c r="P15" s="54" t="s">
        <v>161</v>
      </c>
      <c r="Q15" s="34" t="str">
        <f t="shared" si="3"/>
        <v>13. Matthew Borden - ABC2 - 54.85</v>
      </c>
    </row>
    <row r="16" spans="1:17">
      <c r="A16" s="82">
        <f t="shared" si="0"/>
        <v>14</v>
      </c>
      <c r="B16" s="123" t="s">
        <v>80</v>
      </c>
      <c r="C16" s="111" t="str">
        <f>VLOOKUP(B16,MAINQ!D:E,2,FALSE)</f>
        <v>EBC2</v>
      </c>
      <c r="D16" s="84" t="str">
        <f>VLOOKUP(B16,MAINQ!D:W,20,FALSE)</f>
        <v>Vet</v>
      </c>
      <c r="E16" s="85">
        <f>VLOOKUP(B16,MAINQ!D:Q,8,FALSE)</f>
        <v>52.22</v>
      </c>
      <c r="F16" s="112"/>
      <c r="G16" s="112"/>
      <c r="H16" s="112"/>
      <c r="I16" s="112"/>
      <c r="J16" s="58"/>
      <c r="K16" s="59"/>
      <c r="L16" s="87">
        <f t="shared" si="1"/>
        <v>52.22</v>
      </c>
      <c r="N16" s="34">
        <f t="shared" si="2"/>
        <v>14</v>
      </c>
      <c r="P16" s="54" t="s">
        <v>162</v>
      </c>
      <c r="Q16" s="34" t="str">
        <f t="shared" si="3"/>
        <v>14. Danny Kerr - EBC2 - 50.99</v>
      </c>
    </row>
    <row r="17" spans="1:17" ht="16" thickBot="1">
      <c r="A17" s="88">
        <f t="shared" si="0"/>
        <v>15</v>
      </c>
      <c r="B17" s="124" t="s">
        <v>42</v>
      </c>
      <c r="C17" s="89" t="str">
        <f>VLOOKUP(B17,MAINQ!D:E,2,FALSE)</f>
        <v>LH6</v>
      </c>
      <c r="D17" s="90" t="str">
        <f>VLOOKUP(B17,MAINQ!D:W,20,FALSE)</f>
        <v>Vet</v>
      </c>
      <c r="E17" s="91">
        <f>VLOOKUP(B17,MAINQ!D:Q,8,FALSE)</f>
        <v>47.33</v>
      </c>
      <c r="F17" s="92"/>
      <c r="G17" s="92"/>
      <c r="H17" s="92"/>
      <c r="I17" s="92"/>
      <c r="J17" s="94"/>
      <c r="K17" s="93"/>
      <c r="L17" s="95">
        <f t="shared" si="1"/>
        <v>47.33</v>
      </c>
      <c r="N17" s="34">
        <f t="shared" si="2"/>
        <v>15</v>
      </c>
      <c r="P17" s="54" t="s">
        <v>163</v>
      </c>
      <c r="Q17" s="34" t="str">
        <f t="shared" si="3"/>
        <v>15. Maddy Cliffe - LH6 - 43.92</v>
      </c>
    </row>
    <row r="18" spans="1:17">
      <c r="A18" s="74">
        <f t="shared" si="0"/>
        <v>16</v>
      </c>
      <c r="B18" s="122" t="s">
        <v>102</v>
      </c>
      <c r="C18" s="75" t="str">
        <f>VLOOKUP(B18,MAINQ!D:E,2,FALSE)</f>
        <v>LH4</v>
      </c>
      <c r="D18" s="76" t="str">
        <f>VLOOKUP(B18,MAINQ!D:W,20,FALSE)</f>
        <v>Vet</v>
      </c>
      <c r="E18" s="77">
        <f>VLOOKUP(B18,MAINQ!D:Q,8,FALSE)</f>
        <v>43</v>
      </c>
      <c r="F18" s="78"/>
      <c r="G18" s="78"/>
      <c r="H18" s="78"/>
      <c r="I18" s="78"/>
      <c r="J18" s="80"/>
      <c r="K18" s="79"/>
      <c r="L18" s="81">
        <f t="shared" si="1"/>
        <v>43</v>
      </c>
      <c r="N18" s="34">
        <f t="shared" si="2"/>
        <v>16</v>
      </c>
      <c r="P18" s="54" t="s">
        <v>164</v>
      </c>
      <c r="Q18" s="34" t="str">
        <f t="shared" si="3"/>
        <v>16. Emily Barrett - LH4 - 33.10</v>
      </c>
    </row>
    <row r="19" spans="1:17">
      <c r="A19" s="82">
        <f t="shared" si="0"/>
        <v>17</v>
      </c>
      <c r="B19" s="123" t="s">
        <v>174</v>
      </c>
      <c r="C19" s="111" t="str">
        <f>VLOOKUP(B19,MAINQ!D:E,2,FALSE)</f>
        <v>DAC1</v>
      </c>
      <c r="D19" s="84" t="str">
        <f>VLOOKUP(B19,MAINQ!D:W,20,FALSE)</f>
        <v>Rook</v>
      </c>
      <c r="E19" s="85">
        <f>VLOOKUP(B19,MAINQ!D:Q,8,FALSE)</f>
        <v>42.22</v>
      </c>
      <c r="F19" s="112"/>
      <c r="G19" s="112"/>
      <c r="H19" s="112"/>
      <c r="I19" s="112"/>
      <c r="J19" s="58"/>
      <c r="K19" s="59"/>
      <c r="L19" s="87">
        <f t="shared" si="1"/>
        <v>42.22</v>
      </c>
      <c r="N19" s="34">
        <f t="shared" si="2"/>
        <v>17</v>
      </c>
      <c r="P19" s="54" t="s">
        <v>165</v>
      </c>
      <c r="Q19" s="34" t="str">
        <f t="shared" si="3"/>
        <v>17. Christi Adams - DAC1 - 32.19</v>
      </c>
    </row>
    <row r="20" spans="1:17">
      <c r="A20" s="82">
        <f t="shared" si="0"/>
        <v>18</v>
      </c>
      <c r="B20" s="123" t="s">
        <v>104</v>
      </c>
      <c r="C20" s="83" t="str">
        <f>VLOOKUP(B20,MAINQ!D:E,2,FALSE)</f>
        <v>LH8</v>
      </c>
      <c r="D20" s="84" t="str">
        <f>VLOOKUP(B20,MAINQ!D:W,20,FALSE)</f>
        <v>Vet</v>
      </c>
      <c r="E20" s="85">
        <f>VLOOKUP(B20,MAINQ!D:Q,8,FALSE)</f>
        <v>42.11</v>
      </c>
      <c r="F20" s="86"/>
      <c r="G20" s="86"/>
      <c r="H20" s="86"/>
      <c r="I20" s="86"/>
      <c r="J20" s="58"/>
      <c r="K20" s="59"/>
      <c r="L20" s="87">
        <f t="shared" si="1"/>
        <v>42.11</v>
      </c>
      <c r="N20" s="34">
        <f t="shared" si="2"/>
        <v>18</v>
      </c>
      <c r="P20" s="54" t="s">
        <v>166</v>
      </c>
      <c r="Q20" s="34" t="str">
        <f t="shared" si="3"/>
        <v>18. Karlie Sattler - LH8 - 26.82</v>
      </c>
    </row>
    <row r="21" spans="1:17">
      <c r="A21" s="82">
        <f t="shared" si="0"/>
        <v>19</v>
      </c>
      <c r="B21" s="123" t="s">
        <v>175</v>
      </c>
      <c r="C21" s="111" t="str">
        <f>VLOOKUP(B21,MAINQ!D:E,2,FALSE)</f>
        <v>LH5</v>
      </c>
      <c r="D21" s="84" t="str">
        <f>VLOOKUP(B21,MAINQ!D:W,20,FALSE)</f>
        <v>Vet</v>
      </c>
      <c r="E21" s="85">
        <f>VLOOKUP(B21,MAINQ!D:Q,8,FALSE)</f>
        <v>41.67</v>
      </c>
      <c r="F21" s="112"/>
      <c r="G21" s="112"/>
      <c r="H21" s="112"/>
      <c r="I21" s="112"/>
      <c r="J21" s="58"/>
      <c r="K21" s="59"/>
      <c r="L21" s="87">
        <f t="shared" si="1"/>
        <v>41.67</v>
      </c>
      <c r="N21" s="34">
        <f t="shared" si="2"/>
        <v>19</v>
      </c>
      <c r="P21" s="54" t="s">
        <v>167</v>
      </c>
      <c r="Q21" s="34" t="str">
        <f t="shared" si="3"/>
        <v>19. Noel Harris - LH5 - 24.33</v>
      </c>
    </row>
    <row r="22" spans="1:17" ht="16" thickBot="1">
      <c r="A22" s="88">
        <f t="shared" si="0"/>
        <v>20</v>
      </c>
      <c r="B22" s="124" t="s">
        <v>176</v>
      </c>
      <c r="C22" s="89" t="str">
        <f>VLOOKUP(B22,MAINQ!D:E,2,FALSE)</f>
        <v>DAC2</v>
      </c>
      <c r="D22" s="90" t="str">
        <f>VLOOKUP(B22,MAINQ!D:W,20,FALSE)</f>
        <v>Rook</v>
      </c>
      <c r="E22" s="91">
        <f>VLOOKUP(B22,MAINQ!D:Q,8,FALSE)</f>
        <v>41.11</v>
      </c>
      <c r="F22" s="92"/>
      <c r="G22" s="92"/>
      <c r="H22" s="92"/>
      <c r="I22" s="92"/>
      <c r="J22" s="94"/>
      <c r="K22" s="93"/>
      <c r="L22" s="95">
        <f t="shared" si="1"/>
        <v>41.11</v>
      </c>
      <c r="N22" s="34">
        <f t="shared" si="2"/>
        <v>20</v>
      </c>
      <c r="P22" s="54" t="s">
        <v>168</v>
      </c>
      <c r="Q22" s="34" t="str">
        <f t="shared" si="3"/>
        <v>20. Wesley Adams - DAC2 - 24.17</v>
      </c>
    </row>
    <row r="23" spans="1:17">
      <c r="A23" s="74">
        <f t="shared" si="0"/>
        <v>21</v>
      </c>
      <c r="B23" s="122" t="s">
        <v>64</v>
      </c>
      <c r="C23" s="75" t="str">
        <f>VLOOKUP(B23,MAINQ!D:E,2,FALSE)</f>
        <v>ABC2</v>
      </c>
      <c r="D23" s="76" t="str">
        <f>VLOOKUP(B23,MAINQ!D:W,20,FALSE)</f>
        <v>Vet</v>
      </c>
      <c r="E23" s="77">
        <f>VLOOKUP(B23,MAINQ!D:Q,8,FALSE)</f>
        <v>40</v>
      </c>
      <c r="F23" s="78"/>
      <c r="G23" s="78"/>
      <c r="H23" s="78"/>
      <c r="I23" s="78"/>
      <c r="J23" s="80"/>
      <c r="K23" s="79"/>
      <c r="L23" s="81">
        <f t="shared" si="1"/>
        <v>40</v>
      </c>
      <c r="N23" s="34">
        <f t="shared" si="2"/>
        <v>21</v>
      </c>
      <c r="P23" s="54" t="s">
        <v>169</v>
      </c>
      <c r="Q23" s="34" t="str">
        <f t="shared" si="3"/>
        <v>21. Thompson Truong - ABC2 - 23.00</v>
      </c>
    </row>
    <row r="24" spans="1:17">
      <c r="A24" s="82">
        <f t="shared" si="0"/>
        <v>22</v>
      </c>
      <c r="B24" s="123" t="s">
        <v>54</v>
      </c>
      <c r="C24" s="83" t="str">
        <f>VLOOKUP(B24,MAINQ!D:E,2,FALSE)</f>
        <v>LH1</v>
      </c>
      <c r="D24" s="84" t="str">
        <f>VLOOKUP(B24,MAINQ!D:W,20,FALSE)</f>
        <v>Vet</v>
      </c>
      <c r="E24" s="85">
        <f>VLOOKUP(B24,MAINQ!D:Q,8,FALSE)</f>
        <v>33</v>
      </c>
      <c r="F24" s="86"/>
      <c r="G24" s="86"/>
      <c r="H24" s="86"/>
      <c r="I24" s="86"/>
      <c r="J24" s="58"/>
      <c r="K24" s="59"/>
      <c r="L24" s="87">
        <f t="shared" si="1"/>
        <v>33</v>
      </c>
      <c r="N24" s="34">
        <f t="shared" si="2"/>
        <v>22</v>
      </c>
      <c r="P24" s="54" t="s">
        <v>170</v>
      </c>
      <c r="Q24" s="34" t="str">
        <f t="shared" si="3"/>
        <v>22. Sophie Ashcraft - LH1 - 22.99</v>
      </c>
    </row>
    <row r="25" spans="1:17">
      <c r="A25" s="82">
        <f t="shared" si="0"/>
        <v>23</v>
      </c>
      <c r="B25" s="123" t="s">
        <v>82</v>
      </c>
      <c r="C25" s="83" t="str">
        <f>VLOOKUP(B25,MAINQ!D:E,2,FALSE)</f>
        <v>DAC2</v>
      </c>
      <c r="D25" s="84" t="str">
        <f>VLOOKUP(B25,MAINQ!D:W,20,FALSE)</f>
        <v>Vet</v>
      </c>
      <c r="E25" s="85">
        <f>VLOOKUP(B25,MAINQ!D:Q,8,FALSE)</f>
        <v>32.11</v>
      </c>
      <c r="F25" s="86"/>
      <c r="G25" s="86"/>
      <c r="H25" s="86"/>
      <c r="I25" s="86"/>
      <c r="J25" s="58"/>
      <c r="K25" s="59"/>
      <c r="L25" s="87">
        <f t="shared" si="1"/>
        <v>32.11</v>
      </c>
      <c r="N25" s="34">
        <f t="shared" si="2"/>
        <v>23</v>
      </c>
      <c r="P25" s="54" t="s">
        <v>171</v>
      </c>
      <c r="Q25" s="34" t="str">
        <f t="shared" si="3"/>
        <v>23. Dominic Arthur - DAC2 - 22.62</v>
      </c>
    </row>
    <row r="26" spans="1:17">
      <c r="A26" s="82">
        <f t="shared" si="0"/>
        <v>24</v>
      </c>
      <c r="B26" s="123" t="s">
        <v>89</v>
      </c>
      <c r="C26" s="83" t="str">
        <f>VLOOKUP(B26,MAINQ!D:E,2,FALSE)</f>
        <v>LH1</v>
      </c>
      <c r="D26" s="84" t="str">
        <f>VLOOKUP(B26,MAINQ!D:W,20,FALSE)</f>
        <v>Vet</v>
      </c>
      <c r="E26" s="85">
        <f>VLOOKUP(B26,MAINQ!D:Q,8,FALSE)</f>
        <v>32</v>
      </c>
      <c r="F26" s="86"/>
      <c r="G26" s="86"/>
      <c r="H26" s="86"/>
      <c r="I26" s="86"/>
      <c r="J26" s="58"/>
      <c r="K26" s="59"/>
      <c r="L26" s="87">
        <f t="shared" si="1"/>
        <v>32</v>
      </c>
      <c r="N26" s="34">
        <f t="shared" si="2"/>
        <v>24</v>
      </c>
      <c r="P26" s="54" t="s">
        <v>172</v>
      </c>
      <c r="Q26" s="34" t="str">
        <f t="shared" si="3"/>
        <v>24. Mariah Sattler - LH1 - 21.73</v>
      </c>
    </row>
    <row r="27" spans="1:17" ht="16" thickBot="1">
      <c r="A27" s="88">
        <f t="shared" si="0"/>
        <v>25</v>
      </c>
      <c r="B27" s="124" t="s">
        <v>36</v>
      </c>
      <c r="C27" s="89" t="str">
        <f>VLOOKUP(B27,MAINQ!D:E,2,FALSE)</f>
        <v>DAC1</v>
      </c>
      <c r="D27" s="90" t="str">
        <f>VLOOKUP(B27,MAINQ!D:W,20,FALSE)</f>
        <v>Vet</v>
      </c>
      <c r="E27" s="91">
        <f>VLOOKUP(B27,MAINQ!D:Q,8,FALSE)</f>
        <v>31.11</v>
      </c>
      <c r="F27" s="92"/>
      <c r="G27" s="92"/>
      <c r="H27" s="92"/>
      <c r="I27" s="92"/>
      <c r="J27" s="94"/>
      <c r="K27" s="93"/>
      <c r="L27" s="95">
        <f t="shared" si="1"/>
        <v>31.11</v>
      </c>
      <c r="N27" s="34">
        <f t="shared" si="2"/>
        <v>25</v>
      </c>
      <c r="P27" s="54" t="s">
        <v>173</v>
      </c>
      <c r="Q27" s="34" t="str">
        <f t="shared" si="3"/>
        <v>25. Stephen Miller - DAC1 - 20.85</v>
      </c>
    </row>
    <row r="28" spans="1:17">
      <c r="A28" s="74">
        <f t="shared" si="0"/>
        <v>26</v>
      </c>
      <c r="B28" s="122" t="s">
        <v>97</v>
      </c>
      <c r="C28" s="75" t="str">
        <f>VLOOKUP(B28,MAINQ!D:E,2,FALSE)</f>
        <v>GIG1</v>
      </c>
      <c r="D28" s="76" t="str">
        <f>VLOOKUP(B28,MAINQ!D:W,20,FALSE)</f>
        <v>Vet</v>
      </c>
      <c r="E28" s="77">
        <f>VLOOKUP(B28,MAINQ!D:Q,8,FALSE)</f>
        <v>29.33</v>
      </c>
      <c r="F28" s="78"/>
      <c r="G28" s="78"/>
      <c r="H28" s="78"/>
      <c r="I28" s="78"/>
      <c r="J28" s="80"/>
      <c r="K28" s="79"/>
      <c r="L28" s="81">
        <f t="shared" si="1"/>
        <v>29.33</v>
      </c>
      <c r="N28" s="34">
        <f t="shared" si="2"/>
        <v>26</v>
      </c>
      <c r="P28" s="54" t="s">
        <v>119</v>
      </c>
      <c r="Q28" s="34" t="str">
        <f t="shared" si="3"/>
        <v>26. Abby Zecher - GIG1 - 25.49</v>
      </c>
    </row>
    <row r="29" spans="1:17">
      <c r="A29" s="82">
        <f t="shared" si="0"/>
        <v>27</v>
      </c>
      <c r="B29" s="123" t="s">
        <v>177</v>
      </c>
      <c r="C29" s="111" t="str">
        <f>VLOOKUP(B29,MAINQ!D:E,2,FALSE)</f>
        <v>LH6</v>
      </c>
      <c r="D29" s="84" t="str">
        <f>VLOOKUP(B29,MAINQ!D:W,20,FALSE)</f>
        <v>Vet</v>
      </c>
      <c r="E29" s="85">
        <f>VLOOKUP(B29,MAINQ!D:Q,8,FALSE)</f>
        <v>28.11</v>
      </c>
      <c r="F29" s="112"/>
      <c r="G29" s="112"/>
      <c r="H29" s="112"/>
      <c r="I29" s="112"/>
      <c r="J29" s="58"/>
      <c r="K29" s="59"/>
      <c r="L29" s="87">
        <f t="shared" si="1"/>
        <v>28.11</v>
      </c>
      <c r="N29" s="34">
        <f t="shared" si="2"/>
        <v>27</v>
      </c>
      <c r="P29" s="54" t="s">
        <v>120</v>
      </c>
      <c r="Q29" s="34" t="str">
        <f t="shared" si="3"/>
        <v>27. Sam Wright - LH6 - 25.03</v>
      </c>
    </row>
    <row r="30" spans="1:17">
      <c r="A30" s="82">
        <f t="shared" si="0"/>
        <v>27</v>
      </c>
      <c r="B30" s="123" t="s">
        <v>63</v>
      </c>
      <c r="C30" s="83" t="str">
        <f>VLOOKUP(B30,MAINQ!D:E,2,FALSE)</f>
        <v>LH7</v>
      </c>
      <c r="D30" s="84" t="str">
        <f>VLOOKUP(B30,MAINQ!D:W,20,FALSE)</f>
        <v>Vet</v>
      </c>
      <c r="E30" s="85">
        <f>VLOOKUP(B30,MAINQ!D:Q,8,FALSE)</f>
        <v>28.11</v>
      </c>
      <c r="F30" s="86"/>
      <c r="G30" s="86"/>
      <c r="H30" s="86"/>
      <c r="I30" s="86"/>
      <c r="J30" s="58"/>
      <c r="K30" s="59"/>
      <c r="L30" s="87">
        <f t="shared" si="1"/>
        <v>28.11</v>
      </c>
      <c r="N30" s="34">
        <f t="shared" si="2"/>
        <v>28</v>
      </c>
      <c r="P30" s="54" t="s">
        <v>121</v>
      </c>
      <c r="Q30" s="34" t="str">
        <f t="shared" si="3"/>
        <v>27. Eli McKee - LH7 - 24.47</v>
      </c>
    </row>
    <row r="31" spans="1:17">
      <c r="A31" s="82">
        <f t="shared" si="0"/>
        <v>29</v>
      </c>
      <c r="B31" s="123" t="s">
        <v>178</v>
      </c>
      <c r="C31" s="111" t="str">
        <f>VLOOKUP(B31,MAINQ!D:E,2,FALSE)</f>
        <v>MAD2</v>
      </c>
      <c r="D31" s="84" t="str">
        <f>VLOOKUP(B31,MAINQ!D:W,20,FALSE)</f>
        <v>Rook</v>
      </c>
      <c r="E31" s="85">
        <f>VLOOKUP(B31,MAINQ!D:Q,8,FALSE)</f>
        <v>27.56</v>
      </c>
      <c r="F31" s="112"/>
      <c r="G31" s="112"/>
      <c r="H31" s="112"/>
      <c r="I31" s="112"/>
      <c r="J31" s="58"/>
      <c r="K31" s="59"/>
      <c r="L31" s="87">
        <f t="shared" si="1"/>
        <v>27.56</v>
      </c>
      <c r="N31" s="34">
        <f t="shared" si="2"/>
        <v>29</v>
      </c>
      <c r="P31" s="54" t="s">
        <v>122</v>
      </c>
      <c r="Q31" s="34" t="str">
        <f t="shared" si="3"/>
        <v>29. Sophie Nelson - MAD2 - 23.88</v>
      </c>
    </row>
    <row r="32" spans="1:17">
      <c r="A32" s="82">
        <f t="shared" si="0"/>
        <v>30</v>
      </c>
      <c r="B32" s="123" t="s">
        <v>95</v>
      </c>
      <c r="C32" s="83" t="str">
        <f>VLOOKUP(B32,MAINQ!D:E,2,FALSE)</f>
        <v>GIG1</v>
      </c>
      <c r="D32" s="84" t="str">
        <f>VLOOKUP(B32,MAINQ!D:W,20,FALSE)</f>
        <v>Vet</v>
      </c>
      <c r="E32" s="85">
        <f>VLOOKUP(B32,MAINQ!D:Q,8,FALSE)</f>
        <v>27.22</v>
      </c>
      <c r="F32" s="86"/>
      <c r="G32" s="86"/>
      <c r="H32" s="86"/>
      <c r="I32" s="86"/>
      <c r="J32" s="58"/>
      <c r="K32" s="59"/>
      <c r="L32" s="87">
        <f t="shared" si="1"/>
        <v>27.22</v>
      </c>
      <c r="N32" s="34">
        <f t="shared" si="2"/>
        <v>30</v>
      </c>
      <c r="P32" s="54" t="s">
        <v>123</v>
      </c>
      <c r="Q32" s="34" t="str">
        <f t="shared" si="3"/>
        <v>30. Ashley Purcell - GIG1 - 23.40</v>
      </c>
    </row>
    <row r="33" spans="1:17">
      <c r="A33" s="82">
        <f t="shared" si="0"/>
        <v>31</v>
      </c>
      <c r="B33" s="123" t="s">
        <v>108</v>
      </c>
      <c r="C33" s="83" t="str">
        <f>VLOOKUP(B33,MAINQ!D:E,2,FALSE)</f>
        <v>MAD3</v>
      </c>
      <c r="D33" s="84" t="str">
        <f>VLOOKUP(B33,MAINQ!D:W,20,FALSE)</f>
        <v>Vet</v>
      </c>
      <c r="E33" s="85">
        <f>VLOOKUP(B33,MAINQ!D:Q,8,FALSE)</f>
        <v>24.56</v>
      </c>
      <c r="F33" s="86"/>
      <c r="G33" s="86"/>
      <c r="H33" s="86"/>
      <c r="I33" s="86"/>
      <c r="J33" s="58"/>
      <c r="K33" s="59"/>
      <c r="L33" s="87">
        <f t="shared" si="1"/>
        <v>24.56</v>
      </c>
      <c r="N33" s="34">
        <f t="shared" si="2"/>
        <v>31</v>
      </c>
      <c r="P33" s="54" t="s">
        <v>124</v>
      </c>
      <c r="Q33" s="34" t="str">
        <f t="shared" si="3"/>
        <v>31. Joy Rice - MAD3 - 22.38</v>
      </c>
    </row>
    <row r="34" spans="1:17">
      <c r="A34" s="82">
        <f t="shared" si="0"/>
        <v>32</v>
      </c>
      <c r="B34" s="123" t="s">
        <v>73</v>
      </c>
      <c r="C34" s="83" t="str">
        <f>VLOOKUP(B34,MAINQ!D:E,2,FALSE)</f>
        <v>ABC1</v>
      </c>
      <c r="D34" s="84" t="str">
        <f>VLOOKUP(B34,MAINQ!D:W,20,FALSE)</f>
        <v>Vet</v>
      </c>
      <c r="E34" s="85">
        <f>VLOOKUP(B34,MAINQ!D:Q,8,FALSE)</f>
        <v>24</v>
      </c>
      <c r="F34" s="86"/>
      <c r="G34" s="86"/>
      <c r="H34" s="86"/>
      <c r="I34" s="86"/>
      <c r="J34" s="58"/>
      <c r="K34" s="59"/>
      <c r="L34" s="87">
        <f t="shared" si="1"/>
        <v>24</v>
      </c>
      <c r="N34" s="34">
        <f t="shared" si="2"/>
        <v>32</v>
      </c>
      <c r="P34" s="54" t="s">
        <v>125</v>
      </c>
      <c r="Q34" s="34" t="str">
        <f t="shared" si="3"/>
        <v>32. Nathan Pham - ABC1 - 22.17</v>
      </c>
    </row>
    <row r="35" spans="1:17">
      <c r="A35" s="82">
        <f t="shared" si="0"/>
        <v>33</v>
      </c>
      <c r="B35" s="123" t="s">
        <v>44</v>
      </c>
      <c r="C35" s="83" t="str">
        <f>VLOOKUP(B35,MAINQ!D:E,2,FALSE)</f>
        <v>EBC1</v>
      </c>
      <c r="D35" s="84" t="str">
        <f>VLOOKUP(B35,MAINQ!D:W,20,FALSE)</f>
        <v>Vet</v>
      </c>
      <c r="E35" s="85">
        <f>VLOOKUP(B35,MAINQ!D:Q,8,FALSE)</f>
        <v>23.22</v>
      </c>
      <c r="F35" s="86"/>
      <c r="G35" s="86"/>
      <c r="H35" s="86"/>
      <c r="I35" s="86"/>
      <c r="J35" s="58"/>
      <c r="K35" s="59"/>
      <c r="L35" s="87">
        <f t="shared" si="1"/>
        <v>23.22</v>
      </c>
      <c r="N35" s="34">
        <f t="shared" si="2"/>
        <v>33</v>
      </c>
      <c r="P35" s="54" t="s">
        <v>126</v>
      </c>
      <c r="Q35" s="34" t="str">
        <f t="shared" si="3"/>
        <v>33. Rachel Wallace - EBC1 - 19.47</v>
      </c>
    </row>
    <row r="36" spans="1:17">
      <c r="A36" s="82">
        <f t="shared" si="0"/>
        <v>34</v>
      </c>
      <c r="B36" s="123" t="s">
        <v>43</v>
      </c>
      <c r="C36" s="83" t="str">
        <f>VLOOKUP(B36,MAINQ!D:E,2,FALSE)</f>
        <v>LH3</v>
      </c>
      <c r="D36" s="84" t="str">
        <f>VLOOKUP(B36,MAINQ!D:W,20,FALSE)</f>
        <v>Vet</v>
      </c>
      <c r="E36" s="85">
        <f>VLOOKUP(B36,MAINQ!D:Q,8,FALSE)</f>
        <v>21.25</v>
      </c>
      <c r="F36" s="86"/>
      <c r="G36" s="86"/>
      <c r="H36" s="86"/>
      <c r="I36" s="86"/>
      <c r="J36" s="58"/>
      <c r="K36" s="59"/>
      <c r="L36" s="87">
        <f t="shared" si="1"/>
        <v>21.25</v>
      </c>
      <c r="N36" s="34">
        <f t="shared" si="2"/>
        <v>34</v>
      </c>
      <c r="P36" s="54" t="s">
        <v>127</v>
      </c>
      <c r="Q36" s="34" t="str">
        <f t="shared" si="3"/>
        <v>34. Annie McKee - LH3 - 19.33</v>
      </c>
    </row>
    <row r="37" spans="1:17">
      <c r="A37" s="82">
        <f t="shared" si="0"/>
        <v>35</v>
      </c>
      <c r="B37" s="123" t="s">
        <v>105</v>
      </c>
      <c r="C37" s="111" t="str">
        <f>VLOOKUP(B37,MAINQ!D:E,2,FALSE)</f>
        <v>LH4</v>
      </c>
      <c r="D37" s="84" t="str">
        <f>VLOOKUP(B37,MAINQ!D:W,20,FALSE)</f>
        <v>Vet</v>
      </c>
      <c r="E37" s="85">
        <f>VLOOKUP(B37,MAINQ!D:Q,8,FALSE)</f>
        <v>18</v>
      </c>
      <c r="F37" s="112"/>
      <c r="G37" s="112"/>
      <c r="H37" s="112"/>
      <c r="I37" s="112"/>
      <c r="J37" s="58"/>
      <c r="K37" s="59"/>
      <c r="L37" s="87">
        <f t="shared" si="1"/>
        <v>18</v>
      </c>
      <c r="N37" s="34">
        <f t="shared" si="2"/>
        <v>35</v>
      </c>
      <c r="P37" s="54" t="s">
        <v>128</v>
      </c>
      <c r="Q37" s="34" t="str">
        <f t="shared" si="3"/>
        <v>35. Logan Grieve - LH4 - 18.43</v>
      </c>
    </row>
    <row r="38" spans="1:17">
      <c r="A38" s="82">
        <f t="shared" si="0"/>
        <v>36</v>
      </c>
      <c r="B38" s="123" t="s">
        <v>59</v>
      </c>
      <c r="C38" s="83" t="str">
        <f>VLOOKUP(B38,MAINQ!D:E,2,FALSE)</f>
        <v>ABC1</v>
      </c>
      <c r="D38" s="84" t="str">
        <f>VLOOKUP(B38,MAINQ!D:W,20,FALSE)</f>
        <v>Vet</v>
      </c>
      <c r="E38" s="85">
        <f>VLOOKUP(B38,MAINQ!D:Q,8,FALSE)</f>
        <v>14</v>
      </c>
      <c r="F38" s="86"/>
      <c r="G38" s="86"/>
      <c r="H38" s="86"/>
      <c r="I38" s="86"/>
      <c r="J38" s="58"/>
      <c r="K38" s="59"/>
      <c r="L38" s="87">
        <f t="shared" si="1"/>
        <v>14</v>
      </c>
      <c r="N38" s="34">
        <f t="shared" si="2"/>
        <v>36</v>
      </c>
      <c r="P38" s="54" t="s">
        <v>129</v>
      </c>
      <c r="Q38" s="34" t="str">
        <f t="shared" si="3"/>
        <v>36. Nathan Truong - ABC1 - 18.26</v>
      </c>
    </row>
    <row r="39" spans="1:17">
      <c r="A39" s="82">
        <f t="shared" si="0"/>
        <v>37</v>
      </c>
      <c r="B39" s="123" t="s">
        <v>115</v>
      </c>
      <c r="C39" s="83" t="str">
        <f>VLOOKUP(B39,MAINQ!D:E,2,FALSE)</f>
        <v>GIG1</v>
      </c>
      <c r="D39" s="84" t="str">
        <f>VLOOKUP(B39,MAINQ!D:W,20,FALSE)</f>
        <v>Vet</v>
      </c>
      <c r="E39" s="85">
        <f>VLOOKUP(B39,MAINQ!D:Q,8,FALSE)</f>
        <v>12</v>
      </c>
      <c r="F39" s="86"/>
      <c r="G39" s="86"/>
      <c r="H39" s="86"/>
      <c r="I39" s="86"/>
      <c r="J39" s="58"/>
      <c r="K39" s="59"/>
      <c r="L39" s="87">
        <f t="shared" si="1"/>
        <v>12</v>
      </c>
      <c r="N39" s="34">
        <f t="shared" si="2"/>
        <v>37</v>
      </c>
      <c r="P39" s="54" t="s">
        <v>130</v>
      </c>
      <c r="Q39" s="34" t="str">
        <f t="shared" si="3"/>
        <v>37. Jarek Zecher - GIG1 - 18.08</v>
      </c>
    </row>
    <row r="40" spans="1:17">
      <c r="A40" s="82">
        <f t="shared" si="0"/>
        <v>38</v>
      </c>
      <c r="B40" s="123" t="s">
        <v>179</v>
      </c>
      <c r="C40" s="83" t="str">
        <f>VLOOKUP(B40,MAINQ!D:E,2,FALSE)</f>
        <v>DAC1</v>
      </c>
      <c r="D40" s="84" t="str">
        <f>VLOOKUP(B40,MAINQ!D:W,20,FALSE)</f>
        <v>Rook</v>
      </c>
      <c r="E40" s="85">
        <f>VLOOKUP(B40,MAINQ!D:Q,8,FALSE)</f>
        <v>11.11</v>
      </c>
      <c r="F40" s="86"/>
      <c r="G40" s="86"/>
      <c r="H40" s="86"/>
      <c r="I40" s="86"/>
      <c r="J40" s="58"/>
      <c r="K40" s="59"/>
      <c r="L40" s="87">
        <f t="shared" si="1"/>
        <v>11.11</v>
      </c>
      <c r="N40" s="34">
        <f t="shared" si="2"/>
        <v>38</v>
      </c>
      <c r="P40" s="54" t="s">
        <v>131</v>
      </c>
      <c r="Q40" s="34" t="str">
        <f t="shared" si="3"/>
        <v>38. Davi Sygney - DAC1 - 18.05</v>
      </c>
    </row>
    <row r="41" spans="1:17">
      <c r="A41" s="82">
        <f t="shared" si="0"/>
        <v>39</v>
      </c>
      <c r="B41" s="123" t="s">
        <v>55</v>
      </c>
      <c r="C41" s="83" t="str">
        <f>VLOOKUP(B41,MAINQ!D:E,2,FALSE)</f>
        <v>LH8</v>
      </c>
      <c r="D41" s="84" t="str">
        <f>VLOOKUP(B41,MAINQ!D:W,20,FALSE)</f>
        <v>Vet</v>
      </c>
      <c r="E41" s="85">
        <f>VLOOKUP(B41,MAINQ!D:Q,8,FALSE)</f>
        <v>9.67</v>
      </c>
      <c r="F41" s="86"/>
      <c r="G41" s="86"/>
      <c r="H41" s="86"/>
      <c r="I41" s="86"/>
      <c r="J41" s="58"/>
      <c r="K41" s="59"/>
      <c r="L41" s="87">
        <f t="shared" si="1"/>
        <v>9.67</v>
      </c>
      <c r="N41" s="34">
        <f t="shared" si="2"/>
        <v>39</v>
      </c>
      <c r="P41" s="54" t="s">
        <v>132</v>
      </c>
      <c r="Q41" s="34" t="str">
        <f t="shared" si="3"/>
        <v>39. Emily Salgren - LH8 - 17.98</v>
      </c>
    </row>
    <row r="42" spans="1:17">
      <c r="A42" s="82">
        <f t="shared" si="0"/>
        <v>40</v>
      </c>
      <c r="B42" s="123" t="s">
        <v>98</v>
      </c>
      <c r="C42" s="83" t="str">
        <f>VLOOKUP(B42,MAINQ!D:E,2,FALSE)</f>
        <v>EBC1</v>
      </c>
      <c r="D42" s="84" t="str">
        <f>VLOOKUP(B42,MAINQ!D:W,20,FALSE)</f>
        <v>Vet</v>
      </c>
      <c r="E42" s="85">
        <f>VLOOKUP(B42,MAINQ!D:Q,8,FALSE)</f>
        <v>7.56</v>
      </c>
      <c r="F42" s="86"/>
      <c r="G42" s="86"/>
      <c r="H42" s="86"/>
      <c r="I42" s="86"/>
      <c r="J42" s="58"/>
      <c r="K42" s="59"/>
      <c r="L42" s="87">
        <f t="shared" si="1"/>
        <v>7.56</v>
      </c>
      <c r="N42" s="34">
        <f t="shared" si="2"/>
        <v>40</v>
      </c>
      <c r="P42" s="54" t="s">
        <v>133</v>
      </c>
      <c r="Q42" s="34" t="str">
        <f t="shared" si="3"/>
        <v>40. Naomi Skeith - EBC1 - 17.45</v>
      </c>
    </row>
    <row r="43" spans="1:17">
      <c r="A43" s="82">
        <f t="shared" si="0"/>
        <v>41</v>
      </c>
      <c r="B43" s="123" t="s">
        <v>180</v>
      </c>
      <c r="C43" s="83" t="str">
        <f>VLOOKUP(B43,MAINQ!D:E,2,FALSE)</f>
        <v>LH7</v>
      </c>
      <c r="D43" s="84" t="str">
        <f>VLOOKUP(B43,MAINQ!D:W,20,FALSE)</f>
        <v>Vet</v>
      </c>
      <c r="E43" s="85">
        <f>VLOOKUP(B43,MAINQ!D:Q,8,FALSE)</f>
        <v>6.89</v>
      </c>
      <c r="F43" s="86"/>
      <c r="G43" s="86"/>
      <c r="H43" s="86"/>
      <c r="I43" s="86"/>
      <c r="J43" s="58"/>
      <c r="K43" s="59"/>
      <c r="L43" s="87">
        <f t="shared" si="1"/>
        <v>6.89</v>
      </c>
      <c r="N43" s="34">
        <f t="shared" si="2"/>
        <v>41</v>
      </c>
    </row>
    <row r="44" spans="1:17">
      <c r="A44" s="82">
        <f t="shared" si="0"/>
        <v>42</v>
      </c>
      <c r="B44" s="123" t="s">
        <v>181</v>
      </c>
      <c r="C44" s="83" t="str">
        <f>VLOOKUP(B44,MAINQ!D:E,2,FALSE)</f>
        <v>MAD3</v>
      </c>
      <c r="D44" s="84" t="str">
        <f>VLOOKUP(B44,MAINQ!D:W,20,FALSE)</f>
        <v>Rook</v>
      </c>
      <c r="E44" s="85">
        <f>VLOOKUP(B44,MAINQ!D:Q,8,FALSE)</f>
        <v>6</v>
      </c>
      <c r="F44" s="86"/>
      <c r="G44" s="86"/>
      <c r="H44" s="86"/>
      <c r="I44" s="86"/>
      <c r="J44" s="58"/>
      <c r="K44" s="59"/>
      <c r="L44" s="87">
        <f t="shared" si="1"/>
        <v>6</v>
      </c>
      <c r="N44" s="34">
        <f t="shared" si="2"/>
        <v>42</v>
      </c>
    </row>
    <row r="45" spans="1:17">
      <c r="A45" s="82">
        <f t="shared" si="0"/>
        <v>43</v>
      </c>
      <c r="B45" s="123" t="s">
        <v>182</v>
      </c>
      <c r="C45" s="83" t="str">
        <f>VLOOKUP(B45,MAINQ!D:E,2,FALSE)</f>
        <v>LH8</v>
      </c>
      <c r="D45" s="84" t="str">
        <f>VLOOKUP(B45,MAINQ!D:W,20,FALSE)</f>
        <v>Rook</v>
      </c>
      <c r="E45" s="85">
        <f>VLOOKUP(B45,MAINQ!D:Q,8,FALSE)</f>
        <v>5.78</v>
      </c>
      <c r="F45" s="86"/>
      <c r="G45" s="86"/>
      <c r="H45" s="86"/>
      <c r="I45" s="86"/>
      <c r="J45" s="58"/>
      <c r="K45" s="59"/>
      <c r="L45" s="87">
        <f t="shared" si="1"/>
        <v>5.78</v>
      </c>
      <c r="N45" s="34">
        <f t="shared" si="2"/>
        <v>43</v>
      </c>
    </row>
    <row r="46" spans="1:17">
      <c r="A46" s="82">
        <f t="shared" si="0"/>
        <v>44</v>
      </c>
      <c r="B46" s="123" t="s">
        <v>60</v>
      </c>
      <c r="C46" s="83" t="str">
        <f>VLOOKUP(B46,MAINQ!D:E,2,FALSE)</f>
        <v>LH6</v>
      </c>
      <c r="D46" s="84" t="str">
        <f>VLOOKUP(B46,MAINQ!D:W,20,FALSE)</f>
        <v>Vet</v>
      </c>
      <c r="E46" s="85">
        <f>VLOOKUP(B46,MAINQ!D:Q,8,FALSE)</f>
        <v>4.4400000000000004</v>
      </c>
      <c r="F46" s="86"/>
      <c r="G46" s="86"/>
      <c r="H46" s="86"/>
      <c r="I46" s="86"/>
      <c r="J46" s="58"/>
      <c r="K46" s="59"/>
      <c r="L46" s="87">
        <f t="shared" si="1"/>
        <v>4.4400000000000004</v>
      </c>
      <c r="N46" s="34">
        <f t="shared" si="2"/>
        <v>44</v>
      </c>
    </row>
    <row r="47" spans="1:17">
      <c r="A47" s="82">
        <f t="shared" si="0"/>
        <v>45</v>
      </c>
      <c r="B47" s="123" t="s">
        <v>101</v>
      </c>
      <c r="C47" s="83" t="str">
        <f>VLOOKUP(B47,MAINQ!D:E,2,FALSE)</f>
        <v>LH5</v>
      </c>
      <c r="D47" s="84" t="str">
        <f>VLOOKUP(B47,MAINQ!D:W,20,FALSE)</f>
        <v>Vet</v>
      </c>
      <c r="E47" s="85">
        <f>VLOOKUP(B47,MAINQ!D:Q,8,FALSE)</f>
        <v>3.11</v>
      </c>
      <c r="F47" s="86"/>
      <c r="G47" s="86"/>
      <c r="H47" s="86"/>
      <c r="I47" s="86"/>
      <c r="J47" s="58"/>
      <c r="K47" s="59"/>
      <c r="L47" s="87">
        <f t="shared" si="1"/>
        <v>3.11</v>
      </c>
      <c r="N47" s="34">
        <f t="shared" si="2"/>
        <v>45</v>
      </c>
    </row>
    <row r="48" spans="1:17">
      <c r="A48" s="82">
        <f t="shared" si="0"/>
        <v>46</v>
      </c>
      <c r="B48" s="123" t="s">
        <v>110</v>
      </c>
      <c r="C48" s="83" t="str">
        <f>VLOOKUP(B48,MAINQ!D:E,2,FALSE)</f>
        <v>MAD2</v>
      </c>
      <c r="D48" s="84" t="str">
        <f>VLOOKUP(B48,MAINQ!D:W,20,FALSE)</f>
        <v>Vet</v>
      </c>
      <c r="E48" s="85">
        <f>VLOOKUP(B48,MAINQ!D:Q,8,FALSE)</f>
        <v>2.67</v>
      </c>
      <c r="F48" s="86"/>
      <c r="G48" s="86"/>
      <c r="H48" s="86"/>
      <c r="I48" s="86"/>
      <c r="J48" s="58"/>
      <c r="K48" s="59"/>
      <c r="L48" s="87">
        <f t="shared" si="1"/>
        <v>2.67</v>
      </c>
      <c r="N48" s="34">
        <f t="shared" si="2"/>
        <v>46</v>
      </c>
    </row>
    <row r="49" spans="1:14">
      <c r="A49" s="82">
        <f t="shared" si="0"/>
        <v>47</v>
      </c>
      <c r="B49" s="123" t="s">
        <v>107</v>
      </c>
      <c r="C49" s="83" t="str">
        <f>VLOOKUP(B49,MAINQ!D:E,2,FALSE)</f>
        <v>LH2</v>
      </c>
      <c r="D49" s="84" t="str">
        <f>VLOOKUP(B49,MAINQ!D:W,20,FALSE)</f>
        <v>Vet</v>
      </c>
      <c r="E49" s="85">
        <f>VLOOKUP(B49,MAINQ!D:Q,8,FALSE)</f>
        <v>2.5</v>
      </c>
      <c r="F49" s="86"/>
      <c r="G49" s="86"/>
      <c r="H49" s="86"/>
      <c r="I49" s="86"/>
      <c r="J49" s="58"/>
      <c r="K49" s="59"/>
      <c r="L49" s="87">
        <f t="shared" si="1"/>
        <v>2.5</v>
      </c>
      <c r="N49" s="34">
        <f t="shared" si="2"/>
        <v>47</v>
      </c>
    </row>
    <row r="50" spans="1:14">
      <c r="A50" s="82">
        <f t="shared" si="0"/>
        <v>48</v>
      </c>
      <c r="B50" s="123" t="s">
        <v>106</v>
      </c>
      <c r="C50" s="83" t="str">
        <f>VLOOKUP(B50,MAINQ!D:E,2,FALSE)</f>
        <v>LH4</v>
      </c>
      <c r="D50" s="84" t="str">
        <f>VLOOKUP(B50,MAINQ!D:W,20,FALSE)</f>
        <v>Vet</v>
      </c>
      <c r="E50" s="85">
        <f>VLOOKUP(B50,MAINQ!D:Q,8,FALSE)</f>
        <v>2</v>
      </c>
      <c r="F50" s="86"/>
      <c r="G50" s="86"/>
      <c r="H50" s="86"/>
      <c r="I50" s="86"/>
      <c r="J50" s="58"/>
      <c r="K50" s="59"/>
      <c r="L50" s="87">
        <f t="shared" ref="L50:L66" si="4">VLOOKUP(B50,YTDInd,15,FALSE)</f>
        <v>2</v>
      </c>
      <c r="N50" s="34">
        <f t="shared" si="2"/>
        <v>48</v>
      </c>
    </row>
    <row r="51" spans="1:14">
      <c r="A51" s="82">
        <f t="shared" si="0"/>
        <v>49</v>
      </c>
      <c r="B51" s="123" t="s">
        <v>67</v>
      </c>
      <c r="C51" s="83" t="str">
        <f>VLOOKUP(B51,MAINQ!D:E,2,FALSE)</f>
        <v>MAD2</v>
      </c>
      <c r="D51" s="84" t="str">
        <f>VLOOKUP(B51,MAINQ!D:W,20,FALSE)</f>
        <v>Vet</v>
      </c>
      <c r="E51" s="85">
        <f>VLOOKUP(B51,MAINQ!D:Q,8,FALSE)</f>
        <v>1.56</v>
      </c>
      <c r="F51" s="86"/>
      <c r="G51" s="86"/>
      <c r="H51" s="86"/>
      <c r="I51" s="86"/>
      <c r="J51" s="58"/>
      <c r="K51" s="59"/>
      <c r="L51" s="87">
        <f t="shared" si="4"/>
        <v>1.56</v>
      </c>
      <c r="N51" s="34">
        <f t="shared" si="2"/>
        <v>49</v>
      </c>
    </row>
    <row r="52" spans="1:14">
      <c r="A52" s="82">
        <f t="shared" si="0"/>
        <v>49</v>
      </c>
      <c r="B52" s="123" t="s">
        <v>183</v>
      </c>
      <c r="C52" s="83" t="str">
        <f>VLOOKUP(B52,MAINQ!D:E,2,FALSE)</f>
        <v>ABC3</v>
      </c>
      <c r="D52" s="84" t="str">
        <f>VLOOKUP(B52,MAINQ!D:W,20,FALSE)</f>
        <v>Vet</v>
      </c>
      <c r="E52" s="85">
        <f>VLOOKUP(B52,MAINQ!D:Q,8,FALSE)</f>
        <v>1.56</v>
      </c>
      <c r="F52" s="86"/>
      <c r="G52" s="86"/>
      <c r="H52" s="86"/>
      <c r="I52" s="86"/>
      <c r="J52" s="58"/>
      <c r="K52" s="59"/>
      <c r="L52" s="87">
        <f t="shared" si="4"/>
        <v>1.56</v>
      </c>
      <c r="N52" s="34">
        <f t="shared" si="2"/>
        <v>50</v>
      </c>
    </row>
    <row r="53" spans="1:14">
      <c r="A53" s="82">
        <f t="shared" si="0"/>
        <v>49</v>
      </c>
      <c r="B53" s="123" t="s">
        <v>184</v>
      </c>
      <c r="C53" s="83" t="str">
        <f>VLOOKUP(B53,MAINQ!D:E,2,FALSE)</f>
        <v>ABC3</v>
      </c>
      <c r="D53" s="84" t="str">
        <f>VLOOKUP(B53,MAINQ!D:W,20,FALSE)</f>
        <v>Vet</v>
      </c>
      <c r="E53" s="85">
        <f>VLOOKUP(B53,MAINQ!D:Q,8,FALSE)</f>
        <v>1.56</v>
      </c>
      <c r="F53" s="86"/>
      <c r="G53" s="86"/>
      <c r="H53" s="86"/>
      <c r="I53" s="86"/>
      <c r="J53" s="58"/>
      <c r="K53" s="59"/>
      <c r="L53" s="87">
        <f t="shared" si="4"/>
        <v>1.56</v>
      </c>
      <c r="N53" s="34">
        <f t="shared" si="2"/>
        <v>51</v>
      </c>
    </row>
    <row r="54" spans="1:14">
      <c r="A54" s="82">
        <f t="shared" si="0"/>
        <v>49</v>
      </c>
      <c r="B54" s="123" t="s">
        <v>185</v>
      </c>
      <c r="C54" s="83" t="str">
        <f>VLOOKUP(B54,MAINQ!D:E,2,FALSE)</f>
        <v>ABC3</v>
      </c>
      <c r="D54" s="84" t="str">
        <f>VLOOKUP(B54,MAINQ!D:W,20,FALSE)</f>
        <v>Vet</v>
      </c>
      <c r="E54" s="85">
        <f>VLOOKUP(B54,MAINQ!D:Q,8,FALSE)</f>
        <v>1.56</v>
      </c>
      <c r="F54" s="86"/>
      <c r="G54" s="86"/>
      <c r="H54" s="86"/>
      <c r="I54" s="86"/>
      <c r="J54" s="58"/>
      <c r="K54" s="59"/>
      <c r="L54" s="87">
        <f t="shared" si="4"/>
        <v>1.56</v>
      </c>
      <c r="N54" s="34">
        <f t="shared" si="2"/>
        <v>52</v>
      </c>
    </row>
    <row r="55" spans="1:14">
      <c r="A55" s="82">
        <f t="shared" si="0"/>
        <v>49</v>
      </c>
      <c r="B55" s="123" t="s">
        <v>68</v>
      </c>
      <c r="C55" s="83" t="str">
        <f>VLOOKUP(B55,MAINQ!D:E,2,FALSE)</f>
        <v>MAD3</v>
      </c>
      <c r="D55" s="84" t="str">
        <f>VLOOKUP(B55,MAINQ!D:W,20,FALSE)</f>
        <v>Vet</v>
      </c>
      <c r="E55" s="85">
        <f>VLOOKUP(B55,MAINQ!D:Q,8,FALSE)</f>
        <v>1.56</v>
      </c>
      <c r="F55" s="86"/>
      <c r="G55" s="86"/>
      <c r="H55" s="86"/>
      <c r="I55" s="86"/>
      <c r="J55" s="58"/>
      <c r="K55" s="59"/>
      <c r="L55" s="87">
        <f t="shared" si="4"/>
        <v>1.56</v>
      </c>
      <c r="N55" s="34">
        <f t="shared" si="2"/>
        <v>53</v>
      </c>
    </row>
    <row r="56" spans="1:14">
      <c r="A56" s="82">
        <f t="shared" si="0"/>
        <v>54</v>
      </c>
      <c r="B56" s="123" t="s">
        <v>186</v>
      </c>
      <c r="C56" s="83" t="str">
        <f>VLOOKUP(B56,MAINQ!D:E,2,FALSE)</f>
        <v>DAC1</v>
      </c>
      <c r="D56" s="84" t="str">
        <f>VLOOKUP(B56,MAINQ!D:W,20,FALSE)</f>
        <v>Vet</v>
      </c>
      <c r="E56" s="85">
        <f>VLOOKUP(B56,MAINQ!D:Q,8,FALSE)</f>
        <v>0</v>
      </c>
      <c r="F56" s="86"/>
      <c r="G56" s="86"/>
      <c r="H56" s="86"/>
      <c r="I56" s="86"/>
      <c r="J56" s="58"/>
      <c r="K56" s="59"/>
      <c r="L56" s="87">
        <f t="shared" si="4"/>
        <v>0</v>
      </c>
      <c r="N56" s="34">
        <f t="shared" si="2"/>
        <v>54</v>
      </c>
    </row>
    <row r="57" spans="1:14">
      <c r="A57" s="82">
        <f t="shared" si="0"/>
        <v>54</v>
      </c>
      <c r="B57" s="123" t="s">
        <v>85</v>
      </c>
      <c r="C57" s="83" t="str">
        <f>VLOOKUP(B57,MAINQ!D:E,2,FALSE)</f>
        <v>DAC2</v>
      </c>
      <c r="D57" s="84" t="str">
        <f>VLOOKUP(B57,MAINQ!D:W,20,FALSE)</f>
        <v>Vet</v>
      </c>
      <c r="E57" s="85">
        <f>VLOOKUP(B57,MAINQ!D:Q,8,FALSE)</f>
        <v>0</v>
      </c>
      <c r="F57" s="86"/>
      <c r="G57" s="86"/>
      <c r="H57" s="86"/>
      <c r="I57" s="86"/>
      <c r="J57" s="58"/>
      <c r="K57" s="59"/>
      <c r="L57" s="87">
        <f t="shared" si="4"/>
        <v>0</v>
      </c>
      <c r="N57" s="34">
        <f t="shared" si="2"/>
        <v>55</v>
      </c>
    </row>
    <row r="58" spans="1:14">
      <c r="A58" s="82">
        <f t="shared" si="0"/>
        <v>54</v>
      </c>
      <c r="B58" s="123" t="s">
        <v>86</v>
      </c>
      <c r="C58" s="83" t="str">
        <f>VLOOKUP(B58,MAINQ!D:E,2,FALSE)</f>
        <v>DAC2</v>
      </c>
      <c r="D58" s="84" t="str">
        <f>VLOOKUP(B58,MAINQ!D:W,20,FALSE)</f>
        <v>Vet</v>
      </c>
      <c r="E58" s="85">
        <f>VLOOKUP(B58,MAINQ!D:Q,8,FALSE)</f>
        <v>0</v>
      </c>
      <c r="F58" s="86"/>
      <c r="G58" s="86"/>
      <c r="H58" s="86"/>
      <c r="I58" s="86"/>
      <c r="J58" s="58"/>
      <c r="K58" s="59"/>
      <c r="L58" s="87">
        <f t="shared" si="4"/>
        <v>0</v>
      </c>
      <c r="N58" s="34">
        <f t="shared" si="2"/>
        <v>56</v>
      </c>
    </row>
    <row r="59" spans="1:14">
      <c r="A59" s="82">
        <f t="shared" si="0"/>
        <v>54</v>
      </c>
      <c r="B59" s="123" t="s">
        <v>79</v>
      </c>
      <c r="C59" s="83" t="str">
        <f>VLOOKUP(B59,MAINQ!D:E,2,FALSE)</f>
        <v>EBC2</v>
      </c>
      <c r="D59" s="84" t="str">
        <f>VLOOKUP(B59,MAINQ!D:W,20,FALSE)</f>
        <v>Vet</v>
      </c>
      <c r="E59" s="85">
        <f>VLOOKUP(B59,MAINQ!D:Q,8,FALSE)</f>
        <v>0</v>
      </c>
      <c r="F59" s="86"/>
      <c r="G59" s="86"/>
      <c r="H59" s="86"/>
      <c r="I59" s="86"/>
      <c r="J59" s="58"/>
      <c r="K59" s="59"/>
      <c r="L59" s="87">
        <f t="shared" si="4"/>
        <v>0</v>
      </c>
      <c r="N59" s="34">
        <f t="shared" si="2"/>
        <v>57</v>
      </c>
    </row>
    <row r="60" spans="1:14">
      <c r="A60" s="82">
        <f t="shared" si="0"/>
        <v>54</v>
      </c>
      <c r="B60" s="123" t="s">
        <v>90</v>
      </c>
      <c r="C60" s="83" t="str">
        <f>VLOOKUP(B60,MAINQ!D:E,2,FALSE)</f>
        <v>LH3</v>
      </c>
      <c r="D60" s="84" t="str">
        <f>VLOOKUP(B60,MAINQ!D:W,20,FALSE)</f>
        <v>Vet</v>
      </c>
      <c r="E60" s="85">
        <f>VLOOKUP(B60,MAINQ!D:Q,8,FALSE)</f>
        <v>0</v>
      </c>
      <c r="F60" s="86"/>
      <c r="G60" s="86"/>
      <c r="H60" s="86"/>
      <c r="I60" s="86"/>
      <c r="J60" s="58"/>
      <c r="K60" s="59"/>
      <c r="L60" s="87">
        <f t="shared" si="4"/>
        <v>0</v>
      </c>
      <c r="N60" s="34">
        <f t="shared" si="2"/>
        <v>58</v>
      </c>
    </row>
    <row r="61" spans="1:14">
      <c r="A61" s="82">
        <f t="shared" si="0"/>
        <v>54</v>
      </c>
      <c r="B61" s="123" t="s">
        <v>99</v>
      </c>
      <c r="C61" s="83" t="str">
        <f>VLOOKUP(B61,MAINQ!D:E,2,FALSE)</f>
        <v>LH3</v>
      </c>
      <c r="D61" s="84" t="str">
        <f>VLOOKUP(B61,MAINQ!D:W,20,FALSE)</f>
        <v>Vet</v>
      </c>
      <c r="E61" s="85">
        <f>VLOOKUP(B61,MAINQ!D:Q,8,FALSE)</f>
        <v>0</v>
      </c>
      <c r="F61" s="86"/>
      <c r="G61" s="86"/>
      <c r="H61" s="86"/>
      <c r="I61" s="86"/>
      <c r="J61" s="58"/>
      <c r="K61" s="59"/>
      <c r="L61" s="87">
        <f t="shared" si="4"/>
        <v>0</v>
      </c>
      <c r="N61" s="34">
        <f t="shared" si="2"/>
        <v>59</v>
      </c>
    </row>
    <row r="62" spans="1:14">
      <c r="A62" s="82">
        <f t="shared" si="0"/>
        <v>54</v>
      </c>
      <c r="B62" s="123" t="s">
        <v>187</v>
      </c>
      <c r="C62" s="83" t="str">
        <f>VLOOKUP(B62,MAINQ!D:E,2,FALSE)</f>
        <v>LH4</v>
      </c>
      <c r="D62" s="84" t="str">
        <f>VLOOKUP(B62,MAINQ!D:W,20,FALSE)</f>
        <v>Rook</v>
      </c>
      <c r="E62" s="85">
        <f>VLOOKUP(B62,MAINQ!D:Q,8,FALSE)</f>
        <v>0</v>
      </c>
      <c r="F62" s="86"/>
      <c r="G62" s="86"/>
      <c r="H62" s="86"/>
      <c r="I62" s="86"/>
      <c r="J62" s="58"/>
      <c r="K62" s="59"/>
      <c r="L62" s="87">
        <f t="shared" si="4"/>
        <v>0</v>
      </c>
      <c r="N62" s="34">
        <f t="shared" si="2"/>
        <v>60</v>
      </c>
    </row>
    <row r="63" spans="1:14">
      <c r="A63" s="82">
        <f t="shared" si="0"/>
        <v>54</v>
      </c>
      <c r="B63" s="123" t="s">
        <v>113</v>
      </c>
      <c r="C63" s="83" t="str">
        <f>VLOOKUP(B63,MAINQ!D:E,2,FALSE)</f>
        <v>MAD1</v>
      </c>
      <c r="D63" s="84" t="str">
        <f>VLOOKUP(B63,MAINQ!D:W,20,FALSE)</f>
        <v>Vet</v>
      </c>
      <c r="E63" s="85">
        <f>VLOOKUP(B63,MAINQ!D:Q,8,FALSE)</f>
        <v>0</v>
      </c>
      <c r="F63" s="86"/>
      <c r="G63" s="86"/>
      <c r="H63" s="86"/>
      <c r="I63" s="86"/>
      <c r="J63" s="58"/>
      <c r="K63" s="59"/>
      <c r="L63" s="87">
        <f t="shared" si="4"/>
        <v>0</v>
      </c>
      <c r="N63" s="34">
        <f t="shared" si="2"/>
        <v>61</v>
      </c>
    </row>
    <row r="64" spans="1:14">
      <c r="A64" s="82">
        <f t="shared" si="0"/>
        <v>54</v>
      </c>
      <c r="B64" s="123" t="s">
        <v>188</v>
      </c>
      <c r="C64" s="83" t="str">
        <f>VLOOKUP(B64,MAINQ!D:E,2,FALSE)</f>
        <v>EBC1</v>
      </c>
      <c r="D64" s="84" t="str">
        <f>VLOOKUP(B64,MAINQ!D:W,20,FALSE)</f>
        <v>Vet</v>
      </c>
      <c r="E64" s="85">
        <f>VLOOKUP(B64,MAINQ!D:Q,8,FALSE)</f>
        <v>0</v>
      </c>
      <c r="F64" s="86"/>
      <c r="G64" s="86"/>
      <c r="H64" s="86"/>
      <c r="I64" s="86"/>
      <c r="J64" s="58"/>
      <c r="K64" s="59"/>
      <c r="L64" s="87">
        <f t="shared" si="4"/>
        <v>0</v>
      </c>
      <c r="N64" s="34">
        <f t="shared" si="2"/>
        <v>62</v>
      </c>
    </row>
    <row r="65" spans="1:14">
      <c r="A65" s="82">
        <f t="shared" si="0"/>
        <v>54</v>
      </c>
      <c r="B65" s="123" t="s">
        <v>94</v>
      </c>
      <c r="C65" s="83" t="str">
        <f>VLOOKUP(B65,MAINQ!D:E,2,FALSE)</f>
        <v>GIG1</v>
      </c>
      <c r="D65" s="84" t="str">
        <f>VLOOKUP(B65,MAINQ!D:W,20,FALSE)</f>
        <v>Vet</v>
      </c>
      <c r="E65" s="85">
        <f>VLOOKUP(B65,MAINQ!D:Q,8,FALSE)</f>
        <v>0</v>
      </c>
      <c r="F65" s="86"/>
      <c r="G65" s="86"/>
      <c r="H65" s="86"/>
      <c r="I65" s="86"/>
      <c r="J65" s="58"/>
      <c r="K65" s="59"/>
      <c r="L65" s="87">
        <f t="shared" si="4"/>
        <v>0</v>
      </c>
      <c r="N65" s="34">
        <f t="shared" si="2"/>
        <v>63</v>
      </c>
    </row>
    <row r="66" spans="1:14">
      <c r="A66" s="82">
        <f t="shared" si="0"/>
        <v>54</v>
      </c>
      <c r="B66" s="123" t="s">
        <v>38</v>
      </c>
      <c r="C66" s="83" t="str">
        <f>VLOOKUP(B66,MAINQ!D:E,2,FALSE)</f>
        <v>LH2</v>
      </c>
      <c r="D66" s="84" t="str">
        <f>VLOOKUP(B66,MAINQ!D:W,20,FALSE)</f>
        <v>Vet</v>
      </c>
      <c r="E66" s="85">
        <f>VLOOKUP(B66,MAINQ!D:Q,8,FALSE)</f>
        <v>0</v>
      </c>
      <c r="F66" s="86"/>
      <c r="G66" s="86"/>
      <c r="H66" s="86"/>
      <c r="I66" s="86"/>
      <c r="J66" s="58"/>
      <c r="K66" s="59"/>
      <c r="L66" s="87">
        <f t="shared" si="4"/>
        <v>0</v>
      </c>
      <c r="N66" s="34">
        <f t="shared" si="2"/>
        <v>64</v>
      </c>
    </row>
    <row r="67" spans="1:14">
      <c r="A67" s="82">
        <f t="shared" ref="A67:A104" si="5">IF(L67=L66,A66,N67)</f>
        <v>54</v>
      </c>
      <c r="B67" s="123" t="s">
        <v>189</v>
      </c>
      <c r="C67" s="83" t="str">
        <f>VLOOKUP(B67,MAINQ!D:E,2,FALSE)</f>
        <v>LH2</v>
      </c>
      <c r="D67" s="84" t="str">
        <f>VLOOKUP(B67,MAINQ!D:W,20,FALSE)</f>
        <v>Rook</v>
      </c>
      <c r="E67" s="85">
        <f>VLOOKUP(B67,MAINQ!D:Q,8,FALSE)</f>
        <v>0</v>
      </c>
      <c r="F67" s="86"/>
      <c r="G67" s="86"/>
      <c r="H67" s="86"/>
      <c r="I67" s="86"/>
      <c r="J67" s="58"/>
      <c r="K67" s="59"/>
      <c r="L67" s="87">
        <f t="shared" ref="L67:L98" si="6">VLOOKUP(B67,YTDInd,15,FALSE)</f>
        <v>0</v>
      </c>
      <c r="N67" s="34">
        <f t="shared" si="2"/>
        <v>65</v>
      </c>
    </row>
    <row r="68" spans="1:14">
      <c r="A68" s="82">
        <f t="shared" si="5"/>
        <v>54</v>
      </c>
      <c r="B68" s="123" t="s">
        <v>190</v>
      </c>
      <c r="C68" s="83" t="str">
        <f>VLOOKUP(B68,MAINQ!D:E,2,FALSE)</f>
        <v>LH5</v>
      </c>
      <c r="D68" s="84" t="str">
        <f>VLOOKUP(B68,MAINQ!D:W,20,FALSE)</f>
        <v>Rook</v>
      </c>
      <c r="E68" s="85">
        <f>VLOOKUP(B68,MAINQ!D:Q,8,FALSE)</f>
        <v>0</v>
      </c>
      <c r="F68" s="86"/>
      <c r="G68" s="86"/>
      <c r="H68" s="86"/>
      <c r="I68" s="86"/>
      <c r="J68" s="58"/>
      <c r="K68" s="59"/>
      <c r="L68" s="87">
        <f t="shared" si="6"/>
        <v>0</v>
      </c>
      <c r="N68" s="34">
        <f t="shared" ref="N68:N108" si="7">ROW()-2</f>
        <v>66</v>
      </c>
    </row>
    <row r="69" spans="1:14">
      <c r="A69" s="82">
        <f t="shared" si="5"/>
        <v>54</v>
      </c>
      <c r="B69" s="123" t="s">
        <v>100</v>
      </c>
      <c r="C69" s="83" t="str">
        <f>VLOOKUP(B69,MAINQ!D:E,2,FALSE)</f>
        <v>LH6</v>
      </c>
      <c r="D69" s="84" t="str">
        <f>VLOOKUP(B69,MAINQ!D:W,20,FALSE)</f>
        <v>Vet</v>
      </c>
      <c r="E69" s="85">
        <f>VLOOKUP(B69,MAINQ!D:Q,8,FALSE)</f>
        <v>0</v>
      </c>
      <c r="F69" s="86"/>
      <c r="G69" s="86"/>
      <c r="H69" s="86"/>
      <c r="I69" s="86"/>
      <c r="J69" s="58"/>
      <c r="K69" s="59"/>
      <c r="L69" s="87">
        <f t="shared" si="6"/>
        <v>0</v>
      </c>
      <c r="N69" s="34">
        <f t="shared" si="7"/>
        <v>67</v>
      </c>
    </row>
    <row r="70" spans="1:14">
      <c r="A70" s="82">
        <f t="shared" si="5"/>
        <v>54</v>
      </c>
      <c r="B70" s="123" t="s">
        <v>65</v>
      </c>
      <c r="C70" s="83" t="str">
        <f>VLOOKUP(B70,MAINQ!D:E,2,FALSE)</f>
        <v>LH7</v>
      </c>
      <c r="D70" s="84" t="str">
        <f>VLOOKUP(B70,MAINQ!D:W,20,FALSE)</f>
        <v>Vet</v>
      </c>
      <c r="E70" s="85">
        <f>VLOOKUP(B70,MAINQ!D:Q,8,FALSE)</f>
        <v>0</v>
      </c>
      <c r="F70" s="86"/>
      <c r="G70" s="86"/>
      <c r="H70" s="86"/>
      <c r="I70" s="86"/>
      <c r="J70" s="58"/>
      <c r="K70" s="59"/>
      <c r="L70" s="87">
        <f t="shared" si="6"/>
        <v>0</v>
      </c>
      <c r="N70" s="34">
        <f t="shared" si="7"/>
        <v>68</v>
      </c>
    </row>
    <row r="71" spans="1:14">
      <c r="A71" s="82">
        <f t="shared" si="5"/>
        <v>54</v>
      </c>
      <c r="B71" s="123" t="s">
        <v>191</v>
      </c>
      <c r="C71" s="83" t="str">
        <f>VLOOKUP(B71,MAINQ!D:E,2,FALSE)</f>
        <v>LH7</v>
      </c>
      <c r="D71" s="84" t="str">
        <f>VLOOKUP(B71,MAINQ!D:W,20,FALSE)</f>
        <v>Rook</v>
      </c>
      <c r="E71" s="85">
        <f>VLOOKUP(B71,MAINQ!D:Q,8,FALSE)</f>
        <v>0</v>
      </c>
      <c r="F71" s="86"/>
      <c r="G71" s="86"/>
      <c r="H71" s="86"/>
      <c r="I71" s="86"/>
      <c r="J71" s="58"/>
      <c r="K71" s="59"/>
      <c r="L71" s="87">
        <f t="shared" si="6"/>
        <v>0</v>
      </c>
      <c r="N71" s="34">
        <f t="shared" si="7"/>
        <v>69</v>
      </c>
    </row>
    <row r="72" spans="1:14">
      <c r="A72" s="82">
        <f t="shared" si="5"/>
        <v>54</v>
      </c>
      <c r="B72" s="123" t="s">
        <v>192</v>
      </c>
      <c r="C72" s="83" t="str">
        <f>VLOOKUP(B72,MAINQ!D:E,2,FALSE)</f>
        <v>LH8</v>
      </c>
      <c r="D72" s="84" t="str">
        <f>VLOOKUP(B72,MAINQ!D:W,20,FALSE)</f>
        <v>Rook</v>
      </c>
      <c r="E72" s="85">
        <f>VLOOKUP(B72,MAINQ!D:Q,8,FALSE)</f>
        <v>0</v>
      </c>
      <c r="F72" s="86"/>
      <c r="G72" s="86"/>
      <c r="H72" s="86"/>
      <c r="I72" s="86"/>
      <c r="J72" s="58"/>
      <c r="K72" s="59"/>
      <c r="L72" s="87">
        <f t="shared" si="6"/>
        <v>0</v>
      </c>
      <c r="N72" s="34">
        <f t="shared" si="7"/>
        <v>70</v>
      </c>
    </row>
    <row r="73" spans="1:14">
      <c r="A73" s="82">
        <f t="shared" si="5"/>
        <v>71</v>
      </c>
      <c r="B73" s="123" t="s">
        <v>61</v>
      </c>
      <c r="C73" s="83" t="str">
        <f>VLOOKUP(B73,MAINQ!D:E,2,FALSE)</f>
        <v>LH5</v>
      </c>
      <c r="D73" s="84" t="str">
        <f>VLOOKUP(B73,MAINQ!D:W,20,FALSE)</f>
        <v>Vet</v>
      </c>
      <c r="E73" s="85">
        <f>VLOOKUP(B73,MAINQ!D:Q,8,FALSE)</f>
        <v>-0.67</v>
      </c>
      <c r="F73" s="86"/>
      <c r="G73" s="86"/>
      <c r="H73" s="86"/>
      <c r="I73" s="86"/>
      <c r="J73" s="58"/>
      <c r="K73" s="59"/>
      <c r="L73" s="87">
        <f t="shared" si="6"/>
        <v>-0.67</v>
      </c>
      <c r="N73" s="34">
        <f t="shared" si="7"/>
        <v>71</v>
      </c>
    </row>
    <row r="74" spans="1:14">
      <c r="A74" s="82"/>
      <c r="B74" s="123"/>
      <c r="C74" s="83"/>
      <c r="D74" s="84"/>
      <c r="E74" s="85"/>
      <c r="F74" s="86"/>
      <c r="G74" s="86"/>
      <c r="H74" s="86"/>
      <c r="I74" s="86"/>
      <c r="J74" s="58"/>
      <c r="K74" s="59"/>
      <c r="L74" s="87"/>
    </row>
    <row r="75" spans="1:14">
      <c r="A75" s="82"/>
      <c r="B75" s="123"/>
      <c r="C75" s="83"/>
      <c r="D75" s="84"/>
      <c r="E75" s="85"/>
      <c r="F75" s="86"/>
      <c r="G75" s="86"/>
      <c r="H75" s="86"/>
      <c r="I75" s="86"/>
      <c r="J75" s="58"/>
      <c r="K75" s="59"/>
      <c r="L75" s="87"/>
    </row>
    <row r="76" spans="1:14">
      <c r="A76" s="82"/>
      <c r="B76" s="123"/>
      <c r="C76" s="83"/>
      <c r="D76" s="84"/>
      <c r="E76" s="85"/>
      <c r="F76" s="86"/>
      <c r="G76" s="86"/>
      <c r="H76" s="86"/>
      <c r="I76" s="86"/>
      <c r="J76" s="58"/>
      <c r="K76" s="59"/>
      <c r="L76" s="87"/>
    </row>
    <row r="77" spans="1:14">
      <c r="A77" s="82"/>
      <c r="B77" s="123"/>
      <c r="C77" s="83"/>
      <c r="D77" s="84"/>
      <c r="E77" s="85"/>
      <c r="F77" s="86"/>
      <c r="G77" s="86"/>
      <c r="H77" s="86"/>
      <c r="I77" s="86"/>
      <c r="J77" s="58"/>
      <c r="K77" s="59"/>
      <c r="L77" s="87"/>
    </row>
    <row r="78" spans="1:14">
      <c r="A78" s="82"/>
      <c r="B78" s="123"/>
      <c r="C78" s="83"/>
      <c r="D78" s="84"/>
      <c r="E78" s="85"/>
      <c r="F78" s="86"/>
      <c r="G78" s="86"/>
      <c r="H78" s="86"/>
      <c r="I78" s="86"/>
      <c r="J78" s="58"/>
      <c r="K78" s="59"/>
      <c r="L78" s="87"/>
    </row>
    <row r="79" spans="1:14">
      <c r="A79" s="82"/>
      <c r="B79" s="123"/>
      <c r="C79" s="83"/>
      <c r="D79" s="84"/>
      <c r="E79" s="85"/>
      <c r="F79" s="86"/>
      <c r="G79" s="86"/>
      <c r="H79" s="86"/>
      <c r="I79" s="86"/>
      <c r="J79" s="58"/>
      <c r="K79" s="59"/>
      <c r="L79" s="87"/>
    </row>
    <row r="80" spans="1:14">
      <c r="A80" s="82"/>
      <c r="B80" s="123"/>
      <c r="C80" s="83"/>
      <c r="D80" s="84"/>
      <c r="E80" s="85"/>
      <c r="F80" s="86"/>
      <c r="G80" s="86"/>
      <c r="H80" s="86"/>
      <c r="I80" s="86"/>
      <c r="J80" s="58"/>
      <c r="K80" s="59"/>
      <c r="L80" s="87"/>
    </row>
    <row r="81" spans="1:12">
      <c r="A81" s="82"/>
      <c r="B81" s="123"/>
      <c r="C81" s="83"/>
      <c r="D81" s="84"/>
      <c r="E81" s="85"/>
      <c r="F81" s="86"/>
      <c r="G81" s="86"/>
      <c r="H81" s="86"/>
      <c r="I81" s="86"/>
      <c r="J81" s="58"/>
      <c r="K81" s="59"/>
      <c r="L81" s="87"/>
    </row>
    <row r="82" spans="1:12">
      <c r="A82" s="82"/>
      <c r="B82" s="123"/>
      <c r="C82" s="83"/>
      <c r="D82" s="84"/>
      <c r="E82" s="85"/>
      <c r="F82" s="86"/>
      <c r="G82" s="86"/>
      <c r="H82" s="86"/>
      <c r="I82" s="86"/>
      <c r="J82" s="58"/>
      <c r="K82" s="59"/>
      <c r="L82" s="87"/>
    </row>
    <row r="83" spans="1:12">
      <c r="A83" s="82"/>
      <c r="B83" s="123"/>
      <c r="C83" s="83"/>
      <c r="D83" s="84"/>
      <c r="E83" s="85"/>
      <c r="F83" s="86"/>
      <c r="G83" s="86"/>
      <c r="H83" s="86"/>
      <c r="I83" s="86"/>
      <c r="J83" s="58"/>
      <c r="K83" s="59"/>
      <c r="L83" s="87"/>
    </row>
    <row r="84" spans="1:12">
      <c r="A84" s="82"/>
      <c r="B84" s="123"/>
      <c r="C84" s="83"/>
      <c r="D84" s="84"/>
      <c r="E84" s="85"/>
      <c r="F84" s="86"/>
      <c r="G84" s="86"/>
      <c r="H84" s="86"/>
      <c r="I84" s="86"/>
      <c r="J84" s="58"/>
      <c r="K84" s="59"/>
      <c r="L84" s="87"/>
    </row>
    <row r="85" spans="1:12">
      <c r="A85" s="82"/>
      <c r="B85" s="123"/>
      <c r="C85" s="83"/>
      <c r="D85" s="84"/>
      <c r="E85" s="85"/>
      <c r="F85" s="86"/>
      <c r="G85" s="86"/>
      <c r="H85" s="86"/>
      <c r="I85" s="86"/>
      <c r="J85" s="58"/>
      <c r="K85" s="59"/>
      <c r="L85" s="87"/>
    </row>
    <row r="86" spans="1:12">
      <c r="A86" s="82"/>
      <c r="B86" s="123"/>
      <c r="C86" s="83"/>
      <c r="D86" s="84"/>
      <c r="E86" s="85"/>
      <c r="F86" s="86"/>
      <c r="G86" s="86"/>
      <c r="H86" s="86"/>
      <c r="I86" s="86"/>
      <c r="J86" s="58"/>
      <c r="K86" s="59"/>
      <c r="L86" s="87"/>
    </row>
    <row r="87" spans="1:12">
      <c r="A87" s="82"/>
      <c r="B87" s="123"/>
      <c r="C87" s="83"/>
      <c r="D87" s="84"/>
      <c r="E87" s="85"/>
      <c r="F87" s="86"/>
      <c r="G87" s="86"/>
      <c r="H87" s="86"/>
      <c r="I87" s="86"/>
      <c r="J87" s="58"/>
      <c r="K87" s="59"/>
      <c r="L87" s="87"/>
    </row>
    <row r="88" spans="1:12">
      <c r="A88" s="82"/>
      <c r="B88" s="123"/>
      <c r="C88" s="83"/>
      <c r="D88" s="84"/>
      <c r="E88" s="85"/>
      <c r="F88" s="86"/>
      <c r="G88" s="86"/>
      <c r="H88" s="86"/>
      <c r="I88" s="86"/>
      <c r="J88" s="58"/>
      <c r="K88" s="59"/>
      <c r="L88" s="87"/>
    </row>
    <row r="89" spans="1:12">
      <c r="A89" s="82"/>
      <c r="B89" s="123"/>
      <c r="C89" s="83"/>
      <c r="D89" s="84"/>
      <c r="E89" s="85"/>
      <c r="F89" s="86"/>
      <c r="G89" s="86"/>
      <c r="H89" s="86"/>
      <c r="I89" s="86"/>
      <c r="J89" s="58"/>
      <c r="K89" s="59"/>
      <c r="L89" s="87"/>
    </row>
    <row r="90" spans="1:12">
      <c r="A90" s="82"/>
      <c r="B90" s="123"/>
      <c r="C90" s="83"/>
      <c r="D90" s="84"/>
      <c r="E90" s="85"/>
      <c r="F90" s="86"/>
      <c r="G90" s="86"/>
      <c r="H90" s="86"/>
      <c r="I90" s="86"/>
      <c r="J90" s="58"/>
      <c r="K90" s="59"/>
      <c r="L90" s="87"/>
    </row>
    <row r="91" spans="1:12">
      <c r="A91" s="82"/>
      <c r="B91" s="123"/>
      <c r="C91" s="83"/>
      <c r="D91" s="84"/>
      <c r="E91" s="85"/>
      <c r="F91" s="86"/>
      <c r="G91" s="86"/>
      <c r="H91" s="86"/>
      <c r="I91" s="86"/>
      <c r="J91" s="58"/>
      <c r="K91" s="59"/>
      <c r="L91" s="87"/>
    </row>
    <row r="92" spans="1:12">
      <c r="A92" s="82"/>
      <c r="B92" s="123"/>
      <c r="C92" s="83"/>
      <c r="D92" s="84"/>
      <c r="E92" s="85"/>
      <c r="F92" s="86"/>
      <c r="G92" s="86"/>
      <c r="H92" s="86"/>
      <c r="I92" s="86"/>
      <c r="J92" s="58"/>
      <c r="K92" s="59"/>
      <c r="L92" s="87"/>
    </row>
    <row r="93" spans="1:12">
      <c r="A93" s="82"/>
      <c r="B93" s="123"/>
      <c r="C93" s="83"/>
      <c r="D93" s="84"/>
      <c r="E93" s="85"/>
      <c r="F93" s="86"/>
      <c r="G93" s="86"/>
      <c r="H93" s="86"/>
      <c r="I93" s="86"/>
      <c r="J93" s="58"/>
      <c r="K93" s="59"/>
      <c r="L93" s="87"/>
    </row>
    <row r="94" spans="1:12">
      <c r="A94" s="82"/>
      <c r="B94" s="123"/>
      <c r="C94" s="83"/>
      <c r="D94" s="84"/>
      <c r="E94" s="85"/>
      <c r="F94" s="86"/>
      <c r="G94" s="86"/>
      <c r="H94" s="86"/>
      <c r="I94" s="86"/>
      <c r="J94" s="58"/>
      <c r="K94" s="59"/>
      <c r="L94" s="87"/>
    </row>
    <row r="95" spans="1:12">
      <c r="A95" s="82"/>
      <c r="B95" s="123"/>
      <c r="C95" s="83"/>
      <c r="D95" s="84"/>
      <c r="E95" s="85"/>
      <c r="F95" s="86"/>
      <c r="G95" s="86"/>
      <c r="H95" s="86"/>
      <c r="I95" s="86"/>
      <c r="J95" s="58"/>
      <c r="K95" s="59"/>
      <c r="L95" s="87"/>
    </row>
    <row r="96" spans="1:12">
      <c r="A96" s="82"/>
      <c r="B96" s="123"/>
      <c r="C96" s="83"/>
      <c r="D96" s="84"/>
      <c r="E96" s="85"/>
      <c r="F96" s="86"/>
      <c r="G96" s="86"/>
      <c r="H96" s="86"/>
      <c r="I96" s="86"/>
      <c r="J96" s="58"/>
      <c r="K96" s="59"/>
      <c r="L96" s="87"/>
    </row>
    <row r="97" spans="1:14">
      <c r="A97" s="82"/>
      <c r="B97" s="123"/>
      <c r="C97" s="83"/>
      <c r="D97" s="84"/>
      <c r="E97" s="85"/>
      <c r="F97" s="86"/>
      <c r="G97" s="86"/>
      <c r="H97" s="86"/>
      <c r="I97" s="86"/>
      <c r="J97" s="58"/>
      <c r="K97" s="59"/>
      <c r="L97" s="87"/>
    </row>
    <row r="98" spans="1:14">
      <c r="A98" s="82"/>
      <c r="B98" s="123"/>
      <c r="C98" s="83"/>
      <c r="D98" s="84"/>
      <c r="E98" s="85"/>
      <c r="F98" s="86"/>
      <c r="G98" s="86"/>
      <c r="H98" s="86"/>
      <c r="I98" s="86"/>
      <c r="J98" s="58"/>
      <c r="K98" s="59"/>
      <c r="L98" s="87"/>
    </row>
    <row r="99" spans="1:14">
      <c r="A99" s="82"/>
      <c r="B99" s="123"/>
      <c r="C99" s="83"/>
      <c r="D99" s="84"/>
      <c r="E99" s="85"/>
      <c r="F99" s="86"/>
      <c r="G99" s="86"/>
      <c r="H99" s="86"/>
      <c r="I99" s="86"/>
      <c r="J99" s="58"/>
      <c r="K99" s="59"/>
      <c r="L99" s="87"/>
    </row>
    <row r="100" spans="1:14">
      <c r="A100" s="82"/>
      <c r="B100" s="123"/>
      <c r="C100" s="83"/>
      <c r="D100" s="84"/>
      <c r="E100" s="85"/>
      <c r="F100" s="86"/>
      <c r="G100" s="86"/>
      <c r="H100" s="86"/>
      <c r="I100" s="86"/>
      <c r="J100" s="58"/>
      <c r="K100" s="59"/>
      <c r="L100" s="87"/>
    </row>
    <row r="101" spans="1:14">
      <c r="A101" s="82"/>
      <c r="B101" s="123"/>
      <c r="C101" s="83"/>
      <c r="D101" s="84"/>
      <c r="E101" s="85"/>
      <c r="F101" s="86"/>
      <c r="G101" s="86"/>
      <c r="H101" s="86"/>
      <c r="I101" s="86"/>
      <c r="J101" s="58"/>
      <c r="K101" s="59"/>
      <c r="L101" s="87"/>
    </row>
    <row r="102" spans="1:14">
      <c r="A102" s="82"/>
      <c r="B102" s="123"/>
      <c r="C102" s="83"/>
      <c r="D102" s="84"/>
      <c r="E102" s="85"/>
      <c r="F102" s="86"/>
      <c r="G102" s="86"/>
      <c r="H102" s="86"/>
      <c r="I102" s="86"/>
      <c r="J102" s="58"/>
      <c r="K102" s="59"/>
      <c r="L102" s="87"/>
    </row>
    <row r="103" spans="1:14">
      <c r="A103" s="82"/>
      <c r="B103" s="123"/>
      <c r="C103" s="83"/>
      <c r="D103" s="84"/>
      <c r="E103" s="85"/>
      <c r="F103" s="86"/>
      <c r="G103" s="86"/>
      <c r="H103" s="86"/>
      <c r="I103" s="86"/>
      <c r="J103" s="58"/>
      <c r="K103" s="59"/>
      <c r="L103" s="87"/>
    </row>
    <row r="104" spans="1:14">
      <c r="A104" s="82"/>
      <c r="B104" s="123"/>
      <c r="C104" s="83"/>
      <c r="D104" s="84"/>
      <c r="E104" s="85"/>
      <c r="F104" s="86"/>
      <c r="G104" s="86"/>
      <c r="H104" s="86"/>
      <c r="I104" s="86"/>
      <c r="J104" s="58"/>
      <c r="K104" s="59"/>
      <c r="L104" s="87"/>
    </row>
    <row r="105" spans="1:14">
      <c r="A105" s="82"/>
      <c r="B105" s="123"/>
      <c r="C105" s="83"/>
      <c r="D105" s="84"/>
      <c r="E105" s="85"/>
      <c r="F105" s="86"/>
      <c r="G105" s="86"/>
      <c r="H105" s="86"/>
      <c r="I105" s="86"/>
      <c r="J105" s="58"/>
      <c r="K105" s="59"/>
      <c r="L105" s="87"/>
    </row>
    <row r="106" spans="1:14">
      <c r="A106" s="82"/>
      <c r="B106" s="123"/>
      <c r="C106" s="83"/>
      <c r="D106" s="84"/>
      <c r="E106" s="85"/>
      <c r="F106" s="86"/>
      <c r="G106" s="86"/>
      <c r="H106" s="86"/>
      <c r="I106" s="86"/>
      <c r="J106" s="58"/>
      <c r="K106" s="59"/>
      <c r="L106" s="87"/>
    </row>
    <row r="107" spans="1:14">
      <c r="A107" s="82"/>
      <c r="B107" s="123"/>
      <c r="C107" s="83"/>
      <c r="D107" s="84"/>
      <c r="E107" s="85"/>
      <c r="F107" s="86"/>
      <c r="G107" s="86"/>
      <c r="H107" s="86"/>
      <c r="I107" s="86"/>
      <c r="J107" s="58"/>
      <c r="K107" s="59"/>
      <c r="L107" s="87"/>
      <c r="N107" s="34">
        <f t="shared" si="7"/>
        <v>105</v>
      </c>
    </row>
    <row r="108" spans="1:14">
      <c r="A108" s="82"/>
      <c r="B108" s="123"/>
      <c r="C108" s="83"/>
      <c r="D108" s="84"/>
      <c r="E108" s="85"/>
      <c r="F108" s="86"/>
      <c r="G108" s="86"/>
      <c r="H108" s="86"/>
      <c r="I108" s="86"/>
      <c r="J108" s="58"/>
      <c r="K108" s="59"/>
      <c r="L108" s="87"/>
      <c r="N108" s="34">
        <f t="shared" si="7"/>
        <v>106</v>
      </c>
    </row>
  </sheetData>
  <sortState xmlns:xlrd2="http://schemas.microsoft.com/office/spreadsheetml/2017/richdata2" ref="B3:L49">
    <sortCondition descending="1" ref="L3"/>
  </sortState>
  <mergeCells count="1">
    <mergeCell ref="E1:G1"/>
  </mergeCells>
  <phoneticPr fontId="9" type="noConversion"/>
  <pageMargins left="1" right="0.25" top="0" bottom="0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R39"/>
  <sheetViews>
    <sheetView workbookViewId="0">
      <selection activeCell="F25" sqref="F25"/>
    </sheetView>
  </sheetViews>
  <sheetFormatPr baseColWidth="10" defaultColWidth="8.83203125" defaultRowHeight="15"/>
  <cols>
    <col min="1" max="1" width="7" style="34" bestFit="1" customWidth="1"/>
    <col min="2" max="2" width="22.83203125" style="34" bestFit="1" customWidth="1"/>
    <col min="3" max="3" width="8.5" style="34" bestFit="1" customWidth="1"/>
    <col min="4" max="4" width="6.33203125" style="34" bestFit="1" customWidth="1"/>
    <col min="5" max="9" width="9" style="35" bestFit="1" customWidth="1"/>
    <col min="10" max="10" width="6.83203125" style="35" bestFit="1" customWidth="1"/>
    <col min="11" max="11" width="8.83203125" style="34"/>
    <col min="12" max="12" width="3" style="34" bestFit="1" customWidth="1"/>
    <col min="13" max="13" width="8.83203125" style="34"/>
    <col min="14" max="14" width="8.83203125" style="54"/>
    <col min="15" max="15" width="25.83203125" style="34" bestFit="1" customWidth="1"/>
    <col min="16" max="17" width="8.83203125" style="34"/>
    <col min="18" max="18" width="27" style="34" bestFit="1" customWidth="1"/>
    <col min="19" max="16384" width="8.83203125" style="34"/>
  </cols>
  <sheetData>
    <row r="1" spans="1:18" ht="15" customHeight="1" thickBot="1">
      <c r="A1" s="16" t="s">
        <v>24</v>
      </c>
      <c r="B1" s="17" t="s">
        <v>21</v>
      </c>
      <c r="C1" s="18" t="s">
        <v>18</v>
      </c>
      <c r="D1" s="17" t="s">
        <v>35</v>
      </c>
      <c r="E1" s="19" t="s">
        <v>30</v>
      </c>
      <c r="F1" s="20" t="s">
        <v>29</v>
      </c>
      <c r="G1" s="20" t="s">
        <v>28</v>
      </c>
      <c r="H1" s="20" t="s">
        <v>27</v>
      </c>
      <c r="I1" s="20" t="s">
        <v>26</v>
      </c>
      <c r="J1" s="21" t="s">
        <v>15</v>
      </c>
    </row>
    <row r="2" spans="1:18" ht="15" customHeight="1">
      <c r="A2" s="22">
        <f t="shared" ref="A2:A26" si="0">IF(J2=J1,A1,L2)</f>
        <v>1</v>
      </c>
      <c r="B2" s="23" t="s">
        <v>174</v>
      </c>
      <c r="C2" s="24" t="str">
        <f>VLOOKUP(B2,MAINQ!D:E,2,FALSE)</f>
        <v>DAC1</v>
      </c>
      <c r="D2" s="31">
        <f>VLOOKUP(B2,MAINQ!D:W,19,FALSE)</f>
        <v>2</v>
      </c>
      <c r="E2" s="36">
        <f>VLOOKUP(B2,MAINQ!D:Q,8,FALSE)</f>
        <v>42.22</v>
      </c>
      <c r="F2" s="37">
        <f>VLOOKUP(B2,MAINQ!D:Q,9,FALSE)</f>
        <v>0</v>
      </c>
      <c r="G2" s="37">
        <f>VLOOKUP(B2,MAINQ!D:Q,10,FALSE)</f>
        <v>0</v>
      </c>
      <c r="H2" s="37">
        <f>VLOOKUP(B2,MAINQ!D:N,11,FALSE)</f>
        <v>0</v>
      </c>
      <c r="I2" s="37">
        <f>VLOOKUP(B2,MAINQ!D:O,12,FALSE)</f>
        <v>0</v>
      </c>
      <c r="J2" s="100">
        <f t="shared" ref="J2:J26" si="1">VLOOKUP(B2,YTDInd,15,FALSE)</f>
        <v>42.22</v>
      </c>
      <c r="L2" s="34">
        <v>1</v>
      </c>
      <c r="N2" s="54" t="s">
        <v>116</v>
      </c>
      <c r="O2" s="34" t="str">
        <f t="shared" ref="O2:O11" si="2">CONCATENATE(A2,". ",B2,", ",N2)</f>
        <v>1. Christi Adams, 69.36</v>
      </c>
      <c r="Q2" s="34">
        <v>10</v>
      </c>
      <c r="R2" s="34" t="s">
        <v>148</v>
      </c>
    </row>
    <row r="3" spans="1:18" ht="15" customHeight="1">
      <c r="A3" s="25">
        <f t="shared" si="0"/>
        <v>2</v>
      </c>
      <c r="B3" s="26" t="s">
        <v>176</v>
      </c>
      <c r="C3" s="27" t="str">
        <f>VLOOKUP(B3,MAINQ!D:E,2,FALSE)</f>
        <v>DAC2</v>
      </c>
      <c r="D3" s="32">
        <f>VLOOKUP(B3,MAINQ!D:W,19,FALSE)</f>
        <v>1</v>
      </c>
      <c r="E3" s="38">
        <f>VLOOKUP(B3,MAINQ!D:Q,8,FALSE)</f>
        <v>41.11</v>
      </c>
      <c r="F3" s="39">
        <f>VLOOKUP(B3,MAINQ!D:Q,9,FALSE)</f>
        <v>0</v>
      </c>
      <c r="G3" s="39">
        <f>VLOOKUP(B3,MAINQ!D:Q,10,FALSE)</f>
        <v>0</v>
      </c>
      <c r="H3" s="39">
        <f>VLOOKUP(B3,MAINQ!D:N,11,FALSE)</f>
        <v>0</v>
      </c>
      <c r="I3" s="39">
        <f>VLOOKUP(B3,MAINQ!D:O,12,FALSE)</f>
        <v>0</v>
      </c>
      <c r="J3" s="101">
        <f t="shared" si="1"/>
        <v>41.11</v>
      </c>
      <c r="L3" s="34">
        <v>2</v>
      </c>
      <c r="N3" s="54" t="s">
        <v>117</v>
      </c>
      <c r="O3" s="34" t="str">
        <f t="shared" si="2"/>
        <v>2. Wesley Adams, 42.96</v>
      </c>
      <c r="Q3" s="34">
        <v>9</v>
      </c>
      <c r="R3" s="34" t="s">
        <v>147</v>
      </c>
    </row>
    <row r="4" spans="1:18" ht="15" customHeight="1">
      <c r="A4" s="25">
        <f t="shared" si="0"/>
        <v>3</v>
      </c>
      <c r="B4" s="26" t="s">
        <v>178</v>
      </c>
      <c r="C4" s="27" t="str">
        <f>VLOOKUP(B4,MAINQ!D:E,2,FALSE)</f>
        <v>MAD2</v>
      </c>
      <c r="D4" s="32">
        <f>VLOOKUP(B4,MAINQ!D:W,19,FALSE)</f>
        <v>1</v>
      </c>
      <c r="E4" s="38">
        <f>VLOOKUP(B4,MAINQ!D:Q,8,FALSE)</f>
        <v>27.56</v>
      </c>
      <c r="F4" s="39">
        <f>VLOOKUP(B4,MAINQ!D:Q,9,FALSE)</f>
        <v>0</v>
      </c>
      <c r="G4" s="39">
        <f>VLOOKUP(B4,MAINQ!D:Q,10,FALSE)</f>
        <v>0</v>
      </c>
      <c r="H4" s="39">
        <f>VLOOKUP(B4,MAINQ!D:N,11,FALSE)</f>
        <v>0</v>
      </c>
      <c r="I4" s="39">
        <f>VLOOKUP(B4,MAINQ!D:O,12,FALSE)</f>
        <v>0</v>
      </c>
      <c r="J4" s="101">
        <f t="shared" si="1"/>
        <v>27.56</v>
      </c>
      <c r="L4" s="34">
        <v>3</v>
      </c>
      <c r="N4" s="54" t="s">
        <v>118</v>
      </c>
      <c r="O4" s="34" t="str">
        <f t="shared" si="2"/>
        <v>3. Sophie Nelson, 26.12</v>
      </c>
      <c r="Q4" s="34">
        <v>8</v>
      </c>
      <c r="R4" s="34" t="s">
        <v>146</v>
      </c>
    </row>
    <row r="5" spans="1:18" ht="15" customHeight="1">
      <c r="A5" s="25">
        <f t="shared" si="0"/>
        <v>4</v>
      </c>
      <c r="B5" s="26" t="s">
        <v>179</v>
      </c>
      <c r="C5" s="27" t="str">
        <f>VLOOKUP(B5,MAINQ!D:E,2,FALSE)</f>
        <v>DAC1</v>
      </c>
      <c r="D5" s="32">
        <f>VLOOKUP(B5,MAINQ!D:W,19,FALSE)</f>
        <v>4</v>
      </c>
      <c r="E5" s="38">
        <f>VLOOKUP(B5,MAINQ!D:Q,8,FALSE)</f>
        <v>11.11</v>
      </c>
      <c r="F5" s="39">
        <f>VLOOKUP(B5,MAINQ!D:Q,9,FALSE)</f>
        <v>0</v>
      </c>
      <c r="G5" s="39">
        <f>VLOOKUP(B5,MAINQ!D:Q,10,FALSE)</f>
        <v>0</v>
      </c>
      <c r="H5" s="39">
        <f>VLOOKUP(B5,MAINQ!D:N,11,FALSE)</f>
        <v>0</v>
      </c>
      <c r="I5" s="39">
        <f>VLOOKUP(B5,MAINQ!D:O,12,FALSE)</f>
        <v>0</v>
      </c>
      <c r="J5" s="101">
        <f t="shared" si="1"/>
        <v>11.11</v>
      </c>
      <c r="L5" s="34">
        <v>4</v>
      </c>
      <c r="N5" s="54" t="s">
        <v>121</v>
      </c>
      <c r="O5" s="34" t="str">
        <f t="shared" si="2"/>
        <v>4. Davi Sygney, 24.47</v>
      </c>
      <c r="Q5" s="34">
        <v>7</v>
      </c>
      <c r="R5" s="34" t="s">
        <v>145</v>
      </c>
    </row>
    <row r="6" spans="1:18" ht="15" customHeight="1" thickBot="1">
      <c r="A6" s="28">
        <f t="shared" si="0"/>
        <v>5</v>
      </c>
      <c r="B6" s="29" t="s">
        <v>181</v>
      </c>
      <c r="C6" s="30" t="str">
        <f>VLOOKUP(B6,MAINQ!D:E,2,FALSE)</f>
        <v>MAD3</v>
      </c>
      <c r="D6" s="33">
        <f>VLOOKUP(B6,MAINQ!D:W,19,FALSE)</f>
        <v>2</v>
      </c>
      <c r="E6" s="40">
        <f>VLOOKUP(B6,MAINQ!D:Q,8,FALSE)</f>
        <v>6</v>
      </c>
      <c r="F6" s="41">
        <f>VLOOKUP(B6,MAINQ!D:Q,9,FALSE)</f>
        <v>0</v>
      </c>
      <c r="G6" s="41">
        <f>VLOOKUP(B6,MAINQ!D:Q,10,FALSE)</f>
        <v>0</v>
      </c>
      <c r="H6" s="41">
        <f>VLOOKUP(B6,MAINQ!D:N,11,FALSE)</f>
        <v>0</v>
      </c>
      <c r="I6" s="41">
        <f>VLOOKUP(B6,MAINQ!D:O,12,FALSE)</f>
        <v>0</v>
      </c>
      <c r="J6" s="102">
        <f t="shared" si="1"/>
        <v>6</v>
      </c>
      <c r="L6" s="34">
        <v>5</v>
      </c>
      <c r="N6" s="54" t="s">
        <v>123</v>
      </c>
      <c r="O6" s="34" t="str">
        <f t="shared" si="2"/>
        <v>5. Tyler Shields, 23.40</v>
      </c>
      <c r="Q6" s="34">
        <v>6</v>
      </c>
      <c r="R6" s="34" t="s">
        <v>144</v>
      </c>
    </row>
    <row r="7" spans="1:18" ht="15" customHeight="1">
      <c r="A7" s="22">
        <f t="shared" si="0"/>
        <v>6</v>
      </c>
      <c r="B7" s="23" t="s">
        <v>182</v>
      </c>
      <c r="C7" s="24" t="str">
        <f>VLOOKUP(B7,MAINQ!D:E,2,FALSE)</f>
        <v>LH8</v>
      </c>
      <c r="D7" s="31">
        <f>VLOOKUP(B7,MAINQ!D:W,19,FALSE)</f>
        <v>3</v>
      </c>
      <c r="E7" s="36">
        <f>VLOOKUP(B7,MAINQ!D:Q,8,FALSE)</f>
        <v>5.78</v>
      </c>
      <c r="F7" s="37">
        <f>VLOOKUP(B7,MAINQ!D:Q,9,FALSE)</f>
        <v>0</v>
      </c>
      <c r="G7" s="37">
        <f>VLOOKUP(B7,MAINQ!D:Q,10,FALSE)</f>
        <v>0</v>
      </c>
      <c r="H7" s="37">
        <f>VLOOKUP(B7,MAINQ!D:N,11,FALSE)</f>
        <v>0</v>
      </c>
      <c r="I7" s="37">
        <f>VLOOKUP(B7,MAINQ!D:O,12,FALSE)</f>
        <v>0</v>
      </c>
      <c r="J7" s="100">
        <f t="shared" si="1"/>
        <v>5.78</v>
      </c>
      <c r="L7" s="34">
        <v>6</v>
      </c>
      <c r="N7" s="54" t="s">
        <v>131</v>
      </c>
      <c r="O7" s="34" t="str">
        <f t="shared" si="2"/>
        <v>6. Madalyn Dotson, 18.05</v>
      </c>
      <c r="Q7" s="34">
        <v>5</v>
      </c>
      <c r="R7" s="34" t="s">
        <v>143</v>
      </c>
    </row>
    <row r="8" spans="1:18" ht="15" customHeight="1">
      <c r="A8" s="25">
        <f t="shared" si="0"/>
        <v>7</v>
      </c>
      <c r="B8" s="26" t="s">
        <v>187</v>
      </c>
      <c r="C8" s="27" t="str">
        <f>VLOOKUP(B8,MAINQ!D:E,2,FALSE)</f>
        <v>LH4</v>
      </c>
      <c r="D8" s="32">
        <f>VLOOKUP(B8,MAINQ!D:W,19,FALSE)</f>
        <v>5</v>
      </c>
      <c r="E8" s="38">
        <f>VLOOKUP(B8,MAINQ!D:Q,8,FALSE)</f>
        <v>0</v>
      </c>
      <c r="F8" s="39">
        <f>VLOOKUP(B8,MAINQ!D:Q,9,FALSE)</f>
        <v>0</v>
      </c>
      <c r="G8" s="39">
        <f>VLOOKUP(B8,MAINQ!D:Q,10,FALSE)</f>
        <v>0</v>
      </c>
      <c r="H8" s="39">
        <f>VLOOKUP(B8,MAINQ!D:N,11,FALSE)</f>
        <v>0</v>
      </c>
      <c r="I8" s="39">
        <f>VLOOKUP(B8,MAINQ!D:O,12,FALSE)</f>
        <v>0</v>
      </c>
      <c r="J8" s="101">
        <f t="shared" si="1"/>
        <v>0</v>
      </c>
      <c r="L8" s="34">
        <v>7</v>
      </c>
      <c r="N8" s="54" t="s">
        <v>135</v>
      </c>
      <c r="O8" s="34" t="str">
        <f t="shared" si="2"/>
        <v>7. Ava Olson, 17.03</v>
      </c>
      <c r="Q8" s="34">
        <v>4</v>
      </c>
      <c r="R8" s="34" t="s">
        <v>142</v>
      </c>
    </row>
    <row r="9" spans="1:18" ht="15" customHeight="1">
      <c r="A9" s="25">
        <f t="shared" si="0"/>
        <v>7</v>
      </c>
      <c r="B9" s="26" t="s">
        <v>189</v>
      </c>
      <c r="C9" s="27" t="str">
        <f>VLOOKUP(B9,MAINQ!D:E,2,FALSE)</f>
        <v>LH2</v>
      </c>
      <c r="D9" s="32">
        <f>VLOOKUP(B9,MAINQ!D:W,19,FALSE)</f>
        <v>3</v>
      </c>
      <c r="E9" s="38">
        <f>VLOOKUP(B9,MAINQ!D:Q,8,FALSE)</f>
        <v>0</v>
      </c>
      <c r="F9" s="39">
        <f>VLOOKUP(B9,MAINQ!D:Q,9,FALSE)</f>
        <v>0</v>
      </c>
      <c r="G9" s="39">
        <f>VLOOKUP(B9,MAINQ!D:Q,10,FALSE)</f>
        <v>0</v>
      </c>
      <c r="H9" s="39">
        <f>VLOOKUP(B9,MAINQ!D:N,11,FALSE)</f>
        <v>0</v>
      </c>
      <c r="I9" s="39">
        <f>VLOOKUP(B9,MAINQ!D:O,12,FALSE)</f>
        <v>0</v>
      </c>
      <c r="J9" s="101">
        <f t="shared" si="1"/>
        <v>0</v>
      </c>
      <c r="L9" s="34">
        <v>8</v>
      </c>
      <c r="N9" s="54" t="s">
        <v>136</v>
      </c>
      <c r="O9" s="34" t="str">
        <f t="shared" si="2"/>
        <v>7. Bryce McNeese, 14.04</v>
      </c>
      <c r="Q9" s="34">
        <v>3</v>
      </c>
      <c r="R9" s="34" t="s">
        <v>141</v>
      </c>
    </row>
    <row r="10" spans="1:18" ht="15" customHeight="1">
      <c r="A10" s="25">
        <f t="shared" si="0"/>
        <v>7</v>
      </c>
      <c r="B10" s="26" t="s">
        <v>190</v>
      </c>
      <c r="C10" s="27" t="str">
        <f>VLOOKUP(B10,MAINQ!D:E,2,FALSE)</f>
        <v>LH5</v>
      </c>
      <c r="D10" s="32">
        <f>VLOOKUP(B10,MAINQ!D:W,19,FALSE)</f>
        <v>3</v>
      </c>
      <c r="E10" s="38">
        <f>VLOOKUP(B10,MAINQ!D:Q,8,FALSE)</f>
        <v>0</v>
      </c>
      <c r="F10" s="39">
        <f>VLOOKUP(B10,MAINQ!D:Q,9,FALSE)</f>
        <v>0</v>
      </c>
      <c r="G10" s="39">
        <f>VLOOKUP(B10,MAINQ!D:Q,10,FALSE)</f>
        <v>0</v>
      </c>
      <c r="H10" s="39">
        <f>VLOOKUP(B10,MAINQ!D:N,11,FALSE)</f>
        <v>0</v>
      </c>
      <c r="I10" s="39">
        <f>VLOOKUP(B10,MAINQ!D:O,12,FALSE)</f>
        <v>0</v>
      </c>
      <c r="J10" s="101">
        <f t="shared" si="1"/>
        <v>0</v>
      </c>
      <c r="L10" s="34">
        <v>9</v>
      </c>
      <c r="N10" s="54" t="s">
        <v>137</v>
      </c>
      <c r="O10" s="34" t="str">
        <f t="shared" si="2"/>
        <v>7. Kaela Kim, 9.48</v>
      </c>
      <c r="Q10" s="34">
        <v>2</v>
      </c>
      <c r="R10" s="34" t="s">
        <v>140</v>
      </c>
    </row>
    <row r="11" spans="1:18" ht="15" customHeight="1" thickBot="1">
      <c r="A11" s="28">
        <f t="shared" si="0"/>
        <v>7</v>
      </c>
      <c r="B11" s="29" t="s">
        <v>191</v>
      </c>
      <c r="C11" s="30" t="str">
        <f>VLOOKUP(B11,MAINQ!D:E,2,FALSE)</f>
        <v>LH7</v>
      </c>
      <c r="D11" s="33">
        <f>VLOOKUP(B11,MAINQ!D:W,19,FALSE)</f>
        <v>3</v>
      </c>
      <c r="E11" s="40">
        <f>VLOOKUP(B11,MAINQ!D:Q,8,FALSE)</f>
        <v>0</v>
      </c>
      <c r="F11" s="41">
        <f>VLOOKUP(B11,MAINQ!D:Q,9,FALSE)</f>
        <v>0</v>
      </c>
      <c r="G11" s="41">
        <f>VLOOKUP(B11,MAINQ!D:Q,10,FALSE)</f>
        <v>0</v>
      </c>
      <c r="H11" s="41">
        <f>VLOOKUP(B11,MAINQ!D:N,11,FALSE)</f>
        <v>0</v>
      </c>
      <c r="I11" s="41">
        <f>VLOOKUP(B11,MAINQ!D:O,12,FALSE)</f>
        <v>0</v>
      </c>
      <c r="J11" s="102">
        <f t="shared" si="1"/>
        <v>0</v>
      </c>
      <c r="L11" s="34">
        <v>10</v>
      </c>
      <c r="N11" s="54" t="s">
        <v>138</v>
      </c>
      <c r="O11" s="34" t="str">
        <f t="shared" si="2"/>
        <v>7. Kelsie McNeese, 6.57</v>
      </c>
      <c r="Q11" s="34">
        <v>1</v>
      </c>
      <c r="R11" s="34" t="s">
        <v>139</v>
      </c>
    </row>
    <row r="12" spans="1:18" ht="15" customHeight="1">
      <c r="A12" s="22">
        <f t="shared" si="0"/>
        <v>7</v>
      </c>
      <c r="B12" s="23" t="s">
        <v>192</v>
      </c>
      <c r="C12" s="24" t="str">
        <f>VLOOKUP(B12,MAINQ!D:E,2,FALSE)</f>
        <v>LH8</v>
      </c>
      <c r="D12" s="31">
        <f>VLOOKUP(B12,MAINQ!D:W,19,FALSE)</f>
        <v>4</v>
      </c>
      <c r="E12" s="36">
        <f>VLOOKUP(B12,MAINQ!D:Q,8,FALSE)</f>
        <v>0</v>
      </c>
      <c r="F12" s="37">
        <f>VLOOKUP(B12,MAINQ!D:Q,9,FALSE)</f>
        <v>0</v>
      </c>
      <c r="G12" s="37">
        <f>VLOOKUP(B12,MAINQ!D:Q,10,FALSE)</f>
        <v>0</v>
      </c>
      <c r="H12" s="37">
        <f>VLOOKUP(B12,MAINQ!D:N,11,FALSE)</f>
        <v>0</v>
      </c>
      <c r="I12" s="37">
        <f>VLOOKUP(B12,MAINQ!D:O,12,FALSE)</f>
        <v>0</v>
      </c>
      <c r="J12" s="100">
        <f t="shared" si="1"/>
        <v>0</v>
      </c>
      <c r="L12" s="34">
        <v>11</v>
      </c>
    </row>
    <row r="13" spans="1:18" ht="15" customHeight="1">
      <c r="A13" s="25"/>
      <c r="B13" s="26"/>
      <c r="C13" s="27"/>
      <c r="D13" s="32"/>
      <c r="E13" s="38"/>
      <c r="F13" s="39"/>
      <c r="G13" s="39"/>
      <c r="H13" s="39"/>
      <c r="I13" s="39"/>
      <c r="J13" s="101"/>
      <c r="L13" s="34">
        <v>12</v>
      </c>
    </row>
    <row r="14" spans="1:18" ht="15" customHeight="1">
      <c r="A14" s="25"/>
      <c r="B14" s="26"/>
      <c r="C14" s="27"/>
      <c r="D14" s="32"/>
      <c r="E14" s="38"/>
      <c r="F14" s="39"/>
      <c r="G14" s="39"/>
      <c r="H14" s="39"/>
      <c r="I14" s="39"/>
      <c r="J14" s="101"/>
      <c r="L14" s="34">
        <v>13</v>
      </c>
    </row>
    <row r="15" spans="1:18" ht="15" customHeight="1">
      <c r="A15" s="25"/>
      <c r="B15" s="26"/>
      <c r="C15" s="27"/>
      <c r="D15" s="32"/>
      <c r="E15" s="38"/>
      <c r="F15" s="39"/>
      <c r="G15" s="39"/>
      <c r="H15" s="39"/>
      <c r="I15" s="39"/>
      <c r="J15" s="101"/>
      <c r="L15" s="34">
        <v>14</v>
      </c>
    </row>
    <row r="16" spans="1:18" ht="15" customHeight="1" thickBot="1">
      <c r="A16" s="28"/>
      <c r="B16" s="29"/>
      <c r="C16" s="30"/>
      <c r="D16" s="33"/>
      <c r="E16" s="40"/>
      <c r="F16" s="41"/>
      <c r="G16" s="41"/>
      <c r="H16" s="41"/>
      <c r="I16" s="41"/>
      <c r="J16" s="102"/>
      <c r="L16" s="34">
        <v>15</v>
      </c>
    </row>
    <row r="17" spans="1:12" ht="15" customHeight="1">
      <c r="A17" s="25"/>
      <c r="B17" s="26"/>
      <c r="C17" s="27"/>
      <c r="D17" s="32"/>
      <c r="E17" s="38"/>
      <c r="F17" s="39"/>
      <c r="G17" s="39"/>
      <c r="H17" s="39"/>
      <c r="I17" s="39"/>
      <c r="J17" s="101"/>
      <c r="L17" s="34">
        <v>16</v>
      </c>
    </row>
    <row r="18" spans="1:12" ht="15" customHeight="1">
      <c r="A18" s="25"/>
      <c r="B18" s="26"/>
      <c r="C18" s="27"/>
      <c r="D18" s="32"/>
      <c r="E18" s="38"/>
      <c r="F18" s="39"/>
      <c r="G18" s="39"/>
      <c r="H18" s="39"/>
      <c r="I18" s="39"/>
      <c r="J18" s="101"/>
      <c r="L18" s="34">
        <v>17</v>
      </c>
    </row>
    <row r="19" spans="1:12" ht="15" customHeight="1">
      <c r="A19" s="25"/>
      <c r="B19" s="26"/>
      <c r="C19" s="27"/>
      <c r="D19" s="32"/>
      <c r="E19" s="38"/>
      <c r="F19" s="39"/>
      <c r="G19" s="39"/>
      <c r="H19" s="39"/>
      <c r="I19" s="39"/>
      <c r="J19" s="101"/>
      <c r="L19" s="34">
        <v>18</v>
      </c>
    </row>
    <row r="20" spans="1:12">
      <c r="A20" s="25"/>
      <c r="B20" s="26"/>
      <c r="C20" s="27"/>
      <c r="D20" s="32"/>
      <c r="E20" s="38"/>
      <c r="F20" s="39"/>
      <c r="G20" s="39"/>
      <c r="H20" s="39"/>
      <c r="I20" s="39"/>
      <c r="J20" s="101"/>
      <c r="L20" s="34">
        <v>19</v>
      </c>
    </row>
    <row r="21" spans="1:12">
      <c r="A21" s="25"/>
      <c r="B21" s="26"/>
      <c r="C21" s="27"/>
      <c r="D21" s="32"/>
      <c r="E21" s="38"/>
      <c r="F21" s="39"/>
      <c r="G21" s="39"/>
      <c r="H21" s="39"/>
      <c r="I21" s="39"/>
      <c r="J21" s="101"/>
      <c r="L21" s="34">
        <v>20</v>
      </c>
    </row>
    <row r="22" spans="1:12">
      <c r="A22" s="25"/>
      <c r="B22" s="26"/>
      <c r="C22" s="27"/>
      <c r="D22" s="32"/>
      <c r="E22" s="38"/>
      <c r="F22" s="39"/>
      <c r="G22" s="39"/>
      <c r="H22" s="39"/>
      <c r="I22" s="39"/>
      <c r="J22" s="101"/>
      <c r="L22" s="34">
        <v>21</v>
      </c>
    </row>
    <row r="23" spans="1:12">
      <c r="A23" s="25"/>
      <c r="B23" s="26"/>
      <c r="C23" s="27"/>
      <c r="D23" s="32"/>
      <c r="E23" s="38"/>
      <c r="F23" s="39"/>
      <c r="G23" s="39"/>
      <c r="H23" s="39"/>
      <c r="I23" s="39"/>
      <c r="J23" s="101"/>
      <c r="L23" s="34">
        <v>22</v>
      </c>
    </row>
    <row r="24" spans="1:12">
      <c r="A24" s="25"/>
      <c r="B24" s="26"/>
      <c r="C24" s="27"/>
      <c r="D24" s="32"/>
      <c r="E24" s="38"/>
      <c r="F24" s="39"/>
      <c r="G24" s="39"/>
      <c r="H24" s="39"/>
      <c r="I24" s="39"/>
      <c r="J24" s="101"/>
      <c r="L24" s="34">
        <v>23</v>
      </c>
    </row>
    <row r="25" spans="1:12">
      <c r="A25" s="25"/>
      <c r="B25" s="26"/>
      <c r="C25" s="27"/>
      <c r="D25" s="32"/>
      <c r="E25" s="38"/>
      <c r="F25" s="39"/>
      <c r="G25" s="39"/>
      <c r="H25" s="39"/>
      <c r="I25" s="39"/>
      <c r="J25" s="101"/>
      <c r="L25" s="34">
        <v>24</v>
      </c>
    </row>
    <row r="26" spans="1:12">
      <c r="A26" s="25"/>
      <c r="B26" s="26"/>
      <c r="C26" s="27"/>
      <c r="D26" s="32"/>
      <c r="E26" s="38"/>
      <c r="F26" s="39"/>
      <c r="G26" s="39"/>
      <c r="H26" s="39"/>
      <c r="I26" s="39"/>
      <c r="J26" s="101"/>
      <c r="L26" s="34">
        <v>25</v>
      </c>
    </row>
    <row r="27" spans="1:12">
      <c r="A27" s="25"/>
      <c r="B27" s="26"/>
      <c r="C27" s="27"/>
      <c r="D27" s="32"/>
      <c r="E27" s="38"/>
      <c r="F27" s="39"/>
      <c r="G27" s="39"/>
      <c r="H27" s="39"/>
      <c r="I27" s="39"/>
      <c r="J27" s="101"/>
      <c r="L27" s="34">
        <v>26</v>
      </c>
    </row>
    <row r="28" spans="1:12">
      <c r="A28" s="25"/>
      <c r="B28" s="26"/>
      <c r="C28" s="27"/>
      <c r="D28" s="32"/>
      <c r="E28" s="38"/>
      <c r="F28" s="39"/>
      <c r="G28" s="39"/>
      <c r="H28" s="39"/>
      <c r="I28" s="39"/>
      <c r="J28" s="101"/>
      <c r="L28" s="34">
        <v>27</v>
      </c>
    </row>
    <row r="29" spans="1:12">
      <c r="A29" s="25"/>
      <c r="B29" s="26"/>
      <c r="C29" s="27"/>
      <c r="D29" s="32"/>
      <c r="E29" s="38"/>
      <c r="F29" s="39"/>
      <c r="G29" s="39"/>
      <c r="H29" s="39"/>
      <c r="I29" s="39"/>
      <c r="J29" s="101"/>
      <c r="L29" s="34">
        <v>28</v>
      </c>
    </row>
    <row r="30" spans="1:12">
      <c r="A30" s="25"/>
      <c r="B30" s="26"/>
      <c r="C30" s="27"/>
      <c r="D30" s="32"/>
      <c r="E30" s="38"/>
      <c r="F30" s="39"/>
      <c r="G30" s="39"/>
      <c r="H30" s="39"/>
      <c r="I30" s="39"/>
      <c r="J30" s="101"/>
      <c r="L30" s="34">
        <v>29</v>
      </c>
    </row>
    <row r="31" spans="1:12">
      <c r="A31" s="25"/>
      <c r="B31" s="26"/>
      <c r="C31" s="27"/>
      <c r="D31" s="32"/>
      <c r="E31" s="38"/>
      <c r="F31" s="39"/>
      <c r="G31" s="39"/>
      <c r="H31" s="39"/>
      <c r="I31" s="39"/>
      <c r="J31" s="101"/>
      <c r="L31" s="34">
        <v>30</v>
      </c>
    </row>
    <row r="32" spans="1:12">
      <c r="A32" s="25"/>
      <c r="B32" s="26"/>
      <c r="C32" s="27"/>
      <c r="D32" s="32"/>
      <c r="E32" s="38"/>
      <c r="F32" s="39"/>
      <c r="G32" s="39"/>
      <c r="H32" s="39"/>
      <c r="I32" s="39"/>
      <c r="J32" s="101"/>
      <c r="L32" s="34">
        <v>31</v>
      </c>
    </row>
    <row r="33" spans="1:12">
      <c r="A33" s="25"/>
      <c r="B33" s="26"/>
      <c r="C33" s="27"/>
      <c r="D33" s="32"/>
      <c r="E33" s="38"/>
      <c r="F33" s="39"/>
      <c r="G33" s="39"/>
      <c r="H33" s="39"/>
      <c r="I33" s="39"/>
      <c r="J33" s="101"/>
      <c r="L33" s="34">
        <v>32</v>
      </c>
    </row>
    <row r="34" spans="1:12">
      <c r="A34" s="25"/>
      <c r="B34" s="26"/>
      <c r="C34" s="27"/>
      <c r="D34" s="32"/>
      <c r="E34" s="38"/>
      <c r="F34" s="39"/>
      <c r="G34" s="39"/>
      <c r="H34" s="39"/>
      <c r="I34" s="39"/>
      <c r="J34" s="101"/>
      <c r="L34" s="34">
        <v>33</v>
      </c>
    </row>
    <row r="35" spans="1:12">
      <c r="A35" s="25"/>
      <c r="B35" s="26"/>
      <c r="C35" s="27"/>
      <c r="D35" s="32"/>
      <c r="E35" s="38"/>
      <c r="F35" s="39"/>
      <c r="G35" s="39"/>
      <c r="H35" s="39"/>
      <c r="I35" s="39"/>
      <c r="J35" s="101"/>
      <c r="L35" s="34">
        <v>34</v>
      </c>
    </row>
    <row r="36" spans="1:12">
      <c r="A36" s="25"/>
      <c r="B36" s="26"/>
      <c r="C36" s="27"/>
      <c r="D36" s="32"/>
      <c r="E36" s="38"/>
      <c r="F36" s="39"/>
      <c r="G36" s="39"/>
      <c r="H36" s="39"/>
      <c r="I36" s="39"/>
      <c r="J36" s="101"/>
      <c r="L36" s="34">
        <v>35</v>
      </c>
    </row>
    <row r="37" spans="1:12">
      <c r="A37" s="25"/>
      <c r="B37" s="26"/>
      <c r="C37" s="27"/>
      <c r="D37" s="32"/>
      <c r="E37" s="38"/>
      <c r="F37" s="39"/>
      <c r="G37" s="39"/>
      <c r="H37" s="39"/>
      <c r="I37" s="39"/>
      <c r="J37" s="101"/>
      <c r="L37" s="34">
        <v>36</v>
      </c>
    </row>
    <row r="38" spans="1:12">
      <c r="A38" s="25"/>
      <c r="B38" s="26"/>
      <c r="C38" s="27"/>
      <c r="D38" s="32"/>
      <c r="E38" s="38"/>
      <c r="F38" s="39"/>
      <c r="G38" s="39"/>
      <c r="H38" s="39"/>
      <c r="I38" s="39"/>
      <c r="J38" s="101"/>
      <c r="L38" s="34">
        <v>37</v>
      </c>
    </row>
    <row r="39" spans="1:12" ht="16" thickBot="1">
      <c r="A39" s="28"/>
      <c r="B39" s="29"/>
      <c r="C39" s="30"/>
      <c r="D39" s="33"/>
      <c r="E39" s="40"/>
      <c r="F39" s="41"/>
      <c r="G39" s="41"/>
      <c r="H39" s="41"/>
      <c r="I39" s="41"/>
      <c r="J39" s="102"/>
      <c r="L39" s="34">
        <v>38</v>
      </c>
    </row>
  </sheetData>
  <sortState xmlns:xlrd2="http://schemas.microsoft.com/office/spreadsheetml/2017/richdata2" ref="Q2:R11">
    <sortCondition descending="1" ref="Q2"/>
  </sortState>
  <phoneticPr fontId="9" type="noConversion"/>
  <pageMargins left="1" right="0.25" top="0" bottom="0" header="0" footer="0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B1:AG724"/>
  <sheetViews>
    <sheetView zoomScale="70" zoomScaleNormal="70" zoomScalePageLayoutView="70" workbookViewId="0">
      <selection activeCell="U23" sqref="U23"/>
    </sheetView>
  </sheetViews>
  <sheetFormatPr baseColWidth="10" defaultColWidth="6.83203125" defaultRowHeight="16"/>
  <cols>
    <col min="1" max="1" width="1.5" style="1" customWidth="1"/>
    <col min="2" max="2" width="7" style="2" bestFit="1" customWidth="1"/>
    <col min="3" max="3" width="15.5" style="2" bestFit="1" customWidth="1"/>
    <col min="4" max="8" width="9.5" style="2" bestFit="1" customWidth="1"/>
    <col min="9" max="9" width="19.1640625" style="2" customWidth="1"/>
    <col min="10" max="10" width="21.5" style="43" customWidth="1"/>
    <col min="11" max="19" width="6.83203125" style="1"/>
    <col min="20" max="20" width="12.1640625" style="1" bestFit="1" customWidth="1"/>
    <col min="21" max="16384" width="6.83203125" style="1"/>
  </cols>
  <sheetData>
    <row r="1" spans="2:33" s="45" customFormat="1" ht="35" thickBot="1">
      <c r="B1" s="53" t="s">
        <v>24</v>
      </c>
      <c r="C1" s="53" t="s">
        <v>18</v>
      </c>
      <c r="D1" s="103" t="s">
        <v>30</v>
      </c>
      <c r="E1" s="103" t="s">
        <v>29</v>
      </c>
      <c r="F1" s="104" t="s">
        <v>28</v>
      </c>
      <c r="G1" s="103" t="s">
        <v>27</v>
      </c>
      <c r="H1" s="103" t="s">
        <v>26</v>
      </c>
      <c r="I1" s="105" t="s">
        <v>48</v>
      </c>
      <c r="J1" s="46" t="s">
        <v>47</v>
      </c>
    </row>
    <row r="2" spans="2:33" ht="18">
      <c r="B2" s="6">
        <v>1</v>
      </c>
      <c r="C2" s="60" t="s">
        <v>7</v>
      </c>
      <c r="D2" s="99">
        <v>1</v>
      </c>
      <c r="E2" s="99"/>
      <c r="F2" s="50"/>
      <c r="G2" s="99"/>
      <c r="H2" s="99"/>
      <c r="I2" s="13"/>
      <c r="J2" s="47" t="e">
        <f t="shared" ref="J2:J20" si="0">((F2*0.25) + (G2*0.35) + (H2*0.4)) / SUM(IF(ISBLANK(F2),0,0.25) + IF(ISBLANK(G2),0,0) + IF(ISBLANK(H2),0,0.4))</f>
        <v>#DIV/0!</v>
      </c>
      <c r="Q2" s="1" t="str">
        <f>C2</f>
        <v>ABC1</v>
      </c>
      <c r="R2" s="1" t="s">
        <v>34</v>
      </c>
      <c r="T2" s="1" t="str">
        <f>CONCATENATE(B2,". ",C2)</f>
        <v>1. ABC1</v>
      </c>
      <c r="Z2" s="108" t="s">
        <v>3</v>
      </c>
      <c r="AA2" s="1">
        <v>1</v>
      </c>
      <c r="AD2" s="1">
        <v>10</v>
      </c>
      <c r="AF2" s="1">
        <v>45</v>
      </c>
    </row>
    <row r="3" spans="2:33" ht="18">
      <c r="B3" s="7">
        <v>2</v>
      </c>
      <c r="C3" s="12" t="s">
        <v>76</v>
      </c>
      <c r="D3" s="3">
        <v>2</v>
      </c>
      <c r="E3" s="3"/>
      <c r="F3" s="51"/>
      <c r="G3" s="3"/>
      <c r="H3" s="3"/>
      <c r="I3" s="14"/>
      <c r="J3" s="48" t="e">
        <f t="shared" si="0"/>
        <v>#DIV/0!</v>
      </c>
      <c r="Q3" s="1" t="str">
        <f t="shared" ref="Q3:Q37" si="1">C3</f>
        <v>MAD1</v>
      </c>
      <c r="R3" s="1" t="s">
        <v>34</v>
      </c>
      <c r="T3" s="1" t="str">
        <f t="shared" ref="T3:T37" si="2">CONCATENATE(B3,". ",C3)</f>
        <v>2. MAD1</v>
      </c>
      <c r="Z3" s="108" t="s">
        <v>7</v>
      </c>
      <c r="AA3" s="1">
        <v>2</v>
      </c>
      <c r="AD3" s="1">
        <v>11</v>
      </c>
    </row>
    <row r="4" spans="2:33" ht="18">
      <c r="B4" s="7">
        <v>3</v>
      </c>
      <c r="C4" s="12" t="s">
        <v>3</v>
      </c>
      <c r="D4" s="3">
        <v>3</v>
      </c>
      <c r="E4" s="3"/>
      <c r="F4" s="51"/>
      <c r="G4" s="3"/>
      <c r="H4" s="3"/>
      <c r="I4" s="14"/>
      <c r="J4" s="48" t="e">
        <f t="shared" si="0"/>
        <v>#DIV/0!</v>
      </c>
      <c r="Q4" s="1" t="str">
        <f t="shared" si="1"/>
        <v>ABC2</v>
      </c>
      <c r="R4" s="1" t="s">
        <v>34</v>
      </c>
      <c r="T4" s="1" t="str">
        <f t="shared" si="2"/>
        <v>3. ABC2</v>
      </c>
      <c r="Z4" s="108" t="s">
        <v>112</v>
      </c>
      <c r="AA4" s="1">
        <v>3</v>
      </c>
      <c r="AD4" s="1">
        <v>10</v>
      </c>
    </row>
    <row r="5" spans="2:33" ht="18">
      <c r="B5" s="7">
        <v>4</v>
      </c>
      <c r="C5" s="12" t="s">
        <v>1</v>
      </c>
      <c r="D5" s="3">
        <v>4</v>
      </c>
      <c r="E5" s="3"/>
      <c r="F5" s="51"/>
      <c r="G5" s="3"/>
      <c r="H5" s="3"/>
      <c r="I5" s="14"/>
      <c r="J5" s="48" t="e">
        <f t="shared" si="0"/>
        <v>#DIV/0!</v>
      </c>
      <c r="Q5" s="1" t="str">
        <f t="shared" si="1"/>
        <v>LH1</v>
      </c>
      <c r="R5" s="1" t="s">
        <v>34</v>
      </c>
      <c r="T5" s="1" t="str">
        <f t="shared" si="2"/>
        <v>4. LH1</v>
      </c>
      <c r="Z5" s="109" t="s">
        <v>1</v>
      </c>
      <c r="AA5" s="1">
        <v>4</v>
      </c>
      <c r="AD5" s="1">
        <v>10</v>
      </c>
    </row>
    <row r="6" spans="2:33" ht="18">
      <c r="B6" s="7">
        <v>5</v>
      </c>
      <c r="C6" s="5" t="s">
        <v>31</v>
      </c>
      <c r="D6" s="3">
        <v>5</v>
      </c>
      <c r="E6" s="3"/>
      <c r="F6" s="51"/>
      <c r="G6" s="3"/>
      <c r="H6" s="3"/>
      <c r="I6" s="14"/>
      <c r="J6" s="48" t="e">
        <f t="shared" si="0"/>
        <v>#DIV/0!</v>
      </c>
      <c r="Q6" s="1" t="str">
        <f t="shared" si="1"/>
        <v>LH4</v>
      </c>
      <c r="R6" s="1" t="s">
        <v>34</v>
      </c>
      <c r="T6" s="1" t="str">
        <f t="shared" si="2"/>
        <v>5. LH4</v>
      </c>
      <c r="Z6" s="109" t="s">
        <v>76</v>
      </c>
      <c r="AA6" s="1">
        <v>5</v>
      </c>
      <c r="AD6" s="1">
        <v>10</v>
      </c>
    </row>
    <row r="7" spans="2:33" ht="18">
      <c r="B7" s="7">
        <v>6</v>
      </c>
      <c r="C7" s="5" t="s">
        <v>2</v>
      </c>
      <c r="D7" s="3">
        <v>6</v>
      </c>
      <c r="E7" s="3"/>
      <c r="F7" s="51"/>
      <c r="G7" s="3"/>
      <c r="H7" s="3"/>
      <c r="I7" s="14"/>
      <c r="J7" s="48" t="e">
        <f t="shared" si="0"/>
        <v>#DIV/0!</v>
      </c>
      <c r="Q7" s="1" t="str">
        <f t="shared" si="1"/>
        <v>DAC1</v>
      </c>
      <c r="R7" s="1" t="s">
        <v>34</v>
      </c>
      <c r="T7" s="1" t="str">
        <f t="shared" si="2"/>
        <v>6. DAC1</v>
      </c>
      <c r="Z7" s="109" t="s">
        <v>56</v>
      </c>
      <c r="AA7" s="1">
        <v>6</v>
      </c>
    </row>
    <row r="8" spans="2:33" ht="18">
      <c r="B8" s="7">
        <v>7</v>
      </c>
      <c r="C8" s="12" t="s">
        <v>87</v>
      </c>
      <c r="D8" s="3">
        <v>7</v>
      </c>
      <c r="E8" s="3"/>
      <c r="F8" s="51"/>
      <c r="G8" s="3"/>
      <c r="H8" s="3"/>
      <c r="I8" s="14"/>
      <c r="J8" s="48" t="e">
        <f t="shared" si="0"/>
        <v>#DIV/0!</v>
      </c>
      <c r="Q8" s="1" t="str">
        <f t="shared" si="1"/>
        <v>EBC2</v>
      </c>
      <c r="R8" s="1" t="s">
        <v>34</v>
      </c>
      <c r="T8" s="1" t="str">
        <f t="shared" si="2"/>
        <v>7. EBC2</v>
      </c>
      <c r="Z8" s="109" t="s">
        <v>92</v>
      </c>
      <c r="AA8" s="1">
        <v>7</v>
      </c>
    </row>
    <row r="9" spans="2:33" ht="18">
      <c r="B9" s="7">
        <v>8</v>
      </c>
      <c r="C9" s="12" t="s">
        <v>0</v>
      </c>
      <c r="D9" s="3">
        <v>8</v>
      </c>
      <c r="E9" s="3"/>
      <c r="F9" s="51"/>
      <c r="G9" s="3"/>
      <c r="H9" s="3"/>
      <c r="I9" s="14"/>
      <c r="J9" s="48" t="e">
        <f t="shared" si="0"/>
        <v>#DIV/0!</v>
      </c>
      <c r="Q9" s="1" t="str">
        <f t="shared" si="1"/>
        <v>LH3</v>
      </c>
      <c r="R9" s="1" t="s">
        <v>34</v>
      </c>
      <c r="T9" s="1" t="str">
        <f t="shared" si="2"/>
        <v>8. LH3</v>
      </c>
      <c r="Z9" s="109" t="s">
        <v>4</v>
      </c>
      <c r="AA9" s="1">
        <v>8</v>
      </c>
    </row>
    <row r="10" spans="2:33" ht="19" thickBot="1">
      <c r="B10" s="8">
        <v>9</v>
      </c>
      <c r="C10" s="44" t="s">
        <v>6</v>
      </c>
      <c r="D10" s="4">
        <v>9</v>
      </c>
      <c r="E10" s="4"/>
      <c r="F10" s="52"/>
      <c r="G10" s="4"/>
      <c r="H10" s="4"/>
      <c r="I10" s="15"/>
      <c r="J10" s="49" t="e">
        <f t="shared" si="0"/>
        <v>#DIV/0!</v>
      </c>
      <c r="Q10" s="1" t="str">
        <f t="shared" si="1"/>
        <v>LH2</v>
      </c>
      <c r="R10" s="1" t="s">
        <v>34</v>
      </c>
      <c r="T10" s="1" t="str">
        <f t="shared" si="2"/>
        <v>9. LH2</v>
      </c>
      <c r="Z10" s="109" t="s">
        <v>70</v>
      </c>
      <c r="AA10" s="1">
        <v>9</v>
      </c>
    </row>
    <row r="11" spans="2:33" ht="18">
      <c r="B11" s="6">
        <v>10</v>
      </c>
      <c r="C11" s="60" t="s">
        <v>70</v>
      </c>
      <c r="D11" s="99">
        <v>10</v>
      </c>
      <c r="E11" s="99"/>
      <c r="F11" s="50"/>
      <c r="G11" s="99"/>
      <c r="H11" s="99"/>
      <c r="I11" s="13"/>
      <c r="J11" s="47" t="e">
        <f t="shared" si="0"/>
        <v>#DIV/0!</v>
      </c>
      <c r="Q11" s="1" t="str">
        <f t="shared" si="1"/>
        <v>LH8</v>
      </c>
      <c r="R11" s="1" t="s">
        <v>34</v>
      </c>
      <c r="T11" s="1" t="str">
        <f t="shared" si="2"/>
        <v>10. LH8</v>
      </c>
      <c r="Z11" s="109" t="s">
        <v>91</v>
      </c>
      <c r="AA11" s="1">
        <v>10</v>
      </c>
      <c r="AD11" s="1">
        <f>SUM(AD2:AD6)</f>
        <v>51</v>
      </c>
    </row>
    <row r="12" spans="2:33" ht="18">
      <c r="B12" s="7">
        <v>11</v>
      </c>
      <c r="C12" s="12" t="s">
        <v>4</v>
      </c>
      <c r="D12" s="3">
        <v>11</v>
      </c>
      <c r="E12" s="3"/>
      <c r="F12" s="51"/>
      <c r="G12" s="3"/>
      <c r="H12" s="3"/>
      <c r="I12" s="14"/>
      <c r="J12" s="48" t="e">
        <f t="shared" si="0"/>
        <v>#DIV/0!</v>
      </c>
      <c r="Q12" s="1" t="str">
        <f t="shared" si="1"/>
        <v>ABC3</v>
      </c>
      <c r="R12" s="1" t="s">
        <v>34</v>
      </c>
      <c r="T12" s="1" t="str">
        <f t="shared" si="2"/>
        <v>11. ABC3</v>
      </c>
      <c r="Z12" s="109" t="s">
        <v>6</v>
      </c>
      <c r="AA12" s="1">
        <v>11</v>
      </c>
      <c r="AD12" s="1">
        <v>40</v>
      </c>
      <c r="AF12" s="1">
        <v>45</v>
      </c>
    </row>
    <row r="13" spans="2:33" ht="18">
      <c r="B13" s="7">
        <v>12</v>
      </c>
      <c r="C13" s="5" t="s">
        <v>193</v>
      </c>
      <c r="D13" s="3">
        <v>12</v>
      </c>
      <c r="E13" s="3"/>
      <c r="F13" s="51"/>
      <c r="G13" s="3"/>
      <c r="H13" s="3"/>
      <c r="I13" s="14"/>
      <c r="J13" s="48" t="e">
        <f t="shared" si="0"/>
        <v>#DIV/0!</v>
      </c>
      <c r="Q13" s="1" t="str">
        <f t="shared" si="1"/>
        <v>GIG1</v>
      </c>
      <c r="R13" s="1" t="s">
        <v>34</v>
      </c>
      <c r="T13" s="1" t="str">
        <f t="shared" si="2"/>
        <v>12. GIG1</v>
      </c>
      <c r="Z13" s="109" t="s">
        <v>78</v>
      </c>
      <c r="AA13" s="1">
        <v>12</v>
      </c>
      <c r="AD13" s="1">
        <f>AD11*AD12</f>
        <v>2040</v>
      </c>
      <c r="AF13" s="1">
        <f>AF12*45</f>
        <v>2025</v>
      </c>
      <c r="AG13" s="1">
        <f>SUM(AD13:AF13)</f>
        <v>4065</v>
      </c>
    </row>
    <row r="14" spans="2:33" ht="18">
      <c r="B14" s="7">
        <v>13</v>
      </c>
      <c r="C14" s="5" t="s">
        <v>5</v>
      </c>
      <c r="D14" s="3">
        <v>13</v>
      </c>
      <c r="E14" s="3"/>
      <c r="F14" s="51"/>
      <c r="G14" s="3"/>
      <c r="H14" s="3"/>
      <c r="I14" s="14"/>
      <c r="J14" s="48" t="e">
        <f t="shared" si="0"/>
        <v>#DIV/0!</v>
      </c>
      <c r="Q14" s="1" t="str">
        <f t="shared" si="1"/>
        <v>DAC2</v>
      </c>
      <c r="R14" s="1" t="s">
        <v>34</v>
      </c>
      <c r="T14" s="1" t="str">
        <f t="shared" si="2"/>
        <v>13. DAC2</v>
      </c>
      <c r="Z14" s="109" t="s">
        <v>2</v>
      </c>
      <c r="AA14" s="1">
        <v>13</v>
      </c>
    </row>
    <row r="15" spans="2:33" ht="18">
      <c r="B15" s="7">
        <v>14</v>
      </c>
      <c r="C15" s="12" t="s">
        <v>56</v>
      </c>
      <c r="D15" s="3">
        <v>14</v>
      </c>
      <c r="E15" s="3"/>
      <c r="F15" s="51"/>
      <c r="G15" s="3"/>
      <c r="H15" s="3"/>
      <c r="I15" s="14"/>
      <c r="J15" s="48" t="e">
        <f t="shared" si="0"/>
        <v>#DIV/0!</v>
      </c>
      <c r="Q15" s="1" t="str">
        <f t="shared" si="1"/>
        <v>LH6</v>
      </c>
      <c r="R15" s="1" t="s">
        <v>34</v>
      </c>
      <c r="T15" s="1" t="str">
        <f t="shared" si="2"/>
        <v>14. LH6</v>
      </c>
      <c r="Z15" s="109" t="s">
        <v>0</v>
      </c>
      <c r="AA15" s="1">
        <v>14</v>
      </c>
    </row>
    <row r="16" spans="2:33" ht="19" thickBot="1">
      <c r="B16" s="8">
        <v>15</v>
      </c>
      <c r="C16" s="44" t="s">
        <v>69</v>
      </c>
      <c r="D16" s="4">
        <v>15</v>
      </c>
      <c r="E16" s="4"/>
      <c r="F16" s="52"/>
      <c r="G16" s="4"/>
      <c r="H16" s="4"/>
      <c r="I16" s="15"/>
      <c r="J16" s="49" t="e">
        <f t="shared" si="0"/>
        <v>#DIV/0!</v>
      </c>
      <c r="Q16" s="1" t="str">
        <f t="shared" si="1"/>
        <v>LH7</v>
      </c>
      <c r="R16" s="1" t="s">
        <v>34</v>
      </c>
      <c r="T16" s="1" t="str">
        <f t="shared" si="2"/>
        <v>15. LH7</v>
      </c>
      <c r="Z16" s="109" t="s">
        <v>84</v>
      </c>
      <c r="AA16" s="1">
        <v>15</v>
      </c>
    </row>
    <row r="17" spans="2:27" ht="18">
      <c r="B17" s="7">
        <v>16</v>
      </c>
      <c r="C17" s="12" t="s">
        <v>88</v>
      </c>
      <c r="D17" s="3">
        <v>16</v>
      </c>
      <c r="E17" s="3"/>
      <c r="F17" s="51"/>
      <c r="G17" s="3"/>
      <c r="H17" s="3"/>
      <c r="I17" s="14"/>
      <c r="J17" s="48" t="e">
        <f t="shared" si="0"/>
        <v>#DIV/0!</v>
      </c>
      <c r="Q17" s="1" t="str">
        <f t="shared" si="1"/>
        <v>EBC1</v>
      </c>
      <c r="R17" s="1" t="s">
        <v>33</v>
      </c>
      <c r="T17" s="1" t="str">
        <f t="shared" si="2"/>
        <v>16. EBC1</v>
      </c>
      <c r="Z17" s="109" t="s">
        <v>77</v>
      </c>
      <c r="AA17" s="1">
        <v>16</v>
      </c>
    </row>
    <row r="18" spans="2:27" ht="18">
      <c r="B18" s="7">
        <v>17</v>
      </c>
      <c r="C18" s="5" t="s">
        <v>194</v>
      </c>
      <c r="D18" s="3">
        <v>17</v>
      </c>
      <c r="E18" s="3"/>
      <c r="F18" s="51"/>
      <c r="G18" s="3"/>
      <c r="H18" s="3"/>
      <c r="I18" s="14"/>
      <c r="J18" s="48" t="e">
        <f t="shared" si="0"/>
        <v>#DIV/0!</v>
      </c>
      <c r="Q18" s="1" t="str">
        <f t="shared" si="1"/>
        <v>MAD3</v>
      </c>
      <c r="R18" s="1" t="s">
        <v>33</v>
      </c>
      <c r="T18" s="1" t="str">
        <f t="shared" si="2"/>
        <v>17. MAD3</v>
      </c>
      <c r="Z18" s="109" t="s">
        <v>88</v>
      </c>
      <c r="AA18" s="1">
        <v>17</v>
      </c>
    </row>
    <row r="19" spans="2:27" ht="18">
      <c r="B19" s="7">
        <v>18</v>
      </c>
      <c r="C19" s="12" t="s">
        <v>39</v>
      </c>
      <c r="D19" s="3">
        <v>18</v>
      </c>
      <c r="E19" s="3"/>
      <c r="F19" s="51"/>
      <c r="G19" s="3"/>
      <c r="H19" s="3"/>
      <c r="I19" s="14"/>
      <c r="J19" s="48" t="e">
        <f t="shared" si="0"/>
        <v>#DIV/0!</v>
      </c>
      <c r="Q19" s="1" t="str">
        <f t="shared" si="1"/>
        <v>LH5</v>
      </c>
      <c r="R19" s="1" t="s">
        <v>33</v>
      </c>
      <c r="T19" s="1" t="str">
        <f t="shared" si="2"/>
        <v>18. LH5</v>
      </c>
      <c r="Z19" s="109" t="s">
        <v>111</v>
      </c>
      <c r="AA19" s="1">
        <v>18</v>
      </c>
    </row>
    <row r="20" spans="2:27" ht="18">
      <c r="B20" s="7">
        <v>19</v>
      </c>
      <c r="C20" s="12" t="s">
        <v>77</v>
      </c>
      <c r="D20" s="3">
        <v>19</v>
      </c>
      <c r="E20" s="3"/>
      <c r="F20" s="51"/>
      <c r="G20" s="3"/>
      <c r="H20" s="3"/>
      <c r="I20" s="14"/>
      <c r="J20" s="48" t="e">
        <f t="shared" si="0"/>
        <v>#DIV/0!</v>
      </c>
      <c r="Q20" s="1" t="str">
        <f t="shared" si="1"/>
        <v>MAD2</v>
      </c>
      <c r="R20" s="1" t="s">
        <v>33</v>
      </c>
      <c r="T20" s="1" t="str">
        <f t="shared" si="2"/>
        <v>19. MAD2</v>
      </c>
      <c r="Z20" s="109" t="s">
        <v>8</v>
      </c>
      <c r="AA20" s="1">
        <v>19</v>
      </c>
    </row>
    <row r="21" spans="2:27" ht="18">
      <c r="B21" s="7"/>
      <c r="C21" s="12"/>
      <c r="D21" s="3"/>
      <c r="E21" s="3"/>
      <c r="F21" s="51"/>
      <c r="G21" s="3"/>
      <c r="H21" s="3"/>
      <c r="I21" s="14"/>
      <c r="J21" s="48"/>
      <c r="Q21" s="1">
        <f t="shared" si="1"/>
        <v>0</v>
      </c>
      <c r="R21" s="1" t="s">
        <v>33</v>
      </c>
      <c r="T21" s="1" t="str">
        <f t="shared" si="2"/>
        <v xml:space="preserve">. </v>
      </c>
      <c r="Z21" s="109" t="s">
        <v>31</v>
      </c>
      <c r="AA21" s="1">
        <v>20</v>
      </c>
    </row>
    <row r="22" spans="2:27" ht="18">
      <c r="B22" s="7"/>
      <c r="C22" s="12"/>
      <c r="D22" s="3"/>
      <c r="E22" s="3"/>
      <c r="F22" s="51"/>
      <c r="G22" s="3"/>
      <c r="H22" s="3"/>
      <c r="I22" s="14"/>
      <c r="J22" s="48"/>
      <c r="Q22" s="1">
        <f t="shared" si="1"/>
        <v>0</v>
      </c>
      <c r="R22" s="1" t="s">
        <v>33</v>
      </c>
      <c r="T22" s="1" t="str">
        <f t="shared" si="2"/>
        <v xml:space="preserve">. </v>
      </c>
      <c r="Z22" s="109" t="s">
        <v>87</v>
      </c>
      <c r="AA22" s="1">
        <v>21</v>
      </c>
    </row>
    <row r="23" spans="2:27" ht="18">
      <c r="B23" s="7"/>
      <c r="C23" s="5"/>
      <c r="D23" s="3"/>
      <c r="E23" s="3"/>
      <c r="F23" s="51"/>
      <c r="G23" s="3"/>
      <c r="H23" s="3"/>
      <c r="I23" s="14"/>
      <c r="J23" s="48"/>
      <c r="Q23" s="1">
        <f t="shared" si="1"/>
        <v>0</v>
      </c>
      <c r="R23" s="1" t="s">
        <v>33</v>
      </c>
      <c r="T23" s="1" t="str">
        <f t="shared" si="2"/>
        <v xml:space="preserve">. </v>
      </c>
      <c r="Z23" s="109" t="s">
        <v>39</v>
      </c>
      <c r="AA23" s="1">
        <v>22</v>
      </c>
    </row>
    <row r="24" spans="2:27" ht="18">
      <c r="B24" s="7"/>
      <c r="C24" s="12"/>
      <c r="D24" s="3"/>
      <c r="E24" s="3"/>
      <c r="F24" s="51"/>
      <c r="G24" s="3"/>
      <c r="H24" s="3"/>
      <c r="I24" s="14"/>
      <c r="J24" s="48"/>
      <c r="Q24" s="1">
        <f t="shared" si="1"/>
        <v>0</v>
      </c>
      <c r="R24" s="1" t="s">
        <v>33</v>
      </c>
      <c r="T24" s="1" t="str">
        <f t="shared" si="2"/>
        <v xml:space="preserve">. </v>
      </c>
      <c r="Z24" s="109" t="s">
        <v>5</v>
      </c>
      <c r="AA24" s="1">
        <v>23</v>
      </c>
    </row>
    <row r="25" spans="2:27" ht="18">
      <c r="B25" s="7"/>
      <c r="C25" s="5"/>
      <c r="D25" s="3"/>
      <c r="E25" s="3"/>
      <c r="F25" s="51"/>
      <c r="G25" s="3"/>
      <c r="H25" s="3"/>
      <c r="I25" s="14"/>
      <c r="J25" s="48"/>
      <c r="Q25" s="1">
        <f t="shared" si="1"/>
        <v>0</v>
      </c>
      <c r="R25" s="1" t="s">
        <v>33</v>
      </c>
      <c r="T25" s="1" t="str">
        <f t="shared" si="2"/>
        <v xml:space="preserve">. </v>
      </c>
      <c r="Z25" s="109" t="s">
        <v>69</v>
      </c>
      <c r="AA25" s="1">
        <v>24</v>
      </c>
    </row>
    <row r="26" spans="2:27" ht="18">
      <c r="B26" s="7"/>
      <c r="C26" s="5"/>
      <c r="D26" s="126"/>
      <c r="E26" s="126"/>
      <c r="F26" s="127"/>
      <c r="G26" s="126"/>
      <c r="H26" s="3"/>
      <c r="I26" s="14"/>
      <c r="J26" s="48"/>
      <c r="Q26" s="1">
        <f t="shared" si="1"/>
        <v>0</v>
      </c>
      <c r="R26" s="1" t="s">
        <v>33</v>
      </c>
      <c r="T26" s="1" t="str">
        <f t="shared" si="2"/>
        <v xml:space="preserve">. </v>
      </c>
      <c r="Z26" s="109" t="s">
        <v>93</v>
      </c>
      <c r="AA26" s="1">
        <v>25</v>
      </c>
    </row>
    <row r="27" spans="2:27" ht="18">
      <c r="B27" s="7"/>
      <c r="C27" s="12"/>
      <c r="D27" s="128"/>
      <c r="E27" s="126"/>
      <c r="F27" s="129"/>
      <c r="G27" s="126"/>
      <c r="H27" s="3"/>
      <c r="I27" s="14"/>
      <c r="J27" s="48"/>
      <c r="Q27" s="1">
        <f t="shared" si="1"/>
        <v>0</v>
      </c>
      <c r="R27" s="1" t="s">
        <v>33</v>
      </c>
      <c r="T27" s="1" t="str">
        <f t="shared" si="2"/>
        <v xml:space="preserve">. </v>
      </c>
      <c r="Z27" s="109"/>
    </row>
    <row r="28" spans="2:27" ht="18">
      <c r="B28" s="7"/>
      <c r="C28" s="12"/>
      <c r="D28" s="126"/>
      <c r="E28" s="128"/>
      <c r="F28" s="129"/>
      <c r="G28" s="126"/>
      <c r="H28" s="3"/>
      <c r="I28" s="14"/>
      <c r="J28" s="48"/>
      <c r="Q28" s="1">
        <f t="shared" si="1"/>
        <v>0</v>
      </c>
      <c r="R28" s="1" t="s">
        <v>33</v>
      </c>
      <c r="T28" s="1" t="str">
        <f t="shared" si="2"/>
        <v xml:space="preserve">. </v>
      </c>
    </row>
    <row r="29" spans="2:27" ht="18">
      <c r="B29" s="7"/>
      <c r="C29" s="12"/>
      <c r="D29" s="3"/>
      <c r="E29" s="3"/>
      <c r="F29" s="51"/>
      <c r="G29" s="3"/>
      <c r="H29" s="3"/>
      <c r="I29" s="14"/>
      <c r="J29" s="48"/>
      <c r="Q29" s="1">
        <f t="shared" si="1"/>
        <v>0</v>
      </c>
      <c r="R29" s="1" t="s">
        <v>33</v>
      </c>
      <c r="T29" s="1" t="str">
        <f t="shared" si="2"/>
        <v xml:space="preserve">. </v>
      </c>
    </row>
    <row r="30" spans="2:27" ht="18">
      <c r="B30" s="7"/>
      <c r="C30" s="5"/>
      <c r="D30" s="3"/>
      <c r="E30" s="3"/>
      <c r="F30" s="51"/>
      <c r="G30" s="3"/>
      <c r="H30" s="3"/>
      <c r="I30" s="14"/>
      <c r="J30" s="48"/>
      <c r="Q30" s="1">
        <f t="shared" si="1"/>
        <v>0</v>
      </c>
      <c r="R30" s="1" t="s">
        <v>33</v>
      </c>
      <c r="T30" s="1" t="str">
        <f t="shared" si="2"/>
        <v xml:space="preserve">. </v>
      </c>
    </row>
    <row r="31" spans="2:27" ht="18">
      <c r="B31" s="7"/>
      <c r="C31" s="12"/>
      <c r="D31" s="3"/>
      <c r="E31" s="3"/>
      <c r="F31" s="51"/>
      <c r="G31" s="3"/>
      <c r="H31" s="3"/>
      <c r="I31" s="14"/>
      <c r="J31" s="48"/>
      <c r="Q31" s="1">
        <f t="shared" si="1"/>
        <v>0</v>
      </c>
      <c r="R31" s="1" t="s">
        <v>33</v>
      </c>
      <c r="T31" s="1" t="str">
        <f t="shared" si="2"/>
        <v xml:space="preserve">. </v>
      </c>
    </row>
    <row r="32" spans="2:27" ht="18">
      <c r="B32" s="7"/>
      <c r="C32" s="12"/>
      <c r="D32" s="3"/>
      <c r="E32" s="3"/>
      <c r="F32" s="51"/>
      <c r="G32" s="3"/>
      <c r="H32" s="3"/>
      <c r="I32" s="14"/>
      <c r="J32" s="48"/>
      <c r="Q32" s="1">
        <f t="shared" si="1"/>
        <v>0</v>
      </c>
      <c r="R32" s="1" t="s">
        <v>33</v>
      </c>
      <c r="T32" s="1" t="str">
        <f t="shared" si="2"/>
        <v xml:space="preserve">. </v>
      </c>
    </row>
    <row r="33" spans="2:20" ht="18">
      <c r="B33" s="7"/>
      <c r="C33" s="5"/>
      <c r="D33" s="3"/>
      <c r="E33" s="3"/>
      <c r="F33" s="51"/>
      <c r="G33" s="3"/>
      <c r="H33" s="3"/>
      <c r="I33" s="14"/>
      <c r="J33" s="48"/>
      <c r="Q33" s="1">
        <f t="shared" si="1"/>
        <v>0</v>
      </c>
      <c r="R33" s="1" t="s">
        <v>33</v>
      </c>
      <c r="T33" s="1" t="str">
        <f t="shared" si="2"/>
        <v xml:space="preserve">. </v>
      </c>
    </row>
    <row r="34" spans="2:20" ht="19" thickBot="1">
      <c r="B34" s="8"/>
      <c r="C34" s="44"/>
      <c r="D34" s="4"/>
      <c r="E34" s="4"/>
      <c r="F34" s="52"/>
      <c r="G34" s="4"/>
      <c r="H34" s="4"/>
      <c r="I34" s="15"/>
      <c r="J34" s="49"/>
      <c r="Q34" s="1">
        <f t="shared" si="1"/>
        <v>0</v>
      </c>
      <c r="R34" s="1" t="s">
        <v>33</v>
      </c>
      <c r="T34" s="1" t="str">
        <f t="shared" si="2"/>
        <v xml:space="preserve">. </v>
      </c>
    </row>
    <row r="35" spans="2:20">
      <c r="B35" s="3"/>
      <c r="C35" s="3"/>
      <c r="D35" s="3"/>
      <c r="E35" s="3"/>
      <c r="F35" s="3"/>
      <c r="G35" s="3"/>
      <c r="H35" s="3"/>
      <c r="I35" s="3"/>
      <c r="J35" s="42"/>
      <c r="Q35" s="1">
        <f t="shared" si="1"/>
        <v>0</v>
      </c>
      <c r="R35" s="1" t="s">
        <v>33</v>
      </c>
      <c r="T35" s="1" t="str">
        <f t="shared" si="2"/>
        <v xml:space="preserve">. </v>
      </c>
    </row>
    <row r="36" spans="2:20">
      <c r="B36" s="3"/>
      <c r="C36" s="106" t="s">
        <v>114</v>
      </c>
      <c r="D36" s="107"/>
      <c r="E36" s="107"/>
      <c r="F36" s="107"/>
      <c r="G36" s="107"/>
      <c r="H36" s="3"/>
      <c r="I36" s="3"/>
      <c r="J36" s="42"/>
      <c r="Q36" s="1" t="str">
        <f t="shared" si="1"/>
        <v>Team did not attend meet, thus are assigned a (last+1) place finish</v>
      </c>
      <c r="R36" s="1" t="s">
        <v>33</v>
      </c>
      <c r="T36" s="1" t="str">
        <f t="shared" si="2"/>
        <v>. Team did not attend meet, thus are assigned a (last+1) place finish</v>
      </c>
    </row>
    <row r="37" spans="2:20">
      <c r="B37" s="3"/>
      <c r="C37" s="3"/>
      <c r="D37" s="3"/>
      <c r="E37" s="3"/>
      <c r="F37" s="3"/>
      <c r="G37" s="3"/>
      <c r="H37" s="3"/>
      <c r="I37" s="3"/>
      <c r="J37" s="42"/>
      <c r="Q37" s="1">
        <f t="shared" si="1"/>
        <v>0</v>
      </c>
      <c r="R37" s="1" t="s">
        <v>33</v>
      </c>
      <c r="T37" s="1" t="str">
        <f t="shared" si="2"/>
        <v xml:space="preserve">. </v>
      </c>
    </row>
    <row r="38" spans="2:20">
      <c r="B38" s="3"/>
      <c r="C38" s="3"/>
      <c r="D38" s="3"/>
      <c r="E38" s="3"/>
      <c r="F38" s="3"/>
      <c r="G38" s="3"/>
      <c r="H38" s="3"/>
      <c r="I38" s="3"/>
      <c r="J38" s="42"/>
    </row>
    <row r="39" spans="2:20">
      <c r="B39" s="3"/>
      <c r="C39" s="3"/>
      <c r="D39" s="3"/>
      <c r="E39" s="3"/>
      <c r="F39" s="3"/>
      <c r="G39" s="3"/>
      <c r="H39" s="3"/>
      <c r="I39" s="3"/>
      <c r="J39" s="42"/>
    </row>
    <row r="40" spans="2:20">
      <c r="B40" s="3"/>
      <c r="C40" s="3"/>
      <c r="D40" s="3"/>
      <c r="E40" s="3"/>
      <c r="F40" s="3"/>
      <c r="G40" s="3"/>
      <c r="H40" s="3"/>
      <c r="I40" s="3"/>
      <c r="J40" s="42"/>
    </row>
    <row r="41" spans="2:20">
      <c r="B41" s="3"/>
      <c r="C41" s="3"/>
      <c r="D41" s="3"/>
      <c r="E41" s="3"/>
      <c r="F41" s="3"/>
      <c r="G41" s="3"/>
      <c r="H41" s="3"/>
      <c r="I41" s="3"/>
      <c r="J41" s="42"/>
    </row>
    <row r="42" spans="2:20">
      <c r="B42" s="3"/>
      <c r="C42" s="3"/>
      <c r="D42" s="3"/>
      <c r="E42" s="3"/>
      <c r="F42" s="3"/>
      <c r="G42" s="3"/>
      <c r="H42" s="3"/>
      <c r="I42" s="3"/>
      <c r="J42" s="42"/>
    </row>
    <row r="43" spans="2:20">
      <c r="B43" s="3"/>
      <c r="C43" s="3"/>
      <c r="D43" s="3"/>
      <c r="E43" s="3"/>
      <c r="F43" s="3"/>
      <c r="G43" s="3"/>
      <c r="H43" s="3"/>
      <c r="I43" s="3"/>
      <c r="J43" s="42"/>
    </row>
    <row r="44" spans="2:20">
      <c r="B44" s="3"/>
      <c r="C44" s="3"/>
      <c r="D44" s="3"/>
      <c r="E44" s="3"/>
      <c r="F44" s="3"/>
      <c r="G44" s="3"/>
      <c r="H44" s="3"/>
      <c r="I44" s="3"/>
      <c r="J44" s="42"/>
    </row>
    <row r="45" spans="2:20">
      <c r="B45" s="3"/>
      <c r="C45" s="3"/>
      <c r="D45" s="3"/>
      <c r="E45" s="3"/>
      <c r="F45" s="3"/>
      <c r="G45" s="3"/>
      <c r="H45" s="3"/>
      <c r="I45" s="3"/>
      <c r="J45" s="42"/>
    </row>
    <row r="46" spans="2:20">
      <c r="B46" s="3"/>
      <c r="C46" s="3"/>
      <c r="D46" s="3"/>
      <c r="E46" s="3"/>
      <c r="F46" s="3"/>
      <c r="G46" s="3"/>
      <c r="H46" s="3"/>
      <c r="I46" s="3"/>
      <c r="J46" s="42"/>
    </row>
    <row r="47" spans="2:20">
      <c r="B47" s="3"/>
      <c r="C47" s="3"/>
      <c r="D47" s="3"/>
      <c r="E47" s="3"/>
      <c r="F47" s="3"/>
      <c r="G47" s="3"/>
      <c r="H47" s="3"/>
      <c r="I47" s="3"/>
      <c r="J47" s="42"/>
    </row>
    <row r="48" spans="2:20">
      <c r="B48" s="3"/>
      <c r="C48" s="3"/>
      <c r="D48" s="3"/>
      <c r="E48" s="3"/>
      <c r="F48" s="3"/>
      <c r="G48" s="3"/>
      <c r="H48" s="3"/>
      <c r="I48" s="3"/>
      <c r="J48" s="42"/>
    </row>
    <row r="49" spans="2:10">
      <c r="B49" s="3"/>
      <c r="C49" s="3"/>
      <c r="D49" s="3"/>
      <c r="E49" s="3"/>
      <c r="F49" s="3"/>
      <c r="G49" s="3"/>
      <c r="H49" s="3"/>
      <c r="I49" s="3"/>
      <c r="J49" s="42"/>
    </row>
    <row r="50" spans="2:10">
      <c r="B50" s="3"/>
      <c r="C50" s="3"/>
      <c r="D50" s="3"/>
      <c r="E50" s="3"/>
      <c r="F50" s="3"/>
      <c r="G50" s="3"/>
      <c r="H50" s="3"/>
      <c r="I50" s="3"/>
      <c r="J50" s="42"/>
    </row>
    <row r="51" spans="2:10">
      <c r="B51" s="3"/>
      <c r="C51" s="3"/>
      <c r="D51" s="3"/>
      <c r="E51" s="3"/>
      <c r="F51" s="3"/>
      <c r="G51" s="3"/>
      <c r="H51" s="3"/>
      <c r="I51" s="3"/>
      <c r="J51" s="42"/>
    </row>
    <row r="52" spans="2:10">
      <c r="B52" s="3"/>
      <c r="C52" s="3"/>
      <c r="D52" s="3"/>
      <c r="E52" s="3"/>
      <c r="F52" s="3"/>
      <c r="G52" s="3"/>
      <c r="H52" s="3"/>
      <c r="I52" s="3"/>
      <c r="J52" s="42"/>
    </row>
    <row r="53" spans="2:10">
      <c r="B53" s="3"/>
      <c r="C53" s="3"/>
      <c r="D53" s="3"/>
      <c r="E53" s="3"/>
      <c r="F53" s="3"/>
      <c r="G53" s="3"/>
      <c r="H53" s="3"/>
      <c r="I53" s="3"/>
      <c r="J53" s="42"/>
    </row>
    <row r="54" spans="2:10">
      <c r="B54" s="3"/>
      <c r="C54" s="3"/>
      <c r="D54" s="3"/>
      <c r="E54" s="3"/>
      <c r="F54" s="3"/>
      <c r="G54" s="3"/>
      <c r="H54" s="3"/>
      <c r="I54" s="3"/>
      <c r="J54" s="42"/>
    </row>
    <row r="55" spans="2:10">
      <c r="B55" s="3"/>
      <c r="C55" s="3"/>
      <c r="D55" s="3"/>
      <c r="E55" s="3"/>
      <c r="F55" s="3"/>
      <c r="G55" s="3"/>
      <c r="H55" s="3"/>
      <c r="I55" s="3"/>
      <c r="J55" s="42"/>
    </row>
    <row r="56" spans="2:10">
      <c r="B56" s="3"/>
      <c r="C56" s="3"/>
      <c r="D56" s="3"/>
      <c r="E56" s="3"/>
      <c r="F56" s="3"/>
      <c r="G56" s="3"/>
      <c r="H56" s="3"/>
      <c r="I56" s="3"/>
      <c r="J56" s="42"/>
    </row>
    <row r="57" spans="2:10">
      <c r="B57" s="3"/>
      <c r="C57" s="3"/>
      <c r="D57" s="3"/>
      <c r="E57" s="3"/>
      <c r="F57" s="3"/>
      <c r="G57" s="3"/>
      <c r="H57" s="3"/>
      <c r="I57" s="3"/>
      <c r="J57" s="42"/>
    </row>
    <row r="58" spans="2:10">
      <c r="B58" s="3"/>
      <c r="C58" s="3"/>
      <c r="D58" s="3"/>
      <c r="E58" s="3"/>
      <c r="F58" s="3"/>
      <c r="G58" s="3"/>
      <c r="H58" s="3"/>
      <c r="I58" s="3"/>
      <c r="J58" s="42"/>
    </row>
    <row r="59" spans="2:10">
      <c r="B59" s="3"/>
      <c r="C59" s="3"/>
      <c r="D59" s="3"/>
      <c r="E59" s="3"/>
      <c r="F59" s="3"/>
      <c r="G59" s="3"/>
      <c r="H59" s="3"/>
      <c r="I59" s="3"/>
      <c r="J59" s="42"/>
    </row>
    <row r="60" spans="2:10">
      <c r="B60" s="3"/>
      <c r="C60" s="3"/>
      <c r="D60" s="3"/>
      <c r="E60" s="3"/>
      <c r="F60" s="3"/>
      <c r="G60" s="3"/>
      <c r="H60" s="3"/>
      <c r="I60" s="3"/>
      <c r="J60" s="42"/>
    </row>
    <row r="61" spans="2:10">
      <c r="B61" s="3"/>
      <c r="C61" s="3"/>
      <c r="D61" s="3"/>
      <c r="E61" s="3"/>
      <c r="F61" s="3"/>
      <c r="G61" s="3"/>
      <c r="H61" s="3"/>
      <c r="I61" s="3"/>
      <c r="J61" s="42"/>
    </row>
    <row r="62" spans="2:10">
      <c r="B62" s="3"/>
      <c r="C62" s="3"/>
      <c r="D62" s="3"/>
      <c r="E62" s="3"/>
      <c r="F62" s="3"/>
      <c r="G62" s="3"/>
      <c r="H62" s="3"/>
      <c r="I62" s="3"/>
      <c r="J62" s="42"/>
    </row>
    <row r="63" spans="2:10">
      <c r="B63" s="3"/>
      <c r="C63" s="3"/>
      <c r="D63" s="3"/>
      <c r="E63" s="3"/>
      <c r="F63" s="3"/>
      <c r="G63" s="3"/>
      <c r="H63" s="3"/>
      <c r="I63" s="3"/>
      <c r="J63" s="42"/>
    </row>
    <row r="64" spans="2:10">
      <c r="B64" s="3"/>
      <c r="C64" s="3"/>
      <c r="D64" s="3"/>
      <c r="E64" s="3"/>
      <c r="F64" s="3"/>
      <c r="G64" s="3"/>
      <c r="H64" s="3"/>
      <c r="I64" s="3"/>
      <c r="J64" s="42"/>
    </row>
    <row r="65" spans="2:10">
      <c r="B65" s="3"/>
      <c r="C65" s="3"/>
      <c r="D65" s="3"/>
      <c r="E65" s="3"/>
      <c r="F65" s="3"/>
      <c r="G65" s="3"/>
      <c r="H65" s="3"/>
      <c r="I65" s="3"/>
      <c r="J65" s="42"/>
    </row>
    <row r="66" spans="2:10">
      <c r="B66" s="3"/>
      <c r="C66" s="3"/>
      <c r="D66" s="3"/>
      <c r="E66" s="3"/>
      <c r="F66" s="3"/>
      <c r="G66" s="3"/>
      <c r="H66" s="3"/>
      <c r="I66" s="3"/>
      <c r="J66" s="42"/>
    </row>
    <row r="67" spans="2:10">
      <c r="B67" s="3"/>
      <c r="C67" s="3"/>
      <c r="D67" s="3"/>
      <c r="E67" s="3"/>
      <c r="F67" s="3"/>
      <c r="G67" s="3"/>
      <c r="H67" s="3"/>
      <c r="I67" s="3"/>
      <c r="J67" s="42"/>
    </row>
    <row r="68" spans="2:10">
      <c r="B68" s="3"/>
      <c r="C68" s="3"/>
      <c r="D68" s="3"/>
      <c r="E68" s="3"/>
      <c r="F68" s="3"/>
      <c r="G68" s="3"/>
      <c r="H68" s="3"/>
      <c r="I68" s="3"/>
      <c r="J68" s="42"/>
    </row>
    <row r="69" spans="2:10">
      <c r="B69" s="3"/>
      <c r="C69" s="3"/>
      <c r="D69" s="3"/>
      <c r="E69" s="3"/>
      <c r="F69" s="3"/>
      <c r="G69" s="3"/>
      <c r="H69" s="3"/>
      <c r="I69" s="3"/>
      <c r="J69" s="42"/>
    </row>
    <row r="70" spans="2:10">
      <c r="B70" s="3"/>
      <c r="C70" s="3"/>
      <c r="D70" s="3"/>
      <c r="E70" s="3"/>
      <c r="F70" s="3"/>
      <c r="G70" s="3"/>
      <c r="H70" s="3"/>
      <c r="I70" s="3"/>
      <c r="J70" s="42"/>
    </row>
    <row r="71" spans="2:10">
      <c r="B71" s="3"/>
      <c r="C71" s="3"/>
      <c r="D71" s="3"/>
      <c r="E71" s="3"/>
      <c r="F71" s="3"/>
      <c r="G71" s="3"/>
      <c r="H71" s="3"/>
      <c r="I71" s="3"/>
      <c r="J71" s="42"/>
    </row>
    <row r="72" spans="2:10">
      <c r="B72" s="3"/>
      <c r="C72" s="3"/>
      <c r="D72" s="3"/>
      <c r="E72" s="3"/>
      <c r="F72" s="3"/>
      <c r="G72" s="3"/>
      <c r="H72" s="3"/>
      <c r="I72" s="3"/>
      <c r="J72" s="42"/>
    </row>
    <row r="73" spans="2:10">
      <c r="B73" s="3"/>
      <c r="C73" s="3"/>
      <c r="D73" s="3"/>
      <c r="E73" s="3"/>
      <c r="F73" s="3"/>
      <c r="G73" s="3"/>
      <c r="H73" s="3"/>
      <c r="I73" s="3"/>
      <c r="J73" s="42"/>
    </row>
    <row r="74" spans="2:10">
      <c r="B74" s="3"/>
      <c r="C74" s="3"/>
      <c r="D74" s="3"/>
      <c r="E74" s="3"/>
      <c r="F74" s="3"/>
      <c r="G74" s="3"/>
      <c r="H74" s="3"/>
      <c r="I74" s="3"/>
      <c r="J74" s="42"/>
    </row>
    <row r="75" spans="2:10">
      <c r="B75" s="3"/>
      <c r="C75" s="3"/>
      <c r="D75" s="3"/>
      <c r="E75" s="3"/>
      <c r="F75" s="3"/>
      <c r="G75" s="3"/>
      <c r="H75" s="3"/>
      <c r="I75" s="3"/>
      <c r="J75" s="42"/>
    </row>
    <row r="76" spans="2:10">
      <c r="B76" s="3"/>
      <c r="C76" s="3"/>
      <c r="D76" s="3"/>
      <c r="E76" s="3"/>
      <c r="F76" s="3"/>
      <c r="G76" s="3"/>
      <c r="H76" s="3"/>
      <c r="I76" s="3"/>
      <c r="J76" s="42"/>
    </row>
    <row r="77" spans="2:10">
      <c r="B77" s="3"/>
      <c r="C77" s="3"/>
      <c r="D77" s="3"/>
      <c r="E77" s="3"/>
      <c r="F77" s="3"/>
      <c r="G77" s="3"/>
      <c r="H77" s="3"/>
      <c r="I77" s="3"/>
      <c r="J77" s="42"/>
    </row>
    <row r="78" spans="2:10">
      <c r="B78" s="3"/>
      <c r="C78" s="3"/>
      <c r="D78" s="3"/>
      <c r="E78" s="3"/>
      <c r="F78" s="3"/>
      <c r="G78" s="3"/>
      <c r="H78" s="3"/>
      <c r="I78" s="3"/>
      <c r="J78" s="42"/>
    </row>
    <row r="79" spans="2:10">
      <c r="B79" s="3"/>
      <c r="C79" s="3"/>
      <c r="D79" s="3"/>
      <c r="E79" s="3"/>
      <c r="F79" s="3"/>
      <c r="G79" s="3"/>
      <c r="H79" s="3"/>
      <c r="I79" s="3"/>
      <c r="J79" s="42"/>
    </row>
    <row r="80" spans="2:10">
      <c r="B80" s="3"/>
      <c r="C80" s="3"/>
      <c r="D80" s="3"/>
      <c r="E80" s="3"/>
      <c r="F80" s="3"/>
      <c r="G80" s="3"/>
      <c r="H80" s="3"/>
      <c r="I80" s="3"/>
      <c r="J80" s="42"/>
    </row>
    <row r="81" spans="2:10">
      <c r="B81" s="3"/>
      <c r="C81" s="3"/>
      <c r="D81" s="3"/>
      <c r="E81" s="3"/>
      <c r="F81" s="3"/>
      <c r="G81" s="3"/>
      <c r="H81" s="3"/>
      <c r="I81" s="3"/>
      <c r="J81" s="42"/>
    </row>
    <row r="82" spans="2:10">
      <c r="B82" s="3"/>
      <c r="C82" s="3"/>
      <c r="D82" s="3"/>
      <c r="E82" s="3"/>
      <c r="F82" s="3"/>
      <c r="G82" s="3"/>
      <c r="H82" s="3"/>
      <c r="I82" s="3"/>
      <c r="J82" s="42"/>
    </row>
    <row r="83" spans="2:10">
      <c r="B83" s="3"/>
      <c r="C83" s="3"/>
      <c r="D83" s="3"/>
      <c r="E83" s="3"/>
      <c r="F83" s="3"/>
      <c r="G83" s="3"/>
      <c r="H83" s="3"/>
      <c r="I83" s="3"/>
      <c r="J83" s="42"/>
    </row>
    <row r="84" spans="2:10">
      <c r="B84" s="3"/>
      <c r="C84" s="3"/>
      <c r="D84" s="3"/>
      <c r="E84" s="3"/>
      <c r="F84" s="3"/>
      <c r="G84" s="3"/>
      <c r="H84" s="3"/>
      <c r="I84" s="3"/>
      <c r="J84" s="42"/>
    </row>
    <row r="85" spans="2:10">
      <c r="B85" s="3"/>
      <c r="C85" s="3"/>
      <c r="D85" s="3"/>
      <c r="E85" s="3"/>
      <c r="F85" s="3"/>
      <c r="G85" s="3"/>
      <c r="H85" s="3"/>
      <c r="I85" s="3"/>
      <c r="J85" s="42"/>
    </row>
    <row r="86" spans="2:10">
      <c r="B86" s="3"/>
      <c r="C86" s="3"/>
      <c r="D86" s="3"/>
      <c r="E86" s="3"/>
      <c r="F86" s="3"/>
      <c r="G86" s="3"/>
      <c r="H86" s="3"/>
      <c r="I86" s="3"/>
      <c r="J86" s="42"/>
    </row>
    <row r="87" spans="2:10">
      <c r="B87" s="3"/>
      <c r="C87" s="3"/>
      <c r="D87" s="3"/>
      <c r="E87" s="3"/>
      <c r="F87" s="3"/>
      <c r="G87" s="3"/>
      <c r="H87" s="3"/>
      <c r="I87" s="3"/>
      <c r="J87" s="42"/>
    </row>
    <row r="88" spans="2:10">
      <c r="B88" s="3"/>
      <c r="C88" s="3"/>
      <c r="D88" s="3"/>
      <c r="E88" s="3"/>
      <c r="F88" s="3"/>
      <c r="G88" s="3"/>
      <c r="H88" s="3"/>
      <c r="I88" s="3"/>
      <c r="J88" s="42"/>
    </row>
    <row r="89" spans="2:10">
      <c r="B89" s="3"/>
      <c r="C89" s="3"/>
      <c r="D89" s="3"/>
      <c r="E89" s="3"/>
      <c r="F89" s="3"/>
      <c r="G89" s="3"/>
      <c r="H89" s="3"/>
      <c r="I89" s="3"/>
      <c r="J89" s="42"/>
    </row>
    <row r="90" spans="2:10">
      <c r="B90" s="3"/>
      <c r="C90" s="3"/>
      <c r="D90" s="3"/>
      <c r="E90" s="3"/>
      <c r="F90" s="3"/>
      <c r="G90" s="3"/>
      <c r="H90" s="3"/>
      <c r="I90" s="3"/>
      <c r="J90" s="42"/>
    </row>
    <row r="91" spans="2:10">
      <c r="B91" s="3"/>
      <c r="C91" s="3"/>
      <c r="D91" s="3"/>
      <c r="E91" s="3"/>
      <c r="F91" s="3"/>
      <c r="G91" s="3"/>
      <c r="H91" s="3"/>
      <c r="I91" s="3"/>
      <c r="J91" s="42"/>
    </row>
    <row r="92" spans="2:10">
      <c r="B92" s="3"/>
      <c r="C92" s="3"/>
      <c r="D92" s="3"/>
      <c r="E92" s="3"/>
      <c r="F92" s="3"/>
      <c r="G92" s="3"/>
      <c r="H92" s="3"/>
      <c r="I92" s="3"/>
      <c r="J92" s="42"/>
    </row>
    <row r="93" spans="2:10">
      <c r="B93" s="3"/>
      <c r="C93" s="3"/>
      <c r="D93" s="3"/>
      <c r="E93" s="3"/>
      <c r="F93" s="3"/>
      <c r="G93" s="3"/>
      <c r="H93" s="3"/>
      <c r="I93" s="3"/>
      <c r="J93" s="42"/>
    </row>
    <row r="94" spans="2:10">
      <c r="B94" s="3"/>
      <c r="C94" s="3"/>
      <c r="D94" s="3"/>
      <c r="E94" s="3"/>
      <c r="F94" s="3"/>
      <c r="G94" s="3"/>
      <c r="H94" s="3"/>
      <c r="I94" s="3"/>
      <c r="J94" s="42"/>
    </row>
    <row r="95" spans="2:10">
      <c r="B95" s="3"/>
      <c r="C95" s="3"/>
      <c r="D95" s="3"/>
      <c r="E95" s="3"/>
      <c r="F95" s="3"/>
      <c r="G95" s="3"/>
      <c r="H95" s="3"/>
      <c r="I95" s="3"/>
      <c r="J95" s="42"/>
    </row>
    <row r="96" spans="2:10">
      <c r="B96" s="3"/>
      <c r="C96" s="3"/>
      <c r="D96" s="3"/>
      <c r="E96" s="3"/>
      <c r="F96" s="3"/>
      <c r="G96" s="3"/>
      <c r="H96" s="3"/>
      <c r="I96" s="3"/>
      <c r="J96" s="42"/>
    </row>
    <row r="97" spans="2:10">
      <c r="B97" s="3"/>
      <c r="C97" s="3"/>
      <c r="D97" s="3"/>
      <c r="E97" s="3"/>
      <c r="F97" s="3"/>
      <c r="G97" s="3"/>
      <c r="H97" s="3"/>
      <c r="I97" s="3"/>
      <c r="J97" s="42"/>
    </row>
    <row r="98" spans="2:10">
      <c r="B98" s="3"/>
      <c r="C98" s="3"/>
      <c r="D98" s="3"/>
      <c r="E98" s="3"/>
      <c r="F98" s="3"/>
      <c r="G98" s="3"/>
      <c r="H98" s="3"/>
      <c r="I98" s="3"/>
      <c r="J98" s="42"/>
    </row>
    <row r="99" spans="2:10">
      <c r="B99" s="3"/>
      <c r="C99" s="3"/>
      <c r="D99" s="3"/>
      <c r="E99" s="3"/>
      <c r="F99" s="3"/>
      <c r="G99" s="3"/>
      <c r="H99" s="3"/>
      <c r="I99" s="3"/>
      <c r="J99" s="42"/>
    </row>
    <row r="100" spans="2:10">
      <c r="B100" s="3"/>
      <c r="C100" s="3"/>
      <c r="D100" s="3"/>
      <c r="E100" s="3"/>
      <c r="F100" s="3"/>
      <c r="G100" s="3"/>
      <c r="H100" s="3"/>
      <c r="I100" s="3"/>
      <c r="J100" s="42"/>
    </row>
    <row r="101" spans="2:10">
      <c r="B101" s="3"/>
      <c r="C101" s="3"/>
      <c r="D101" s="3"/>
      <c r="E101" s="3"/>
      <c r="F101" s="3"/>
      <c r="G101" s="3"/>
      <c r="H101" s="3"/>
      <c r="I101" s="3"/>
      <c r="J101" s="42"/>
    </row>
    <row r="102" spans="2:10">
      <c r="B102" s="3"/>
      <c r="C102" s="3"/>
      <c r="D102" s="3"/>
      <c r="E102" s="3"/>
      <c r="F102" s="3"/>
      <c r="G102" s="3"/>
      <c r="H102" s="3"/>
      <c r="I102" s="3"/>
      <c r="J102" s="42"/>
    </row>
    <row r="103" spans="2:10">
      <c r="B103" s="3"/>
      <c r="C103" s="3"/>
      <c r="D103" s="3"/>
      <c r="E103" s="3"/>
      <c r="F103" s="3"/>
      <c r="G103" s="3"/>
      <c r="H103" s="3"/>
      <c r="I103" s="3"/>
      <c r="J103" s="42"/>
    </row>
    <row r="104" spans="2:10">
      <c r="B104" s="3"/>
      <c r="C104" s="3"/>
      <c r="D104" s="3"/>
      <c r="E104" s="3"/>
      <c r="F104" s="3"/>
      <c r="G104" s="3"/>
      <c r="H104" s="3"/>
      <c r="I104" s="3"/>
      <c r="J104" s="42"/>
    </row>
    <row r="105" spans="2:10">
      <c r="B105" s="3"/>
      <c r="C105" s="3"/>
      <c r="D105" s="3"/>
      <c r="E105" s="3"/>
      <c r="F105" s="3"/>
      <c r="G105" s="3"/>
      <c r="H105" s="3"/>
      <c r="I105" s="3"/>
      <c r="J105" s="42"/>
    </row>
    <row r="106" spans="2:10">
      <c r="B106" s="3"/>
      <c r="C106" s="3"/>
      <c r="D106" s="3"/>
      <c r="E106" s="3"/>
      <c r="F106" s="3"/>
      <c r="G106" s="3"/>
      <c r="H106" s="3"/>
      <c r="I106" s="3"/>
      <c r="J106" s="42"/>
    </row>
    <row r="107" spans="2:10">
      <c r="B107" s="3"/>
      <c r="C107" s="3"/>
      <c r="D107" s="3"/>
      <c r="E107" s="3"/>
      <c r="F107" s="3"/>
      <c r="G107" s="3"/>
      <c r="H107" s="3"/>
      <c r="I107" s="3"/>
      <c r="J107" s="42"/>
    </row>
    <row r="108" spans="2:10">
      <c r="B108" s="3"/>
      <c r="C108" s="3"/>
      <c r="D108" s="3"/>
      <c r="E108" s="3"/>
      <c r="F108" s="3"/>
      <c r="G108" s="3"/>
      <c r="H108" s="3"/>
      <c r="I108" s="3"/>
      <c r="J108" s="42"/>
    </row>
    <row r="109" spans="2:10">
      <c r="B109" s="3"/>
      <c r="C109" s="3"/>
      <c r="D109" s="3"/>
      <c r="E109" s="3"/>
      <c r="F109" s="3"/>
      <c r="G109" s="3"/>
      <c r="H109" s="3"/>
      <c r="I109" s="3"/>
      <c r="J109" s="42"/>
    </row>
    <row r="110" spans="2:10">
      <c r="B110" s="3"/>
      <c r="C110" s="3"/>
      <c r="D110" s="3"/>
      <c r="E110" s="3"/>
      <c r="F110" s="3"/>
      <c r="G110" s="3"/>
      <c r="H110" s="3"/>
      <c r="I110" s="3"/>
      <c r="J110" s="42"/>
    </row>
    <row r="111" spans="2:10">
      <c r="B111" s="3"/>
      <c r="C111" s="3"/>
      <c r="D111" s="3"/>
      <c r="E111" s="3"/>
      <c r="F111" s="3"/>
      <c r="G111" s="3"/>
      <c r="H111" s="3"/>
      <c r="I111" s="3"/>
      <c r="J111" s="42"/>
    </row>
    <row r="112" spans="2:10">
      <c r="B112" s="3"/>
      <c r="C112" s="3"/>
      <c r="D112" s="3"/>
      <c r="E112" s="3"/>
      <c r="F112" s="3"/>
      <c r="G112" s="3"/>
      <c r="H112" s="3"/>
      <c r="I112" s="3"/>
      <c r="J112" s="42"/>
    </row>
    <row r="113" spans="2:10">
      <c r="B113" s="3"/>
      <c r="C113" s="3"/>
      <c r="D113" s="3"/>
      <c r="E113" s="3"/>
      <c r="F113" s="3"/>
      <c r="G113" s="3"/>
      <c r="H113" s="3"/>
      <c r="I113" s="3"/>
      <c r="J113" s="42"/>
    </row>
    <row r="114" spans="2:10">
      <c r="B114" s="3"/>
      <c r="C114" s="3"/>
      <c r="D114" s="3"/>
      <c r="E114" s="3"/>
      <c r="F114" s="3"/>
      <c r="G114" s="3"/>
      <c r="H114" s="3"/>
      <c r="I114" s="3"/>
      <c r="J114" s="42"/>
    </row>
    <row r="115" spans="2:10">
      <c r="B115" s="3"/>
      <c r="C115" s="3"/>
      <c r="D115" s="3"/>
      <c r="E115" s="3"/>
      <c r="F115" s="3"/>
      <c r="G115" s="3"/>
      <c r="H115" s="3"/>
      <c r="I115" s="3"/>
      <c r="J115" s="42"/>
    </row>
    <row r="116" spans="2:10">
      <c r="B116" s="3"/>
      <c r="C116" s="3"/>
      <c r="D116" s="3"/>
      <c r="E116" s="3"/>
      <c r="F116" s="3"/>
      <c r="G116" s="3"/>
      <c r="H116" s="3"/>
      <c r="I116" s="3"/>
      <c r="J116" s="42"/>
    </row>
    <row r="117" spans="2:10">
      <c r="B117" s="3"/>
      <c r="C117" s="3"/>
      <c r="D117" s="3"/>
      <c r="E117" s="3"/>
      <c r="F117" s="3"/>
      <c r="G117" s="3"/>
      <c r="H117" s="3"/>
      <c r="I117" s="3"/>
      <c r="J117" s="42"/>
    </row>
    <row r="118" spans="2:10">
      <c r="B118" s="3"/>
      <c r="C118" s="3"/>
      <c r="D118" s="3"/>
      <c r="E118" s="3"/>
      <c r="F118" s="3"/>
      <c r="G118" s="3"/>
      <c r="H118" s="3"/>
      <c r="I118" s="3"/>
      <c r="J118" s="42"/>
    </row>
    <row r="119" spans="2:10">
      <c r="B119" s="3"/>
      <c r="C119" s="3"/>
      <c r="D119" s="3"/>
      <c r="E119" s="3"/>
      <c r="F119" s="3"/>
      <c r="G119" s="3"/>
      <c r="H119" s="3"/>
      <c r="I119" s="3"/>
      <c r="J119" s="42"/>
    </row>
    <row r="120" spans="2:10">
      <c r="B120" s="3"/>
      <c r="C120" s="3"/>
      <c r="D120" s="3"/>
      <c r="E120" s="3"/>
      <c r="F120" s="3"/>
      <c r="G120" s="3"/>
      <c r="H120" s="3"/>
      <c r="I120" s="3"/>
      <c r="J120" s="42"/>
    </row>
    <row r="121" spans="2:10">
      <c r="B121" s="3"/>
      <c r="C121" s="3"/>
      <c r="D121" s="3"/>
      <c r="E121" s="3"/>
      <c r="F121" s="3"/>
      <c r="G121" s="3"/>
      <c r="H121" s="3"/>
      <c r="I121" s="3"/>
      <c r="J121" s="42"/>
    </row>
    <row r="122" spans="2:10">
      <c r="B122" s="3"/>
      <c r="C122" s="3"/>
      <c r="D122" s="3"/>
      <c r="E122" s="3"/>
      <c r="F122" s="3"/>
      <c r="G122" s="3"/>
      <c r="H122" s="3"/>
      <c r="I122" s="3"/>
      <c r="J122" s="42"/>
    </row>
    <row r="123" spans="2:10">
      <c r="B123" s="3"/>
      <c r="C123" s="3"/>
      <c r="D123" s="3"/>
      <c r="E123" s="3"/>
      <c r="F123" s="3"/>
      <c r="G123" s="3"/>
      <c r="H123" s="3"/>
      <c r="I123" s="3"/>
      <c r="J123" s="42"/>
    </row>
    <row r="124" spans="2:10">
      <c r="B124" s="3"/>
      <c r="C124" s="3"/>
      <c r="D124" s="3"/>
      <c r="E124" s="3"/>
      <c r="F124" s="3"/>
      <c r="G124" s="3"/>
      <c r="H124" s="3"/>
      <c r="I124" s="3"/>
      <c r="J124" s="42"/>
    </row>
    <row r="125" spans="2:10">
      <c r="B125" s="3"/>
      <c r="C125" s="3"/>
      <c r="D125" s="3"/>
      <c r="E125" s="3"/>
      <c r="F125" s="3"/>
      <c r="G125" s="3"/>
      <c r="H125" s="3"/>
      <c r="I125" s="3"/>
      <c r="J125" s="42"/>
    </row>
    <row r="126" spans="2:10">
      <c r="B126" s="3"/>
      <c r="C126" s="3"/>
      <c r="D126" s="3"/>
      <c r="E126" s="3"/>
      <c r="F126" s="3"/>
      <c r="G126" s="3"/>
      <c r="H126" s="3"/>
      <c r="I126" s="3"/>
      <c r="J126" s="42"/>
    </row>
    <row r="127" spans="2:10">
      <c r="B127" s="3"/>
      <c r="C127" s="3"/>
      <c r="D127" s="3"/>
      <c r="E127" s="3"/>
      <c r="F127" s="3"/>
      <c r="G127" s="3"/>
      <c r="H127" s="3"/>
      <c r="I127" s="3"/>
      <c r="J127" s="42"/>
    </row>
    <row r="128" spans="2:10">
      <c r="B128" s="3"/>
      <c r="C128" s="3"/>
      <c r="D128" s="3"/>
      <c r="E128" s="3"/>
      <c r="F128" s="3"/>
      <c r="G128" s="3"/>
      <c r="H128" s="3"/>
      <c r="I128" s="3"/>
      <c r="J128" s="42"/>
    </row>
    <row r="129" spans="2:10">
      <c r="B129" s="3"/>
      <c r="C129" s="3"/>
      <c r="D129" s="3"/>
      <c r="E129" s="3"/>
      <c r="F129" s="3"/>
      <c r="G129" s="3"/>
      <c r="H129" s="3"/>
      <c r="I129" s="3"/>
      <c r="J129" s="42"/>
    </row>
    <row r="130" spans="2:10">
      <c r="B130" s="3"/>
      <c r="C130" s="3"/>
      <c r="D130" s="3"/>
      <c r="E130" s="3"/>
      <c r="F130" s="3"/>
      <c r="G130" s="3"/>
      <c r="H130" s="3"/>
      <c r="I130" s="3"/>
      <c r="J130" s="42"/>
    </row>
    <row r="131" spans="2:10">
      <c r="B131" s="3"/>
      <c r="C131" s="3"/>
      <c r="D131" s="3"/>
      <c r="E131" s="3"/>
      <c r="F131" s="3"/>
      <c r="G131" s="3"/>
      <c r="H131" s="3"/>
      <c r="I131" s="3"/>
      <c r="J131" s="42"/>
    </row>
    <row r="132" spans="2:10">
      <c r="B132" s="3"/>
      <c r="C132" s="3"/>
      <c r="D132" s="3"/>
      <c r="E132" s="3"/>
      <c r="F132" s="3"/>
      <c r="G132" s="3"/>
      <c r="H132" s="3"/>
      <c r="I132" s="3"/>
      <c r="J132" s="42"/>
    </row>
    <row r="133" spans="2:10">
      <c r="B133" s="3"/>
      <c r="C133" s="3"/>
      <c r="D133" s="3"/>
      <c r="E133" s="3"/>
      <c r="F133" s="3"/>
      <c r="G133" s="3"/>
      <c r="H133" s="3"/>
      <c r="I133" s="3"/>
      <c r="J133" s="42"/>
    </row>
    <row r="134" spans="2:10">
      <c r="B134" s="3"/>
      <c r="C134" s="3"/>
      <c r="D134" s="3"/>
      <c r="E134" s="3"/>
      <c r="F134" s="3"/>
      <c r="G134" s="3"/>
      <c r="H134" s="3"/>
      <c r="I134" s="3"/>
      <c r="J134" s="42"/>
    </row>
    <row r="135" spans="2:10">
      <c r="B135" s="3"/>
      <c r="C135" s="3"/>
      <c r="D135" s="3"/>
      <c r="E135" s="3"/>
      <c r="F135" s="3"/>
      <c r="G135" s="3"/>
      <c r="H135" s="3"/>
      <c r="I135" s="3"/>
      <c r="J135" s="42"/>
    </row>
    <row r="136" spans="2:10">
      <c r="B136" s="3"/>
      <c r="C136" s="3"/>
      <c r="D136" s="3"/>
      <c r="E136" s="3"/>
      <c r="F136" s="3"/>
      <c r="G136" s="3"/>
      <c r="H136" s="3"/>
      <c r="I136" s="3"/>
      <c r="J136" s="42"/>
    </row>
    <row r="137" spans="2:10">
      <c r="B137" s="3"/>
      <c r="C137" s="3"/>
      <c r="D137" s="3"/>
      <c r="E137" s="3"/>
      <c r="F137" s="3"/>
      <c r="G137" s="3"/>
      <c r="H137" s="3"/>
      <c r="I137" s="3"/>
      <c r="J137" s="42"/>
    </row>
    <row r="138" spans="2:10">
      <c r="B138" s="3"/>
      <c r="C138" s="3"/>
      <c r="D138" s="3"/>
      <c r="E138" s="3"/>
      <c r="F138" s="3"/>
      <c r="G138" s="3"/>
      <c r="H138" s="3"/>
      <c r="I138" s="3"/>
      <c r="J138" s="42"/>
    </row>
    <row r="139" spans="2:10">
      <c r="B139" s="3"/>
      <c r="C139" s="3"/>
      <c r="D139" s="3"/>
      <c r="E139" s="3"/>
      <c r="F139" s="3"/>
      <c r="G139" s="3"/>
      <c r="H139" s="3"/>
      <c r="I139" s="3"/>
      <c r="J139" s="42"/>
    </row>
    <row r="140" spans="2:10">
      <c r="B140" s="3"/>
      <c r="C140" s="3"/>
      <c r="D140" s="3"/>
      <c r="E140" s="3"/>
      <c r="F140" s="3"/>
      <c r="G140" s="3"/>
      <c r="H140" s="3"/>
      <c r="I140" s="3"/>
      <c r="J140" s="42"/>
    </row>
    <row r="141" spans="2:10">
      <c r="B141" s="3"/>
      <c r="C141" s="3"/>
      <c r="D141" s="3"/>
      <c r="E141" s="3"/>
      <c r="F141" s="3"/>
      <c r="G141" s="3"/>
      <c r="H141" s="3"/>
      <c r="I141" s="3"/>
      <c r="J141" s="42"/>
    </row>
    <row r="142" spans="2:10">
      <c r="B142" s="3"/>
      <c r="C142" s="3"/>
      <c r="D142" s="3"/>
      <c r="E142" s="3"/>
      <c r="F142" s="3"/>
      <c r="G142" s="3"/>
      <c r="H142" s="3"/>
      <c r="I142" s="3"/>
      <c r="J142" s="42"/>
    </row>
    <row r="143" spans="2:10">
      <c r="B143" s="3"/>
      <c r="C143" s="3"/>
      <c r="D143" s="3"/>
      <c r="E143" s="3"/>
      <c r="F143" s="3"/>
      <c r="G143" s="3"/>
      <c r="H143" s="3"/>
      <c r="I143" s="3"/>
      <c r="J143" s="42"/>
    </row>
    <row r="144" spans="2:10">
      <c r="B144" s="3"/>
      <c r="C144" s="3"/>
      <c r="D144" s="3"/>
      <c r="E144" s="3"/>
      <c r="F144" s="3"/>
      <c r="G144" s="3"/>
      <c r="H144" s="3"/>
      <c r="I144" s="3"/>
      <c r="J144" s="42"/>
    </row>
    <row r="145" spans="2:10">
      <c r="B145" s="3"/>
      <c r="C145" s="3"/>
      <c r="D145" s="3"/>
      <c r="E145" s="3"/>
      <c r="F145" s="3"/>
      <c r="G145" s="3"/>
      <c r="H145" s="3"/>
      <c r="I145" s="3"/>
      <c r="J145" s="42"/>
    </row>
    <row r="146" spans="2:10">
      <c r="B146" s="3"/>
      <c r="C146" s="3"/>
      <c r="D146" s="3"/>
      <c r="E146" s="3"/>
      <c r="F146" s="3"/>
      <c r="G146" s="3"/>
      <c r="H146" s="3"/>
      <c r="I146" s="3"/>
      <c r="J146" s="42"/>
    </row>
    <row r="147" spans="2:10">
      <c r="B147" s="3"/>
      <c r="C147" s="3"/>
      <c r="D147" s="3"/>
      <c r="E147" s="3"/>
      <c r="F147" s="3"/>
      <c r="G147" s="3"/>
      <c r="H147" s="3"/>
      <c r="I147" s="3"/>
      <c r="J147" s="42"/>
    </row>
    <row r="148" spans="2:10">
      <c r="B148" s="3"/>
      <c r="C148" s="3"/>
      <c r="D148" s="3"/>
      <c r="E148" s="3"/>
      <c r="F148" s="3"/>
      <c r="G148" s="3"/>
      <c r="H148" s="3"/>
      <c r="I148" s="3"/>
      <c r="J148" s="42"/>
    </row>
    <row r="149" spans="2:10">
      <c r="B149" s="3"/>
      <c r="C149" s="3"/>
      <c r="D149" s="3"/>
      <c r="E149" s="3"/>
      <c r="F149" s="3"/>
      <c r="G149" s="3"/>
      <c r="H149" s="3"/>
      <c r="I149" s="3"/>
      <c r="J149" s="42"/>
    </row>
    <row r="150" spans="2:10">
      <c r="B150" s="3"/>
      <c r="C150" s="3"/>
      <c r="D150" s="3"/>
      <c r="E150" s="3"/>
      <c r="F150" s="3"/>
      <c r="G150" s="3"/>
      <c r="H150" s="3"/>
      <c r="I150" s="3"/>
      <c r="J150" s="42"/>
    </row>
    <row r="151" spans="2:10">
      <c r="B151" s="3"/>
      <c r="C151" s="3"/>
      <c r="D151" s="3"/>
      <c r="E151" s="3"/>
      <c r="F151" s="3"/>
      <c r="G151" s="3"/>
      <c r="H151" s="3"/>
      <c r="I151" s="3"/>
      <c r="J151" s="42"/>
    </row>
    <row r="152" spans="2:10">
      <c r="B152" s="3"/>
      <c r="C152" s="3"/>
      <c r="D152" s="3"/>
      <c r="E152" s="3"/>
      <c r="F152" s="3"/>
      <c r="G152" s="3"/>
      <c r="H152" s="3"/>
      <c r="I152" s="3"/>
      <c r="J152" s="42"/>
    </row>
    <row r="153" spans="2:10">
      <c r="B153" s="3"/>
      <c r="C153" s="3"/>
      <c r="D153" s="3"/>
      <c r="E153" s="3"/>
      <c r="F153" s="3"/>
      <c r="G153" s="3"/>
      <c r="H153" s="3"/>
      <c r="I153" s="3"/>
      <c r="J153" s="42"/>
    </row>
    <row r="154" spans="2:10">
      <c r="B154" s="3"/>
      <c r="C154" s="3"/>
      <c r="D154" s="3"/>
      <c r="E154" s="3"/>
      <c r="F154" s="3"/>
      <c r="G154" s="3"/>
      <c r="H154" s="3"/>
      <c r="I154" s="3"/>
      <c r="J154" s="42"/>
    </row>
    <row r="155" spans="2:10">
      <c r="B155" s="3"/>
      <c r="C155" s="3"/>
      <c r="D155" s="3"/>
      <c r="E155" s="3"/>
      <c r="F155" s="3"/>
      <c r="G155" s="3"/>
      <c r="H155" s="3"/>
      <c r="I155" s="3"/>
      <c r="J155" s="42"/>
    </row>
    <row r="156" spans="2:10">
      <c r="B156" s="3"/>
      <c r="C156" s="3"/>
      <c r="D156" s="3"/>
      <c r="E156" s="3"/>
      <c r="F156" s="3"/>
      <c r="G156" s="3"/>
      <c r="H156" s="3"/>
      <c r="I156" s="3"/>
      <c r="J156" s="42"/>
    </row>
    <row r="157" spans="2:10">
      <c r="B157" s="3"/>
      <c r="C157" s="3"/>
      <c r="D157" s="3"/>
      <c r="E157" s="3"/>
      <c r="F157" s="3"/>
      <c r="G157" s="3"/>
      <c r="H157" s="3"/>
      <c r="I157" s="3"/>
      <c r="J157" s="42"/>
    </row>
    <row r="158" spans="2:10">
      <c r="B158" s="3"/>
      <c r="C158" s="3"/>
      <c r="D158" s="3"/>
      <c r="E158" s="3"/>
      <c r="F158" s="3"/>
      <c r="G158" s="3"/>
      <c r="H158" s="3"/>
      <c r="I158" s="3"/>
      <c r="J158" s="42"/>
    </row>
    <row r="159" spans="2:10">
      <c r="B159" s="3"/>
      <c r="C159" s="3"/>
      <c r="D159" s="3"/>
      <c r="E159" s="3"/>
      <c r="F159" s="3"/>
      <c r="G159" s="3"/>
      <c r="H159" s="3"/>
      <c r="I159" s="3"/>
      <c r="J159" s="42"/>
    </row>
    <row r="160" spans="2:10">
      <c r="B160" s="3"/>
      <c r="C160" s="3"/>
      <c r="D160" s="3"/>
      <c r="E160" s="3"/>
      <c r="F160" s="3"/>
      <c r="G160" s="3"/>
      <c r="H160" s="3"/>
      <c r="I160" s="3"/>
      <c r="J160" s="42"/>
    </row>
    <row r="161" spans="2:10">
      <c r="B161" s="3"/>
      <c r="C161" s="3"/>
      <c r="D161" s="3"/>
      <c r="E161" s="3"/>
      <c r="F161" s="3"/>
      <c r="G161" s="3"/>
      <c r="H161" s="3"/>
      <c r="I161" s="3"/>
      <c r="J161" s="42"/>
    </row>
    <row r="162" spans="2:10">
      <c r="B162" s="3"/>
      <c r="C162" s="3"/>
      <c r="D162" s="3"/>
      <c r="E162" s="3"/>
      <c r="F162" s="3"/>
      <c r="G162" s="3"/>
      <c r="H162" s="3"/>
      <c r="I162" s="3"/>
      <c r="J162" s="42"/>
    </row>
    <row r="163" spans="2:10">
      <c r="B163" s="3"/>
      <c r="C163" s="3"/>
      <c r="D163" s="3"/>
      <c r="E163" s="3"/>
      <c r="F163" s="3"/>
      <c r="G163" s="3"/>
      <c r="H163" s="3"/>
      <c r="I163" s="3"/>
      <c r="J163" s="42"/>
    </row>
    <row r="164" spans="2:10">
      <c r="B164" s="3"/>
      <c r="C164" s="3"/>
      <c r="D164" s="3"/>
      <c r="E164" s="3"/>
      <c r="F164" s="3"/>
      <c r="G164" s="3"/>
      <c r="H164" s="3"/>
      <c r="I164" s="3"/>
      <c r="J164" s="42"/>
    </row>
    <row r="165" spans="2:10">
      <c r="B165" s="3"/>
      <c r="C165" s="3"/>
      <c r="D165" s="3"/>
      <c r="E165" s="3"/>
      <c r="F165" s="3"/>
      <c r="G165" s="3"/>
      <c r="H165" s="3"/>
      <c r="I165" s="3"/>
      <c r="J165" s="42"/>
    </row>
    <row r="166" spans="2:10">
      <c r="B166" s="3"/>
      <c r="C166" s="3"/>
      <c r="D166" s="3"/>
      <c r="E166" s="3"/>
      <c r="F166" s="3"/>
      <c r="G166" s="3"/>
      <c r="H166" s="3"/>
      <c r="I166" s="3"/>
      <c r="J166" s="42"/>
    </row>
    <row r="167" spans="2:10">
      <c r="B167" s="3"/>
      <c r="C167" s="3"/>
      <c r="D167" s="3"/>
      <c r="E167" s="3"/>
      <c r="F167" s="3"/>
      <c r="G167" s="3"/>
      <c r="H167" s="3"/>
      <c r="I167" s="3"/>
      <c r="J167" s="42"/>
    </row>
    <row r="168" spans="2:10">
      <c r="B168" s="3"/>
      <c r="C168" s="3"/>
      <c r="D168" s="3"/>
      <c r="E168" s="3"/>
      <c r="F168" s="3"/>
      <c r="G168" s="3"/>
      <c r="H168" s="3"/>
      <c r="I168" s="3"/>
      <c r="J168" s="42"/>
    </row>
    <row r="169" spans="2:10">
      <c r="B169" s="3"/>
      <c r="C169" s="3"/>
      <c r="D169" s="3"/>
      <c r="E169" s="3"/>
      <c r="F169" s="3"/>
      <c r="G169" s="3"/>
      <c r="H169" s="3"/>
      <c r="I169" s="3"/>
      <c r="J169" s="42"/>
    </row>
    <row r="170" spans="2:10">
      <c r="B170" s="3"/>
      <c r="C170" s="3"/>
      <c r="D170" s="3"/>
      <c r="E170" s="3"/>
      <c r="F170" s="3"/>
      <c r="G170" s="3"/>
      <c r="H170" s="3"/>
      <c r="I170" s="3"/>
      <c r="J170" s="42"/>
    </row>
    <row r="171" spans="2:10">
      <c r="B171" s="3"/>
      <c r="C171" s="3"/>
      <c r="D171" s="3"/>
      <c r="E171" s="3"/>
      <c r="F171" s="3"/>
      <c r="G171" s="3"/>
      <c r="H171" s="3"/>
      <c r="I171" s="3"/>
      <c r="J171" s="42"/>
    </row>
    <row r="172" spans="2:10">
      <c r="B172" s="3"/>
      <c r="C172" s="3"/>
      <c r="D172" s="3"/>
      <c r="E172" s="3"/>
      <c r="F172" s="3"/>
      <c r="G172" s="3"/>
      <c r="H172" s="3"/>
      <c r="I172" s="3"/>
      <c r="J172" s="42"/>
    </row>
    <row r="173" spans="2:10">
      <c r="B173" s="3"/>
      <c r="C173" s="3"/>
      <c r="D173" s="3"/>
      <c r="E173" s="3"/>
      <c r="F173" s="3"/>
      <c r="G173" s="3"/>
      <c r="H173" s="3"/>
      <c r="I173" s="3"/>
      <c r="J173" s="42"/>
    </row>
    <row r="174" spans="2:10">
      <c r="B174" s="3"/>
      <c r="C174" s="3"/>
      <c r="D174" s="3"/>
      <c r="E174" s="3"/>
      <c r="F174" s="3"/>
      <c r="G174" s="3"/>
      <c r="H174" s="3"/>
      <c r="I174" s="3"/>
      <c r="J174" s="42"/>
    </row>
    <row r="175" spans="2:10">
      <c r="B175" s="3"/>
      <c r="C175" s="3"/>
      <c r="D175" s="3"/>
      <c r="E175" s="3"/>
      <c r="F175" s="3"/>
      <c r="G175" s="3"/>
      <c r="H175" s="3"/>
      <c r="I175" s="3"/>
      <c r="J175" s="42"/>
    </row>
    <row r="176" spans="2:10">
      <c r="B176" s="3"/>
      <c r="C176" s="3"/>
      <c r="D176" s="3"/>
      <c r="E176" s="3"/>
      <c r="F176" s="3"/>
      <c r="G176" s="3"/>
      <c r="H176" s="3"/>
      <c r="I176" s="3"/>
      <c r="J176" s="42"/>
    </row>
    <row r="177" spans="2:10">
      <c r="B177" s="3"/>
      <c r="C177" s="3"/>
      <c r="D177" s="3"/>
      <c r="E177" s="3"/>
      <c r="F177" s="3"/>
      <c r="G177" s="3"/>
      <c r="H177" s="3"/>
      <c r="I177" s="3"/>
      <c r="J177" s="42"/>
    </row>
    <row r="178" spans="2:10">
      <c r="B178" s="3"/>
      <c r="C178" s="3"/>
      <c r="D178" s="3"/>
      <c r="E178" s="3"/>
      <c r="F178" s="3"/>
      <c r="G178" s="3"/>
      <c r="H178" s="3"/>
      <c r="I178" s="3"/>
      <c r="J178" s="42"/>
    </row>
    <row r="179" spans="2:10">
      <c r="B179" s="3"/>
      <c r="C179" s="3"/>
      <c r="D179" s="3"/>
      <c r="E179" s="3"/>
      <c r="F179" s="3"/>
      <c r="G179" s="3"/>
      <c r="H179" s="3"/>
      <c r="I179" s="3"/>
      <c r="J179" s="42"/>
    </row>
    <row r="180" spans="2:10">
      <c r="B180" s="3"/>
      <c r="C180" s="3"/>
      <c r="D180" s="3"/>
      <c r="E180" s="3"/>
      <c r="F180" s="3"/>
      <c r="G180" s="3"/>
      <c r="H180" s="3"/>
      <c r="I180" s="3"/>
      <c r="J180" s="42"/>
    </row>
    <row r="181" spans="2:10">
      <c r="B181" s="3"/>
      <c r="C181" s="3"/>
      <c r="D181" s="3"/>
      <c r="E181" s="3"/>
      <c r="F181" s="3"/>
      <c r="G181" s="3"/>
      <c r="H181" s="3"/>
      <c r="I181" s="3"/>
      <c r="J181" s="42"/>
    </row>
    <row r="182" spans="2:10">
      <c r="B182" s="3"/>
      <c r="C182" s="3"/>
      <c r="D182" s="3"/>
      <c r="E182" s="3"/>
      <c r="F182" s="3"/>
      <c r="G182" s="3"/>
      <c r="H182" s="3"/>
      <c r="I182" s="3"/>
      <c r="J182" s="42"/>
    </row>
    <row r="183" spans="2:10">
      <c r="B183" s="3"/>
      <c r="C183" s="3"/>
      <c r="D183" s="3"/>
      <c r="E183" s="3"/>
      <c r="F183" s="3"/>
      <c r="G183" s="3"/>
      <c r="H183" s="3"/>
      <c r="I183" s="3"/>
      <c r="J183" s="42"/>
    </row>
    <row r="184" spans="2:10">
      <c r="B184" s="3"/>
      <c r="C184" s="3"/>
      <c r="D184" s="3"/>
      <c r="E184" s="3"/>
      <c r="F184" s="3"/>
      <c r="G184" s="3"/>
      <c r="H184" s="3"/>
      <c r="I184" s="3"/>
      <c r="J184" s="42"/>
    </row>
    <row r="185" spans="2:10">
      <c r="B185" s="3"/>
      <c r="C185" s="3"/>
      <c r="D185" s="3"/>
      <c r="E185" s="3"/>
      <c r="F185" s="3"/>
      <c r="G185" s="3"/>
      <c r="H185" s="3"/>
      <c r="I185" s="3"/>
      <c r="J185" s="42"/>
    </row>
    <row r="186" spans="2:10">
      <c r="B186" s="3"/>
      <c r="C186" s="3"/>
      <c r="D186" s="3"/>
      <c r="E186" s="3"/>
      <c r="F186" s="3"/>
      <c r="G186" s="3"/>
      <c r="H186" s="3"/>
      <c r="I186" s="3"/>
      <c r="J186" s="42"/>
    </row>
    <row r="187" spans="2:10">
      <c r="B187" s="3"/>
      <c r="C187" s="3"/>
      <c r="D187" s="3"/>
      <c r="E187" s="3"/>
      <c r="F187" s="3"/>
      <c r="G187" s="3"/>
      <c r="H187" s="3"/>
      <c r="I187" s="3"/>
      <c r="J187" s="42"/>
    </row>
    <row r="188" spans="2:10">
      <c r="B188" s="3"/>
      <c r="C188" s="3"/>
      <c r="D188" s="3"/>
      <c r="E188" s="3"/>
      <c r="F188" s="3"/>
      <c r="G188" s="3"/>
      <c r="H188" s="3"/>
      <c r="I188" s="3"/>
      <c r="J188" s="42"/>
    </row>
    <row r="189" spans="2:10">
      <c r="B189" s="3"/>
      <c r="C189" s="3"/>
      <c r="D189" s="3"/>
      <c r="E189" s="3"/>
      <c r="F189" s="3"/>
      <c r="G189" s="3"/>
      <c r="H189" s="3"/>
      <c r="I189" s="3"/>
      <c r="J189" s="42"/>
    </row>
    <row r="190" spans="2:10">
      <c r="B190" s="3"/>
      <c r="C190" s="3"/>
      <c r="D190" s="3"/>
      <c r="E190" s="3"/>
      <c r="F190" s="3"/>
      <c r="G190" s="3"/>
      <c r="H190" s="3"/>
      <c r="I190" s="3"/>
      <c r="J190" s="42"/>
    </row>
    <row r="191" spans="2:10">
      <c r="B191" s="3"/>
      <c r="C191" s="3"/>
      <c r="D191" s="3"/>
      <c r="E191" s="3"/>
      <c r="F191" s="3"/>
      <c r="G191" s="3"/>
      <c r="H191" s="3"/>
      <c r="I191" s="3"/>
      <c r="J191" s="42"/>
    </row>
    <row r="192" spans="2:10">
      <c r="B192" s="3"/>
      <c r="C192" s="3"/>
      <c r="D192" s="3"/>
      <c r="E192" s="3"/>
      <c r="F192" s="3"/>
      <c r="G192" s="3"/>
      <c r="H192" s="3"/>
      <c r="I192" s="3"/>
      <c r="J192" s="42"/>
    </row>
    <row r="193" spans="2:10">
      <c r="B193" s="3"/>
      <c r="C193" s="3"/>
      <c r="D193" s="3"/>
      <c r="E193" s="3"/>
      <c r="F193" s="3"/>
      <c r="G193" s="3"/>
      <c r="H193" s="3"/>
      <c r="I193" s="3"/>
      <c r="J193" s="42"/>
    </row>
    <row r="194" spans="2:10">
      <c r="B194" s="3"/>
      <c r="C194" s="3"/>
      <c r="D194" s="3"/>
      <c r="E194" s="3"/>
      <c r="F194" s="3"/>
      <c r="G194" s="3"/>
      <c r="H194" s="3"/>
      <c r="I194" s="3"/>
      <c r="J194" s="42"/>
    </row>
    <row r="195" spans="2:10">
      <c r="B195" s="3"/>
      <c r="C195" s="3"/>
      <c r="D195" s="3"/>
      <c r="E195" s="3"/>
      <c r="F195" s="3"/>
      <c r="G195" s="3"/>
      <c r="H195" s="3"/>
      <c r="I195" s="3"/>
      <c r="J195" s="42"/>
    </row>
    <row r="196" spans="2:10">
      <c r="B196" s="3"/>
      <c r="C196" s="3"/>
      <c r="D196" s="3"/>
      <c r="E196" s="3"/>
      <c r="F196" s="3"/>
      <c r="G196" s="3"/>
      <c r="H196" s="3"/>
      <c r="I196" s="3"/>
      <c r="J196" s="42"/>
    </row>
    <row r="197" spans="2:10">
      <c r="B197" s="3"/>
      <c r="C197" s="3"/>
      <c r="D197" s="3"/>
      <c r="E197" s="3"/>
      <c r="F197" s="3"/>
      <c r="G197" s="3"/>
      <c r="H197" s="3"/>
      <c r="I197" s="3"/>
      <c r="J197" s="42"/>
    </row>
    <row r="198" spans="2:10">
      <c r="B198" s="3"/>
      <c r="C198" s="3"/>
      <c r="D198" s="3"/>
      <c r="E198" s="3"/>
      <c r="F198" s="3"/>
      <c r="G198" s="3"/>
      <c r="H198" s="3"/>
      <c r="I198" s="3"/>
      <c r="J198" s="42"/>
    </row>
    <row r="199" spans="2:10">
      <c r="B199" s="3"/>
      <c r="C199" s="3"/>
      <c r="D199" s="3"/>
      <c r="E199" s="3"/>
      <c r="F199" s="3"/>
      <c r="G199" s="3"/>
      <c r="H199" s="3"/>
      <c r="I199" s="3"/>
      <c r="J199" s="42"/>
    </row>
    <row r="200" spans="2:10">
      <c r="B200" s="3"/>
      <c r="C200" s="3"/>
      <c r="D200" s="3"/>
      <c r="E200" s="3"/>
      <c r="F200" s="3"/>
      <c r="G200" s="3"/>
      <c r="H200" s="3"/>
      <c r="I200" s="3"/>
      <c r="J200" s="42"/>
    </row>
    <row r="201" spans="2:10">
      <c r="B201" s="3"/>
      <c r="C201" s="3"/>
      <c r="D201" s="3"/>
      <c r="E201" s="3"/>
      <c r="F201" s="3"/>
      <c r="G201" s="3"/>
      <c r="H201" s="3"/>
      <c r="I201" s="3"/>
      <c r="J201" s="42"/>
    </row>
    <row r="202" spans="2:10">
      <c r="B202" s="3"/>
      <c r="C202" s="3"/>
      <c r="D202" s="3"/>
      <c r="E202" s="3"/>
      <c r="F202" s="3"/>
      <c r="G202" s="3"/>
      <c r="H202" s="3"/>
      <c r="I202" s="3"/>
      <c r="J202" s="42"/>
    </row>
    <row r="203" spans="2:10">
      <c r="B203" s="3"/>
      <c r="C203" s="3"/>
      <c r="D203" s="3"/>
      <c r="E203" s="3"/>
      <c r="F203" s="3"/>
      <c r="G203" s="3"/>
      <c r="H203" s="3"/>
      <c r="I203" s="3"/>
      <c r="J203" s="42"/>
    </row>
    <row r="204" spans="2:10">
      <c r="B204" s="3"/>
      <c r="C204" s="3"/>
      <c r="D204" s="3"/>
      <c r="E204" s="3"/>
      <c r="F204" s="3"/>
      <c r="G204" s="3"/>
      <c r="H204" s="3"/>
      <c r="I204" s="3"/>
      <c r="J204" s="42"/>
    </row>
    <row r="205" spans="2:10">
      <c r="B205" s="3"/>
      <c r="C205" s="3"/>
      <c r="D205" s="3"/>
      <c r="E205" s="3"/>
      <c r="F205" s="3"/>
      <c r="G205" s="3"/>
      <c r="H205" s="3"/>
      <c r="I205" s="3"/>
      <c r="J205" s="42"/>
    </row>
    <row r="206" spans="2:10">
      <c r="B206" s="3"/>
      <c r="C206" s="3"/>
      <c r="D206" s="3"/>
      <c r="E206" s="3"/>
      <c r="F206" s="3"/>
      <c r="G206" s="3"/>
      <c r="H206" s="3"/>
      <c r="I206" s="3"/>
      <c r="J206" s="42"/>
    </row>
    <row r="207" spans="2:10">
      <c r="B207" s="3"/>
      <c r="C207" s="3"/>
      <c r="D207" s="3"/>
      <c r="E207" s="3"/>
      <c r="F207" s="3"/>
      <c r="G207" s="3"/>
      <c r="H207" s="3"/>
      <c r="I207" s="3"/>
      <c r="J207" s="42"/>
    </row>
    <row r="208" spans="2:10">
      <c r="B208" s="3"/>
      <c r="C208" s="3"/>
      <c r="D208" s="3"/>
      <c r="E208" s="3"/>
      <c r="F208" s="3"/>
      <c r="G208" s="3"/>
      <c r="H208" s="3"/>
      <c r="I208" s="3"/>
      <c r="J208" s="42"/>
    </row>
    <row r="209" spans="2:10">
      <c r="B209" s="3"/>
      <c r="C209" s="3"/>
      <c r="D209" s="3"/>
      <c r="E209" s="3"/>
      <c r="F209" s="3"/>
      <c r="G209" s="3"/>
      <c r="H209" s="3"/>
      <c r="I209" s="3"/>
      <c r="J209" s="42"/>
    </row>
    <row r="210" spans="2:10">
      <c r="B210" s="3"/>
      <c r="C210" s="3"/>
      <c r="D210" s="3"/>
      <c r="E210" s="3"/>
      <c r="F210" s="3"/>
      <c r="G210" s="3"/>
      <c r="H210" s="3"/>
      <c r="I210" s="3"/>
      <c r="J210" s="42"/>
    </row>
    <row r="211" spans="2:10">
      <c r="B211" s="3"/>
      <c r="C211" s="3"/>
      <c r="D211" s="3"/>
      <c r="E211" s="3"/>
      <c r="F211" s="3"/>
      <c r="G211" s="3"/>
      <c r="H211" s="3"/>
      <c r="I211" s="3"/>
      <c r="J211" s="42"/>
    </row>
    <row r="212" spans="2:10">
      <c r="B212" s="3"/>
      <c r="C212" s="3"/>
      <c r="D212" s="3"/>
      <c r="E212" s="3"/>
      <c r="F212" s="3"/>
      <c r="G212" s="3"/>
      <c r="H212" s="3"/>
      <c r="I212" s="3"/>
      <c r="J212" s="42"/>
    </row>
    <row r="213" spans="2:10">
      <c r="B213" s="3"/>
      <c r="C213" s="3"/>
      <c r="D213" s="3"/>
      <c r="E213" s="3"/>
      <c r="F213" s="3"/>
      <c r="G213" s="3"/>
      <c r="H213" s="3"/>
      <c r="I213" s="3"/>
      <c r="J213" s="42"/>
    </row>
    <row r="214" spans="2:10">
      <c r="B214" s="3"/>
      <c r="C214" s="3"/>
      <c r="D214" s="3"/>
      <c r="E214" s="3"/>
      <c r="F214" s="3"/>
      <c r="G214" s="3"/>
      <c r="H214" s="3"/>
      <c r="I214" s="3"/>
      <c r="J214" s="42"/>
    </row>
    <row r="215" spans="2:10">
      <c r="B215" s="3"/>
      <c r="C215" s="3"/>
      <c r="D215" s="3"/>
      <c r="E215" s="3"/>
      <c r="F215" s="3"/>
      <c r="G215" s="3"/>
      <c r="H215" s="3"/>
      <c r="I215" s="3"/>
      <c r="J215" s="42"/>
    </row>
    <row r="216" spans="2:10">
      <c r="B216" s="3"/>
      <c r="C216" s="3"/>
      <c r="D216" s="3"/>
      <c r="E216" s="3"/>
      <c r="F216" s="3"/>
      <c r="G216" s="3"/>
      <c r="H216" s="3"/>
      <c r="I216" s="3"/>
      <c r="J216" s="42"/>
    </row>
    <row r="217" spans="2:10">
      <c r="B217" s="3"/>
      <c r="C217" s="3"/>
      <c r="D217" s="3"/>
      <c r="E217" s="3"/>
      <c r="F217" s="3"/>
      <c r="G217" s="3"/>
      <c r="H217" s="3"/>
      <c r="I217" s="3"/>
      <c r="J217" s="42"/>
    </row>
    <row r="218" spans="2:10">
      <c r="B218" s="3"/>
      <c r="C218" s="3"/>
      <c r="D218" s="3"/>
      <c r="E218" s="3"/>
      <c r="F218" s="3"/>
      <c r="G218" s="3"/>
      <c r="H218" s="3"/>
      <c r="I218" s="3"/>
      <c r="J218" s="42"/>
    </row>
    <row r="219" spans="2:10">
      <c r="B219" s="3"/>
      <c r="C219" s="3"/>
      <c r="D219" s="3"/>
      <c r="E219" s="3"/>
      <c r="F219" s="3"/>
      <c r="G219" s="3"/>
      <c r="H219" s="3"/>
      <c r="I219" s="3"/>
      <c r="J219" s="42"/>
    </row>
    <row r="220" spans="2:10">
      <c r="B220" s="3"/>
      <c r="C220" s="3"/>
      <c r="D220" s="3"/>
      <c r="E220" s="3"/>
      <c r="F220" s="3"/>
      <c r="G220" s="3"/>
      <c r="H220" s="3"/>
      <c r="I220" s="3"/>
      <c r="J220" s="42"/>
    </row>
    <row r="221" spans="2:10">
      <c r="B221" s="3"/>
      <c r="C221" s="3"/>
      <c r="D221" s="3"/>
      <c r="E221" s="3"/>
      <c r="F221" s="3"/>
      <c r="G221" s="3"/>
      <c r="H221" s="3"/>
      <c r="I221" s="3"/>
      <c r="J221" s="42"/>
    </row>
    <row r="222" spans="2:10">
      <c r="B222" s="3"/>
      <c r="C222" s="3"/>
      <c r="D222" s="3"/>
      <c r="E222" s="3"/>
      <c r="F222" s="3"/>
      <c r="G222" s="3"/>
      <c r="H222" s="3"/>
      <c r="I222" s="3"/>
      <c r="J222" s="42"/>
    </row>
    <row r="223" spans="2:10">
      <c r="B223" s="3"/>
      <c r="C223" s="3"/>
      <c r="D223" s="3"/>
      <c r="E223" s="3"/>
      <c r="F223" s="3"/>
      <c r="G223" s="3"/>
      <c r="H223" s="3"/>
      <c r="I223" s="3"/>
      <c r="J223" s="42"/>
    </row>
    <row r="224" spans="2:10">
      <c r="B224" s="3"/>
      <c r="C224" s="3"/>
      <c r="D224" s="3"/>
      <c r="E224" s="3"/>
      <c r="F224" s="3"/>
      <c r="G224" s="3"/>
      <c r="H224" s="3"/>
      <c r="I224" s="3"/>
      <c r="J224" s="42"/>
    </row>
    <row r="225" spans="2:10">
      <c r="B225" s="3"/>
      <c r="C225" s="3"/>
      <c r="D225" s="3"/>
      <c r="E225" s="3"/>
      <c r="F225" s="3"/>
      <c r="G225" s="3"/>
      <c r="H225" s="3"/>
      <c r="I225" s="3"/>
      <c r="J225" s="42"/>
    </row>
    <row r="226" spans="2:10">
      <c r="B226" s="3"/>
      <c r="C226" s="3"/>
      <c r="D226" s="3"/>
      <c r="E226" s="3"/>
      <c r="F226" s="3"/>
      <c r="G226" s="3"/>
      <c r="H226" s="3"/>
      <c r="I226" s="3"/>
      <c r="J226" s="42"/>
    </row>
    <row r="227" spans="2:10">
      <c r="B227" s="3"/>
      <c r="C227" s="3"/>
      <c r="D227" s="3"/>
      <c r="E227" s="3"/>
      <c r="F227" s="3"/>
      <c r="G227" s="3"/>
      <c r="H227" s="3"/>
      <c r="I227" s="3"/>
      <c r="J227" s="42"/>
    </row>
    <row r="228" spans="2:10">
      <c r="B228" s="3"/>
      <c r="C228" s="3"/>
      <c r="D228" s="3"/>
      <c r="E228" s="3"/>
      <c r="F228" s="3"/>
      <c r="G228" s="3"/>
      <c r="H228" s="3"/>
      <c r="I228" s="3"/>
      <c r="J228" s="42"/>
    </row>
    <row r="229" spans="2:10">
      <c r="B229" s="3"/>
      <c r="C229" s="3"/>
      <c r="D229" s="3"/>
      <c r="E229" s="3"/>
      <c r="F229" s="3"/>
      <c r="G229" s="3"/>
      <c r="H229" s="3"/>
      <c r="I229" s="3"/>
      <c r="J229" s="42"/>
    </row>
    <row r="230" spans="2:10">
      <c r="B230" s="3"/>
      <c r="C230" s="3"/>
      <c r="D230" s="3"/>
      <c r="E230" s="3"/>
      <c r="F230" s="3"/>
      <c r="G230" s="3"/>
      <c r="H230" s="3"/>
      <c r="I230" s="3"/>
      <c r="J230" s="42"/>
    </row>
    <row r="231" spans="2:10">
      <c r="B231" s="3"/>
      <c r="C231" s="3"/>
      <c r="D231" s="3"/>
      <c r="E231" s="3"/>
      <c r="F231" s="3"/>
      <c r="G231" s="3"/>
      <c r="H231" s="3"/>
      <c r="I231" s="3"/>
      <c r="J231" s="42"/>
    </row>
    <row r="232" spans="2:10">
      <c r="B232" s="3"/>
      <c r="C232" s="3"/>
      <c r="D232" s="3"/>
      <c r="E232" s="3"/>
      <c r="F232" s="3"/>
      <c r="G232" s="3"/>
      <c r="H232" s="3"/>
      <c r="I232" s="3"/>
      <c r="J232" s="42"/>
    </row>
    <row r="233" spans="2:10">
      <c r="B233" s="3"/>
      <c r="C233" s="3"/>
      <c r="D233" s="3"/>
      <c r="E233" s="3"/>
      <c r="F233" s="3"/>
      <c r="G233" s="3"/>
      <c r="H233" s="3"/>
      <c r="I233" s="3"/>
      <c r="J233" s="42"/>
    </row>
    <row r="234" spans="2:10">
      <c r="B234" s="3"/>
      <c r="C234" s="3"/>
      <c r="D234" s="3"/>
      <c r="E234" s="3"/>
      <c r="F234" s="3"/>
      <c r="G234" s="3"/>
      <c r="H234" s="3"/>
      <c r="I234" s="3"/>
      <c r="J234" s="42"/>
    </row>
    <row r="235" spans="2:10">
      <c r="B235" s="3"/>
      <c r="C235" s="3"/>
      <c r="D235" s="3"/>
      <c r="E235" s="3"/>
      <c r="F235" s="3"/>
      <c r="G235" s="3"/>
      <c r="H235" s="3"/>
      <c r="I235" s="3"/>
      <c r="J235" s="42"/>
    </row>
    <row r="236" spans="2:10">
      <c r="B236" s="3"/>
      <c r="C236" s="3"/>
      <c r="D236" s="3"/>
      <c r="E236" s="3"/>
      <c r="F236" s="3"/>
      <c r="G236" s="3"/>
      <c r="H236" s="3"/>
      <c r="I236" s="3"/>
      <c r="J236" s="42"/>
    </row>
    <row r="237" spans="2:10">
      <c r="B237" s="3"/>
      <c r="C237" s="3"/>
      <c r="D237" s="3"/>
      <c r="E237" s="3"/>
      <c r="F237" s="3"/>
      <c r="G237" s="3"/>
      <c r="H237" s="3"/>
      <c r="I237" s="3"/>
      <c r="J237" s="42"/>
    </row>
    <row r="238" spans="2:10">
      <c r="B238" s="3"/>
      <c r="C238" s="3"/>
      <c r="D238" s="3"/>
      <c r="E238" s="3"/>
      <c r="F238" s="3"/>
      <c r="G238" s="3"/>
      <c r="H238" s="3"/>
      <c r="I238" s="3"/>
      <c r="J238" s="42"/>
    </row>
    <row r="239" spans="2:10">
      <c r="B239" s="3"/>
      <c r="C239" s="3"/>
      <c r="D239" s="3"/>
      <c r="E239" s="3"/>
      <c r="F239" s="3"/>
      <c r="G239" s="3"/>
      <c r="H239" s="3"/>
      <c r="I239" s="3"/>
      <c r="J239" s="42"/>
    </row>
    <row r="240" spans="2:10">
      <c r="B240" s="3"/>
      <c r="C240" s="3"/>
      <c r="D240" s="3"/>
      <c r="E240" s="3"/>
      <c r="F240" s="3"/>
      <c r="G240" s="3"/>
      <c r="H240" s="3"/>
      <c r="I240" s="3"/>
      <c r="J240" s="42"/>
    </row>
    <row r="241" spans="2:10">
      <c r="B241" s="3"/>
      <c r="C241" s="3"/>
      <c r="D241" s="3"/>
      <c r="E241" s="3"/>
      <c r="F241" s="3"/>
      <c r="G241" s="3"/>
      <c r="H241" s="3"/>
      <c r="I241" s="3"/>
      <c r="J241" s="42"/>
    </row>
    <row r="242" spans="2:10">
      <c r="B242" s="3"/>
      <c r="C242" s="3"/>
      <c r="D242" s="3"/>
      <c r="E242" s="3"/>
      <c r="F242" s="3"/>
      <c r="G242" s="3"/>
      <c r="H242" s="3"/>
      <c r="I242" s="3"/>
      <c r="J242" s="42"/>
    </row>
    <row r="243" spans="2:10">
      <c r="B243" s="3"/>
      <c r="C243" s="3"/>
      <c r="D243" s="3"/>
      <c r="E243" s="3"/>
      <c r="F243" s="3"/>
      <c r="G243" s="3"/>
      <c r="H243" s="3"/>
      <c r="I243" s="3"/>
      <c r="J243" s="42"/>
    </row>
    <row r="244" spans="2:10">
      <c r="B244" s="3"/>
      <c r="C244" s="3"/>
      <c r="D244" s="3"/>
      <c r="E244" s="3"/>
      <c r="F244" s="3"/>
      <c r="G244" s="3"/>
      <c r="H244" s="3"/>
      <c r="I244" s="3"/>
      <c r="J244" s="42"/>
    </row>
    <row r="245" spans="2:10">
      <c r="B245" s="3"/>
      <c r="C245" s="3"/>
      <c r="D245" s="3"/>
      <c r="E245" s="3"/>
      <c r="F245" s="3"/>
      <c r="G245" s="3"/>
      <c r="H245" s="3"/>
      <c r="I245" s="3"/>
      <c r="J245" s="42"/>
    </row>
    <row r="246" spans="2:10">
      <c r="B246" s="3"/>
      <c r="C246" s="3"/>
      <c r="D246" s="3"/>
      <c r="E246" s="3"/>
      <c r="F246" s="3"/>
      <c r="G246" s="3"/>
      <c r="H246" s="3"/>
      <c r="I246" s="3"/>
      <c r="J246" s="42"/>
    </row>
    <row r="247" spans="2:10">
      <c r="B247" s="3"/>
      <c r="C247" s="3"/>
      <c r="D247" s="3"/>
      <c r="E247" s="3"/>
      <c r="F247" s="3"/>
      <c r="G247" s="3"/>
      <c r="H247" s="3"/>
      <c r="I247" s="3"/>
      <c r="J247" s="42"/>
    </row>
    <row r="248" spans="2:10">
      <c r="B248" s="3"/>
      <c r="C248" s="3"/>
      <c r="D248" s="3"/>
      <c r="E248" s="3"/>
      <c r="F248" s="3"/>
      <c r="G248" s="3"/>
      <c r="H248" s="3"/>
      <c r="I248" s="3"/>
      <c r="J248" s="42"/>
    </row>
    <row r="249" spans="2:10">
      <c r="B249" s="3"/>
      <c r="C249" s="3"/>
      <c r="D249" s="3"/>
      <c r="E249" s="3"/>
      <c r="F249" s="3"/>
      <c r="G249" s="3"/>
      <c r="H249" s="3"/>
      <c r="I249" s="3"/>
      <c r="J249" s="42"/>
    </row>
    <row r="250" spans="2:10">
      <c r="B250" s="3"/>
      <c r="C250" s="3"/>
      <c r="D250" s="3"/>
      <c r="E250" s="3"/>
      <c r="F250" s="3"/>
      <c r="G250" s="3"/>
      <c r="H250" s="3"/>
      <c r="I250" s="3"/>
      <c r="J250" s="42"/>
    </row>
    <row r="251" spans="2:10">
      <c r="B251" s="3"/>
      <c r="C251" s="3"/>
      <c r="D251" s="3"/>
      <c r="E251" s="3"/>
      <c r="F251" s="3"/>
      <c r="G251" s="3"/>
      <c r="H251" s="3"/>
      <c r="I251" s="3"/>
      <c r="J251" s="42"/>
    </row>
    <row r="252" spans="2:10">
      <c r="B252" s="3"/>
      <c r="C252" s="3"/>
      <c r="D252" s="3"/>
      <c r="E252" s="3"/>
      <c r="F252" s="3"/>
      <c r="G252" s="3"/>
      <c r="H252" s="3"/>
      <c r="I252" s="3"/>
      <c r="J252" s="42"/>
    </row>
    <row r="253" spans="2:10">
      <c r="B253" s="3"/>
      <c r="C253" s="3"/>
      <c r="D253" s="3"/>
      <c r="E253" s="3"/>
      <c r="F253" s="3"/>
      <c r="G253" s="3"/>
      <c r="H253" s="3"/>
      <c r="I253" s="3"/>
      <c r="J253" s="42"/>
    </row>
    <row r="254" spans="2:10">
      <c r="B254" s="3"/>
      <c r="C254" s="3"/>
      <c r="D254" s="3"/>
      <c r="E254" s="3"/>
      <c r="F254" s="3"/>
      <c r="G254" s="3"/>
      <c r="H254" s="3"/>
      <c r="I254" s="3"/>
      <c r="J254" s="42"/>
    </row>
    <row r="255" spans="2:10">
      <c r="B255" s="3"/>
      <c r="C255" s="3"/>
      <c r="D255" s="3"/>
      <c r="E255" s="3"/>
      <c r="F255" s="3"/>
      <c r="G255" s="3"/>
      <c r="H255" s="3"/>
      <c r="I255" s="3"/>
      <c r="J255" s="42"/>
    </row>
    <row r="256" spans="2:10">
      <c r="B256" s="3"/>
      <c r="C256" s="3"/>
      <c r="D256" s="3"/>
      <c r="E256" s="3"/>
      <c r="F256" s="3"/>
      <c r="G256" s="3"/>
      <c r="H256" s="3"/>
      <c r="I256" s="3"/>
      <c r="J256" s="42"/>
    </row>
    <row r="257" spans="2:10">
      <c r="B257" s="3"/>
      <c r="C257" s="3"/>
      <c r="D257" s="3"/>
      <c r="E257" s="3"/>
      <c r="F257" s="3"/>
      <c r="G257" s="3"/>
      <c r="H257" s="3"/>
      <c r="I257" s="3"/>
      <c r="J257" s="42"/>
    </row>
    <row r="258" spans="2:10">
      <c r="B258" s="3"/>
      <c r="C258" s="3"/>
      <c r="D258" s="3"/>
      <c r="E258" s="3"/>
      <c r="F258" s="3"/>
      <c r="G258" s="3"/>
      <c r="H258" s="3"/>
      <c r="I258" s="3"/>
      <c r="J258" s="42"/>
    </row>
    <row r="259" spans="2:10">
      <c r="B259" s="3"/>
      <c r="C259" s="3"/>
      <c r="D259" s="3"/>
      <c r="E259" s="3"/>
      <c r="F259" s="3"/>
      <c r="G259" s="3"/>
      <c r="H259" s="3"/>
      <c r="I259" s="3"/>
      <c r="J259" s="42"/>
    </row>
    <row r="260" spans="2:10">
      <c r="B260" s="3"/>
      <c r="C260" s="3"/>
      <c r="D260" s="3"/>
      <c r="E260" s="3"/>
      <c r="F260" s="3"/>
      <c r="G260" s="3"/>
      <c r="H260" s="3"/>
      <c r="I260" s="3"/>
      <c r="J260" s="42"/>
    </row>
    <row r="261" spans="2:10">
      <c r="B261" s="3"/>
      <c r="C261" s="3"/>
      <c r="D261" s="3"/>
      <c r="E261" s="3"/>
      <c r="F261" s="3"/>
      <c r="G261" s="3"/>
      <c r="H261" s="3"/>
      <c r="I261" s="3"/>
      <c r="J261" s="42"/>
    </row>
    <row r="262" spans="2:10">
      <c r="B262" s="3"/>
      <c r="C262" s="3"/>
      <c r="D262" s="3"/>
      <c r="E262" s="3"/>
      <c r="F262" s="3"/>
      <c r="G262" s="3"/>
      <c r="H262" s="3"/>
      <c r="I262" s="3"/>
      <c r="J262" s="42"/>
    </row>
    <row r="263" spans="2:10">
      <c r="B263" s="3"/>
      <c r="C263" s="3"/>
      <c r="D263" s="3"/>
      <c r="E263" s="3"/>
      <c r="F263" s="3"/>
      <c r="G263" s="3"/>
      <c r="H263" s="3"/>
      <c r="I263" s="3"/>
      <c r="J263" s="42"/>
    </row>
    <row r="264" spans="2:10">
      <c r="B264" s="3"/>
      <c r="C264" s="3"/>
      <c r="D264" s="3"/>
      <c r="E264" s="3"/>
      <c r="F264" s="3"/>
      <c r="G264" s="3"/>
      <c r="H264" s="3"/>
      <c r="I264" s="3"/>
      <c r="J264" s="42"/>
    </row>
    <row r="265" spans="2:10">
      <c r="B265" s="3"/>
      <c r="C265" s="3"/>
      <c r="D265" s="3"/>
      <c r="E265" s="3"/>
      <c r="F265" s="3"/>
      <c r="G265" s="3"/>
      <c r="H265" s="3"/>
      <c r="I265" s="3"/>
      <c r="J265" s="42"/>
    </row>
    <row r="266" spans="2:10">
      <c r="B266" s="3"/>
      <c r="C266" s="3"/>
      <c r="D266" s="3"/>
      <c r="E266" s="3"/>
      <c r="F266" s="3"/>
      <c r="G266" s="3"/>
      <c r="H266" s="3"/>
      <c r="I266" s="3"/>
      <c r="J266" s="42"/>
    </row>
    <row r="267" spans="2:10">
      <c r="B267" s="3"/>
      <c r="C267" s="3"/>
      <c r="D267" s="3"/>
      <c r="E267" s="3"/>
      <c r="F267" s="3"/>
      <c r="G267" s="3"/>
      <c r="H267" s="3"/>
      <c r="I267" s="3"/>
      <c r="J267" s="42"/>
    </row>
    <row r="268" spans="2:10">
      <c r="B268" s="3"/>
      <c r="C268" s="3"/>
      <c r="D268" s="3"/>
      <c r="E268" s="3"/>
      <c r="F268" s="3"/>
      <c r="G268" s="3"/>
      <c r="H268" s="3"/>
      <c r="I268" s="3"/>
      <c r="J268" s="42"/>
    </row>
    <row r="269" spans="2:10">
      <c r="B269" s="3"/>
      <c r="C269" s="3"/>
      <c r="D269" s="3"/>
      <c r="E269" s="3"/>
      <c r="F269" s="3"/>
      <c r="G269" s="3"/>
      <c r="H269" s="3"/>
      <c r="I269" s="3"/>
      <c r="J269" s="42"/>
    </row>
    <row r="270" spans="2:10">
      <c r="B270" s="3"/>
      <c r="C270" s="3"/>
      <c r="D270" s="3"/>
      <c r="E270" s="3"/>
      <c r="F270" s="3"/>
      <c r="G270" s="3"/>
      <c r="H270" s="3"/>
      <c r="I270" s="3"/>
      <c r="J270" s="42"/>
    </row>
    <row r="271" spans="2:10">
      <c r="B271" s="3"/>
      <c r="C271" s="3"/>
      <c r="D271" s="3"/>
      <c r="E271" s="3"/>
      <c r="F271" s="3"/>
      <c r="G271" s="3"/>
      <c r="H271" s="3"/>
      <c r="I271" s="3"/>
      <c r="J271" s="42"/>
    </row>
    <row r="272" spans="2:10">
      <c r="B272" s="3"/>
      <c r="C272" s="3"/>
      <c r="D272" s="3"/>
      <c r="E272" s="3"/>
      <c r="F272" s="3"/>
      <c r="G272" s="3"/>
      <c r="H272" s="3"/>
      <c r="I272" s="3"/>
      <c r="J272" s="42"/>
    </row>
    <row r="273" spans="2:10">
      <c r="B273" s="3"/>
      <c r="C273" s="3"/>
      <c r="D273" s="3"/>
      <c r="E273" s="3"/>
      <c r="F273" s="3"/>
      <c r="G273" s="3"/>
      <c r="H273" s="3"/>
      <c r="I273" s="3"/>
      <c r="J273" s="42"/>
    </row>
    <row r="274" spans="2:10">
      <c r="B274" s="3"/>
      <c r="C274" s="3"/>
      <c r="D274" s="3"/>
      <c r="E274" s="3"/>
      <c r="F274" s="3"/>
      <c r="G274" s="3"/>
      <c r="H274" s="3"/>
      <c r="I274" s="3"/>
      <c r="J274" s="42"/>
    </row>
    <row r="275" spans="2:10">
      <c r="B275" s="3"/>
      <c r="C275" s="3"/>
      <c r="D275" s="3"/>
      <c r="E275" s="3"/>
      <c r="F275" s="3"/>
      <c r="G275" s="3"/>
      <c r="H275" s="3"/>
      <c r="I275" s="3"/>
      <c r="J275" s="42"/>
    </row>
    <row r="276" spans="2:10">
      <c r="B276" s="3"/>
      <c r="C276" s="3"/>
      <c r="D276" s="3"/>
      <c r="E276" s="3"/>
      <c r="F276" s="3"/>
      <c r="G276" s="3"/>
      <c r="H276" s="3"/>
      <c r="I276" s="3"/>
      <c r="J276" s="42"/>
    </row>
    <row r="277" spans="2:10">
      <c r="B277" s="3"/>
      <c r="C277" s="3"/>
      <c r="D277" s="3"/>
      <c r="E277" s="3"/>
      <c r="F277" s="3"/>
      <c r="G277" s="3"/>
      <c r="H277" s="3"/>
      <c r="I277" s="3"/>
      <c r="J277" s="42"/>
    </row>
    <row r="278" spans="2:10">
      <c r="B278" s="3"/>
      <c r="C278" s="3"/>
      <c r="D278" s="3"/>
      <c r="E278" s="3"/>
      <c r="F278" s="3"/>
      <c r="G278" s="3"/>
      <c r="H278" s="3"/>
      <c r="I278" s="3"/>
      <c r="J278" s="42"/>
    </row>
    <row r="279" spans="2:10">
      <c r="B279" s="3"/>
      <c r="C279" s="3"/>
      <c r="D279" s="3"/>
      <c r="E279" s="3"/>
      <c r="F279" s="3"/>
      <c r="G279" s="3"/>
      <c r="H279" s="3"/>
      <c r="I279" s="3"/>
      <c r="J279" s="42"/>
    </row>
    <row r="280" spans="2:10">
      <c r="B280" s="3"/>
      <c r="C280" s="3"/>
      <c r="D280" s="3"/>
      <c r="E280" s="3"/>
      <c r="F280" s="3"/>
      <c r="G280" s="3"/>
      <c r="H280" s="3"/>
      <c r="I280" s="3"/>
      <c r="J280" s="42"/>
    </row>
    <row r="281" spans="2:10">
      <c r="B281" s="3"/>
      <c r="C281" s="3"/>
      <c r="D281" s="3"/>
      <c r="E281" s="3"/>
      <c r="F281" s="3"/>
      <c r="G281" s="3"/>
      <c r="H281" s="3"/>
      <c r="I281" s="3"/>
      <c r="J281" s="42"/>
    </row>
    <row r="282" spans="2:10">
      <c r="B282" s="3"/>
      <c r="C282" s="3"/>
      <c r="D282" s="3"/>
      <c r="E282" s="3"/>
      <c r="F282" s="3"/>
      <c r="G282" s="3"/>
      <c r="H282" s="3"/>
      <c r="I282" s="3"/>
      <c r="J282" s="42"/>
    </row>
    <row r="283" spans="2:10">
      <c r="B283" s="3"/>
      <c r="C283" s="3"/>
      <c r="D283" s="3"/>
      <c r="E283" s="3"/>
      <c r="F283" s="3"/>
      <c r="G283" s="3"/>
      <c r="H283" s="3"/>
      <c r="I283" s="3"/>
      <c r="J283" s="42"/>
    </row>
    <row r="284" spans="2:10">
      <c r="B284" s="3"/>
      <c r="C284" s="3"/>
      <c r="D284" s="3"/>
      <c r="E284" s="3"/>
      <c r="F284" s="3"/>
      <c r="G284" s="3"/>
      <c r="H284" s="3"/>
      <c r="I284" s="3"/>
      <c r="J284" s="42"/>
    </row>
    <row r="285" spans="2:10">
      <c r="B285" s="3"/>
      <c r="C285" s="3"/>
      <c r="D285" s="3"/>
      <c r="E285" s="3"/>
      <c r="F285" s="3"/>
      <c r="G285" s="3"/>
      <c r="H285" s="3"/>
      <c r="I285" s="3"/>
      <c r="J285" s="42"/>
    </row>
    <row r="286" spans="2:10">
      <c r="B286" s="3"/>
      <c r="C286" s="3"/>
      <c r="D286" s="3"/>
      <c r="E286" s="3"/>
      <c r="F286" s="3"/>
      <c r="G286" s="3"/>
      <c r="H286" s="3"/>
      <c r="I286" s="3"/>
      <c r="J286" s="42"/>
    </row>
    <row r="287" spans="2:10">
      <c r="B287" s="3"/>
      <c r="C287" s="3"/>
      <c r="D287" s="3"/>
      <c r="E287" s="3"/>
      <c r="F287" s="3"/>
      <c r="G287" s="3"/>
      <c r="H287" s="3"/>
      <c r="I287" s="3"/>
      <c r="J287" s="42"/>
    </row>
    <row r="288" spans="2:10">
      <c r="B288" s="3"/>
      <c r="C288" s="3"/>
      <c r="D288" s="3"/>
      <c r="E288" s="3"/>
      <c r="F288" s="3"/>
      <c r="G288" s="3"/>
      <c r="H288" s="3"/>
      <c r="I288" s="3"/>
      <c r="J288" s="42"/>
    </row>
    <row r="289" spans="2:10">
      <c r="B289" s="3"/>
      <c r="C289" s="3"/>
      <c r="D289" s="3"/>
      <c r="E289" s="3"/>
      <c r="F289" s="3"/>
      <c r="G289" s="3"/>
      <c r="H289" s="3"/>
      <c r="I289" s="3"/>
      <c r="J289" s="42"/>
    </row>
    <row r="290" spans="2:10">
      <c r="B290" s="3"/>
      <c r="C290" s="3"/>
      <c r="D290" s="3"/>
      <c r="E290" s="3"/>
      <c r="F290" s="3"/>
      <c r="G290" s="3"/>
      <c r="H290" s="3"/>
      <c r="I290" s="3"/>
      <c r="J290" s="42"/>
    </row>
    <row r="291" spans="2:10">
      <c r="B291" s="3"/>
      <c r="C291" s="3"/>
      <c r="D291" s="3"/>
      <c r="E291" s="3"/>
      <c r="F291" s="3"/>
      <c r="G291" s="3"/>
      <c r="H291" s="3"/>
      <c r="I291" s="3"/>
      <c r="J291" s="42"/>
    </row>
    <row r="292" spans="2:10">
      <c r="B292" s="3"/>
      <c r="C292" s="3"/>
      <c r="D292" s="3"/>
      <c r="E292" s="3"/>
      <c r="F292" s="3"/>
      <c r="G292" s="3"/>
      <c r="H292" s="3"/>
      <c r="I292" s="3"/>
      <c r="J292" s="42"/>
    </row>
    <row r="293" spans="2:10">
      <c r="B293" s="3"/>
      <c r="C293" s="3"/>
      <c r="D293" s="3"/>
      <c r="E293" s="3"/>
      <c r="F293" s="3"/>
      <c r="G293" s="3"/>
      <c r="H293" s="3"/>
      <c r="I293" s="3"/>
      <c r="J293" s="42"/>
    </row>
    <row r="294" spans="2:10">
      <c r="B294" s="3"/>
      <c r="C294" s="3"/>
      <c r="D294" s="3"/>
      <c r="E294" s="3"/>
      <c r="F294" s="3"/>
      <c r="G294" s="3"/>
      <c r="H294" s="3"/>
      <c r="I294" s="3"/>
      <c r="J294" s="42"/>
    </row>
    <row r="295" spans="2:10">
      <c r="B295" s="3"/>
      <c r="C295" s="3"/>
      <c r="D295" s="3"/>
      <c r="E295" s="3"/>
      <c r="F295" s="3"/>
      <c r="G295" s="3"/>
      <c r="H295" s="3"/>
      <c r="I295" s="3"/>
      <c r="J295" s="42"/>
    </row>
    <row r="296" spans="2:10">
      <c r="B296" s="3"/>
      <c r="C296" s="3"/>
      <c r="D296" s="3"/>
      <c r="E296" s="3"/>
      <c r="F296" s="3"/>
      <c r="G296" s="3"/>
      <c r="H296" s="3"/>
      <c r="I296" s="3"/>
      <c r="J296" s="42"/>
    </row>
    <row r="297" spans="2:10">
      <c r="B297" s="3"/>
      <c r="C297" s="3"/>
      <c r="D297" s="3"/>
      <c r="E297" s="3"/>
      <c r="F297" s="3"/>
      <c r="G297" s="3"/>
      <c r="H297" s="3"/>
      <c r="I297" s="3"/>
      <c r="J297" s="42"/>
    </row>
    <row r="298" spans="2:10">
      <c r="B298" s="3"/>
      <c r="C298" s="3"/>
      <c r="D298" s="3"/>
      <c r="E298" s="3"/>
      <c r="F298" s="3"/>
      <c r="G298" s="3"/>
      <c r="H298" s="3"/>
      <c r="I298" s="3"/>
      <c r="J298" s="42"/>
    </row>
    <row r="299" spans="2:10">
      <c r="B299" s="3"/>
      <c r="C299" s="3"/>
      <c r="D299" s="3"/>
      <c r="E299" s="3"/>
      <c r="F299" s="3"/>
      <c r="G299" s="3"/>
      <c r="H299" s="3"/>
      <c r="I299" s="3"/>
      <c r="J299" s="42"/>
    </row>
    <row r="300" spans="2:10">
      <c r="B300" s="3"/>
      <c r="C300" s="3"/>
      <c r="D300" s="3"/>
      <c r="E300" s="3"/>
      <c r="F300" s="3"/>
      <c r="G300" s="3"/>
      <c r="H300" s="3"/>
      <c r="I300" s="3"/>
      <c r="J300" s="42"/>
    </row>
    <row r="301" spans="2:10">
      <c r="B301" s="3"/>
      <c r="C301" s="3"/>
      <c r="D301" s="3"/>
      <c r="E301" s="3"/>
      <c r="F301" s="3"/>
      <c r="G301" s="3"/>
      <c r="H301" s="3"/>
      <c r="I301" s="3"/>
      <c r="J301" s="42"/>
    </row>
    <row r="302" spans="2:10">
      <c r="B302" s="3"/>
      <c r="C302" s="3"/>
      <c r="D302" s="3"/>
      <c r="E302" s="3"/>
      <c r="F302" s="3"/>
      <c r="G302" s="3"/>
      <c r="H302" s="3"/>
      <c r="I302" s="3"/>
      <c r="J302" s="42"/>
    </row>
    <row r="303" spans="2:10">
      <c r="B303" s="3"/>
      <c r="C303" s="3"/>
      <c r="D303" s="3"/>
      <c r="E303" s="3"/>
      <c r="F303" s="3"/>
      <c r="G303" s="3"/>
      <c r="H303" s="3"/>
      <c r="I303" s="3"/>
      <c r="J303" s="42"/>
    </row>
    <row r="304" spans="2:10">
      <c r="B304" s="3"/>
      <c r="C304" s="3"/>
      <c r="D304" s="3"/>
      <c r="E304" s="3"/>
      <c r="F304" s="3"/>
      <c r="G304" s="3"/>
      <c r="H304" s="3"/>
      <c r="I304" s="3"/>
      <c r="J304" s="42"/>
    </row>
    <row r="305" spans="2:10">
      <c r="B305" s="3"/>
      <c r="C305" s="3"/>
      <c r="D305" s="3"/>
      <c r="E305" s="3"/>
      <c r="F305" s="3"/>
      <c r="G305" s="3"/>
      <c r="H305" s="3"/>
      <c r="I305" s="3"/>
      <c r="J305" s="42"/>
    </row>
    <row r="306" spans="2:10">
      <c r="B306" s="3"/>
      <c r="C306" s="3"/>
      <c r="D306" s="3"/>
      <c r="E306" s="3"/>
      <c r="F306" s="3"/>
      <c r="G306" s="3"/>
      <c r="H306" s="3"/>
      <c r="I306" s="3"/>
      <c r="J306" s="42"/>
    </row>
    <row r="307" spans="2:10">
      <c r="B307" s="3"/>
      <c r="C307" s="3"/>
      <c r="D307" s="3"/>
      <c r="E307" s="3"/>
      <c r="F307" s="3"/>
      <c r="G307" s="3"/>
      <c r="H307" s="3"/>
      <c r="I307" s="3"/>
      <c r="J307" s="42"/>
    </row>
    <row r="308" spans="2:10">
      <c r="B308" s="3"/>
      <c r="C308" s="3"/>
      <c r="D308" s="3"/>
      <c r="E308" s="3"/>
      <c r="F308" s="3"/>
      <c r="G308" s="3"/>
      <c r="H308" s="3"/>
      <c r="I308" s="3"/>
      <c r="J308" s="42"/>
    </row>
    <row r="309" spans="2:10">
      <c r="B309" s="3"/>
      <c r="C309" s="3"/>
      <c r="D309" s="3"/>
      <c r="E309" s="3"/>
      <c r="F309" s="3"/>
      <c r="G309" s="3"/>
      <c r="H309" s="3"/>
      <c r="I309" s="3"/>
      <c r="J309" s="42"/>
    </row>
    <row r="310" spans="2:10">
      <c r="B310" s="3"/>
      <c r="C310" s="3"/>
      <c r="D310" s="3"/>
      <c r="E310" s="3"/>
      <c r="F310" s="3"/>
      <c r="G310" s="3"/>
      <c r="H310" s="3"/>
      <c r="I310" s="3"/>
      <c r="J310" s="42"/>
    </row>
    <row r="311" spans="2:10">
      <c r="B311" s="3"/>
      <c r="C311" s="3"/>
      <c r="D311" s="3"/>
      <c r="E311" s="3"/>
      <c r="F311" s="3"/>
      <c r="G311" s="3"/>
      <c r="H311" s="3"/>
      <c r="I311" s="3"/>
      <c r="J311" s="42"/>
    </row>
    <row r="312" spans="2:10">
      <c r="B312" s="3"/>
      <c r="C312" s="3"/>
      <c r="D312" s="3"/>
      <c r="E312" s="3"/>
      <c r="F312" s="3"/>
      <c r="G312" s="3"/>
      <c r="H312" s="3"/>
      <c r="I312" s="3"/>
      <c r="J312" s="42"/>
    </row>
    <row r="313" spans="2:10">
      <c r="B313" s="3"/>
      <c r="C313" s="3"/>
      <c r="D313" s="3"/>
      <c r="E313" s="3"/>
      <c r="F313" s="3"/>
      <c r="G313" s="3"/>
      <c r="H313" s="3"/>
      <c r="I313" s="3"/>
      <c r="J313" s="42"/>
    </row>
    <row r="314" spans="2:10">
      <c r="B314" s="3"/>
      <c r="C314" s="3"/>
      <c r="D314" s="3"/>
      <c r="E314" s="3"/>
      <c r="F314" s="3"/>
      <c r="G314" s="3"/>
      <c r="H314" s="3"/>
      <c r="I314" s="3"/>
      <c r="J314" s="42"/>
    </row>
    <row r="315" spans="2:10">
      <c r="B315" s="3"/>
      <c r="C315" s="3"/>
      <c r="D315" s="3"/>
      <c r="E315" s="3"/>
      <c r="F315" s="3"/>
      <c r="G315" s="3"/>
      <c r="H315" s="3"/>
      <c r="I315" s="3"/>
      <c r="J315" s="42"/>
    </row>
    <row r="316" spans="2:10">
      <c r="B316" s="3"/>
      <c r="C316" s="3"/>
      <c r="D316" s="3"/>
      <c r="E316" s="3"/>
      <c r="F316" s="3"/>
      <c r="G316" s="3"/>
      <c r="H316" s="3"/>
      <c r="I316" s="3"/>
      <c r="J316" s="42"/>
    </row>
    <row r="317" spans="2:10">
      <c r="B317" s="3"/>
      <c r="C317" s="3"/>
      <c r="D317" s="3"/>
      <c r="E317" s="3"/>
      <c r="F317" s="3"/>
      <c r="G317" s="3"/>
      <c r="H317" s="3"/>
      <c r="I317" s="3"/>
      <c r="J317" s="42"/>
    </row>
    <row r="318" spans="2:10">
      <c r="B318" s="3"/>
      <c r="C318" s="3"/>
      <c r="D318" s="3"/>
      <c r="E318" s="3"/>
      <c r="F318" s="3"/>
      <c r="G318" s="3"/>
      <c r="H318" s="3"/>
      <c r="I318" s="3"/>
      <c r="J318" s="42"/>
    </row>
    <row r="319" spans="2:10">
      <c r="B319" s="3"/>
      <c r="C319" s="3"/>
      <c r="D319" s="3"/>
      <c r="E319" s="3"/>
      <c r="F319" s="3"/>
      <c r="G319" s="3"/>
      <c r="H319" s="3"/>
      <c r="I319" s="3"/>
      <c r="J319" s="42"/>
    </row>
    <row r="320" spans="2:10">
      <c r="B320" s="3"/>
      <c r="C320" s="3"/>
      <c r="D320" s="3"/>
      <c r="E320" s="3"/>
      <c r="F320" s="3"/>
      <c r="G320" s="3"/>
      <c r="H320" s="3"/>
      <c r="I320" s="3"/>
      <c r="J320" s="42"/>
    </row>
    <row r="321" spans="2:10">
      <c r="B321" s="3"/>
      <c r="C321" s="3"/>
      <c r="D321" s="3"/>
      <c r="E321" s="3"/>
      <c r="F321" s="3"/>
      <c r="G321" s="3"/>
      <c r="H321" s="3"/>
      <c r="I321" s="3"/>
      <c r="J321" s="42"/>
    </row>
    <row r="322" spans="2:10">
      <c r="B322" s="3"/>
      <c r="C322" s="3"/>
      <c r="D322" s="3"/>
      <c r="E322" s="3"/>
      <c r="F322" s="3"/>
      <c r="G322" s="3"/>
      <c r="H322" s="3"/>
      <c r="I322" s="3"/>
      <c r="J322" s="42"/>
    </row>
    <row r="323" spans="2:10">
      <c r="B323" s="3"/>
      <c r="C323" s="3"/>
      <c r="D323" s="3"/>
      <c r="E323" s="3"/>
      <c r="F323" s="3"/>
      <c r="G323" s="3"/>
      <c r="H323" s="3"/>
      <c r="I323" s="3"/>
      <c r="J323" s="42"/>
    </row>
    <row r="324" spans="2:10">
      <c r="B324" s="3"/>
      <c r="C324" s="3"/>
      <c r="D324" s="3"/>
      <c r="E324" s="3"/>
      <c r="F324" s="3"/>
      <c r="G324" s="3"/>
      <c r="H324" s="3"/>
      <c r="I324" s="3"/>
      <c r="J324" s="42"/>
    </row>
    <row r="325" spans="2:10">
      <c r="B325" s="3"/>
      <c r="C325" s="3"/>
      <c r="D325" s="3"/>
      <c r="E325" s="3"/>
      <c r="F325" s="3"/>
      <c r="G325" s="3"/>
      <c r="H325" s="3"/>
      <c r="I325" s="3"/>
      <c r="J325" s="42"/>
    </row>
    <row r="326" spans="2:10">
      <c r="B326" s="3"/>
      <c r="C326" s="3"/>
      <c r="D326" s="3"/>
      <c r="E326" s="3"/>
      <c r="F326" s="3"/>
      <c r="G326" s="3"/>
      <c r="H326" s="3"/>
      <c r="I326" s="3"/>
      <c r="J326" s="42"/>
    </row>
    <row r="327" spans="2:10">
      <c r="B327" s="3"/>
      <c r="C327" s="3"/>
      <c r="D327" s="3"/>
      <c r="E327" s="3"/>
      <c r="F327" s="3"/>
      <c r="G327" s="3"/>
      <c r="H327" s="3"/>
      <c r="I327" s="3"/>
      <c r="J327" s="42"/>
    </row>
    <row r="328" spans="2:10">
      <c r="B328" s="3"/>
      <c r="C328" s="3"/>
      <c r="D328" s="3"/>
      <c r="E328" s="3"/>
      <c r="F328" s="3"/>
      <c r="G328" s="3"/>
      <c r="H328" s="3"/>
      <c r="I328" s="3"/>
      <c r="J328" s="42"/>
    </row>
    <row r="329" spans="2:10">
      <c r="B329" s="3"/>
      <c r="C329" s="3"/>
      <c r="D329" s="3"/>
      <c r="E329" s="3"/>
      <c r="F329" s="3"/>
      <c r="G329" s="3"/>
      <c r="H329" s="3"/>
      <c r="I329" s="3"/>
      <c r="J329" s="42"/>
    </row>
    <row r="330" spans="2:10">
      <c r="B330" s="3"/>
      <c r="C330" s="3"/>
      <c r="D330" s="3"/>
      <c r="E330" s="3"/>
      <c r="F330" s="3"/>
      <c r="G330" s="3"/>
      <c r="H330" s="3"/>
      <c r="I330" s="3"/>
      <c r="J330" s="42"/>
    </row>
    <row r="331" spans="2:10">
      <c r="B331" s="3"/>
      <c r="C331" s="3"/>
      <c r="D331" s="3"/>
      <c r="E331" s="3"/>
      <c r="F331" s="3"/>
      <c r="G331" s="3"/>
      <c r="H331" s="3"/>
      <c r="I331" s="3"/>
      <c r="J331" s="42"/>
    </row>
    <row r="332" spans="2:10">
      <c r="B332" s="3"/>
      <c r="C332" s="3"/>
      <c r="D332" s="3"/>
      <c r="E332" s="3"/>
      <c r="F332" s="3"/>
      <c r="G332" s="3"/>
      <c r="H332" s="3"/>
      <c r="I332" s="3"/>
      <c r="J332" s="42"/>
    </row>
    <row r="333" spans="2:10">
      <c r="B333" s="3"/>
      <c r="C333" s="3"/>
      <c r="D333" s="3"/>
      <c r="E333" s="3"/>
      <c r="F333" s="3"/>
      <c r="G333" s="3"/>
      <c r="H333" s="3"/>
      <c r="I333" s="3"/>
      <c r="J333" s="42"/>
    </row>
    <row r="334" spans="2:10">
      <c r="B334" s="3"/>
      <c r="C334" s="3"/>
      <c r="D334" s="3"/>
      <c r="E334" s="3"/>
      <c r="F334" s="3"/>
      <c r="G334" s="3"/>
      <c r="H334" s="3"/>
      <c r="I334" s="3"/>
      <c r="J334" s="42"/>
    </row>
    <row r="335" spans="2:10">
      <c r="B335" s="3"/>
      <c r="C335" s="3"/>
      <c r="D335" s="3"/>
      <c r="E335" s="3"/>
      <c r="F335" s="3"/>
      <c r="G335" s="3"/>
      <c r="H335" s="3"/>
      <c r="I335" s="3"/>
      <c r="J335" s="42"/>
    </row>
    <row r="336" spans="2:10">
      <c r="B336" s="3"/>
      <c r="C336" s="3"/>
      <c r="D336" s="3"/>
      <c r="E336" s="3"/>
      <c r="F336" s="3"/>
      <c r="G336" s="3"/>
      <c r="H336" s="3"/>
      <c r="I336" s="3"/>
      <c r="J336" s="42"/>
    </row>
    <row r="337" spans="2:10">
      <c r="B337" s="3"/>
      <c r="C337" s="3"/>
      <c r="D337" s="3"/>
      <c r="E337" s="3"/>
      <c r="F337" s="3"/>
      <c r="G337" s="3"/>
      <c r="H337" s="3"/>
      <c r="I337" s="3"/>
      <c r="J337" s="42"/>
    </row>
    <row r="338" spans="2:10">
      <c r="B338" s="3"/>
      <c r="C338" s="3"/>
      <c r="D338" s="3"/>
      <c r="E338" s="3"/>
      <c r="F338" s="3"/>
      <c r="G338" s="3"/>
      <c r="H338" s="3"/>
      <c r="I338" s="3"/>
      <c r="J338" s="42"/>
    </row>
    <row r="339" spans="2:10">
      <c r="B339" s="3"/>
      <c r="C339" s="3"/>
      <c r="D339" s="3"/>
      <c r="E339" s="3"/>
      <c r="F339" s="3"/>
      <c r="G339" s="3"/>
      <c r="H339" s="3"/>
      <c r="I339" s="3"/>
      <c r="J339" s="42"/>
    </row>
    <row r="340" spans="2:10">
      <c r="B340" s="3"/>
      <c r="C340" s="3"/>
      <c r="D340" s="3"/>
      <c r="E340" s="3"/>
      <c r="F340" s="3"/>
      <c r="G340" s="3"/>
      <c r="H340" s="3"/>
      <c r="I340" s="3"/>
      <c r="J340" s="42"/>
    </row>
    <row r="341" spans="2:10">
      <c r="B341" s="3"/>
      <c r="C341" s="3"/>
      <c r="D341" s="3"/>
      <c r="E341" s="3"/>
      <c r="F341" s="3"/>
      <c r="G341" s="3"/>
      <c r="H341" s="3"/>
      <c r="I341" s="3"/>
      <c r="J341" s="42"/>
    </row>
    <row r="342" spans="2:10">
      <c r="B342" s="3"/>
      <c r="C342" s="3"/>
      <c r="D342" s="3"/>
      <c r="E342" s="3"/>
      <c r="F342" s="3"/>
      <c r="G342" s="3"/>
      <c r="H342" s="3"/>
      <c r="I342" s="3"/>
      <c r="J342" s="42"/>
    </row>
    <row r="343" spans="2:10">
      <c r="B343" s="3"/>
      <c r="C343" s="3"/>
      <c r="D343" s="3"/>
      <c r="E343" s="3"/>
      <c r="F343" s="3"/>
      <c r="G343" s="3"/>
      <c r="H343" s="3"/>
      <c r="I343" s="3"/>
      <c r="J343" s="42"/>
    </row>
    <row r="344" spans="2:10">
      <c r="B344" s="3"/>
      <c r="C344" s="3"/>
      <c r="D344" s="3"/>
      <c r="E344" s="3"/>
      <c r="F344" s="3"/>
      <c r="G344" s="3"/>
      <c r="H344" s="3"/>
      <c r="I344" s="3"/>
      <c r="J344" s="42"/>
    </row>
    <row r="345" spans="2:10">
      <c r="B345" s="3"/>
      <c r="C345" s="3"/>
      <c r="D345" s="3"/>
      <c r="E345" s="3"/>
      <c r="F345" s="3"/>
      <c r="G345" s="3"/>
      <c r="H345" s="3"/>
      <c r="I345" s="3"/>
      <c r="J345" s="42"/>
    </row>
    <row r="346" spans="2:10">
      <c r="B346" s="3"/>
      <c r="C346" s="3"/>
      <c r="D346" s="3"/>
      <c r="E346" s="3"/>
      <c r="F346" s="3"/>
      <c r="G346" s="3"/>
      <c r="H346" s="3"/>
      <c r="I346" s="3"/>
      <c r="J346" s="42"/>
    </row>
    <row r="347" spans="2:10">
      <c r="B347" s="3"/>
      <c r="C347" s="3"/>
      <c r="D347" s="3"/>
      <c r="E347" s="3"/>
      <c r="F347" s="3"/>
      <c r="G347" s="3"/>
      <c r="H347" s="3"/>
      <c r="I347" s="3"/>
      <c r="J347" s="42"/>
    </row>
    <row r="348" spans="2:10">
      <c r="B348" s="3"/>
      <c r="C348" s="3"/>
      <c r="D348" s="3"/>
      <c r="E348" s="3"/>
      <c r="F348" s="3"/>
      <c r="G348" s="3"/>
      <c r="H348" s="3"/>
      <c r="I348" s="3"/>
      <c r="J348" s="42"/>
    </row>
    <row r="349" spans="2:10">
      <c r="B349" s="3"/>
      <c r="C349" s="3"/>
      <c r="D349" s="3"/>
      <c r="E349" s="3"/>
      <c r="F349" s="3"/>
      <c r="G349" s="3"/>
      <c r="H349" s="3"/>
      <c r="I349" s="3"/>
      <c r="J349" s="42"/>
    </row>
    <row r="350" spans="2:10">
      <c r="B350" s="3"/>
      <c r="C350" s="3"/>
      <c r="D350" s="3"/>
      <c r="E350" s="3"/>
      <c r="F350" s="3"/>
      <c r="G350" s="3"/>
      <c r="H350" s="3"/>
      <c r="I350" s="3"/>
      <c r="J350" s="42"/>
    </row>
    <row r="351" spans="2:10">
      <c r="B351" s="3"/>
      <c r="C351" s="3"/>
      <c r="D351" s="3"/>
      <c r="E351" s="3"/>
      <c r="F351" s="3"/>
      <c r="G351" s="3"/>
      <c r="H351" s="3"/>
      <c r="I351" s="3"/>
      <c r="J351" s="42"/>
    </row>
    <row r="352" spans="2:10">
      <c r="B352" s="3"/>
      <c r="C352" s="3"/>
      <c r="D352" s="3"/>
      <c r="E352" s="3"/>
      <c r="F352" s="3"/>
      <c r="G352" s="3"/>
      <c r="H352" s="3"/>
      <c r="I352" s="3"/>
      <c r="J352" s="42"/>
    </row>
    <row r="353" spans="2:10">
      <c r="B353" s="3"/>
      <c r="C353" s="3"/>
      <c r="D353" s="3"/>
      <c r="E353" s="3"/>
      <c r="F353" s="3"/>
      <c r="G353" s="3"/>
      <c r="H353" s="3"/>
      <c r="I353" s="3"/>
      <c r="J353" s="42"/>
    </row>
    <row r="354" spans="2:10">
      <c r="B354" s="3"/>
      <c r="C354" s="3"/>
      <c r="D354" s="3"/>
      <c r="E354" s="3"/>
      <c r="F354" s="3"/>
      <c r="G354" s="3"/>
      <c r="H354" s="3"/>
      <c r="I354" s="3"/>
      <c r="J354" s="42"/>
    </row>
    <row r="355" spans="2:10">
      <c r="B355" s="3"/>
      <c r="C355" s="3"/>
      <c r="D355" s="3"/>
      <c r="E355" s="3"/>
      <c r="F355" s="3"/>
      <c r="G355" s="3"/>
      <c r="H355" s="3"/>
      <c r="I355" s="3"/>
      <c r="J355" s="42"/>
    </row>
    <row r="356" spans="2:10">
      <c r="B356" s="3"/>
      <c r="C356" s="3"/>
      <c r="D356" s="3"/>
      <c r="E356" s="3"/>
      <c r="F356" s="3"/>
      <c r="G356" s="3"/>
      <c r="H356" s="3"/>
      <c r="I356" s="3"/>
      <c r="J356" s="42"/>
    </row>
    <row r="357" spans="2:10">
      <c r="B357" s="3"/>
      <c r="C357" s="3"/>
      <c r="D357" s="3"/>
      <c r="E357" s="3"/>
      <c r="F357" s="3"/>
      <c r="G357" s="3"/>
      <c r="H357" s="3"/>
      <c r="I357" s="3"/>
      <c r="J357" s="42"/>
    </row>
    <row r="358" spans="2:10">
      <c r="B358" s="3"/>
      <c r="C358" s="3"/>
      <c r="D358" s="3"/>
      <c r="E358" s="3"/>
      <c r="F358" s="3"/>
      <c r="G358" s="3"/>
      <c r="H358" s="3"/>
      <c r="I358" s="3"/>
      <c r="J358" s="42"/>
    </row>
    <row r="359" spans="2:10">
      <c r="B359" s="3"/>
      <c r="C359" s="3"/>
      <c r="D359" s="3"/>
      <c r="E359" s="3"/>
      <c r="F359" s="3"/>
      <c r="G359" s="3"/>
      <c r="H359" s="3"/>
      <c r="I359" s="3"/>
      <c r="J359" s="42"/>
    </row>
    <row r="360" spans="2:10">
      <c r="B360" s="3"/>
      <c r="C360" s="3"/>
      <c r="D360" s="3"/>
      <c r="E360" s="3"/>
      <c r="F360" s="3"/>
      <c r="G360" s="3"/>
      <c r="H360" s="3"/>
      <c r="I360" s="3"/>
      <c r="J360" s="42"/>
    </row>
    <row r="361" spans="2:10">
      <c r="B361" s="3"/>
      <c r="C361" s="3"/>
      <c r="D361" s="3"/>
      <c r="E361" s="3"/>
      <c r="F361" s="3"/>
      <c r="G361" s="3"/>
      <c r="H361" s="3"/>
      <c r="I361" s="3"/>
      <c r="J361" s="42"/>
    </row>
    <row r="362" spans="2:10">
      <c r="B362" s="3"/>
      <c r="C362" s="3"/>
      <c r="D362" s="3"/>
      <c r="E362" s="3"/>
      <c r="F362" s="3"/>
      <c r="G362" s="3"/>
      <c r="H362" s="3"/>
      <c r="I362" s="3"/>
      <c r="J362" s="42"/>
    </row>
    <row r="363" spans="2:10">
      <c r="B363" s="3"/>
      <c r="C363" s="3"/>
      <c r="D363" s="3"/>
      <c r="E363" s="3"/>
      <c r="F363" s="3"/>
      <c r="G363" s="3"/>
      <c r="H363" s="3"/>
      <c r="I363" s="3"/>
      <c r="J363" s="42"/>
    </row>
    <row r="364" spans="2:10">
      <c r="B364" s="3"/>
      <c r="C364" s="3"/>
      <c r="D364" s="3"/>
      <c r="E364" s="3"/>
      <c r="F364" s="3"/>
      <c r="G364" s="3"/>
      <c r="H364" s="3"/>
      <c r="I364" s="3"/>
      <c r="J364" s="42"/>
    </row>
    <row r="365" spans="2:10">
      <c r="B365" s="3"/>
      <c r="C365" s="3"/>
      <c r="D365" s="3"/>
      <c r="E365" s="3"/>
      <c r="F365" s="3"/>
      <c r="G365" s="3"/>
      <c r="H365" s="3"/>
      <c r="I365" s="3"/>
      <c r="J365" s="42"/>
    </row>
    <row r="366" spans="2:10">
      <c r="B366" s="3"/>
      <c r="C366" s="3"/>
      <c r="D366" s="3"/>
      <c r="E366" s="3"/>
      <c r="F366" s="3"/>
      <c r="G366" s="3"/>
      <c r="H366" s="3"/>
      <c r="I366" s="3"/>
      <c r="J366" s="42"/>
    </row>
    <row r="367" spans="2:10">
      <c r="B367" s="3"/>
      <c r="C367" s="3"/>
      <c r="D367" s="3"/>
      <c r="E367" s="3"/>
      <c r="F367" s="3"/>
      <c r="G367" s="3"/>
      <c r="H367" s="3"/>
      <c r="I367" s="3"/>
      <c r="J367" s="42"/>
    </row>
    <row r="368" spans="2:10">
      <c r="B368" s="3"/>
      <c r="C368" s="3"/>
      <c r="D368" s="3"/>
      <c r="E368" s="3"/>
      <c r="F368" s="3"/>
      <c r="G368" s="3"/>
      <c r="H368" s="3"/>
      <c r="I368" s="3"/>
      <c r="J368" s="42"/>
    </row>
    <row r="369" spans="2:10">
      <c r="B369" s="3"/>
      <c r="C369" s="3"/>
      <c r="D369" s="3"/>
      <c r="E369" s="3"/>
      <c r="F369" s="3"/>
      <c r="G369" s="3"/>
      <c r="H369" s="3"/>
      <c r="I369" s="3"/>
      <c r="J369" s="42"/>
    </row>
    <row r="370" spans="2:10">
      <c r="B370" s="3"/>
      <c r="C370" s="3"/>
      <c r="D370" s="3"/>
      <c r="E370" s="3"/>
      <c r="F370" s="3"/>
      <c r="G370" s="3"/>
      <c r="H370" s="3"/>
      <c r="I370" s="3"/>
      <c r="J370" s="42"/>
    </row>
    <row r="371" spans="2:10">
      <c r="B371" s="3"/>
      <c r="C371" s="3"/>
      <c r="D371" s="3"/>
      <c r="E371" s="3"/>
      <c r="F371" s="3"/>
      <c r="G371" s="3"/>
      <c r="H371" s="3"/>
      <c r="I371" s="3"/>
      <c r="J371" s="42"/>
    </row>
    <row r="372" spans="2:10">
      <c r="B372" s="3"/>
      <c r="C372" s="3"/>
      <c r="D372" s="3"/>
      <c r="E372" s="3"/>
      <c r="F372" s="3"/>
      <c r="G372" s="3"/>
      <c r="H372" s="3"/>
      <c r="I372" s="3"/>
      <c r="J372" s="42"/>
    </row>
    <row r="373" spans="2:10">
      <c r="B373" s="3"/>
      <c r="C373" s="3"/>
      <c r="D373" s="3"/>
      <c r="E373" s="3"/>
      <c r="F373" s="3"/>
      <c r="G373" s="3"/>
      <c r="H373" s="3"/>
      <c r="I373" s="3"/>
      <c r="J373" s="42"/>
    </row>
    <row r="374" spans="2:10">
      <c r="B374" s="3"/>
      <c r="C374" s="3"/>
      <c r="D374" s="3"/>
      <c r="E374" s="3"/>
      <c r="F374" s="3"/>
      <c r="G374" s="3"/>
      <c r="H374" s="3"/>
      <c r="I374" s="3"/>
      <c r="J374" s="42"/>
    </row>
    <row r="375" spans="2:10">
      <c r="B375" s="3"/>
      <c r="C375" s="3"/>
      <c r="D375" s="3"/>
      <c r="E375" s="3"/>
      <c r="F375" s="3"/>
      <c r="G375" s="3"/>
      <c r="H375" s="3"/>
      <c r="I375" s="3"/>
      <c r="J375" s="42"/>
    </row>
    <row r="376" spans="2:10">
      <c r="B376" s="3"/>
      <c r="C376" s="3"/>
      <c r="D376" s="3"/>
      <c r="E376" s="3"/>
      <c r="F376" s="3"/>
      <c r="G376" s="3"/>
      <c r="H376" s="3"/>
      <c r="I376" s="3"/>
      <c r="J376" s="42"/>
    </row>
    <row r="377" spans="2:10">
      <c r="B377" s="3"/>
      <c r="C377" s="3"/>
      <c r="D377" s="3"/>
      <c r="E377" s="3"/>
      <c r="F377" s="3"/>
      <c r="G377" s="3"/>
      <c r="H377" s="3"/>
      <c r="I377" s="3"/>
      <c r="J377" s="42"/>
    </row>
    <row r="378" spans="2:10">
      <c r="B378" s="3"/>
      <c r="C378" s="3"/>
      <c r="D378" s="3"/>
      <c r="E378" s="3"/>
      <c r="F378" s="3"/>
      <c r="G378" s="3"/>
      <c r="H378" s="3"/>
      <c r="I378" s="3"/>
      <c r="J378" s="42"/>
    </row>
    <row r="379" spans="2:10">
      <c r="B379" s="3"/>
      <c r="C379" s="3"/>
      <c r="D379" s="3"/>
      <c r="E379" s="3"/>
      <c r="F379" s="3"/>
      <c r="G379" s="3"/>
      <c r="H379" s="3"/>
      <c r="I379" s="3"/>
      <c r="J379" s="42"/>
    </row>
    <row r="380" spans="2:10">
      <c r="B380" s="3"/>
      <c r="C380" s="3"/>
      <c r="D380" s="3"/>
      <c r="E380" s="3"/>
      <c r="F380" s="3"/>
      <c r="G380" s="3"/>
      <c r="H380" s="3"/>
      <c r="I380" s="3"/>
      <c r="J380" s="42"/>
    </row>
    <row r="381" spans="2:10">
      <c r="B381" s="3"/>
      <c r="C381" s="3"/>
      <c r="D381" s="3"/>
      <c r="E381" s="3"/>
      <c r="F381" s="3"/>
      <c r="G381" s="3"/>
      <c r="H381" s="3"/>
      <c r="I381" s="3"/>
      <c r="J381" s="42"/>
    </row>
    <row r="382" spans="2:10">
      <c r="B382" s="3"/>
      <c r="C382" s="3"/>
      <c r="D382" s="3"/>
      <c r="E382" s="3"/>
      <c r="F382" s="3"/>
      <c r="G382" s="3"/>
      <c r="H382" s="3"/>
      <c r="I382" s="3"/>
      <c r="J382" s="42"/>
    </row>
    <row r="383" spans="2:10">
      <c r="B383" s="3"/>
      <c r="C383" s="3"/>
      <c r="D383" s="3"/>
      <c r="E383" s="3"/>
      <c r="F383" s="3"/>
      <c r="G383" s="3"/>
      <c r="H383" s="3"/>
      <c r="I383" s="3"/>
      <c r="J383" s="42"/>
    </row>
    <row r="384" spans="2:10">
      <c r="B384" s="3"/>
      <c r="C384" s="3"/>
      <c r="D384" s="3"/>
      <c r="E384" s="3"/>
      <c r="F384" s="3"/>
      <c r="G384" s="3"/>
      <c r="H384" s="3"/>
      <c r="I384" s="3"/>
      <c r="J384" s="42"/>
    </row>
    <row r="385" spans="2:10">
      <c r="B385" s="3"/>
      <c r="C385" s="3"/>
      <c r="D385" s="3"/>
      <c r="E385" s="3"/>
      <c r="F385" s="3"/>
      <c r="G385" s="3"/>
      <c r="H385" s="3"/>
      <c r="I385" s="3"/>
      <c r="J385" s="42"/>
    </row>
    <row r="386" spans="2:10">
      <c r="B386" s="3"/>
      <c r="C386" s="3"/>
      <c r="D386" s="3"/>
      <c r="E386" s="3"/>
      <c r="F386" s="3"/>
      <c r="G386" s="3"/>
      <c r="H386" s="3"/>
      <c r="I386" s="3"/>
      <c r="J386" s="42"/>
    </row>
    <row r="387" spans="2:10">
      <c r="B387" s="3"/>
      <c r="C387" s="3"/>
      <c r="D387" s="3"/>
      <c r="E387" s="3"/>
      <c r="F387" s="3"/>
      <c r="G387" s="3"/>
      <c r="H387" s="3"/>
      <c r="I387" s="3"/>
      <c r="J387" s="42"/>
    </row>
    <row r="388" spans="2:10">
      <c r="B388" s="3"/>
      <c r="C388" s="3"/>
      <c r="D388" s="3"/>
      <c r="E388" s="3"/>
      <c r="F388" s="3"/>
      <c r="G388" s="3"/>
      <c r="H388" s="3"/>
      <c r="I388" s="3"/>
      <c r="J388" s="42"/>
    </row>
    <row r="389" spans="2:10">
      <c r="B389" s="3"/>
      <c r="C389" s="3"/>
      <c r="D389" s="3"/>
      <c r="E389" s="3"/>
      <c r="F389" s="3"/>
      <c r="G389" s="3"/>
      <c r="H389" s="3"/>
      <c r="I389" s="3"/>
      <c r="J389" s="42"/>
    </row>
    <row r="390" spans="2:10">
      <c r="B390" s="3"/>
      <c r="C390" s="3"/>
      <c r="D390" s="3"/>
      <c r="E390" s="3"/>
      <c r="F390" s="3"/>
      <c r="G390" s="3"/>
      <c r="H390" s="3"/>
      <c r="I390" s="3"/>
      <c r="J390" s="42"/>
    </row>
    <row r="391" spans="2:10">
      <c r="B391" s="3"/>
      <c r="C391" s="3"/>
      <c r="D391" s="3"/>
      <c r="E391" s="3"/>
      <c r="F391" s="3"/>
      <c r="G391" s="3"/>
      <c r="H391" s="3"/>
      <c r="I391" s="3"/>
      <c r="J391" s="42"/>
    </row>
    <row r="392" spans="2:10">
      <c r="B392" s="3"/>
      <c r="C392" s="3"/>
      <c r="D392" s="3"/>
      <c r="E392" s="3"/>
      <c r="F392" s="3"/>
      <c r="G392" s="3"/>
      <c r="H392" s="3"/>
      <c r="I392" s="3"/>
      <c r="J392" s="42"/>
    </row>
    <row r="393" spans="2:10">
      <c r="B393" s="3"/>
      <c r="C393" s="3"/>
      <c r="D393" s="3"/>
      <c r="E393" s="3"/>
      <c r="F393" s="3"/>
      <c r="G393" s="3"/>
      <c r="H393" s="3"/>
      <c r="I393" s="3"/>
      <c r="J393" s="42"/>
    </row>
    <row r="394" spans="2:10">
      <c r="B394" s="3"/>
      <c r="C394" s="3"/>
      <c r="D394" s="3"/>
      <c r="E394" s="3"/>
      <c r="F394" s="3"/>
      <c r="G394" s="3"/>
      <c r="H394" s="3"/>
      <c r="I394" s="3"/>
      <c r="J394" s="42"/>
    </row>
    <row r="395" spans="2:10">
      <c r="B395" s="3"/>
      <c r="C395" s="3"/>
      <c r="D395" s="3"/>
      <c r="E395" s="3"/>
      <c r="F395" s="3"/>
      <c r="G395" s="3"/>
      <c r="H395" s="3"/>
      <c r="I395" s="3"/>
      <c r="J395" s="42"/>
    </row>
    <row r="396" spans="2:10">
      <c r="B396" s="3"/>
      <c r="C396" s="3"/>
      <c r="D396" s="3"/>
      <c r="E396" s="3"/>
      <c r="F396" s="3"/>
      <c r="G396" s="3"/>
      <c r="H396" s="3"/>
      <c r="I396" s="3"/>
      <c r="J396" s="42"/>
    </row>
    <row r="397" spans="2:10">
      <c r="B397" s="3"/>
      <c r="C397" s="3"/>
      <c r="D397" s="3"/>
      <c r="E397" s="3"/>
      <c r="F397" s="3"/>
      <c r="G397" s="3"/>
      <c r="H397" s="3"/>
      <c r="I397" s="3"/>
      <c r="J397" s="42"/>
    </row>
    <row r="398" spans="2:10">
      <c r="B398" s="3"/>
      <c r="C398" s="3"/>
      <c r="D398" s="3"/>
      <c r="E398" s="3"/>
      <c r="F398" s="3"/>
      <c r="G398" s="3"/>
      <c r="H398" s="3"/>
      <c r="I398" s="3"/>
      <c r="J398" s="42"/>
    </row>
    <row r="399" spans="2:10">
      <c r="B399" s="3"/>
      <c r="C399" s="3"/>
      <c r="D399" s="3"/>
      <c r="E399" s="3"/>
      <c r="F399" s="3"/>
      <c r="G399" s="3"/>
      <c r="H399" s="3"/>
      <c r="I399" s="3"/>
      <c r="J399" s="42"/>
    </row>
    <row r="400" spans="2:10">
      <c r="B400" s="3"/>
      <c r="C400" s="3"/>
      <c r="D400" s="3"/>
      <c r="E400" s="3"/>
      <c r="F400" s="3"/>
      <c r="G400" s="3"/>
      <c r="H400" s="3"/>
      <c r="I400" s="3"/>
      <c r="J400" s="42"/>
    </row>
    <row r="401" spans="2:10">
      <c r="B401" s="3"/>
      <c r="C401" s="3"/>
      <c r="D401" s="3"/>
      <c r="E401" s="3"/>
      <c r="F401" s="3"/>
      <c r="G401" s="3"/>
      <c r="H401" s="3"/>
      <c r="I401" s="3"/>
      <c r="J401" s="42"/>
    </row>
    <row r="402" spans="2:10">
      <c r="B402" s="3"/>
      <c r="C402" s="3"/>
      <c r="D402" s="3"/>
      <c r="E402" s="3"/>
      <c r="F402" s="3"/>
      <c r="G402" s="3"/>
      <c r="H402" s="3"/>
      <c r="I402" s="3"/>
      <c r="J402" s="42"/>
    </row>
    <row r="403" spans="2:10">
      <c r="B403" s="3"/>
      <c r="C403" s="3"/>
      <c r="D403" s="3"/>
      <c r="E403" s="3"/>
      <c r="F403" s="3"/>
      <c r="G403" s="3"/>
      <c r="H403" s="3"/>
      <c r="I403" s="3"/>
      <c r="J403" s="42"/>
    </row>
    <row r="404" spans="2:10">
      <c r="B404" s="3"/>
      <c r="C404" s="3"/>
      <c r="D404" s="3"/>
      <c r="E404" s="3"/>
      <c r="F404" s="3"/>
      <c r="G404" s="3"/>
      <c r="H404" s="3"/>
      <c r="I404" s="3"/>
      <c r="J404" s="42"/>
    </row>
    <row r="405" spans="2:10">
      <c r="B405" s="3"/>
      <c r="C405" s="3"/>
      <c r="D405" s="3"/>
      <c r="E405" s="3"/>
      <c r="F405" s="3"/>
      <c r="G405" s="3"/>
      <c r="H405" s="3"/>
      <c r="I405" s="3"/>
      <c r="J405" s="42"/>
    </row>
    <row r="406" spans="2:10">
      <c r="B406" s="3"/>
      <c r="C406" s="3"/>
      <c r="D406" s="3"/>
      <c r="E406" s="3"/>
      <c r="F406" s="3"/>
      <c r="G406" s="3"/>
      <c r="H406" s="3"/>
      <c r="I406" s="3"/>
      <c r="J406" s="42"/>
    </row>
    <row r="407" spans="2:10">
      <c r="B407" s="3"/>
      <c r="C407" s="3"/>
      <c r="D407" s="3"/>
      <c r="E407" s="3"/>
      <c r="F407" s="3"/>
      <c r="G407" s="3"/>
      <c r="H407" s="3"/>
      <c r="I407" s="3"/>
      <c r="J407" s="42"/>
    </row>
    <row r="408" spans="2:10">
      <c r="B408" s="3"/>
      <c r="C408" s="3"/>
      <c r="D408" s="3"/>
      <c r="E408" s="3"/>
      <c r="F408" s="3"/>
      <c r="G408" s="3"/>
      <c r="H408" s="3"/>
      <c r="I408" s="3"/>
      <c r="J408" s="42"/>
    </row>
    <row r="409" spans="2:10">
      <c r="B409" s="3"/>
      <c r="C409" s="3"/>
      <c r="D409" s="3"/>
      <c r="E409" s="3"/>
      <c r="F409" s="3"/>
      <c r="G409" s="3"/>
      <c r="H409" s="3"/>
      <c r="I409" s="3"/>
      <c r="J409" s="42"/>
    </row>
    <row r="410" spans="2:10">
      <c r="B410" s="3"/>
      <c r="C410" s="3"/>
      <c r="D410" s="3"/>
      <c r="E410" s="3"/>
      <c r="F410" s="3"/>
      <c r="G410" s="3"/>
      <c r="H410" s="3"/>
      <c r="I410" s="3"/>
      <c r="J410" s="42"/>
    </row>
    <row r="411" spans="2:10">
      <c r="B411" s="3"/>
      <c r="C411" s="3"/>
      <c r="D411" s="3"/>
      <c r="E411" s="3"/>
      <c r="F411" s="3"/>
      <c r="G411" s="3"/>
      <c r="H411" s="3"/>
      <c r="I411" s="3"/>
      <c r="J411" s="42"/>
    </row>
    <row r="412" spans="2:10">
      <c r="B412" s="3"/>
      <c r="C412" s="3"/>
      <c r="D412" s="3"/>
      <c r="E412" s="3"/>
      <c r="F412" s="3"/>
      <c r="G412" s="3"/>
      <c r="H412" s="3"/>
      <c r="I412" s="3"/>
      <c r="J412" s="42"/>
    </row>
    <row r="413" spans="2:10">
      <c r="B413" s="3"/>
      <c r="C413" s="3"/>
      <c r="D413" s="3"/>
      <c r="E413" s="3"/>
      <c r="F413" s="3"/>
      <c r="G413" s="3"/>
      <c r="H413" s="3"/>
      <c r="I413" s="3"/>
      <c r="J413" s="42"/>
    </row>
    <row r="414" spans="2:10">
      <c r="B414" s="3"/>
      <c r="C414" s="3"/>
      <c r="D414" s="3"/>
      <c r="E414" s="3"/>
      <c r="F414" s="3"/>
      <c r="G414" s="3"/>
      <c r="H414" s="3"/>
      <c r="I414" s="3"/>
      <c r="J414" s="42"/>
    </row>
    <row r="415" spans="2:10">
      <c r="B415" s="3"/>
      <c r="C415" s="3"/>
      <c r="D415" s="3"/>
      <c r="E415" s="3"/>
      <c r="F415" s="3"/>
      <c r="G415" s="3"/>
      <c r="H415" s="3"/>
      <c r="I415" s="3"/>
      <c r="J415" s="42"/>
    </row>
    <row r="416" spans="2:10">
      <c r="B416" s="3"/>
      <c r="C416" s="3"/>
      <c r="D416" s="3"/>
      <c r="E416" s="3"/>
      <c r="F416" s="3"/>
      <c r="G416" s="3"/>
      <c r="H416" s="3"/>
      <c r="I416" s="3"/>
      <c r="J416" s="42"/>
    </row>
    <row r="417" spans="2:10">
      <c r="B417" s="3"/>
      <c r="C417" s="3"/>
      <c r="D417" s="3"/>
      <c r="E417" s="3"/>
      <c r="F417" s="3"/>
      <c r="G417" s="3"/>
      <c r="H417" s="3"/>
      <c r="I417" s="3"/>
      <c r="J417" s="42"/>
    </row>
    <row r="418" spans="2:10">
      <c r="B418" s="3"/>
      <c r="C418" s="3"/>
      <c r="D418" s="3"/>
      <c r="E418" s="3"/>
      <c r="F418" s="3"/>
      <c r="G418" s="3"/>
      <c r="H418" s="3"/>
      <c r="I418" s="3"/>
      <c r="J418" s="42"/>
    </row>
    <row r="419" spans="2:10">
      <c r="B419" s="3"/>
      <c r="C419" s="3"/>
      <c r="D419" s="3"/>
      <c r="E419" s="3"/>
      <c r="F419" s="3"/>
      <c r="G419" s="3"/>
      <c r="H419" s="3"/>
      <c r="I419" s="3"/>
      <c r="J419" s="42"/>
    </row>
    <row r="420" spans="2:10">
      <c r="B420" s="3"/>
      <c r="C420" s="3"/>
      <c r="D420" s="3"/>
      <c r="E420" s="3"/>
      <c r="F420" s="3"/>
      <c r="G420" s="3"/>
      <c r="H420" s="3"/>
      <c r="I420" s="3"/>
      <c r="J420" s="42"/>
    </row>
    <row r="421" spans="2:10">
      <c r="B421" s="3"/>
      <c r="C421" s="3"/>
      <c r="D421" s="3"/>
      <c r="E421" s="3"/>
      <c r="F421" s="3"/>
      <c r="G421" s="3"/>
      <c r="H421" s="3"/>
      <c r="I421" s="3"/>
      <c r="J421" s="42"/>
    </row>
    <row r="422" spans="2:10">
      <c r="B422" s="3"/>
      <c r="C422" s="3"/>
      <c r="D422" s="3"/>
      <c r="E422" s="3"/>
      <c r="F422" s="3"/>
      <c r="G422" s="3"/>
      <c r="H422" s="3"/>
      <c r="I422" s="3"/>
      <c r="J422" s="42"/>
    </row>
    <row r="423" spans="2:10">
      <c r="B423" s="3"/>
      <c r="C423" s="3"/>
      <c r="D423" s="3"/>
      <c r="E423" s="3"/>
      <c r="F423" s="3"/>
      <c r="G423" s="3"/>
      <c r="H423" s="3"/>
      <c r="I423" s="3"/>
      <c r="J423" s="42"/>
    </row>
    <row r="424" spans="2:10">
      <c r="B424" s="3"/>
      <c r="C424" s="3"/>
      <c r="D424" s="3"/>
      <c r="E424" s="3"/>
      <c r="F424" s="3"/>
      <c r="G424" s="3"/>
      <c r="H424" s="3"/>
      <c r="I424" s="3"/>
      <c r="J424" s="42"/>
    </row>
    <row r="425" spans="2:10">
      <c r="B425" s="3"/>
      <c r="C425" s="3"/>
      <c r="D425" s="3"/>
      <c r="E425" s="3"/>
      <c r="F425" s="3"/>
      <c r="G425" s="3"/>
      <c r="H425" s="3"/>
      <c r="I425" s="3"/>
      <c r="J425" s="42"/>
    </row>
    <row r="426" spans="2:10">
      <c r="B426" s="3"/>
      <c r="C426" s="3"/>
      <c r="D426" s="3"/>
      <c r="E426" s="3"/>
      <c r="F426" s="3"/>
      <c r="G426" s="3"/>
      <c r="H426" s="3"/>
      <c r="I426" s="3"/>
      <c r="J426" s="42"/>
    </row>
    <row r="427" spans="2:10">
      <c r="B427" s="3"/>
      <c r="C427" s="3"/>
      <c r="D427" s="3"/>
      <c r="E427" s="3"/>
      <c r="F427" s="3"/>
      <c r="G427" s="3"/>
      <c r="H427" s="3"/>
      <c r="I427" s="3"/>
      <c r="J427" s="42"/>
    </row>
    <row r="428" spans="2:10">
      <c r="B428" s="3"/>
      <c r="C428" s="3"/>
      <c r="D428" s="3"/>
      <c r="E428" s="3"/>
      <c r="F428" s="3"/>
      <c r="G428" s="3"/>
      <c r="H428" s="3"/>
      <c r="I428" s="3"/>
      <c r="J428" s="42"/>
    </row>
    <row r="429" spans="2:10">
      <c r="B429" s="3"/>
      <c r="C429" s="3"/>
      <c r="D429" s="3"/>
      <c r="E429" s="3"/>
      <c r="F429" s="3"/>
      <c r="G429" s="3"/>
      <c r="H429" s="3"/>
      <c r="I429" s="3"/>
      <c r="J429" s="42"/>
    </row>
    <row r="430" spans="2:10">
      <c r="B430" s="3"/>
      <c r="C430" s="3"/>
      <c r="D430" s="3"/>
      <c r="E430" s="3"/>
      <c r="F430" s="3"/>
      <c r="G430" s="3"/>
      <c r="H430" s="3"/>
      <c r="I430" s="3"/>
      <c r="J430" s="42"/>
    </row>
    <row r="431" spans="2:10">
      <c r="B431" s="3"/>
      <c r="C431" s="3"/>
      <c r="D431" s="3"/>
      <c r="E431" s="3"/>
      <c r="F431" s="3"/>
      <c r="G431" s="3"/>
      <c r="H431" s="3"/>
      <c r="I431" s="3"/>
      <c r="J431" s="42"/>
    </row>
    <row r="432" spans="2:10">
      <c r="B432" s="3"/>
      <c r="C432" s="3"/>
      <c r="D432" s="3"/>
      <c r="E432" s="3"/>
      <c r="F432" s="3"/>
      <c r="G432" s="3"/>
      <c r="H432" s="3"/>
      <c r="I432" s="3"/>
      <c r="J432" s="42"/>
    </row>
    <row r="433" spans="2:10">
      <c r="B433" s="3"/>
      <c r="C433" s="3"/>
      <c r="D433" s="3"/>
      <c r="E433" s="3"/>
      <c r="F433" s="3"/>
      <c r="G433" s="3"/>
      <c r="H433" s="3"/>
      <c r="I433" s="3"/>
      <c r="J433" s="42"/>
    </row>
    <row r="434" spans="2:10">
      <c r="B434" s="3"/>
      <c r="C434" s="3"/>
      <c r="D434" s="3"/>
      <c r="E434" s="3"/>
      <c r="F434" s="3"/>
      <c r="G434" s="3"/>
      <c r="H434" s="3"/>
      <c r="I434" s="3"/>
      <c r="J434" s="42"/>
    </row>
    <row r="435" spans="2:10">
      <c r="B435" s="3"/>
      <c r="C435" s="3"/>
      <c r="D435" s="3"/>
      <c r="E435" s="3"/>
      <c r="F435" s="3"/>
      <c r="G435" s="3"/>
      <c r="H435" s="3"/>
      <c r="I435" s="3"/>
      <c r="J435" s="42"/>
    </row>
    <row r="436" spans="2:10">
      <c r="B436" s="3"/>
      <c r="C436" s="3"/>
      <c r="D436" s="3"/>
      <c r="E436" s="3"/>
      <c r="F436" s="3"/>
      <c r="G436" s="3"/>
      <c r="H436" s="3"/>
      <c r="I436" s="3"/>
      <c r="J436" s="42"/>
    </row>
    <row r="437" spans="2:10">
      <c r="B437" s="3"/>
      <c r="C437" s="3"/>
      <c r="D437" s="3"/>
      <c r="E437" s="3"/>
      <c r="F437" s="3"/>
      <c r="G437" s="3"/>
      <c r="H437" s="3"/>
      <c r="I437" s="3"/>
      <c r="J437" s="42"/>
    </row>
    <row r="438" spans="2:10">
      <c r="B438" s="3"/>
      <c r="C438" s="3"/>
      <c r="D438" s="3"/>
      <c r="E438" s="3"/>
      <c r="F438" s="3"/>
      <c r="G438" s="3"/>
      <c r="H438" s="3"/>
      <c r="I438" s="3"/>
      <c r="J438" s="42"/>
    </row>
    <row r="439" spans="2:10">
      <c r="B439" s="3"/>
      <c r="C439" s="3"/>
      <c r="D439" s="3"/>
      <c r="E439" s="3"/>
      <c r="F439" s="3"/>
      <c r="G439" s="3"/>
      <c r="H439" s="3"/>
      <c r="I439" s="3"/>
      <c r="J439" s="42"/>
    </row>
    <row r="440" spans="2:10">
      <c r="B440" s="3"/>
      <c r="C440" s="3"/>
      <c r="D440" s="3"/>
      <c r="E440" s="3"/>
      <c r="F440" s="3"/>
      <c r="G440" s="3"/>
      <c r="H440" s="3"/>
      <c r="I440" s="3"/>
      <c r="J440" s="42"/>
    </row>
    <row r="441" spans="2:10">
      <c r="B441" s="3"/>
      <c r="C441" s="3"/>
      <c r="D441" s="3"/>
      <c r="E441" s="3"/>
      <c r="F441" s="3"/>
      <c r="G441" s="3"/>
      <c r="H441" s="3"/>
      <c r="I441" s="3"/>
      <c r="J441" s="42"/>
    </row>
    <row r="442" spans="2:10">
      <c r="B442" s="3"/>
      <c r="C442" s="3"/>
      <c r="D442" s="3"/>
      <c r="E442" s="3"/>
      <c r="F442" s="3"/>
      <c r="G442" s="3"/>
      <c r="H442" s="3"/>
      <c r="I442" s="3"/>
      <c r="J442" s="42"/>
    </row>
    <row r="443" spans="2:10">
      <c r="B443" s="3"/>
      <c r="C443" s="3"/>
      <c r="D443" s="3"/>
      <c r="E443" s="3"/>
      <c r="F443" s="3"/>
      <c r="G443" s="3"/>
      <c r="H443" s="3"/>
      <c r="I443" s="3"/>
      <c r="J443" s="42"/>
    </row>
    <row r="444" spans="2:10">
      <c r="B444" s="3"/>
      <c r="C444" s="3"/>
      <c r="D444" s="3"/>
      <c r="E444" s="3"/>
      <c r="F444" s="3"/>
      <c r="G444" s="3"/>
      <c r="H444" s="3"/>
      <c r="I444" s="3"/>
      <c r="J444" s="42"/>
    </row>
    <row r="445" spans="2:10">
      <c r="B445" s="3"/>
      <c r="C445" s="3"/>
      <c r="D445" s="3"/>
      <c r="E445" s="3"/>
      <c r="F445" s="3"/>
      <c r="G445" s="3"/>
      <c r="H445" s="3"/>
      <c r="I445" s="3"/>
      <c r="J445" s="42"/>
    </row>
    <row r="446" spans="2:10">
      <c r="B446" s="3"/>
      <c r="C446" s="3"/>
      <c r="D446" s="3"/>
      <c r="E446" s="3"/>
      <c r="F446" s="3"/>
      <c r="G446" s="3"/>
      <c r="H446" s="3"/>
      <c r="I446" s="3"/>
      <c r="J446" s="42"/>
    </row>
    <row r="447" spans="2:10">
      <c r="B447" s="3"/>
      <c r="C447" s="3"/>
      <c r="D447" s="3"/>
      <c r="E447" s="3"/>
      <c r="F447" s="3"/>
      <c r="G447" s="3"/>
      <c r="H447" s="3"/>
      <c r="I447" s="3"/>
      <c r="J447" s="42"/>
    </row>
    <row r="448" spans="2:10">
      <c r="B448" s="3"/>
      <c r="C448" s="3"/>
      <c r="D448" s="3"/>
      <c r="E448" s="3"/>
      <c r="F448" s="3"/>
      <c r="G448" s="3"/>
      <c r="H448" s="3"/>
      <c r="I448" s="3"/>
      <c r="J448" s="42"/>
    </row>
    <row r="449" spans="2:10">
      <c r="B449" s="3"/>
      <c r="C449" s="3"/>
      <c r="D449" s="3"/>
      <c r="E449" s="3"/>
      <c r="F449" s="3"/>
      <c r="G449" s="3"/>
      <c r="H449" s="3"/>
      <c r="I449" s="3"/>
      <c r="J449" s="42"/>
    </row>
    <row r="450" spans="2:10">
      <c r="B450" s="3"/>
      <c r="C450" s="3"/>
      <c r="D450" s="3"/>
      <c r="E450" s="3"/>
      <c r="F450" s="3"/>
      <c r="G450" s="3"/>
      <c r="H450" s="3"/>
      <c r="I450" s="3"/>
      <c r="J450" s="42"/>
    </row>
    <row r="451" spans="2:10">
      <c r="B451" s="3"/>
      <c r="C451" s="3"/>
      <c r="D451" s="3"/>
      <c r="E451" s="3"/>
      <c r="F451" s="3"/>
      <c r="G451" s="3"/>
      <c r="H451" s="3"/>
      <c r="I451" s="3"/>
      <c r="J451" s="42"/>
    </row>
    <row r="452" spans="2:10">
      <c r="B452" s="3"/>
      <c r="C452" s="3"/>
      <c r="D452" s="3"/>
      <c r="E452" s="3"/>
      <c r="F452" s="3"/>
      <c r="G452" s="3"/>
      <c r="H452" s="3"/>
      <c r="I452" s="3"/>
      <c r="J452" s="42"/>
    </row>
    <row r="453" spans="2:10">
      <c r="B453" s="3"/>
      <c r="C453" s="3"/>
      <c r="D453" s="3"/>
      <c r="E453" s="3"/>
      <c r="F453" s="3"/>
      <c r="G453" s="3"/>
      <c r="H453" s="3"/>
      <c r="I453" s="3"/>
      <c r="J453" s="42"/>
    </row>
    <row r="454" spans="2:10">
      <c r="B454" s="3"/>
      <c r="C454" s="3"/>
      <c r="D454" s="3"/>
      <c r="E454" s="3"/>
      <c r="F454" s="3"/>
      <c r="G454" s="3"/>
      <c r="H454" s="3"/>
      <c r="I454" s="3"/>
      <c r="J454" s="42"/>
    </row>
    <row r="455" spans="2:10">
      <c r="B455" s="3"/>
      <c r="C455" s="3"/>
      <c r="D455" s="3"/>
      <c r="E455" s="3"/>
      <c r="F455" s="3"/>
      <c r="G455" s="3"/>
      <c r="H455" s="3"/>
      <c r="I455" s="3"/>
      <c r="J455" s="42"/>
    </row>
    <row r="456" spans="2:10">
      <c r="B456" s="3"/>
      <c r="C456" s="3"/>
      <c r="D456" s="3"/>
      <c r="E456" s="3"/>
      <c r="F456" s="3"/>
      <c r="G456" s="3"/>
      <c r="H456" s="3"/>
      <c r="I456" s="3"/>
      <c r="J456" s="42"/>
    </row>
    <row r="457" spans="2:10">
      <c r="B457" s="3"/>
      <c r="C457" s="3"/>
      <c r="D457" s="3"/>
      <c r="E457" s="3"/>
      <c r="F457" s="3"/>
      <c r="G457" s="3"/>
      <c r="H457" s="3"/>
      <c r="I457" s="3"/>
      <c r="J457" s="42"/>
    </row>
    <row r="458" spans="2:10">
      <c r="B458" s="3"/>
      <c r="C458" s="3"/>
      <c r="D458" s="3"/>
      <c r="E458" s="3"/>
      <c r="F458" s="3"/>
      <c r="G458" s="3"/>
      <c r="H458" s="3"/>
      <c r="I458" s="3"/>
      <c r="J458" s="42"/>
    </row>
    <row r="459" spans="2:10">
      <c r="B459" s="3"/>
      <c r="C459" s="3"/>
      <c r="D459" s="3"/>
      <c r="E459" s="3"/>
      <c r="F459" s="3"/>
      <c r="G459" s="3"/>
      <c r="H459" s="3"/>
      <c r="I459" s="3"/>
      <c r="J459" s="42"/>
    </row>
    <row r="460" spans="2:10">
      <c r="B460" s="3"/>
      <c r="C460" s="3"/>
      <c r="D460" s="3"/>
      <c r="E460" s="3"/>
      <c r="F460" s="3"/>
      <c r="G460" s="3"/>
      <c r="H460" s="3"/>
      <c r="I460" s="3"/>
      <c r="J460" s="42"/>
    </row>
    <row r="461" spans="2:10">
      <c r="B461" s="3"/>
      <c r="C461" s="3"/>
      <c r="D461" s="3"/>
      <c r="E461" s="3"/>
      <c r="F461" s="3"/>
      <c r="G461" s="3"/>
      <c r="H461" s="3"/>
      <c r="I461" s="3"/>
      <c r="J461" s="42"/>
    </row>
    <row r="462" spans="2:10">
      <c r="B462" s="3"/>
      <c r="C462" s="3"/>
      <c r="D462" s="3"/>
      <c r="E462" s="3"/>
      <c r="F462" s="3"/>
      <c r="G462" s="3"/>
      <c r="H462" s="3"/>
      <c r="I462" s="3"/>
      <c r="J462" s="42"/>
    </row>
    <row r="463" spans="2:10">
      <c r="B463" s="3"/>
      <c r="C463" s="3"/>
      <c r="D463" s="3"/>
      <c r="E463" s="3"/>
      <c r="F463" s="3"/>
      <c r="G463" s="3"/>
      <c r="H463" s="3"/>
      <c r="I463" s="3"/>
      <c r="J463" s="42"/>
    </row>
    <row r="464" spans="2:10">
      <c r="B464" s="3"/>
      <c r="C464" s="3"/>
      <c r="D464" s="3"/>
      <c r="E464" s="3"/>
      <c r="F464" s="3"/>
      <c r="G464" s="3"/>
      <c r="H464" s="3"/>
      <c r="I464" s="3"/>
      <c r="J464" s="42"/>
    </row>
    <row r="465" spans="2:10">
      <c r="B465" s="3"/>
      <c r="C465" s="3"/>
      <c r="D465" s="3"/>
      <c r="E465" s="3"/>
      <c r="F465" s="3"/>
      <c r="G465" s="3"/>
      <c r="H465" s="3"/>
      <c r="I465" s="3"/>
      <c r="J465" s="42"/>
    </row>
    <row r="466" spans="2:10">
      <c r="B466" s="3"/>
      <c r="C466" s="3"/>
      <c r="D466" s="3"/>
      <c r="E466" s="3"/>
      <c r="F466" s="3"/>
      <c r="G466" s="3"/>
      <c r="H466" s="3"/>
      <c r="I466" s="3"/>
      <c r="J466" s="42"/>
    </row>
    <row r="467" spans="2:10">
      <c r="B467" s="3"/>
      <c r="C467" s="3"/>
      <c r="D467" s="3"/>
      <c r="E467" s="3"/>
      <c r="F467" s="3"/>
      <c r="G467" s="3"/>
      <c r="H467" s="3"/>
      <c r="I467" s="3"/>
      <c r="J467" s="42"/>
    </row>
    <row r="468" spans="2:10">
      <c r="B468" s="3"/>
      <c r="C468" s="3"/>
      <c r="D468" s="3"/>
      <c r="E468" s="3"/>
      <c r="F468" s="3"/>
      <c r="G468" s="3"/>
      <c r="H468" s="3"/>
      <c r="I468" s="3"/>
      <c r="J468" s="42"/>
    </row>
    <row r="469" spans="2:10">
      <c r="B469" s="3"/>
      <c r="C469" s="3"/>
      <c r="D469" s="3"/>
      <c r="E469" s="3"/>
      <c r="F469" s="3"/>
      <c r="G469" s="3"/>
      <c r="H469" s="3"/>
      <c r="I469" s="3"/>
      <c r="J469" s="42"/>
    </row>
    <row r="470" spans="2:10">
      <c r="B470" s="3"/>
      <c r="C470" s="3"/>
      <c r="D470" s="3"/>
      <c r="E470" s="3"/>
      <c r="F470" s="3"/>
      <c r="G470" s="3"/>
      <c r="H470" s="3"/>
      <c r="I470" s="3"/>
      <c r="J470" s="42"/>
    </row>
    <row r="471" spans="2:10">
      <c r="B471" s="3"/>
      <c r="C471" s="3"/>
      <c r="D471" s="3"/>
      <c r="E471" s="3"/>
      <c r="F471" s="3"/>
      <c r="G471" s="3"/>
      <c r="H471" s="3"/>
      <c r="I471" s="3"/>
      <c r="J471" s="42"/>
    </row>
    <row r="472" spans="2:10">
      <c r="B472" s="3"/>
      <c r="C472" s="3"/>
      <c r="D472" s="3"/>
      <c r="E472" s="3"/>
      <c r="F472" s="3"/>
      <c r="G472" s="3"/>
      <c r="H472" s="3"/>
      <c r="I472" s="3"/>
      <c r="J472" s="42"/>
    </row>
    <row r="473" spans="2:10">
      <c r="B473" s="3"/>
      <c r="C473" s="3"/>
      <c r="D473" s="3"/>
      <c r="E473" s="3"/>
      <c r="F473" s="3"/>
      <c r="G473" s="3"/>
      <c r="H473" s="3"/>
      <c r="I473" s="3"/>
      <c r="J473" s="42"/>
    </row>
    <row r="474" spans="2:10">
      <c r="B474" s="3"/>
      <c r="C474" s="3"/>
      <c r="D474" s="3"/>
      <c r="E474" s="3"/>
      <c r="F474" s="3"/>
      <c r="G474" s="3"/>
      <c r="H474" s="3"/>
      <c r="I474" s="3"/>
      <c r="J474" s="42"/>
    </row>
    <row r="475" spans="2:10">
      <c r="B475" s="3"/>
      <c r="C475" s="3"/>
      <c r="D475" s="3"/>
      <c r="E475" s="3"/>
      <c r="F475" s="3"/>
      <c r="G475" s="3"/>
      <c r="H475" s="3"/>
      <c r="I475" s="3"/>
      <c r="J475" s="42"/>
    </row>
    <row r="476" spans="2:10">
      <c r="B476" s="3"/>
      <c r="C476" s="3"/>
      <c r="D476" s="3"/>
      <c r="E476" s="3"/>
      <c r="F476" s="3"/>
      <c r="G476" s="3"/>
      <c r="H476" s="3"/>
      <c r="I476" s="3"/>
      <c r="J476" s="42"/>
    </row>
    <row r="477" spans="2:10">
      <c r="B477" s="3"/>
      <c r="C477" s="3"/>
      <c r="D477" s="3"/>
      <c r="E477" s="3"/>
      <c r="F477" s="3"/>
      <c r="G477" s="3"/>
      <c r="H477" s="3"/>
      <c r="I477" s="3"/>
      <c r="J477" s="42"/>
    </row>
    <row r="478" spans="2:10">
      <c r="B478" s="3"/>
      <c r="C478" s="3"/>
      <c r="D478" s="3"/>
      <c r="E478" s="3"/>
      <c r="F478" s="3"/>
      <c r="G478" s="3"/>
      <c r="H478" s="3"/>
      <c r="I478" s="3"/>
      <c r="J478" s="42"/>
    </row>
    <row r="479" spans="2:10">
      <c r="B479" s="3"/>
      <c r="C479" s="3"/>
      <c r="D479" s="3"/>
      <c r="E479" s="3"/>
      <c r="F479" s="3"/>
      <c r="G479" s="3"/>
      <c r="H479" s="3"/>
      <c r="I479" s="3"/>
      <c r="J479" s="42"/>
    </row>
    <row r="480" spans="2:10">
      <c r="B480" s="3"/>
      <c r="C480" s="3"/>
      <c r="D480" s="3"/>
      <c r="E480" s="3"/>
      <c r="F480" s="3"/>
      <c r="G480" s="3"/>
      <c r="H480" s="3"/>
      <c r="I480" s="3"/>
      <c r="J480" s="42"/>
    </row>
    <row r="481" spans="2:10">
      <c r="B481" s="3"/>
      <c r="C481" s="3"/>
      <c r="D481" s="3"/>
      <c r="E481" s="3"/>
      <c r="F481" s="3"/>
      <c r="G481" s="3"/>
      <c r="H481" s="3"/>
      <c r="I481" s="3"/>
      <c r="J481" s="42"/>
    </row>
    <row r="482" spans="2:10">
      <c r="B482" s="3"/>
      <c r="C482" s="3"/>
      <c r="D482" s="3"/>
      <c r="E482" s="3"/>
      <c r="F482" s="3"/>
      <c r="G482" s="3"/>
      <c r="H482" s="3"/>
      <c r="I482" s="3"/>
      <c r="J482" s="42"/>
    </row>
    <row r="483" spans="2:10">
      <c r="B483" s="3"/>
      <c r="C483" s="3"/>
      <c r="D483" s="3"/>
      <c r="E483" s="3"/>
      <c r="F483" s="3"/>
      <c r="G483" s="3"/>
      <c r="H483" s="3"/>
      <c r="I483" s="3"/>
      <c r="J483" s="42"/>
    </row>
    <row r="484" spans="2:10">
      <c r="B484" s="3"/>
      <c r="C484" s="3"/>
      <c r="D484" s="3"/>
      <c r="E484" s="3"/>
      <c r="F484" s="3"/>
      <c r="G484" s="3"/>
      <c r="H484" s="3"/>
      <c r="I484" s="3"/>
      <c r="J484" s="42"/>
    </row>
    <row r="485" spans="2:10">
      <c r="B485" s="3"/>
      <c r="C485" s="3"/>
      <c r="D485" s="3"/>
      <c r="E485" s="3"/>
      <c r="F485" s="3"/>
      <c r="G485" s="3"/>
      <c r="H485" s="3"/>
      <c r="I485" s="3"/>
      <c r="J485" s="42"/>
    </row>
    <row r="486" spans="2:10">
      <c r="B486" s="3"/>
      <c r="C486" s="3"/>
      <c r="D486" s="3"/>
      <c r="E486" s="3"/>
      <c r="F486" s="3"/>
      <c r="G486" s="3"/>
      <c r="H486" s="3"/>
      <c r="I486" s="3"/>
      <c r="J486" s="42"/>
    </row>
    <row r="487" spans="2:10">
      <c r="B487" s="3"/>
      <c r="C487" s="3"/>
      <c r="D487" s="3"/>
      <c r="E487" s="3"/>
      <c r="F487" s="3"/>
      <c r="G487" s="3"/>
      <c r="H487" s="3"/>
      <c r="I487" s="3"/>
      <c r="J487" s="42"/>
    </row>
    <row r="488" spans="2:10">
      <c r="B488" s="3"/>
      <c r="C488" s="3"/>
      <c r="D488" s="3"/>
      <c r="E488" s="3"/>
      <c r="F488" s="3"/>
      <c r="G488" s="3"/>
      <c r="H488" s="3"/>
      <c r="I488" s="3"/>
      <c r="J488" s="42"/>
    </row>
    <row r="489" spans="2:10">
      <c r="B489" s="3"/>
      <c r="C489" s="3"/>
      <c r="D489" s="3"/>
      <c r="E489" s="3"/>
      <c r="F489" s="3"/>
      <c r="G489" s="3"/>
      <c r="H489" s="3"/>
      <c r="I489" s="3"/>
      <c r="J489" s="42"/>
    </row>
    <row r="490" spans="2:10">
      <c r="B490" s="3"/>
      <c r="C490" s="3"/>
      <c r="D490" s="3"/>
      <c r="E490" s="3"/>
      <c r="F490" s="3"/>
      <c r="G490" s="3"/>
      <c r="H490" s="3"/>
      <c r="I490" s="3"/>
      <c r="J490" s="42"/>
    </row>
    <row r="491" spans="2:10">
      <c r="B491" s="3"/>
      <c r="C491" s="3"/>
      <c r="D491" s="3"/>
      <c r="E491" s="3"/>
      <c r="F491" s="3"/>
      <c r="G491" s="3"/>
      <c r="H491" s="3"/>
      <c r="I491" s="3"/>
      <c r="J491" s="42"/>
    </row>
    <row r="492" spans="2:10">
      <c r="B492" s="3"/>
      <c r="C492" s="3"/>
      <c r="D492" s="3"/>
      <c r="E492" s="3"/>
      <c r="F492" s="3"/>
      <c r="G492" s="3"/>
      <c r="H492" s="3"/>
      <c r="I492" s="3"/>
      <c r="J492" s="42"/>
    </row>
    <row r="493" spans="2:10">
      <c r="B493" s="3"/>
      <c r="C493" s="3"/>
      <c r="D493" s="3"/>
      <c r="E493" s="3"/>
      <c r="F493" s="3"/>
      <c r="G493" s="3"/>
      <c r="H493" s="3"/>
      <c r="I493" s="3"/>
      <c r="J493" s="42"/>
    </row>
    <row r="494" spans="2:10">
      <c r="B494" s="3"/>
      <c r="C494" s="3"/>
      <c r="D494" s="3"/>
      <c r="E494" s="3"/>
      <c r="F494" s="3"/>
      <c r="G494" s="3"/>
      <c r="H494" s="3"/>
      <c r="I494" s="3"/>
      <c r="J494" s="42"/>
    </row>
    <row r="495" spans="2:10">
      <c r="B495" s="3"/>
      <c r="C495" s="3"/>
      <c r="D495" s="3"/>
      <c r="E495" s="3"/>
      <c r="F495" s="3"/>
      <c r="G495" s="3"/>
      <c r="H495" s="3"/>
      <c r="I495" s="3"/>
      <c r="J495" s="42"/>
    </row>
    <row r="496" spans="2:10">
      <c r="B496" s="3"/>
      <c r="C496" s="3"/>
      <c r="D496" s="3"/>
      <c r="E496" s="3"/>
      <c r="F496" s="3"/>
      <c r="G496" s="3"/>
      <c r="H496" s="3"/>
      <c r="I496" s="3"/>
      <c r="J496" s="42"/>
    </row>
    <row r="497" spans="2:10">
      <c r="B497" s="3"/>
      <c r="C497" s="3"/>
      <c r="D497" s="3"/>
      <c r="E497" s="3"/>
      <c r="F497" s="3"/>
      <c r="G497" s="3"/>
      <c r="H497" s="3"/>
      <c r="I497" s="3"/>
      <c r="J497" s="42"/>
    </row>
    <row r="498" spans="2:10">
      <c r="B498" s="3"/>
      <c r="C498" s="3"/>
      <c r="D498" s="3"/>
      <c r="E498" s="3"/>
      <c r="F498" s="3"/>
      <c r="G498" s="3"/>
      <c r="H498" s="3"/>
      <c r="I498" s="3"/>
      <c r="J498" s="42"/>
    </row>
    <row r="499" spans="2:10">
      <c r="B499" s="3"/>
      <c r="C499" s="3"/>
      <c r="D499" s="3"/>
      <c r="E499" s="3"/>
      <c r="F499" s="3"/>
      <c r="G499" s="3"/>
      <c r="H499" s="3"/>
      <c r="I499" s="3"/>
      <c r="J499" s="42"/>
    </row>
    <row r="500" spans="2:10">
      <c r="B500" s="3"/>
      <c r="C500" s="3"/>
      <c r="D500" s="3"/>
      <c r="E500" s="3"/>
      <c r="F500" s="3"/>
      <c r="G500" s="3"/>
      <c r="H500" s="3"/>
      <c r="I500" s="3"/>
      <c r="J500" s="42"/>
    </row>
    <row r="501" spans="2:10">
      <c r="B501" s="3"/>
      <c r="C501" s="3"/>
      <c r="D501" s="3"/>
      <c r="E501" s="3"/>
      <c r="F501" s="3"/>
      <c r="G501" s="3"/>
      <c r="H501" s="3"/>
      <c r="I501" s="3"/>
      <c r="J501" s="42"/>
    </row>
    <row r="502" spans="2:10">
      <c r="B502" s="3"/>
      <c r="C502" s="3"/>
      <c r="D502" s="3"/>
      <c r="E502" s="3"/>
      <c r="F502" s="3"/>
      <c r="G502" s="3"/>
      <c r="H502" s="3"/>
      <c r="I502" s="3"/>
      <c r="J502" s="42"/>
    </row>
    <row r="503" spans="2:10">
      <c r="B503" s="3"/>
      <c r="C503" s="3"/>
      <c r="D503" s="3"/>
      <c r="E503" s="3"/>
      <c r="F503" s="3"/>
      <c r="G503" s="3"/>
      <c r="H503" s="3"/>
      <c r="I503" s="3"/>
      <c r="J503" s="42"/>
    </row>
    <row r="504" spans="2:10">
      <c r="B504" s="3"/>
      <c r="C504" s="3"/>
      <c r="D504" s="3"/>
      <c r="E504" s="3"/>
      <c r="F504" s="3"/>
      <c r="G504" s="3"/>
      <c r="H504" s="3"/>
      <c r="I504" s="3"/>
      <c r="J504" s="42"/>
    </row>
    <row r="505" spans="2:10">
      <c r="B505" s="3"/>
      <c r="C505" s="3"/>
      <c r="D505" s="3"/>
      <c r="E505" s="3"/>
      <c r="F505" s="3"/>
      <c r="G505" s="3"/>
      <c r="H505" s="3"/>
      <c r="I505" s="3"/>
      <c r="J505" s="42"/>
    </row>
    <row r="506" spans="2:10">
      <c r="B506" s="3"/>
      <c r="C506" s="3"/>
      <c r="D506" s="3"/>
      <c r="E506" s="3"/>
      <c r="F506" s="3"/>
      <c r="G506" s="3"/>
      <c r="H506" s="3"/>
      <c r="I506" s="3"/>
      <c r="J506" s="42"/>
    </row>
    <row r="507" spans="2:10">
      <c r="B507" s="3"/>
      <c r="C507" s="3"/>
      <c r="D507" s="3"/>
      <c r="E507" s="3"/>
      <c r="F507" s="3"/>
      <c r="G507" s="3"/>
      <c r="H507" s="3"/>
      <c r="I507" s="3"/>
      <c r="J507" s="42"/>
    </row>
    <row r="508" spans="2:10">
      <c r="B508" s="3"/>
      <c r="C508" s="3"/>
      <c r="D508" s="3"/>
      <c r="E508" s="3"/>
      <c r="F508" s="3"/>
      <c r="G508" s="3"/>
      <c r="H508" s="3"/>
      <c r="I508" s="3"/>
      <c r="J508" s="42"/>
    </row>
    <row r="509" spans="2:10">
      <c r="B509" s="3"/>
      <c r="C509" s="3"/>
      <c r="D509" s="3"/>
      <c r="E509" s="3"/>
      <c r="F509" s="3"/>
      <c r="G509" s="3"/>
      <c r="H509" s="3"/>
      <c r="I509" s="3"/>
      <c r="J509" s="42"/>
    </row>
    <row r="510" spans="2:10">
      <c r="B510" s="3"/>
      <c r="C510" s="3"/>
      <c r="D510" s="3"/>
      <c r="E510" s="3"/>
      <c r="F510" s="3"/>
      <c r="G510" s="3"/>
      <c r="H510" s="3"/>
      <c r="I510" s="3"/>
      <c r="J510" s="42"/>
    </row>
    <row r="511" spans="2:10">
      <c r="B511" s="3"/>
      <c r="C511" s="3"/>
      <c r="D511" s="3"/>
      <c r="E511" s="3"/>
      <c r="F511" s="3"/>
      <c r="G511" s="3"/>
      <c r="H511" s="3"/>
      <c r="I511" s="3"/>
      <c r="J511" s="42"/>
    </row>
    <row r="512" spans="2:10">
      <c r="B512" s="3"/>
      <c r="C512" s="3"/>
      <c r="D512" s="3"/>
      <c r="E512" s="3"/>
      <c r="F512" s="3"/>
      <c r="G512" s="3"/>
      <c r="H512" s="3"/>
      <c r="I512" s="3"/>
      <c r="J512" s="42"/>
    </row>
    <row r="513" spans="2:10">
      <c r="B513" s="3"/>
      <c r="C513" s="3"/>
      <c r="D513" s="3"/>
      <c r="E513" s="3"/>
      <c r="F513" s="3"/>
      <c r="G513" s="3"/>
      <c r="H513" s="3"/>
      <c r="I513" s="3"/>
      <c r="J513" s="42"/>
    </row>
    <row r="514" spans="2:10">
      <c r="B514" s="3"/>
      <c r="C514" s="3"/>
      <c r="D514" s="3"/>
      <c r="E514" s="3"/>
      <c r="F514" s="3"/>
      <c r="G514" s="3"/>
      <c r="H514" s="3"/>
      <c r="I514" s="3"/>
      <c r="J514" s="42"/>
    </row>
    <row r="515" spans="2:10">
      <c r="B515" s="3"/>
      <c r="C515" s="3"/>
      <c r="D515" s="3"/>
      <c r="E515" s="3"/>
      <c r="F515" s="3"/>
      <c r="G515" s="3"/>
      <c r="H515" s="3"/>
      <c r="I515" s="3"/>
      <c r="J515" s="42"/>
    </row>
    <row r="516" spans="2:10">
      <c r="B516" s="3"/>
      <c r="C516" s="3"/>
      <c r="D516" s="3"/>
      <c r="E516" s="3"/>
      <c r="F516" s="3"/>
      <c r="G516" s="3"/>
      <c r="H516" s="3"/>
      <c r="I516" s="3"/>
      <c r="J516" s="42"/>
    </row>
    <row r="517" spans="2:10">
      <c r="B517" s="3"/>
      <c r="C517" s="3"/>
      <c r="D517" s="3"/>
      <c r="E517" s="3"/>
      <c r="F517" s="3"/>
      <c r="G517" s="3"/>
      <c r="H517" s="3"/>
      <c r="I517" s="3"/>
      <c r="J517" s="42"/>
    </row>
    <row r="518" spans="2:10">
      <c r="B518" s="3"/>
      <c r="C518" s="3"/>
      <c r="D518" s="3"/>
      <c r="E518" s="3"/>
      <c r="F518" s="3"/>
      <c r="G518" s="3"/>
      <c r="H518" s="3"/>
      <c r="I518" s="3"/>
      <c r="J518" s="42"/>
    </row>
    <row r="519" spans="2:10">
      <c r="B519" s="3"/>
      <c r="C519" s="3"/>
      <c r="D519" s="3"/>
      <c r="E519" s="3"/>
      <c r="F519" s="3"/>
      <c r="G519" s="3"/>
      <c r="H519" s="3"/>
      <c r="I519" s="3"/>
      <c r="J519" s="42"/>
    </row>
    <row r="520" spans="2:10">
      <c r="B520" s="3"/>
      <c r="C520" s="3"/>
      <c r="D520" s="3"/>
      <c r="E520" s="3"/>
      <c r="F520" s="3"/>
      <c r="G520" s="3"/>
      <c r="H520" s="3"/>
      <c r="I520" s="3"/>
      <c r="J520" s="42"/>
    </row>
    <row r="521" spans="2:10">
      <c r="B521" s="3"/>
      <c r="C521" s="3"/>
      <c r="D521" s="3"/>
      <c r="E521" s="3"/>
      <c r="F521" s="3"/>
      <c r="G521" s="3"/>
      <c r="H521" s="3"/>
      <c r="I521" s="3"/>
      <c r="J521" s="42"/>
    </row>
    <row r="522" spans="2:10">
      <c r="B522" s="3"/>
      <c r="C522" s="3"/>
      <c r="D522" s="3"/>
      <c r="E522" s="3"/>
      <c r="F522" s="3"/>
      <c r="G522" s="3"/>
      <c r="H522" s="3"/>
      <c r="I522" s="3"/>
      <c r="J522" s="42"/>
    </row>
    <row r="523" spans="2:10">
      <c r="B523" s="3"/>
      <c r="C523" s="3"/>
      <c r="D523" s="3"/>
      <c r="E523" s="3"/>
      <c r="F523" s="3"/>
      <c r="G523" s="3"/>
      <c r="H523" s="3"/>
      <c r="I523" s="3"/>
      <c r="J523" s="42"/>
    </row>
    <row r="524" spans="2:10">
      <c r="B524" s="3"/>
      <c r="C524" s="3"/>
      <c r="D524" s="3"/>
      <c r="E524" s="3"/>
      <c r="F524" s="3"/>
      <c r="G524" s="3"/>
      <c r="H524" s="3"/>
      <c r="I524" s="3"/>
      <c r="J524" s="42"/>
    </row>
    <row r="525" spans="2:10">
      <c r="B525" s="3"/>
      <c r="C525" s="3"/>
      <c r="D525" s="3"/>
      <c r="E525" s="3"/>
      <c r="F525" s="3"/>
      <c r="G525" s="3"/>
      <c r="H525" s="3"/>
      <c r="I525" s="3"/>
      <c r="J525" s="42"/>
    </row>
    <row r="526" spans="2:10">
      <c r="B526" s="3"/>
      <c r="C526" s="3"/>
      <c r="D526" s="3"/>
      <c r="E526" s="3"/>
      <c r="F526" s="3"/>
      <c r="G526" s="3"/>
      <c r="H526" s="3"/>
      <c r="I526" s="3"/>
      <c r="J526" s="42"/>
    </row>
    <row r="527" spans="2:10">
      <c r="B527" s="3"/>
      <c r="C527" s="3"/>
      <c r="D527" s="3"/>
      <c r="E527" s="3"/>
      <c r="F527" s="3"/>
      <c r="G527" s="3"/>
      <c r="H527" s="3"/>
      <c r="I527" s="3"/>
      <c r="J527" s="42"/>
    </row>
    <row r="528" spans="2:10">
      <c r="B528" s="3"/>
      <c r="C528" s="3"/>
      <c r="D528" s="3"/>
      <c r="E528" s="3"/>
      <c r="F528" s="3"/>
      <c r="G528" s="3"/>
      <c r="H528" s="3"/>
      <c r="I528" s="3"/>
      <c r="J528" s="42"/>
    </row>
    <row r="529" spans="2:10">
      <c r="B529" s="3"/>
      <c r="C529" s="3"/>
      <c r="D529" s="3"/>
      <c r="E529" s="3"/>
      <c r="F529" s="3"/>
      <c r="G529" s="3"/>
      <c r="H529" s="3"/>
      <c r="I529" s="3"/>
      <c r="J529" s="42"/>
    </row>
    <row r="530" spans="2:10">
      <c r="B530" s="3"/>
      <c r="C530" s="3"/>
      <c r="D530" s="3"/>
      <c r="E530" s="3"/>
      <c r="F530" s="3"/>
      <c r="G530" s="3"/>
      <c r="H530" s="3"/>
      <c r="I530" s="3"/>
      <c r="J530" s="42"/>
    </row>
    <row r="531" spans="2:10">
      <c r="B531" s="3"/>
      <c r="C531" s="3"/>
      <c r="D531" s="3"/>
      <c r="E531" s="3"/>
      <c r="F531" s="3"/>
      <c r="G531" s="3"/>
      <c r="H531" s="3"/>
      <c r="I531" s="3"/>
      <c r="J531" s="42"/>
    </row>
    <row r="532" spans="2:10">
      <c r="B532" s="3"/>
      <c r="C532" s="3"/>
      <c r="D532" s="3"/>
      <c r="E532" s="3"/>
      <c r="F532" s="3"/>
      <c r="G532" s="3"/>
      <c r="H532" s="3"/>
      <c r="I532" s="3"/>
      <c r="J532" s="42"/>
    </row>
    <row r="533" spans="2:10">
      <c r="B533" s="3"/>
      <c r="C533" s="3"/>
      <c r="D533" s="3"/>
      <c r="E533" s="3"/>
      <c r="F533" s="3"/>
      <c r="G533" s="3"/>
      <c r="H533" s="3"/>
      <c r="I533" s="3"/>
      <c r="J533" s="42"/>
    </row>
    <row r="534" spans="2:10">
      <c r="B534" s="3"/>
      <c r="C534" s="3"/>
      <c r="D534" s="3"/>
      <c r="E534" s="3"/>
      <c r="F534" s="3"/>
      <c r="G534" s="3"/>
      <c r="H534" s="3"/>
      <c r="I534" s="3"/>
      <c r="J534" s="42"/>
    </row>
    <row r="535" spans="2:10">
      <c r="B535" s="3"/>
      <c r="C535" s="3"/>
      <c r="D535" s="3"/>
      <c r="E535" s="3"/>
      <c r="F535" s="3"/>
      <c r="G535" s="3"/>
      <c r="H535" s="3"/>
      <c r="I535" s="3"/>
      <c r="J535" s="42"/>
    </row>
    <row r="536" spans="2:10">
      <c r="B536" s="3"/>
      <c r="C536" s="3"/>
      <c r="D536" s="3"/>
      <c r="E536" s="3"/>
      <c r="F536" s="3"/>
      <c r="G536" s="3"/>
      <c r="H536" s="3"/>
      <c r="I536" s="3"/>
      <c r="J536" s="42"/>
    </row>
    <row r="537" spans="2:10">
      <c r="B537" s="3"/>
      <c r="C537" s="3"/>
      <c r="D537" s="3"/>
      <c r="E537" s="3"/>
      <c r="F537" s="3"/>
      <c r="G537" s="3"/>
      <c r="H537" s="3"/>
      <c r="I537" s="3"/>
      <c r="J537" s="42"/>
    </row>
    <row r="538" spans="2:10">
      <c r="B538" s="3"/>
      <c r="C538" s="3"/>
      <c r="D538" s="3"/>
      <c r="E538" s="3"/>
      <c r="F538" s="3"/>
      <c r="G538" s="3"/>
      <c r="H538" s="3"/>
      <c r="I538" s="3"/>
      <c r="J538" s="42"/>
    </row>
    <row r="539" spans="2:10">
      <c r="B539" s="3"/>
      <c r="C539" s="3"/>
      <c r="D539" s="3"/>
      <c r="E539" s="3"/>
      <c r="F539" s="3"/>
      <c r="G539" s="3"/>
      <c r="H539" s="3"/>
      <c r="I539" s="3"/>
      <c r="J539" s="42"/>
    </row>
    <row r="540" spans="2:10">
      <c r="B540" s="3"/>
      <c r="C540" s="3"/>
      <c r="D540" s="3"/>
      <c r="E540" s="3"/>
      <c r="F540" s="3"/>
      <c r="G540" s="3"/>
      <c r="H540" s="3"/>
      <c r="I540" s="3"/>
      <c r="J540" s="42"/>
    </row>
    <row r="541" spans="2:10">
      <c r="B541" s="3"/>
      <c r="C541" s="3"/>
      <c r="D541" s="3"/>
      <c r="E541" s="3"/>
      <c r="F541" s="3"/>
      <c r="G541" s="3"/>
      <c r="H541" s="3"/>
      <c r="I541" s="3"/>
      <c r="J541" s="42"/>
    </row>
    <row r="542" spans="2:10">
      <c r="B542" s="3"/>
      <c r="C542" s="3"/>
      <c r="D542" s="3"/>
      <c r="E542" s="3"/>
      <c r="F542" s="3"/>
      <c r="G542" s="3"/>
      <c r="H542" s="3"/>
      <c r="I542" s="3"/>
      <c r="J542" s="42"/>
    </row>
    <row r="543" spans="2:10">
      <c r="B543" s="3"/>
      <c r="C543" s="3"/>
      <c r="D543" s="3"/>
      <c r="E543" s="3"/>
      <c r="F543" s="3"/>
      <c r="G543" s="3"/>
      <c r="H543" s="3"/>
      <c r="I543" s="3"/>
      <c r="J543" s="42"/>
    </row>
    <row r="544" spans="2:10">
      <c r="B544" s="3"/>
      <c r="C544" s="3"/>
      <c r="D544" s="3"/>
      <c r="E544" s="3"/>
      <c r="F544" s="3"/>
      <c r="G544" s="3"/>
      <c r="H544" s="3"/>
      <c r="I544" s="3"/>
      <c r="J544" s="42"/>
    </row>
    <row r="545" spans="2:10">
      <c r="B545" s="3"/>
      <c r="C545" s="3"/>
      <c r="D545" s="3"/>
      <c r="E545" s="3"/>
      <c r="F545" s="3"/>
      <c r="G545" s="3"/>
      <c r="H545" s="3"/>
      <c r="I545" s="3"/>
      <c r="J545" s="42"/>
    </row>
    <row r="546" spans="2:10">
      <c r="B546" s="3"/>
      <c r="C546" s="3"/>
      <c r="D546" s="3"/>
      <c r="E546" s="3"/>
      <c r="F546" s="3"/>
      <c r="G546" s="3"/>
      <c r="H546" s="3"/>
      <c r="I546" s="3"/>
      <c r="J546" s="42"/>
    </row>
    <row r="547" spans="2:10">
      <c r="B547" s="3"/>
      <c r="C547" s="3"/>
      <c r="D547" s="3"/>
      <c r="E547" s="3"/>
      <c r="F547" s="3"/>
      <c r="G547" s="3"/>
      <c r="H547" s="3"/>
      <c r="I547" s="3"/>
      <c r="J547" s="42"/>
    </row>
    <row r="548" spans="2:10">
      <c r="B548" s="3"/>
      <c r="C548" s="3"/>
      <c r="D548" s="3"/>
      <c r="E548" s="3"/>
      <c r="F548" s="3"/>
      <c r="G548" s="3"/>
      <c r="H548" s="3"/>
      <c r="I548" s="3"/>
      <c r="J548" s="42"/>
    </row>
    <row r="549" spans="2:10">
      <c r="B549" s="3"/>
      <c r="C549" s="3"/>
      <c r="D549" s="3"/>
      <c r="E549" s="3"/>
      <c r="F549" s="3"/>
      <c r="G549" s="3"/>
      <c r="H549" s="3"/>
      <c r="I549" s="3"/>
      <c r="J549" s="42"/>
    </row>
    <row r="550" spans="2:10">
      <c r="B550" s="3"/>
      <c r="C550" s="3"/>
      <c r="D550" s="3"/>
      <c r="E550" s="3"/>
      <c r="F550" s="3"/>
      <c r="G550" s="3"/>
      <c r="H550" s="3"/>
      <c r="I550" s="3"/>
      <c r="J550" s="42"/>
    </row>
    <row r="551" spans="2:10">
      <c r="B551" s="3"/>
      <c r="C551" s="3"/>
      <c r="D551" s="3"/>
      <c r="E551" s="3"/>
      <c r="F551" s="3"/>
      <c r="G551" s="3"/>
      <c r="H551" s="3"/>
      <c r="I551" s="3"/>
      <c r="J551" s="42"/>
    </row>
    <row r="552" spans="2:10">
      <c r="B552" s="3"/>
      <c r="C552" s="3"/>
      <c r="D552" s="3"/>
      <c r="E552" s="3"/>
      <c r="F552" s="3"/>
      <c r="G552" s="3"/>
      <c r="H552" s="3"/>
      <c r="I552" s="3"/>
      <c r="J552" s="42"/>
    </row>
    <row r="553" spans="2:10">
      <c r="B553" s="3"/>
      <c r="C553" s="3"/>
      <c r="D553" s="3"/>
      <c r="E553" s="3"/>
      <c r="F553" s="3"/>
      <c r="G553" s="3"/>
      <c r="H553" s="3"/>
      <c r="I553" s="3"/>
      <c r="J553" s="42"/>
    </row>
    <row r="554" spans="2:10">
      <c r="B554" s="3"/>
      <c r="C554" s="3"/>
      <c r="D554" s="3"/>
      <c r="E554" s="3"/>
      <c r="F554" s="3"/>
      <c r="G554" s="3"/>
      <c r="H554" s="3"/>
      <c r="I554" s="3"/>
      <c r="J554" s="42"/>
    </row>
    <row r="555" spans="2:10">
      <c r="B555" s="3"/>
      <c r="C555" s="3"/>
      <c r="D555" s="3"/>
      <c r="E555" s="3"/>
      <c r="F555" s="3"/>
      <c r="G555" s="3"/>
      <c r="H555" s="3"/>
      <c r="I555" s="3"/>
      <c r="J555" s="42"/>
    </row>
    <row r="556" spans="2:10">
      <c r="B556" s="3"/>
      <c r="C556" s="3"/>
      <c r="D556" s="3"/>
      <c r="E556" s="3"/>
      <c r="F556" s="3"/>
      <c r="G556" s="3"/>
      <c r="H556" s="3"/>
      <c r="I556" s="3"/>
      <c r="J556" s="42"/>
    </row>
    <row r="557" spans="2:10">
      <c r="B557" s="3"/>
      <c r="C557" s="3"/>
      <c r="D557" s="3"/>
      <c r="E557" s="3"/>
      <c r="F557" s="3"/>
      <c r="G557" s="3"/>
      <c r="H557" s="3"/>
      <c r="I557" s="3"/>
      <c r="J557" s="42"/>
    </row>
    <row r="558" spans="2:10">
      <c r="B558" s="3"/>
      <c r="C558" s="3"/>
      <c r="D558" s="3"/>
      <c r="E558" s="3"/>
      <c r="F558" s="3"/>
      <c r="G558" s="3"/>
      <c r="H558" s="3"/>
      <c r="I558" s="3"/>
      <c r="J558" s="42"/>
    </row>
    <row r="559" spans="2:10">
      <c r="B559" s="3"/>
      <c r="C559" s="3"/>
      <c r="D559" s="3"/>
      <c r="E559" s="3"/>
      <c r="F559" s="3"/>
      <c r="G559" s="3"/>
      <c r="H559" s="3"/>
      <c r="I559" s="3"/>
      <c r="J559" s="42"/>
    </row>
    <row r="560" spans="2:10">
      <c r="B560" s="3"/>
      <c r="C560" s="3"/>
      <c r="D560" s="3"/>
      <c r="E560" s="3"/>
      <c r="F560" s="3"/>
      <c r="G560" s="3"/>
      <c r="H560" s="3"/>
      <c r="I560" s="3"/>
      <c r="J560" s="42"/>
    </row>
    <row r="561" spans="2:10">
      <c r="B561" s="3"/>
      <c r="C561" s="3"/>
      <c r="D561" s="3"/>
      <c r="E561" s="3"/>
      <c r="F561" s="3"/>
      <c r="G561" s="3"/>
      <c r="H561" s="3"/>
      <c r="I561" s="3"/>
      <c r="J561" s="42"/>
    </row>
    <row r="562" spans="2:10">
      <c r="B562" s="3"/>
      <c r="C562" s="3"/>
      <c r="D562" s="3"/>
      <c r="E562" s="3"/>
      <c r="F562" s="3"/>
      <c r="G562" s="3"/>
      <c r="H562" s="3"/>
      <c r="I562" s="3"/>
      <c r="J562" s="42"/>
    </row>
    <row r="563" spans="2:10">
      <c r="B563" s="3"/>
      <c r="C563" s="3"/>
      <c r="D563" s="3"/>
      <c r="E563" s="3"/>
      <c r="F563" s="3"/>
      <c r="G563" s="3"/>
      <c r="H563" s="3"/>
      <c r="I563" s="3"/>
      <c r="J563" s="42"/>
    </row>
    <row r="564" spans="2:10">
      <c r="B564" s="3"/>
      <c r="C564" s="3"/>
      <c r="D564" s="3"/>
      <c r="E564" s="3"/>
      <c r="F564" s="3"/>
      <c r="G564" s="3"/>
      <c r="H564" s="3"/>
      <c r="I564" s="3"/>
      <c r="J564" s="42"/>
    </row>
    <row r="565" spans="2:10">
      <c r="B565" s="3"/>
      <c r="C565" s="3"/>
      <c r="D565" s="3"/>
      <c r="E565" s="3"/>
      <c r="F565" s="3"/>
      <c r="G565" s="3"/>
      <c r="H565" s="3"/>
      <c r="I565" s="3"/>
      <c r="J565" s="42"/>
    </row>
    <row r="566" spans="2:10">
      <c r="B566" s="3"/>
      <c r="C566" s="3"/>
      <c r="D566" s="3"/>
      <c r="E566" s="3"/>
      <c r="F566" s="3"/>
      <c r="G566" s="3"/>
      <c r="H566" s="3"/>
      <c r="I566" s="3"/>
      <c r="J566" s="42"/>
    </row>
    <row r="567" spans="2:10">
      <c r="B567" s="3"/>
      <c r="C567" s="3"/>
      <c r="D567" s="3"/>
      <c r="E567" s="3"/>
      <c r="F567" s="3"/>
      <c r="G567" s="3"/>
      <c r="H567" s="3"/>
      <c r="I567" s="3"/>
      <c r="J567" s="42"/>
    </row>
    <row r="568" spans="2:10">
      <c r="B568" s="3"/>
      <c r="C568" s="3"/>
      <c r="D568" s="3"/>
      <c r="E568" s="3"/>
      <c r="F568" s="3"/>
      <c r="G568" s="3"/>
      <c r="H568" s="3"/>
      <c r="I568" s="3"/>
      <c r="J568" s="42"/>
    </row>
    <row r="569" spans="2:10">
      <c r="B569" s="3"/>
      <c r="C569" s="3"/>
      <c r="D569" s="3"/>
      <c r="E569" s="3"/>
      <c r="F569" s="3"/>
      <c r="G569" s="3"/>
      <c r="H569" s="3"/>
      <c r="I569" s="3"/>
      <c r="J569" s="42"/>
    </row>
    <row r="570" spans="2:10">
      <c r="B570" s="3"/>
      <c r="C570" s="3"/>
      <c r="D570" s="3"/>
      <c r="E570" s="3"/>
      <c r="F570" s="3"/>
      <c r="G570" s="3"/>
      <c r="H570" s="3"/>
      <c r="I570" s="3"/>
      <c r="J570" s="42"/>
    </row>
    <row r="571" spans="2:10">
      <c r="B571" s="3"/>
      <c r="C571" s="3"/>
      <c r="D571" s="3"/>
      <c r="E571" s="3"/>
      <c r="F571" s="3"/>
      <c r="G571" s="3"/>
      <c r="H571" s="3"/>
      <c r="I571" s="3"/>
      <c r="J571" s="42"/>
    </row>
    <row r="572" spans="2:10">
      <c r="B572" s="3"/>
      <c r="C572" s="3"/>
      <c r="D572" s="3"/>
      <c r="E572" s="3"/>
      <c r="F572" s="3"/>
      <c r="G572" s="3"/>
      <c r="H572" s="3"/>
      <c r="I572" s="3"/>
      <c r="J572" s="42"/>
    </row>
    <row r="573" spans="2:10">
      <c r="B573" s="3"/>
      <c r="C573" s="3"/>
      <c r="D573" s="3"/>
      <c r="E573" s="3"/>
      <c r="F573" s="3"/>
      <c r="G573" s="3"/>
      <c r="H573" s="3"/>
      <c r="I573" s="3"/>
      <c r="J573" s="42"/>
    </row>
    <row r="574" spans="2:10">
      <c r="B574" s="3"/>
      <c r="C574" s="3"/>
      <c r="D574" s="3"/>
      <c r="E574" s="3"/>
      <c r="F574" s="3"/>
      <c r="G574" s="3"/>
      <c r="H574" s="3"/>
      <c r="I574" s="3"/>
      <c r="J574" s="42"/>
    </row>
    <row r="575" spans="2:10">
      <c r="B575" s="3"/>
      <c r="C575" s="3"/>
      <c r="D575" s="3"/>
      <c r="E575" s="3"/>
      <c r="F575" s="3"/>
      <c r="G575" s="3"/>
      <c r="H575" s="3"/>
      <c r="I575" s="3"/>
      <c r="J575" s="42"/>
    </row>
    <row r="576" spans="2:10">
      <c r="B576" s="3"/>
      <c r="C576" s="3"/>
      <c r="D576" s="3"/>
      <c r="E576" s="3"/>
      <c r="F576" s="3"/>
      <c r="G576" s="3"/>
      <c r="H576" s="3"/>
      <c r="I576" s="3"/>
      <c r="J576" s="42"/>
    </row>
    <row r="577" spans="2:10">
      <c r="B577" s="3"/>
      <c r="C577" s="3"/>
      <c r="D577" s="3"/>
      <c r="E577" s="3"/>
      <c r="F577" s="3"/>
      <c r="G577" s="3"/>
      <c r="H577" s="3"/>
      <c r="I577" s="3"/>
      <c r="J577" s="42"/>
    </row>
    <row r="578" spans="2:10">
      <c r="B578" s="3"/>
      <c r="C578" s="3"/>
      <c r="D578" s="3"/>
      <c r="E578" s="3"/>
      <c r="F578" s="3"/>
      <c r="G578" s="3"/>
      <c r="H578" s="3"/>
      <c r="I578" s="3"/>
      <c r="J578" s="42"/>
    </row>
    <row r="579" spans="2:10">
      <c r="B579" s="3"/>
      <c r="C579" s="3"/>
      <c r="D579" s="3"/>
      <c r="E579" s="3"/>
      <c r="F579" s="3"/>
      <c r="G579" s="3"/>
      <c r="H579" s="3"/>
      <c r="I579" s="3"/>
      <c r="J579" s="42"/>
    </row>
    <row r="580" spans="2:10">
      <c r="B580" s="3"/>
      <c r="C580" s="3"/>
      <c r="D580" s="3"/>
      <c r="E580" s="3"/>
      <c r="F580" s="3"/>
      <c r="G580" s="3"/>
      <c r="H580" s="3"/>
      <c r="I580" s="3"/>
      <c r="J580" s="42"/>
    </row>
    <row r="581" spans="2:10">
      <c r="B581" s="3"/>
      <c r="C581" s="3"/>
      <c r="D581" s="3"/>
      <c r="E581" s="3"/>
      <c r="F581" s="3"/>
      <c r="G581" s="3"/>
      <c r="H581" s="3"/>
      <c r="I581" s="3"/>
      <c r="J581" s="42"/>
    </row>
    <row r="582" spans="2:10">
      <c r="B582" s="3"/>
      <c r="C582" s="3"/>
      <c r="D582" s="3"/>
      <c r="E582" s="3"/>
      <c r="F582" s="3"/>
      <c r="G582" s="3"/>
      <c r="H582" s="3"/>
      <c r="I582" s="3"/>
      <c r="J582" s="42"/>
    </row>
    <row r="583" spans="2:10">
      <c r="B583" s="3"/>
      <c r="C583" s="3"/>
      <c r="D583" s="3"/>
      <c r="E583" s="3"/>
      <c r="F583" s="3"/>
      <c r="G583" s="3"/>
      <c r="H583" s="3"/>
      <c r="I583" s="3"/>
      <c r="J583" s="42"/>
    </row>
    <row r="584" spans="2:10">
      <c r="B584" s="3"/>
      <c r="C584" s="3"/>
      <c r="D584" s="3"/>
      <c r="E584" s="3"/>
      <c r="F584" s="3"/>
      <c r="G584" s="3"/>
      <c r="H584" s="3"/>
      <c r="I584" s="3"/>
      <c r="J584" s="42"/>
    </row>
    <row r="585" spans="2:10">
      <c r="B585" s="3"/>
      <c r="C585" s="3"/>
      <c r="D585" s="3"/>
      <c r="E585" s="3"/>
      <c r="F585" s="3"/>
      <c r="G585" s="3"/>
      <c r="H585" s="3"/>
      <c r="I585" s="3"/>
      <c r="J585" s="42"/>
    </row>
    <row r="586" spans="2:10">
      <c r="B586" s="3"/>
      <c r="C586" s="3"/>
      <c r="D586" s="3"/>
      <c r="E586" s="3"/>
      <c r="F586" s="3"/>
      <c r="G586" s="3"/>
      <c r="H586" s="3"/>
      <c r="I586" s="3"/>
      <c r="J586" s="42"/>
    </row>
    <row r="587" spans="2:10">
      <c r="B587" s="3"/>
      <c r="C587" s="3"/>
      <c r="D587" s="3"/>
      <c r="E587" s="3"/>
      <c r="F587" s="3"/>
      <c r="G587" s="3"/>
      <c r="H587" s="3"/>
      <c r="I587" s="3"/>
      <c r="J587" s="42"/>
    </row>
    <row r="588" spans="2:10">
      <c r="B588" s="3"/>
      <c r="C588" s="3"/>
      <c r="D588" s="3"/>
      <c r="E588" s="3"/>
      <c r="F588" s="3"/>
      <c r="G588" s="3"/>
      <c r="H588" s="3"/>
      <c r="I588" s="3"/>
      <c r="J588" s="42"/>
    </row>
    <row r="589" spans="2:10">
      <c r="B589" s="3"/>
      <c r="C589" s="3"/>
      <c r="D589" s="3"/>
      <c r="E589" s="3"/>
      <c r="F589" s="3"/>
      <c r="G589" s="3"/>
      <c r="H589" s="3"/>
      <c r="I589" s="3"/>
      <c r="J589" s="42"/>
    </row>
    <row r="590" spans="2:10">
      <c r="B590" s="3"/>
      <c r="C590" s="3"/>
      <c r="D590" s="3"/>
      <c r="E590" s="3"/>
      <c r="F590" s="3"/>
      <c r="G590" s="3"/>
      <c r="H590" s="3"/>
      <c r="I590" s="3"/>
      <c r="J590" s="42"/>
    </row>
    <row r="591" spans="2:10">
      <c r="B591" s="3"/>
      <c r="C591" s="3"/>
      <c r="D591" s="3"/>
      <c r="E591" s="3"/>
      <c r="F591" s="3"/>
      <c r="G591" s="3"/>
      <c r="H591" s="3"/>
      <c r="I591" s="3"/>
      <c r="J591" s="42"/>
    </row>
    <row r="592" spans="2:10">
      <c r="B592" s="3"/>
      <c r="C592" s="3"/>
      <c r="D592" s="3"/>
      <c r="E592" s="3"/>
      <c r="F592" s="3"/>
      <c r="G592" s="3"/>
      <c r="H592" s="3"/>
      <c r="I592" s="3"/>
      <c r="J592" s="42"/>
    </row>
    <row r="593" spans="2:10">
      <c r="B593" s="3"/>
      <c r="C593" s="3"/>
      <c r="D593" s="3"/>
      <c r="E593" s="3"/>
      <c r="F593" s="3"/>
      <c r="G593" s="3"/>
      <c r="H593" s="3"/>
      <c r="I593" s="3"/>
      <c r="J593" s="42"/>
    </row>
    <row r="594" spans="2:10">
      <c r="B594" s="3"/>
      <c r="C594" s="3"/>
      <c r="D594" s="3"/>
      <c r="E594" s="3"/>
      <c r="F594" s="3"/>
      <c r="G594" s="3"/>
      <c r="H594" s="3"/>
      <c r="I594" s="3"/>
      <c r="J594" s="42"/>
    </row>
    <row r="595" spans="2:10">
      <c r="B595" s="3"/>
      <c r="C595" s="3"/>
      <c r="D595" s="3"/>
      <c r="E595" s="3"/>
      <c r="F595" s="3"/>
      <c r="G595" s="3"/>
      <c r="H595" s="3"/>
      <c r="I595" s="3"/>
      <c r="J595" s="42"/>
    </row>
    <row r="596" spans="2:10">
      <c r="B596" s="3"/>
      <c r="C596" s="3"/>
      <c r="D596" s="3"/>
      <c r="E596" s="3"/>
      <c r="F596" s="3"/>
      <c r="G596" s="3"/>
      <c r="H596" s="3"/>
      <c r="I596" s="3"/>
      <c r="J596" s="42"/>
    </row>
    <row r="597" spans="2:10">
      <c r="B597" s="3"/>
      <c r="C597" s="3"/>
      <c r="D597" s="3"/>
      <c r="E597" s="3"/>
      <c r="F597" s="3"/>
      <c r="G597" s="3"/>
      <c r="H597" s="3"/>
      <c r="I597" s="3"/>
      <c r="J597" s="42"/>
    </row>
    <row r="598" spans="2:10">
      <c r="B598" s="3"/>
      <c r="C598" s="3"/>
      <c r="D598" s="3"/>
      <c r="E598" s="3"/>
      <c r="F598" s="3"/>
      <c r="G598" s="3"/>
      <c r="H598" s="3"/>
      <c r="I598" s="3"/>
      <c r="J598" s="42"/>
    </row>
    <row r="599" spans="2:10">
      <c r="B599" s="3"/>
      <c r="C599" s="3"/>
      <c r="D599" s="3"/>
      <c r="E599" s="3"/>
      <c r="F599" s="3"/>
      <c r="G599" s="3"/>
      <c r="H599" s="3"/>
      <c r="I599" s="3"/>
      <c r="J599" s="42"/>
    </row>
    <row r="600" spans="2:10">
      <c r="B600" s="3"/>
      <c r="C600" s="3"/>
      <c r="D600" s="3"/>
      <c r="E600" s="3"/>
      <c r="F600" s="3"/>
      <c r="G600" s="3"/>
      <c r="H600" s="3"/>
      <c r="I600" s="3"/>
      <c r="J600" s="42"/>
    </row>
    <row r="601" spans="2:10">
      <c r="B601" s="3"/>
      <c r="C601" s="3"/>
      <c r="D601" s="3"/>
      <c r="E601" s="3"/>
      <c r="F601" s="3"/>
      <c r="G601" s="3"/>
      <c r="H601" s="3"/>
      <c r="I601" s="3"/>
      <c r="J601" s="42"/>
    </row>
    <row r="602" spans="2:10">
      <c r="B602" s="3"/>
      <c r="C602" s="3"/>
      <c r="D602" s="3"/>
      <c r="E602" s="3"/>
      <c r="F602" s="3"/>
      <c r="G602" s="3"/>
      <c r="H602" s="3"/>
      <c r="I602" s="3"/>
      <c r="J602" s="42"/>
    </row>
    <row r="603" spans="2:10">
      <c r="B603" s="3"/>
      <c r="C603" s="3"/>
      <c r="D603" s="3"/>
      <c r="E603" s="3"/>
      <c r="F603" s="3"/>
      <c r="G603" s="3"/>
      <c r="H603" s="3"/>
      <c r="I603" s="3"/>
      <c r="J603" s="42"/>
    </row>
    <row r="604" spans="2:10">
      <c r="B604" s="3"/>
      <c r="C604" s="3"/>
      <c r="D604" s="3"/>
      <c r="E604" s="3"/>
      <c r="F604" s="3"/>
      <c r="G604" s="3"/>
      <c r="H604" s="3"/>
      <c r="I604" s="3"/>
      <c r="J604" s="42"/>
    </row>
    <row r="605" spans="2:10">
      <c r="B605" s="3"/>
      <c r="C605" s="3"/>
      <c r="D605" s="3"/>
      <c r="E605" s="3"/>
      <c r="F605" s="3"/>
      <c r="G605" s="3"/>
      <c r="H605" s="3"/>
      <c r="I605" s="3"/>
      <c r="J605" s="42"/>
    </row>
    <row r="606" spans="2:10">
      <c r="B606" s="3"/>
      <c r="C606" s="3"/>
      <c r="D606" s="3"/>
      <c r="E606" s="3"/>
      <c r="F606" s="3"/>
      <c r="G606" s="3"/>
      <c r="H606" s="3"/>
      <c r="I606" s="3"/>
      <c r="J606" s="42"/>
    </row>
    <row r="607" spans="2:10">
      <c r="B607" s="3"/>
      <c r="C607" s="3"/>
      <c r="D607" s="3"/>
      <c r="E607" s="3"/>
      <c r="F607" s="3"/>
      <c r="G607" s="3"/>
      <c r="H607" s="3"/>
      <c r="I607" s="3"/>
      <c r="J607" s="42"/>
    </row>
    <row r="608" spans="2:10">
      <c r="B608" s="3"/>
      <c r="C608" s="3"/>
      <c r="D608" s="3"/>
      <c r="E608" s="3"/>
      <c r="F608" s="3"/>
      <c r="G608" s="3"/>
      <c r="H608" s="3"/>
      <c r="I608" s="3"/>
      <c r="J608" s="42"/>
    </row>
    <row r="609" spans="2:10">
      <c r="B609" s="3"/>
      <c r="C609" s="3"/>
      <c r="D609" s="3"/>
      <c r="E609" s="3"/>
      <c r="F609" s="3"/>
      <c r="G609" s="3"/>
      <c r="H609" s="3"/>
      <c r="I609" s="3"/>
      <c r="J609" s="42"/>
    </row>
    <row r="610" spans="2:10">
      <c r="B610" s="3"/>
      <c r="C610" s="3"/>
      <c r="D610" s="3"/>
      <c r="E610" s="3"/>
      <c r="F610" s="3"/>
      <c r="G610" s="3"/>
      <c r="H610" s="3"/>
      <c r="I610" s="3"/>
      <c r="J610" s="42"/>
    </row>
    <row r="611" spans="2:10">
      <c r="B611" s="3"/>
      <c r="C611" s="3"/>
      <c r="D611" s="3"/>
      <c r="E611" s="3"/>
      <c r="F611" s="3"/>
      <c r="G611" s="3"/>
      <c r="H611" s="3"/>
      <c r="I611" s="3"/>
      <c r="J611" s="42"/>
    </row>
    <row r="612" spans="2:10">
      <c r="B612" s="3"/>
      <c r="C612" s="3"/>
      <c r="D612" s="3"/>
      <c r="E612" s="3"/>
      <c r="F612" s="3"/>
      <c r="G612" s="3"/>
      <c r="H612" s="3"/>
      <c r="I612" s="3"/>
      <c r="J612" s="42"/>
    </row>
    <row r="613" spans="2:10">
      <c r="B613" s="3"/>
      <c r="C613" s="3"/>
      <c r="D613" s="3"/>
      <c r="E613" s="3"/>
      <c r="F613" s="3"/>
      <c r="G613" s="3"/>
      <c r="H613" s="3"/>
      <c r="I613" s="3"/>
      <c r="J613" s="42"/>
    </row>
    <row r="614" spans="2:10">
      <c r="B614" s="3"/>
      <c r="C614" s="3"/>
      <c r="D614" s="3"/>
      <c r="E614" s="3"/>
      <c r="F614" s="3"/>
      <c r="G614" s="3"/>
      <c r="H614" s="3"/>
      <c r="I614" s="3"/>
      <c r="J614" s="42"/>
    </row>
    <row r="615" spans="2:10">
      <c r="B615" s="3"/>
      <c r="C615" s="3"/>
      <c r="D615" s="3"/>
      <c r="E615" s="3"/>
      <c r="F615" s="3"/>
      <c r="G615" s="3"/>
      <c r="H615" s="3"/>
      <c r="I615" s="3"/>
      <c r="J615" s="42"/>
    </row>
    <row r="616" spans="2:10">
      <c r="B616" s="3"/>
      <c r="C616" s="3"/>
      <c r="D616" s="3"/>
      <c r="E616" s="3"/>
      <c r="F616" s="3"/>
      <c r="G616" s="3"/>
      <c r="H616" s="3"/>
      <c r="I616" s="3"/>
      <c r="J616" s="42"/>
    </row>
    <row r="617" spans="2:10">
      <c r="B617" s="3"/>
      <c r="C617" s="3"/>
      <c r="D617" s="3"/>
      <c r="E617" s="3"/>
      <c r="F617" s="3"/>
      <c r="G617" s="3"/>
      <c r="H617" s="3"/>
      <c r="I617" s="3"/>
      <c r="J617" s="42"/>
    </row>
    <row r="618" spans="2:10">
      <c r="B618" s="3"/>
      <c r="C618" s="3"/>
      <c r="D618" s="3"/>
      <c r="E618" s="3"/>
      <c r="F618" s="3"/>
      <c r="G618" s="3"/>
      <c r="H618" s="3"/>
      <c r="I618" s="3"/>
      <c r="J618" s="42"/>
    </row>
    <row r="619" spans="2:10">
      <c r="B619" s="3"/>
      <c r="C619" s="3"/>
      <c r="D619" s="3"/>
      <c r="E619" s="3"/>
      <c r="F619" s="3"/>
      <c r="G619" s="3"/>
      <c r="H619" s="3"/>
      <c r="I619" s="3"/>
      <c r="J619" s="42"/>
    </row>
    <row r="620" spans="2:10">
      <c r="B620" s="3"/>
      <c r="C620" s="3"/>
      <c r="D620" s="3"/>
      <c r="E620" s="3"/>
      <c r="F620" s="3"/>
      <c r="G620" s="3"/>
      <c r="H620" s="3"/>
      <c r="I620" s="3"/>
      <c r="J620" s="42"/>
    </row>
    <row r="621" spans="2:10">
      <c r="B621" s="3"/>
      <c r="C621" s="3"/>
      <c r="D621" s="3"/>
      <c r="E621" s="3"/>
      <c r="F621" s="3"/>
      <c r="G621" s="3"/>
      <c r="H621" s="3"/>
      <c r="I621" s="3"/>
      <c r="J621" s="42"/>
    </row>
    <row r="622" spans="2:10">
      <c r="B622" s="3"/>
      <c r="C622" s="3"/>
      <c r="D622" s="3"/>
      <c r="E622" s="3"/>
      <c r="F622" s="3"/>
      <c r="G622" s="3"/>
      <c r="H622" s="3"/>
      <c r="I622" s="3"/>
      <c r="J622" s="42"/>
    </row>
    <row r="623" spans="2:10">
      <c r="B623" s="3"/>
      <c r="C623" s="3"/>
      <c r="D623" s="3"/>
      <c r="E623" s="3"/>
      <c r="F623" s="3"/>
      <c r="G623" s="3"/>
      <c r="H623" s="3"/>
      <c r="I623" s="3"/>
      <c r="J623" s="42"/>
    </row>
    <row r="624" spans="2:10">
      <c r="B624" s="3"/>
      <c r="C624" s="3"/>
      <c r="D624" s="3"/>
      <c r="E624" s="3"/>
      <c r="F624" s="3"/>
      <c r="G624" s="3"/>
      <c r="H624" s="3"/>
      <c r="I624" s="3"/>
      <c r="J624" s="42"/>
    </row>
    <row r="625" spans="2:10">
      <c r="B625" s="3"/>
      <c r="C625" s="3"/>
      <c r="D625" s="3"/>
      <c r="E625" s="3"/>
      <c r="F625" s="3"/>
      <c r="G625" s="3"/>
      <c r="H625" s="3"/>
      <c r="I625" s="3"/>
      <c r="J625" s="42"/>
    </row>
    <row r="626" spans="2:10">
      <c r="B626" s="3"/>
      <c r="C626" s="3"/>
      <c r="D626" s="3"/>
      <c r="E626" s="3"/>
      <c r="F626" s="3"/>
      <c r="G626" s="3"/>
      <c r="H626" s="3"/>
      <c r="I626" s="3"/>
      <c r="J626" s="42"/>
    </row>
    <row r="627" spans="2:10">
      <c r="B627" s="3"/>
      <c r="C627" s="3"/>
      <c r="D627" s="3"/>
      <c r="E627" s="3"/>
      <c r="F627" s="3"/>
      <c r="G627" s="3"/>
      <c r="H627" s="3"/>
      <c r="I627" s="3"/>
      <c r="J627" s="42"/>
    </row>
    <row r="628" spans="2:10">
      <c r="B628" s="3"/>
      <c r="C628" s="3"/>
      <c r="D628" s="3"/>
      <c r="E628" s="3"/>
      <c r="F628" s="3"/>
      <c r="G628" s="3"/>
      <c r="H628" s="3"/>
      <c r="I628" s="3"/>
      <c r="J628" s="42"/>
    </row>
    <row r="629" spans="2:10">
      <c r="B629" s="3"/>
      <c r="C629" s="3"/>
      <c r="D629" s="3"/>
      <c r="E629" s="3"/>
      <c r="F629" s="3"/>
      <c r="G629" s="3"/>
      <c r="H629" s="3"/>
      <c r="I629" s="3"/>
      <c r="J629" s="42"/>
    </row>
    <row r="630" spans="2:10">
      <c r="B630" s="3"/>
      <c r="C630" s="3"/>
      <c r="D630" s="3"/>
      <c r="E630" s="3"/>
      <c r="F630" s="3"/>
      <c r="G630" s="3"/>
      <c r="H630" s="3"/>
      <c r="I630" s="3"/>
      <c r="J630" s="42"/>
    </row>
    <row r="631" spans="2:10">
      <c r="B631" s="3"/>
      <c r="C631" s="3"/>
      <c r="D631" s="3"/>
      <c r="E631" s="3"/>
      <c r="F631" s="3"/>
      <c r="G631" s="3"/>
      <c r="H631" s="3"/>
      <c r="I631" s="3"/>
      <c r="J631" s="42"/>
    </row>
    <row r="632" spans="2:10">
      <c r="B632" s="3"/>
      <c r="C632" s="3"/>
      <c r="D632" s="3"/>
      <c r="E632" s="3"/>
      <c r="F632" s="3"/>
      <c r="G632" s="3"/>
      <c r="H632" s="3"/>
      <c r="I632" s="3"/>
      <c r="J632" s="42"/>
    </row>
    <row r="633" spans="2:10">
      <c r="B633" s="3"/>
      <c r="C633" s="3"/>
      <c r="D633" s="3"/>
      <c r="E633" s="3"/>
      <c r="F633" s="3"/>
      <c r="G633" s="3"/>
      <c r="H633" s="3"/>
      <c r="I633" s="3"/>
      <c r="J633" s="42"/>
    </row>
    <row r="634" spans="2:10">
      <c r="B634" s="3"/>
      <c r="C634" s="3"/>
      <c r="D634" s="3"/>
      <c r="E634" s="3"/>
      <c r="F634" s="3"/>
      <c r="G634" s="3"/>
      <c r="H634" s="3"/>
      <c r="I634" s="3"/>
      <c r="J634" s="42"/>
    </row>
    <row r="635" spans="2:10">
      <c r="B635" s="3"/>
      <c r="C635" s="3"/>
      <c r="D635" s="3"/>
      <c r="E635" s="3"/>
      <c r="F635" s="3"/>
      <c r="G635" s="3"/>
      <c r="H635" s="3"/>
      <c r="I635" s="3"/>
      <c r="J635" s="42"/>
    </row>
    <row r="636" spans="2:10">
      <c r="B636" s="3"/>
      <c r="C636" s="3"/>
      <c r="D636" s="3"/>
      <c r="E636" s="3"/>
      <c r="F636" s="3"/>
      <c r="G636" s="3"/>
      <c r="H636" s="3"/>
      <c r="I636" s="3"/>
      <c r="J636" s="42"/>
    </row>
    <row r="637" spans="2:10">
      <c r="B637" s="3"/>
      <c r="C637" s="3"/>
      <c r="D637" s="3"/>
      <c r="E637" s="3"/>
      <c r="F637" s="3"/>
      <c r="G637" s="3"/>
      <c r="H637" s="3"/>
      <c r="I637" s="3"/>
      <c r="J637" s="42"/>
    </row>
    <row r="638" spans="2:10">
      <c r="B638" s="3"/>
      <c r="C638" s="3"/>
      <c r="D638" s="3"/>
      <c r="E638" s="3"/>
      <c r="F638" s="3"/>
      <c r="G638" s="3"/>
      <c r="H638" s="3"/>
      <c r="I638" s="3"/>
      <c r="J638" s="42"/>
    </row>
    <row r="639" spans="2:10">
      <c r="B639" s="3"/>
      <c r="C639" s="3"/>
      <c r="D639" s="3"/>
      <c r="E639" s="3"/>
      <c r="F639" s="3"/>
      <c r="G639" s="3"/>
      <c r="H639" s="3"/>
      <c r="I639" s="3"/>
      <c r="J639" s="42"/>
    </row>
    <row r="640" spans="2:10">
      <c r="B640" s="3"/>
      <c r="C640" s="3"/>
      <c r="D640" s="3"/>
      <c r="E640" s="3"/>
      <c r="F640" s="3"/>
      <c r="G640" s="3"/>
      <c r="H640" s="3"/>
      <c r="I640" s="3"/>
      <c r="J640" s="42"/>
    </row>
    <row r="641" spans="2:10">
      <c r="B641" s="3"/>
      <c r="C641" s="3"/>
      <c r="D641" s="3"/>
      <c r="E641" s="3"/>
      <c r="F641" s="3"/>
      <c r="G641" s="3"/>
      <c r="H641" s="3"/>
      <c r="I641" s="3"/>
      <c r="J641" s="42"/>
    </row>
    <row r="642" spans="2:10">
      <c r="B642" s="3"/>
      <c r="C642" s="3"/>
      <c r="D642" s="3"/>
      <c r="E642" s="3"/>
      <c r="F642" s="3"/>
      <c r="G642" s="3"/>
      <c r="H642" s="3"/>
      <c r="I642" s="3"/>
      <c r="J642" s="42"/>
    </row>
    <row r="643" spans="2:10">
      <c r="B643" s="3"/>
      <c r="C643" s="3"/>
      <c r="D643" s="3"/>
      <c r="E643" s="3"/>
      <c r="F643" s="3"/>
      <c r="G643" s="3"/>
      <c r="H643" s="3"/>
      <c r="I643" s="3"/>
      <c r="J643" s="42"/>
    </row>
    <row r="644" spans="2:10">
      <c r="B644" s="3"/>
      <c r="C644" s="3"/>
      <c r="D644" s="3"/>
      <c r="E644" s="3"/>
      <c r="F644" s="3"/>
      <c r="G644" s="3"/>
      <c r="H644" s="3"/>
      <c r="I644" s="3"/>
      <c r="J644" s="42"/>
    </row>
    <row r="645" spans="2:10">
      <c r="B645" s="3"/>
      <c r="C645" s="3"/>
      <c r="D645" s="3"/>
      <c r="E645" s="3"/>
      <c r="F645" s="3"/>
      <c r="G645" s="3"/>
      <c r="H645" s="3"/>
      <c r="I645" s="3"/>
      <c r="J645" s="42"/>
    </row>
    <row r="646" spans="2:10">
      <c r="B646" s="3"/>
      <c r="C646" s="3"/>
      <c r="D646" s="3"/>
      <c r="E646" s="3"/>
      <c r="F646" s="3"/>
      <c r="G646" s="3"/>
      <c r="H646" s="3"/>
      <c r="I646" s="3"/>
      <c r="J646" s="42"/>
    </row>
    <row r="647" spans="2:10">
      <c r="B647" s="3"/>
      <c r="C647" s="3"/>
      <c r="D647" s="3"/>
      <c r="E647" s="3"/>
      <c r="F647" s="3"/>
      <c r="G647" s="3"/>
      <c r="H647" s="3"/>
      <c r="I647" s="3"/>
      <c r="J647" s="42"/>
    </row>
    <row r="648" spans="2:10">
      <c r="B648" s="3"/>
      <c r="C648" s="3"/>
      <c r="D648" s="3"/>
      <c r="E648" s="3"/>
      <c r="F648" s="3"/>
      <c r="G648" s="3"/>
      <c r="H648" s="3"/>
      <c r="I648" s="3"/>
      <c r="J648" s="42"/>
    </row>
    <row r="649" spans="2:10">
      <c r="B649" s="3"/>
      <c r="C649" s="3"/>
      <c r="D649" s="3"/>
      <c r="E649" s="3"/>
      <c r="F649" s="3"/>
      <c r="G649" s="3"/>
      <c r="H649" s="3"/>
      <c r="I649" s="3"/>
      <c r="J649" s="42"/>
    </row>
    <row r="650" spans="2:10">
      <c r="B650" s="3"/>
      <c r="C650" s="3"/>
      <c r="D650" s="3"/>
      <c r="E650" s="3"/>
      <c r="F650" s="3"/>
      <c r="G650" s="3"/>
      <c r="H650" s="3"/>
      <c r="I650" s="3"/>
      <c r="J650" s="42"/>
    </row>
    <row r="651" spans="2:10">
      <c r="B651" s="3"/>
      <c r="C651" s="3"/>
      <c r="D651" s="3"/>
      <c r="E651" s="3"/>
      <c r="F651" s="3"/>
      <c r="G651" s="3"/>
      <c r="H651" s="3"/>
      <c r="I651" s="3"/>
      <c r="J651" s="42"/>
    </row>
    <row r="652" spans="2:10">
      <c r="B652" s="3"/>
      <c r="C652" s="3"/>
      <c r="D652" s="3"/>
      <c r="E652" s="3"/>
      <c r="F652" s="3"/>
      <c r="G652" s="3"/>
      <c r="H652" s="3"/>
      <c r="I652" s="3"/>
      <c r="J652" s="42"/>
    </row>
    <row r="653" spans="2:10">
      <c r="B653" s="3"/>
      <c r="C653" s="3"/>
      <c r="D653" s="3"/>
      <c r="E653" s="3"/>
      <c r="F653" s="3"/>
      <c r="G653" s="3"/>
      <c r="H653" s="3"/>
      <c r="I653" s="3"/>
      <c r="J653" s="42"/>
    </row>
    <row r="654" spans="2:10">
      <c r="B654" s="3"/>
      <c r="C654" s="3"/>
      <c r="D654" s="3"/>
      <c r="E654" s="3"/>
      <c r="F654" s="3"/>
      <c r="G654" s="3"/>
      <c r="H654" s="3"/>
      <c r="I654" s="3"/>
      <c r="J654" s="42"/>
    </row>
    <row r="655" spans="2:10">
      <c r="B655" s="3"/>
      <c r="C655" s="3"/>
      <c r="D655" s="3"/>
      <c r="E655" s="3"/>
      <c r="F655" s="3"/>
      <c r="G655" s="3"/>
      <c r="H655" s="3"/>
      <c r="I655" s="3"/>
      <c r="J655" s="42"/>
    </row>
    <row r="656" spans="2:10">
      <c r="B656" s="3"/>
      <c r="C656" s="3"/>
      <c r="D656" s="3"/>
      <c r="E656" s="3"/>
      <c r="F656" s="3"/>
      <c r="G656" s="3"/>
      <c r="H656" s="3"/>
      <c r="I656" s="3"/>
      <c r="J656" s="42"/>
    </row>
    <row r="657" spans="2:10">
      <c r="B657" s="3"/>
      <c r="C657" s="3"/>
      <c r="D657" s="3"/>
      <c r="E657" s="3"/>
      <c r="F657" s="3"/>
      <c r="G657" s="3"/>
      <c r="H657" s="3"/>
      <c r="I657" s="3"/>
      <c r="J657" s="42"/>
    </row>
    <row r="658" spans="2:10">
      <c r="B658" s="3"/>
      <c r="C658" s="3"/>
      <c r="D658" s="3"/>
      <c r="E658" s="3"/>
      <c r="F658" s="3"/>
      <c r="G658" s="3"/>
      <c r="H658" s="3"/>
      <c r="I658" s="3"/>
      <c r="J658" s="42"/>
    </row>
    <row r="659" spans="2:10">
      <c r="B659" s="3"/>
      <c r="C659" s="3"/>
      <c r="D659" s="3"/>
      <c r="E659" s="3"/>
      <c r="F659" s="3"/>
      <c r="G659" s="3"/>
      <c r="H659" s="3"/>
      <c r="I659" s="3"/>
      <c r="J659" s="42"/>
    </row>
    <row r="660" spans="2:10">
      <c r="B660" s="3"/>
      <c r="C660" s="3"/>
      <c r="D660" s="3"/>
      <c r="E660" s="3"/>
      <c r="F660" s="3"/>
      <c r="G660" s="3"/>
      <c r="H660" s="3"/>
      <c r="I660" s="3"/>
      <c r="J660" s="42"/>
    </row>
    <row r="661" spans="2:10">
      <c r="B661" s="3"/>
      <c r="C661" s="3"/>
      <c r="D661" s="3"/>
      <c r="E661" s="3"/>
      <c r="F661" s="3"/>
      <c r="G661" s="3"/>
      <c r="H661" s="3"/>
      <c r="I661" s="3"/>
      <c r="J661" s="42"/>
    </row>
    <row r="662" spans="2:10">
      <c r="B662" s="3"/>
      <c r="C662" s="3"/>
      <c r="D662" s="3"/>
      <c r="E662" s="3"/>
      <c r="F662" s="3"/>
      <c r="G662" s="3"/>
      <c r="H662" s="3"/>
      <c r="I662" s="3"/>
      <c r="J662" s="42"/>
    </row>
    <row r="663" spans="2:10">
      <c r="B663" s="3"/>
      <c r="C663" s="3"/>
      <c r="D663" s="3"/>
      <c r="E663" s="3"/>
      <c r="F663" s="3"/>
      <c r="G663" s="3"/>
      <c r="H663" s="3"/>
      <c r="I663" s="3"/>
      <c r="J663" s="42"/>
    </row>
    <row r="664" spans="2:10">
      <c r="B664" s="3"/>
      <c r="C664" s="3"/>
      <c r="D664" s="3"/>
      <c r="E664" s="3"/>
      <c r="F664" s="3"/>
      <c r="G664" s="3"/>
      <c r="H664" s="3"/>
      <c r="I664" s="3"/>
      <c r="J664" s="42"/>
    </row>
    <row r="665" spans="2:10">
      <c r="B665" s="3"/>
      <c r="C665" s="3"/>
      <c r="D665" s="3"/>
      <c r="E665" s="3"/>
      <c r="F665" s="3"/>
      <c r="G665" s="3"/>
      <c r="H665" s="3"/>
      <c r="I665" s="3"/>
      <c r="J665" s="42"/>
    </row>
    <row r="666" spans="2:10">
      <c r="B666" s="3"/>
      <c r="C666" s="3"/>
      <c r="D666" s="3"/>
      <c r="E666" s="3"/>
      <c r="F666" s="3"/>
      <c r="G666" s="3"/>
      <c r="H666" s="3"/>
      <c r="I666" s="3"/>
      <c r="J666" s="42"/>
    </row>
    <row r="667" spans="2:10">
      <c r="B667" s="3"/>
      <c r="C667" s="3"/>
      <c r="D667" s="3"/>
      <c r="E667" s="3"/>
      <c r="F667" s="3"/>
      <c r="G667" s="3"/>
      <c r="H667" s="3"/>
      <c r="I667" s="3"/>
      <c r="J667" s="42"/>
    </row>
    <row r="668" spans="2:10">
      <c r="B668" s="3"/>
      <c r="C668" s="3"/>
      <c r="D668" s="3"/>
      <c r="E668" s="3"/>
      <c r="F668" s="3"/>
      <c r="G668" s="3"/>
      <c r="H668" s="3"/>
      <c r="I668" s="3"/>
      <c r="J668" s="42"/>
    </row>
    <row r="669" spans="2:10">
      <c r="B669" s="3"/>
      <c r="C669" s="3"/>
      <c r="D669" s="3"/>
      <c r="E669" s="3"/>
      <c r="F669" s="3"/>
      <c r="G669" s="3"/>
      <c r="H669" s="3"/>
      <c r="I669" s="3"/>
      <c r="J669" s="42"/>
    </row>
    <row r="670" spans="2:10">
      <c r="B670" s="3"/>
      <c r="C670" s="3"/>
      <c r="D670" s="3"/>
      <c r="E670" s="3"/>
      <c r="F670" s="3"/>
      <c r="G670" s="3"/>
      <c r="H670" s="3"/>
      <c r="I670" s="3"/>
      <c r="J670" s="42"/>
    </row>
    <row r="671" spans="2:10">
      <c r="B671" s="3"/>
      <c r="C671" s="3"/>
      <c r="D671" s="3"/>
      <c r="E671" s="3"/>
      <c r="F671" s="3"/>
      <c r="G671" s="3"/>
      <c r="H671" s="3"/>
      <c r="I671" s="3"/>
      <c r="J671" s="42"/>
    </row>
    <row r="672" spans="2:10">
      <c r="B672" s="3"/>
      <c r="C672" s="3"/>
      <c r="D672" s="3"/>
      <c r="E672" s="3"/>
      <c r="F672" s="3"/>
      <c r="G672" s="3"/>
      <c r="H672" s="3"/>
      <c r="I672" s="3"/>
      <c r="J672" s="42"/>
    </row>
    <row r="673" spans="2:10">
      <c r="B673" s="3"/>
      <c r="C673" s="3"/>
      <c r="D673" s="3"/>
      <c r="E673" s="3"/>
      <c r="F673" s="3"/>
      <c r="G673" s="3"/>
      <c r="H673" s="3"/>
      <c r="I673" s="3"/>
      <c r="J673" s="42"/>
    </row>
    <row r="674" spans="2:10">
      <c r="B674" s="3"/>
      <c r="C674" s="3"/>
      <c r="D674" s="3"/>
      <c r="E674" s="3"/>
      <c r="F674" s="3"/>
      <c r="G674" s="3"/>
      <c r="H674" s="3"/>
      <c r="I674" s="3"/>
      <c r="J674" s="42"/>
    </row>
    <row r="675" spans="2:10">
      <c r="B675" s="3"/>
      <c r="C675" s="3"/>
      <c r="D675" s="3"/>
      <c r="E675" s="3"/>
      <c r="F675" s="3"/>
      <c r="G675" s="3"/>
      <c r="H675" s="3"/>
      <c r="I675" s="3"/>
      <c r="J675" s="42"/>
    </row>
    <row r="676" spans="2:10">
      <c r="B676" s="3"/>
      <c r="C676" s="3"/>
      <c r="D676" s="3"/>
      <c r="E676" s="3"/>
      <c r="F676" s="3"/>
      <c r="G676" s="3"/>
      <c r="H676" s="3"/>
      <c r="I676" s="3"/>
      <c r="J676" s="42"/>
    </row>
    <row r="677" spans="2:10">
      <c r="B677" s="3"/>
      <c r="C677" s="3"/>
      <c r="D677" s="3"/>
      <c r="E677" s="3"/>
      <c r="F677" s="3"/>
      <c r="G677" s="3"/>
      <c r="H677" s="3"/>
      <c r="I677" s="3"/>
      <c r="J677" s="42"/>
    </row>
    <row r="678" spans="2:10">
      <c r="B678" s="3"/>
      <c r="C678" s="3"/>
      <c r="D678" s="3"/>
      <c r="E678" s="3"/>
      <c r="F678" s="3"/>
      <c r="G678" s="3"/>
      <c r="H678" s="3"/>
      <c r="I678" s="3"/>
      <c r="J678" s="42"/>
    </row>
    <row r="679" spans="2:10">
      <c r="B679" s="3"/>
      <c r="C679" s="3"/>
      <c r="D679" s="3"/>
      <c r="E679" s="3"/>
      <c r="F679" s="3"/>
      <c r="G679" s="3"/>
      <c r="H679" s="3"/>
      <c r="I679" s="3"/>
      <c r="J679" s="42"/>
    </row>
    <row r="680" spans="2:10">
      <c r="B680" s="3"/>
      <c r="C680" s="3"/>
      <c r="D680" s="3"/>
      <c r="E680" s="3"/>
      <c r="F680" s="3"/>
      <c r="G680" s="3"/>
      <c r="H680" s="3"/>
      <c r="I680" s="3"/>
      <c r="J680" s="42"/>
    </row>
    <row r="681" spans="2:10">
      <c r="B681" s="3"/>
      <c r="C681" s="3"/>
      <c r="D681" s="3"/>
      <c r="E681" s="3"/>
      <c r="F681" s="3"/>
      <c r="G681" s="3"/>
      <c r="H681" s="3"/>
      <c r="I681" s="3"/>
      <c r="J681" s="42"/>
    </row>
    <row r="682" spans="2:10">
      <c r="B682" s="3"/>
      <c r="C682" s="3"/>
      <c r="D682" s="3"/>
      <c r="E682" s="3"/>
      <c r="F682" s="3"/>
      <c r="G682" s="3"/>
      <c r="H682" s="3"/>
      <c r="I682" s="3"/>
      <c r="J682" s="42"/>
    </row>
    <row r="683" spans="2:10">
      <c r="B683" s="3"/>
      <c r="C683" s="3"/>
      <c r="D683" s="3"/>
      <c r="E683" s="3"/>
      <c r="F683" s="3"/>
      <c r="G683" s="3"/>
      <c r="H683" s="3"/>
      <c r="I683" s="3"/>
      <c r="J683" s="42"/>
    </row>
    <row r="684" spans="2:10">
      <c r="B684" s="3"/>
      <c r="C684" s="3"/>
      <c r="D684" s="3"/>
      <c r="E684" s="3"/>
      <c r="F684" s="3"/>
      <c r="G684" s="3"/>
      <c r="H684" s="3"/>
      <c r="I684" s="3"/>
      <c r="J684" s="42"/>
    </row>
    <row r="685" spans="2:10">
      <c r="B685" s="3"/>
      <c r="C685" s="3"/>
      <c r="D685" s="3"/>
      <c r="E685" s="3"/>
      <c r="F685" s="3"/>
      <c r="G685" s="3"/>
      <c r="H685" s="3"/>
      <c r="I685" s="3"/>
      <c r="J685" s="42"/>
    </row>
    <row r="686" spans="2:10">
      <c r="B686" s="3"/>
      <c r="C686" s="3"/>
      <c r="D686" s="3"/>
      <c r="E686" s="3"/>
      <c r="F686" s="3"/>
      <c r="G686" s="3"/>
      <c r="H686" s="3"/>
      <c r="I686" s="3"/>
      <c r="J686" s="42"/>
    </row>
    <row r="687" spans="2:10">
      <c r="B687" s="3"/>
      <c r="C687" s="3"/>
      <c r="D687" s="3"/>
      <c r="E687" s="3"/>
      <c r="F687" s="3"/>
      <c r="G687" s="3"/>
      <c r="H687" s="3"/>
      <c r="I687" s="3"/>
      <c r="J687" s="42"/>
    </row>
    <row r="688" spans="2:10">
      <c r="B688" s="3"/>
      <c r="C688" s="3"/>
      <c r="D688" s="3"/>
      <c r="E688" s="3"/>
      <c r="F688" s="3"/>
      <c r="G688" s="3"/>
      <c r="H688" s="3"/>
      <c r="I688" s="3"/>
      <c r="J688" s="42"/>
    </row>
    <row r="689" spans="2:10">
      <c r="B689" s="3"/>
      <c r="C689" s="3"/>
      <c r="D689" s="3"/>
      <c r="E689" s="3"/>
      <c r="F689" s="3"/>
      <c r="G689" s="3"/>
      <c r="H689" s="3"/>
      <c r="I689" s="3"/>
      <c r="J689" s="42"/>
    </row>
    <row r="690" spans="2:10">
      <c r="B690" s="3"/>
      <c r="C690" s="3"/>
      <c r="D690" s="3"/>
      <c r="E690" s="3"/>
      <c r="F690" s="3"/>
      <c r="G690" s="3"/>
      <c r="H690" s="3"/>
      <c r="I690" s="3"/>
      <c r="J690" s="42"/>
    </row>
    <row r="691" spans="2:10">
      <c r="B691" s="3"/>
      <c r="C691" s="3"/>
      <c r="D691" s="3"/>
      <c r="E691" s="3"/>
      <c r="F691" s="3"/>
      <c r="G691" s="3"/>
      <c r="H691" s="3"/>
      <c r="I691" s="3"/>
      <c r="J691" s="42"/>
    </row>
    <row r="692" spans="2:10">
      <c r="B692" s="3"/>
      <c r="C692" s="3"/>
      <c r="D692" s="3"/>
      <c r="E692" s="3"/>
      <c r="F692" s="3"/>
      <c r="G692" s="3"/>
      <c r="H692" s="3"/>
      <c r="I692" s="3"/>
      <c r="J692" s="42"/>
    </row>
    <row r="693" spans="2:10">
      <c r="B693" s="3"/>
      <c r="C693" s="3"/>
      <c r="D693" s="3"/>
      <c r="E693" s="3"/>
      <c r="F693" s="3"/>
      <c r="G693" s="3"/>
      <c r="H693" s="3"/>
      <c r="I693" s="3"/>
      <c r="J693" s="42"/>
    </row>
    <row r="694" spans="2:10">
      <c r="B694" s="3"/>
      <c r="C694" s="3"/>
      <c r="D694" s="3"/>
      <c r="E694" s="3"/>
      <c r="F694" s="3"/>
      <c r="G694" s="3"/>
      <c r="H694" s="3"/>
      <c r="I694" s="3"/>
      <c r="J694" s="42"/>
    </row>
    <row r="695" spans="2:10">
      <c r="B695" s="3"/>
      <c r="C695" s="3"/>
      <c r="D695" s="3"/>
      <c r="E695" s="3"/>
      <c r="F695" s="3"/>
      <c r="G695" s="3"/>
      <c r="H695" s="3"/>
      <c r="I695" s="3"/>
      <c r="J695" s="42"/>
    </row>
    <row r="696" spans="2:10">
      <c r="B696" s="3"/>
      <c r="C696" s="3"/>
      <c r="D696" s="3"/>
      <c r="E696" s="3"/>
      <c r="F696" s="3"/>
      <c r="G696" s="3"/>
      <c r="H696" s="3"/>
      <c r="I696" s="3"/>
      <c r="J696" s="42"/>
    </row>
    <row r="697" spans="2:10">
      <c r="B697" s="3"/>
      <c r="C697" s="3"/>
      <c r="D697" s="3"/>
      <c r="E697" s="3"/>
      <c r="F697" s="3"/>
      <c r="G697" s="3"/>
      <c r="H697" s="3"/>
      <c r="I697" s="3"/>
      <c r="J697" s="42"/>
    </row>
    <row r="698" spans="2:10">
      <c r="B698" s="3"/>
      <c r="C698" s="3"/>
      <c r="D698" s="3"/>
      <c r="E698" s="3"/>
      <c r="F698" s="3"/>
      <c r="G698" s="3"/>
      <c r="H698" s="3"/>
      <c r="I698" s="3"/>
      <c r="J698" s="42"/>
    </row>
    <row r="699" spans="2:10">
      <c r="B699" s="3"/>
      <c r="C699" s="3"/>
      <c r="D699" s="3"/>
      <c r="E699" s="3"/>
      <c r="F699" s="3"/>
      <c r="G699" s="3"/>
      <c r="H699" s="3"/>
      <c r="I699" s="3"/>
      <c r="J699" s="42"/>
    </row>
    <row r="700" spans="2:10">
      <c r="B700" s="3"/>
      <c r="C700" s="3"/>
      <c r="D700" s="3"/>
      <c r="E700" s="3"/>
      <c r="F700" s="3"/>
      <c r="G700" s="3"/>
      <c r="H700" s="3"/>
      <c r="I700" s="3"/>
      <c r="J700" s="42"/>
    </row>
    <row r="701" spans="2:10">
      <c r="B701" s="3"/>
      <c r="C701" s="3"/>
      <c r="D701" s="3"/>
      <c r="E701" s="3"/>
      <c r="F701" s="3"/>
      <c r="G701" s="3"/>
      <c r="H701" s="3"/>
      <c r="I701" s="3"/>
      <c r="J701" s="42"/>
    </row>
    <row r="702" spans="2:10">
      <c r="B702" s="3"/>
      <c r="C702" s="3"/>
      <c r="D702" s="3"/>
      <c r="E702" s="3"/>
      <c r="F702" s="3"/>
      <c r="G702" s="3"/>
      <c r="H702" s="3"/>
      <c r="I702" s="3"/>
      <c r="J702" s="42"/>
    </row>
    <row r="703" spans="2:10">
      <c r="B703" s="3"/>
      <c r="C703" s="3"/>
      <c r="D703" s="3"/>
      <c r="E703" s="3"/>
      <c r="F703" s="3"/>
      <c r="G703" s="3"/>
      <c r="H703" s="3"/>
      <c r="I703" s="3"/>
      <c r="J703" s="42"/>
    </row>
    <row r="704" spans="2:10">
      <c r="B704" s="3"/>
      <c r="C704" s="3"/>
      <c r="D704" s="3"/>
      <c r="E704" s="3"/>
      <c r="F704" s="3"/>
      <c r="G704" s="3"/>
      <c r="H704" s="3"/>
      <c r="I704" s="3"/>
      <c r="J704" s="42"/>
    </row>
    <row r="705" spans="2:10">
      <c r="B705" s="3"/>
      <c r="C705" s="3"/>
      <c r="D705" s="3"/>
      <c r="E705" s="3"/>
      <c r="F705" s="3"/>
      <c r="G705" s="3"/>
      <c r="H705" s="3"/>
      <c r="I705" s="3"/>
      <c r="J705" s="42"/>
    </row>
    <row r="706" spans="2:10">
      <c r="B706" s="3"/>
      <c r="C706" s="3"/>
      <c r="D706" s="3"/>
      <c r="E706" s="3"/>
      <c r="F706" s="3"/>
      <c r="G706" s="3"/>
      <c r="H706" s="3"/>
      <c r="I706" s="3"/>
      <c r="J706" s="42"/>
    </row>
    <row r="707" spans="2:10">
      <c r="B707" s="3"/>
      <c r="C707" s="3"/>
      <c r="D707" s="3"/>
      <c r="E707" s="3"/>
      <c r="F707" s="3"/>
      <c r="G707" s="3"/>
      <c r="H707" s="3"/>
      <c r="I707" s="3"/>
      <c r="J707" s="42"/>
    </row>
    <row r="708" spans="2:10">
      <c r="B708" s="3"/>
      <c r="C708" s="3"/>
      <c r="D708" s="3"/>
      <c r="E708" s="3"/>
      <c r="F708" s="3"/>
      <c r="G708" s="3"/>
      <c r="H708" s="3"/>
      <c r="I708" s="3"/>
      <c r="J708" s="42"/>
    </row>
    <row r="709" spans="2:10">
      <c r="B709" s="3"/>
      <c r="C709" s="3"/>
      <c r="D709" s="3"/>
      <c r="E709" s="3"/>
      <c r="F709" s="3"/>
      <c r="G709" s="3"/>
      <c r="H709" s="3"/>
      <c r="I709" s="3"/>
      <c r="J709" s="42"/>
    </row>
    <row r="710" spans="2:10">
      <c r="B710" s="3"/>
      <c r="C710" s="3"/>
      <c r="D710" s="3"/>
      <c r="E710" s="3"/>
      <c r="F710" s="3"/>
      <c r="G710" s="3"/>
      <c r="H710" s="3"/>
      <c r="I710" s="3"/>
      <c r="J710" s="42"/>
    </row>
    <row r="711" spans="2:10">
      <c r="B711" s="3"/>
      <c r="C711" s="3"/>
      <c r="D711" s="3"/>
      <c r="E711" s="3"/>
      <c r="F711" s="3"/>
      <c r="G711" s="3"/>
      <c r="H711" s="3"/>
      <c r="I711" s="3"/>
      <c r="J711" s="42"/>
    </row>
    <row r="712" spans="2:10">
      <c r="B712" s="3"/>
      <c r="C712" s="3"/>
      <c r="D712" s="3"/>
      <c r="E712" s="3"/>
      <c r="F712" s="3"/>
      <c r="G712" s="3"/>
      <c r="H712" s="3"/>
      <c r="I712" s="3"/>
      <c r="J712" s="42"/>
    </row>
    <row r="713" spans="2:10">
      <c r="B713" s="3"/>
      <c r="C713" s="3"/>
      <c r="D713" s="3"/>
      <c r="E713" s="3"/>
      <c r="F713" s="3"/>
      <c r="G713" s="3"/>
      <c r="H713" s="3"/>
      <c r="I713" s="3"/>
      <c r="J713" s="42"/>
    </row>
    <row r="714" spans="2:10">
      <c r="B714" s="3"/>
      <c r="C714" s="3"/>
      <c r="D714" s="3"/>
      <c r="E714" s="3"/>
      <c r="F714" s="3"/>
      <c r="G714" s="3"/>
      <c r="H714" s="3"/>
      <c r="I714" s="3"/>
      <c r="J714" s="42"/>
    </row>
    <row r="715" spans="2:10">
      <c r="B715" s="3"/>
      <c r="C715" s="3"/>
      <c r="D715" s="3"/>
      <c r="E715" s="3"/>
      <c r="F715" s="3"/>
      <c r="G715" s="3"/>
      <c r="H715" s="3"/>
      <c r="I715" s="3"/>
      <c r="J715" s="42"/>
    </row>
    <row r="716" spans="2:10">
      <c r="B716" s="3"/>
      <c r="C716" s="3"/>
      <c r="D716" s="3"/>
      <c r="E716" s="3"/>
      <c r="F716" s="3"/>
      <c r="G716" s="3"/>
      <c r="H716" s="3"/>
      <c r="I716" s="3"/>
      <c r="J716" s="42"/>
    </row>
    <row r="717" spans="2:10">
      <c r="B717" s="3"/>
      <c r="C717" s="3"/>
      <c r="D717" s="3"/>
      <c r="E717" s="3"/>
      <c r="F717" s="3"/>
      <c r="G717" s="3"/>
      <c r="H717" s="3"/>
      <c r="I717" s="3"/>
      <c r="J717" s="42"/>
    </row>
    <row r="718" spans="2:10">
      <c r="B718" s="3"/>
      <c r="C718" s="3"/>
      <c r="D718" s="3"/>
      <c r="E718" s="3"/>
      <c r="F718" s="3"/>
      <c r="G718" s="3"/>
      <c r="H718" s="3"/>
      <c r="I718" s="3"/>
      <c r="J718" s="42"/>
    </row>
    <row r="719" spans="2:10">
      <c r="B719" s="3"/>
      <c r="C719" s="3"/>
      <c r="D719" s="3"/>
      <c r="E719" s="3"/>
      <c r="F719" s="3"/>
      <c r="G719" s="3"/>
      <c r="H719" s="3"/>
      <c r="I719" s="3"/>
      <c r="J719" s="42"/>
    </row>
    <row r="720" spans="2:10">
      <c r="B720" s="3"/>
      <c r="C720" s="3"/>
      <c r="D720" s="3"/>
      <c r="E720" s="3"/>
      <c r="F720" s="3"/>
      <c r="G720" s="3"/>
      <c r="H720" s="3"/>
      <c r="I720" s="3"/>
      <c r="J720" s="42"/>
    </row>
    <row r="721" spans="2:2">
      <c r="B721" s="3"/>
    </row>
    <row r="722" spans="2:2">
      <c r="B722" s="3"/>
    </row>
    <row r="723" spans="2:2">
      <c r="B723" s="3"/>
    </row>
    <row r="724" spans="2:2">
      <c r="B724" s="3"/>
    </row>
  </sheetData>
  <sortState xmlns:xlrd2="http://schemas.microsoft.com/office/spreadsheetml/2017/richdata2" ref="C2:J24">
    <sortCondition ref="J2"/>
  </sortState>
  <phoneticPr fontId="9" type="noConversion"/>
  <pageMargins left="0.7" right="0.7" top="0.75" bottom="0.75" header="0.3" footer="0.3"/>
  <pageSetup scale="76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MAINQ</vt:lpstr>
      <vt:lpstr>Ind</vt:lpstr>
      <vt:lpstr>ROOK</vt:lpstr>
      <vt:lpstr>Team</vt:lpstr>
      <vt:lpstr>Ind!Print_Area</vt:lpstr>
      <vt:lpstr>ROOK!Print_Area</vt:lpstr>
      <vt:lpstr>Team!Print_Area</vt:lpstr>
      <vt:lpstr>TT</vt:lpstr>
      <vt:lpstr>YTDInd</vt:lpstr>
    </vt:vector>
  </TitlesOfParts>
  <Company>Expeditors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Peterson</dc:creator>
  <cp:lastModifiedBy>Microsoft Office User</cp:lastModifiedBy>
  <cp:lastPrinted>2019-03-19T15:09:20Z</cp:lastPrinted>
  <dcterms:created xsi:type="dcterms:W3CDTF">2011-11-23T23:09:47Z</dcterms:created>
  <dcterms:modified xsi:type="dcterms:W3CDTF">2019-10-16T15:20:18Z</dcterms:modified>
</cp:coreProperties>
</file>