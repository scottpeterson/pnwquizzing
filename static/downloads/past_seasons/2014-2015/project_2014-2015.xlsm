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Quizzing\Statistics\"/>
    </mc:Choice>
  </mc:AlternateContent>
  <bookViews>
    <workbookView xWindow="0" yWindow="0" windowWidth="25605" windowHeight="15525"/>
  </bookViews>
  <sheets>
    <sheet name="DATA" sheetId="1" r:id="rId1"/>
    <sheet name="Accuracy" sheetId="2" r:id="rId2"/>
    <sheet name="Reports" sheetId="4" r:id="rId3"/>
  </sheets>
  <functionGroups builtInGroupCount="18"/>
  <definedNames>
    <definedName name="_xlnm._FilterDatabase" localSheetId="1" hidden="1">Accuracy!$A$1:$M$92</definedName>
    <definedName name="_xlnm._FilterDatabase" localSheetId="0" hidden="1">DATA!$A$1:$V$3219</definedName>
    <definedName name="DATA">DATA!$A:$Q</definedName>
  </definedNames>
  <calcPr calcId="152511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D24" i="4" l="1"/>
  <c r="AC24" i="4"/>
  <c r="AB24" i="4"/>
  <c r="AA101" i="1"/>
  <c r="AA102" i="1"/>
  <c r="AA103" i="1"/>
  <c r="T951" i="1"/>
  <c r="T3361" i="1"/>
  <c r="T3179" i="1"/>
  <c r="T3860" i="1"/>
  <c r="T847" i="1"/>
  <c r="T179" i="1"/>
  <c r="T382" i="1"/>
  <c r="T1427" i="1"/>
  <c r="T1960" i="1"/>
  <c r="T2694" i="1"/>
  <c r="T2098" i="1"/>
  <c r="T2571" i="1"/>
  <c r="T3137" i="1"/>
  <c r="T3093" i="1"/>
  <c r="T1826" i="1"/>
  <c r="T383" i="1"/>
  <c r="T1152" i="1"/>
  <c r="T2695" i="1"/>
  <c r="T1961" i="1"/>
  <c r="T1289" i="1"/>
  <c r="T180" i="1"/>
  <c r="T1044" i="1"/>
  <c r="T2799" i="1"/>
  <c r="T1339" i="1"/>
  <c r="T1582" i="1"/>
  <c r="T542" i="1"/>
  <c r="T3816" i="1"/>
  <c r="T334" i="1"/>
  <c r="T1532" i="1"/>
  <c r="T2444" i="1"/>
  <c r="T3182" i="1"/>
  <c r="T588" i="1"/>
  <c r="T722" i="1"/>
  <c r="T3719" i="1"/>
  <c r="T539" i="1"/>
  <c r="T2570" i="1"/>
  <c r="T3058" i="1"/>
  <c r="T1042" i="1"/>
  <c r="T475" i="1"/>
  <c r="T2182" i="1"/>
  <c r="T3677" i="1"/>
  <c r="T720" i="1"/>
  <c r="T1482" i="1"/>
  <c r="T3862" i="1"/>
  <c r="T2693" i="1"/>
  <c r="T3582" i="1"/>
  <c r="T848" i="1"/>
  <c r="T1675" i="1"/>
  <c r="T1153" i="1"/>
  <c r="T3139" i="1"/>
  <c r="T2611" i="1"/>
  <c r="T3966" i="1"/>
  <c r="T431" i="1"/>
  <c r="T3316" i="1"/>
  <c r="T2231" i="1"/>
  <c r="T1252" i="1"/>
  <c r="T849" i="1"/>
  <c r="T1483" i="1"/>
  <c r="T2574" i="1"/>
  <c r="T2054" i="1"/>
  <c r="T2233" i="1"/>
  <c r="T1253" i="1"/>
  <c r="T335" i="1"/>
  <c r="T1828" i="1"/>
  <c r="T3491" i="1"/>
  <c r="T1431" i="1"/>
  <c r="T3630" i="1"/>
  <c r="T3446" i="1"/>
  <c r="T2274" i="1"/>
  <c r="T3968" i="1"/>
  <c r="T1485" i="1"/>
  <c r="T750" i="1"/>
  <c r="T3680" i="1"/>
  <c r="T794" i="1"/>
  <c r="T2747" i="1"/>
  <c r="T2396" i="1"/>
  <c r="T3534" i="1"/>
  <c r="T2613" i="1"/>
  <c r="T3724" i="1"/>
  <c r="T902" i="1"/>
  <c r="T2235" i="1"/>
  <c r="T2186" i="1"/>
  <c r="T1830" i="1"/>
  <c r="T1157" i="1"/>
  <c r="T2012" i="1"/>
  <c r="T1630" i="1"/>
  <c r="T854" i="1"/>
  <c r="T2358" i="1"/>
  <c r="T753" i="1"/>
  <c r="T283" i="1"/>
  <c r="T3187" i="1"/>
  <c r="T1160" i="1"/>
  <c r="T725" i="1"/>
  <c r="T3725" i="1"/>
  <c r="T3099" i="1"/>
  <c r="T3820" i="1"/>
  <c r="T2058" i="1"/>
  <c r="T2672" i="1"/>
  <c r="T2277" i="1"/>
  <c r="T3100" i="1"/>
  <c r="T45" i="1"/>
  <c r="T3914" i="1"/>
  <c r="T2152" i="1"/>
  <c r="T3016" i="1"/>
  <c r="T2750" i="1"/>
  <c r="T3017" i="1"/>
  <c r="T999" i="1"/>
  <c r="T3365" i="1"/>
  <c r="T2051" i="1"/>
  <c r="T1151" i="1"/>
  <c r="T1580" i="1"/>
  <c r="T585" i="1"/>
  <c r="T1098" i="1"/>
  <c r="T1722" i="1"/>
  <c r="T2144" i="1"/>
  <c r="T430" i="1"/>
  <c r="T2442" i="1"/>
  <c r="T38" i="1"/>
  <c r="T3180" i="1"/>
  <c r="T88" i="1"/>
  <c r="T3861" i="1"/>
  <c r="T2666" i="1"/>
  <c r="T2749" i="1"/>
  <c r="T540" i="1"/>
  <c r="T276" i="1"/>
  <c r="T1381" i="1"/>
  <c r="T2443" i="1"/>
  <c r="T3489" i="1"/>
  <c r="T792" i="1"/>
  <c r="T721" i="1"/>
  <c r="T1290" i="1"/>
  <c r="T3678" i="1"/>
  <c r="T1251" i="1"/>
  <c r="T1382" i="1"/>
  <c r="T2272" i="1"/>
  <c r="T1626" i="1"/>
  <c r="T681" i="1"/>
  <c r="T1154" i="1"/>
  <c r="T231" i="1"/>
  <c r="T3018" i="1"/>
  <c r="T3061" i="1"/>
  <c r="T1673" i="1"/>
  <c r="T2351" i="1"/>
  <c r="T2270" i="1"/>
  <c r="T2797" i="1"/>
  <c r="T133" i="1"/>
  <c r="T1099" i="1"/>
  <c r="T2841" i="1"/>
  <c r="T898" i="1"/>
  <c r="T1481" i="1"/>
  <c r="T2907" i="1"/>
  <c r="T2006" i="1"/>
  <c r="T3626" i="1"/>
  <c r="T3533" i="1"/>
  <c r="T747" i="1"/>
  <c r="T1250" i="1"/>
  <c r="T3443" i="1"/>
  <c r="T1725" i="1"/>
  <c r="T3059" i="1"/>
  <c r="T587" i="1"/>
  <c r="T3815" i="1"/>
  <c r="T1827" i="1"/>
  <c r="T3364" i="1"/>
  <c r="T3095" i="1"/>
  <c r="T2009" i="1"/>
  <c r="T2232" i="1"/>
  <c r="T1430" i="1"/>
  <c r="T3536" i="1"/>
  <c r="T1383" i="1"/>
  <c r="T2399" i="1"/>
  <c r="T1627" i="1"/>
  <c r="T2751" i="1"/>
  <c r="T2101" i="1"/>
  <c r="T434" i="1"/>
  <c r="T3771" i="1"/>
  <c r="T3097" i="1"/>
  <c r="T1046" i="1"/>
  <c r="T3586" i="1"/>
  <c r="T1829" i="1"/>
  <c r="T1534" i="1"/>
  <c r="T1678" i="1"/>
  <c r="T1204" i="1"/>
  <c r="T474" i="1"/>
  <c r="T997" i="1"/>
  <c r="T3315" i="1"/>
  <c r="T852" i="1"/>
  <c r="T2698" i="1"/>
  <c r="T3318" i="1"/>
  <c r="T683" i="1"/>
  <c r="T1965" i="1"/>
  <c r="T2753" i="1"/>
  <c r="T1344" i="1"/>
  <c r="T2357" i="1"/>
  <c r="T1831" i="1"/>
  <c r="T1105" i="1"/>
  <c r="T2188" i="1"/>
  <c r="T2013" i="1"/>
  <c r="T1159" i="1"/>
  <c r="T2967" i="1"/>
  <c r="T2015" i="1"/>
  <c r="T3064" i="1"/>
  <c r="T3494" i="1"/>
  <c r="T795" i="1"/>
  <c r="T2276" i="1"/>
  <c r="T3143" i="1"/>
  <c r="T2912" i="1"/>
  <c r="T726" i="1"/>
  <c r="T3589" i="1"/>
  <c r="T3229" i="1"/>
  <c r="T187" i="1"/>
  <c r="T1581" i="1"/>
  <c r="T1428" i="1"/>
  <c r="T89" i="1"/>
  <c r="T385" i="1"/>
  <c r="T2184" i="1"/>
  <c r="T1341" i="1"/>
  <c r="T1721" i="1"/>
  <c r="T3964" i="1"/>
  <c r="T3906" i="1"/>
  <c r="T2481" i="1"/>
  <c r="T2007" i="1"/>
  <c r="T1625" i="1"/>
  <c r="T3442" i="1"/>
  <c r="T1771" i="1"/>
  <c r="T2667" i="1"/>
  <c r="T2798" i="1"/>
  <c r="T3181" i="1"/>
  <c r="T2483" i="1"/>
  <c r="T384" i="1"/>
  <c r="T900" i="1"/>
  <c r="T1962" i="1"/>
  <c r="T3863" i="1"/>
  <c r="T1824" i="1"/>
  <c r="T332" i="1"/>
  <c r="T275" i="1"/>
  <c r="T3720" i="1"/>
  <c r="T2961" i="1"/>
  <c r="T2842" i="1"/>
  <c r="T1770" i="1"/>
  <c r="T1825" i="1"/>
  <c r="T278" i="1"/>
  <c r="T680" i="1"/>
  <c r="T998" i="1"/>
  <c r="T899" i="1"/>
  <c r="T2908" i="1"/>
  <c r="T3967" i="1"/>
  <c r="T1584" i="1"/>
  <c r="T3225" i="1"/>
  <c r="T386" i="1"/>
  <c r="T3140" i="1"/>
  <c r="T3537" i="1"/>
  <c r="T1342" i="1"/>
  <c r="T1254" i="1"/>
  <c r="T719" i="1"/>
  <c r="T3770" i="1"/>
  <c r="T3098" i="1"/>
  <c r="T2356" i="1"/>
  <c r="T480" i="1"/>
  <c r="T338" i="1"/>
  <c r="T1487" i="1"/>
  <c r="T2755" i="1"/>
  <c r="T284" i="1"/>
  <c r="T2911" i="1"/>
  <c r="T3588" i="1"/>
  <c r="T1206" i="1"/>
  <c r="T3449" i="1"/>
  <c r="T2106" i="1"/>
  <c r="T3535" i="1"/>
  <c r="T1583" i="1"/>
  <c r="T3270" i="1"/>
  <c r="T182" i="1"/>
  <c r="T478" i="1"/>
  <c r="T2669" i="1"/>
  <c r="T3910" i="1"/>
  <c r="T1102" i="1"/>
  <c r="T589" i="1"/>
  <c r="T3019" i="1"/>
  <c r="T3587" i="1"/>
  <c r="T280" i="1"/>
  <c r="T3676" i="1"/>
  <c r="T3679" i="1"/>
  <c r="T479" i="1"/>
  <c r="T2670" i="1"/>
  <c r="T3020" i="1"/>
  <c r="T3866" i="1"/>
  <c r="T1003" i="1"/>
  <c r="T139" i="1"/>
  <c r="T2014" i="1"/>
  <c r="T2150" i="1"/>
  <c r="T43" i="1"/>
  <c r="T3726" i="1"/>
  <c r="T186" i="1"/>
  <c r="T797" i="1"/>
  <c r="T3066" i="1"/>
  <c r="T1586" i="1"/>
  <c r="T2482" i="1"/>
  <c r="T751" i="1"/>
  <c r="T138" i="1"/>
  <c r="T2966" i="1"/>
  <c r="T436" i="1"/>
  <c r="T185" i="1"/>
  <c r="T2488" i="1"/>
  <c r="T388" i="1"/>
  <c r="T90" i="1"/>
  <c r="T901" i="1"/>
  <c r="T544" i="1"/>
  <c r="T432" i="1"/>
  <c r="T3585" i="1"/>
  <c r="T850" i="1"/>
  <c r="T2909" i="1"/>
  <c r="T1156" i="1"/>
  <c r="T137" i="1"/>
  <c r="T2615" i="1"/>
  <c r="T903" i="1"/>
  <c r="T1256" i="1"/>
  <c r="T1049" i="1"/>
  <c r="T389" i="1"/>
  <c r="T2403" i="1"/>
  <c r="T1968" i="1"/>
  <c r="T3369" i="1"/>
  <c r="T2181" i="1"/>
  <c r="T3538" i="1"/>
  <c r="T3773" i="1"/>
  <c r="T95" i="1"/>
  <c r="T2057" i="1"/>
  <c r="T685" i="1"/>
  <c r="T3822" i="1"/>
  <c r="T1776" i="1"/>
  <c r="T1724" i="1"/>
  <c r="T3909" i="1"/>
  <c r="T851" i="1"/>
  <c r="T2279" i="1"/>
  <c r="T1966" i="1"/>
  <c r="T3539" i="1"/>
  <c r="T2107" i="1"/>
  <c r="T3772" i="1"/>
  <c r="T3540" i="1"/>
  <c r="T2700" i="1"/>
  <c r="T1881" i="1"/>
  <c r="T1001" i="1"/>
  <c r="T2959" i="1"/>
  <c r="T789" i="1"/>
  <c r="T2665" i="1"/>
  <c r="T3362" i="1"/>
  <c r="T3267" i="1"/>
  <c r="T3222" i="1"/>
  <c r="T2230" i="1"/>
  <c r="T2906" i="1"/>
  <c r="T2008" i="1"/>
  <c r="T3094" i="1"/>
  <c r="T2099" i="1"/>
  <c r="T3060" i="1"/>
  <c r="T1676" i="1"/>
  <c r="T2843" i="1"/>
  <c r="T2962" i="1"/>
  <c r="T1340" i="1"/>
  <c r="T2800" i="1"/>
  <c r="T37" i="1"/>
  <c r="T1674" i="1"/>
  <c r="T790" i="1"/>
  <c r="T3627" i="1"/>
  <c r="T3583" i="1"/>
  <c r="T3675" i="1"/>
  <c r="T2960" i="1"/>
  <c r="T2145" i="1"/>
  <c r="T723" i="1"/>
  <c r="T2397" i="1"/>
  <c r="T1429" i="1"/>
  <c r="T3908" i="1"/>
  <c r="T477" i="1"/>
  <c r="T1677" i="1"/>
  <c r="T3817" i="1"/>
  <c r="T1155" i="1"/>
  <c r="T2400" i="1"/>
  <c r="T2010" i="1"/>
  <c r="T336" i="1"/>
  <c r="T2355" i="1"/>
  <c r="T2149" i="1"/>
  <c r="T2352" i="1"/>
  <c r="T2964" i="1"/>
  <c r="T2275" i="1"/>
  <c r="T2447" i="1"/>
  <c r="T752" i="1"/>
  <c r="T2754" i="1"/>
  <c r="T1249" i="1"/>
  <c r="T228" i="1"/>
  <c r="T333" i="1"/>
  <c r="T1723" i="1"/>
  <c r="T3721" i="1"/>
  <c r="T230" i="1"/>
  <c r="T1773" i="1"/>
  <c r="T2484" i="1"/>
  <c r="T678" i="1"/>
  <c r="T1338" i="1"/>
  <c r="T2612" i="1"/>
  <c r="T1380" i="1"/>
  <c r="T229" i="1"/>
  <c r="T541" i="1"/>
  <c r="T2147" i="1"/>
  <c r="T41" i="1"/>
  <c r="T2055" i="1"/>
  <c r="T2752" i="1"/>
  <c r="T1624" i="1"/>
  <c r="T3184" i="1"/>
  <c r="T1002" i="1"/>
  <c r="T3186" i="1"/>
  <c r="T3868" i="1"/>
  <c r="T1294" i="1"/>
  <c r="T1205" i="1"/>
  <c r="T1537" i="1"/>
  <c r="T1296" i="1"/>
  <c r="T1201" i="1"/>
  <c r="T3490" i="1"/>
  <c r="T543" i="1"/>
  <c r="T1484" i="1"/>
  <c r="T279" i="1"/>
  <c r="T2697" i="1"/>
  <c r="T2102" i="1"/>
  <c r="T1629" i="1"/>
  <c r="T3447" i="1"/>
  <c r="T1480" i="1"/>
  <c r="T337" i="1"/>
  <c r="T184" i="1"/>
  <c r="T2103" i="1"/>
  <c r="T853" i="1"/>
  <c r="T592" i="1"/>
  <c r="T1004" i="1"/>
  <c r="T3632" i="1"/>
  <c r="T3912" i="1"/>
  <c r="T2105" i="1"/>
  <c r="T1538" i="1"/>
  <c r="T3823" i="1"/>
  <c r="T1876" i="1"/>
  <c r="T590" i="1"/>
  <c r="T1631" i="1"/>
  <c r="T2968" i="1"/>
  <c r="T44" i="1"/>
  <c r="T686" i="1"/>
  <c r="T3444" i="1"/>
  <c r="T3723" i="1"/>
  <c r="T2053" i="1"/>
  <c r="T2668" i="1"/>
  <c r="T955" i="1"/>
  <c r="T183" i="1"/>
  <c r="T3226" i="1"/>
  <c r="T3230" i="1"/>
  <c r="T3273" i="1"/>
  <c r="T1679" i="1"/>
  <c r="T2402" i="1"/>
  <c r="T1680" i="1"/>
  <c r="T1729" i="1"/>
  <c r="T3015" i="1"/>
  <c r="T3493" i="1"/>
  <c r="T481" i="1"/>
  <c r="T2847" i="1"/>
  <c r="T2848" i="1"/>
  <c r="T3915" i="1"/>
  <c r="T1100" i="1"/>
  <c r="T2446" i="1"/>
  <c r="T1103" i="1"/>
  <c r="T2449" i="1"/>
  <c r="T3368" i="1"/>
  <c r="T1681" i="1"/>
  <c r="T3275" i="1"/>
  <c r="T233" i="1"/>
  <c r="T3683" i="1"/>
  <c r="T132" i="1"/>
  <c r="T2905" i="1"/>
  <c r="T3767" i="1"/>
  <c r="T2052" i="1"/>
  <c r="T1043" i="1"/>
  <c r="T3907" i="1"/>
  <c r="T3769" i="1"/>
  <c r="T135" i="1"/>
  <c r="T1291" i="1"/>
  <c r="T897" i="1"/>
  <c r="T2748" i="1"/>
  <c r="T3221" i="1"/>
  <c r="T39" i="1"/>
  <c r="T3138" i="1"/>
  <c r="T1878" i="1"/>
  <c r="T91" i="1"/>
  <c r="T3183" i="1"/>
  <c r="T3818" i="1"/>
  <c r="T1875" i="1"/>
  <c r="T952" i="1"/>
  <c r="T954" i="1"/>
  <c r="T748" i="1"/>
  <c r="T1530" i="1"/>
  <c r="T1200" i="1"/>
  <c r="T3584" i="1"/>
  <c r="T2273" i="1"/>
  <c r="T1628" i="1"/>
  <c r="T953" i="1"/>
  <c r="T3631" i="1"/>
  <c r="T282" i="1"/>
  <c r="T593" i="1"/>
  <c r="T2104" i="1"/>
  <c r="T796" i="1"/>
  <c r="T3496" i="1"/>
  <c r="T476" i="1"/>
  <c r="T3445" i="1"/>
  <c r="T1774" i="1"/>
  <c r="T2963" i="1"/>
  <c r="T2802" i="1"/>
  <c r="T3819" i="1"/>
  <c r="T3628" i="1"/>
  <c r="T2236" i="1"/>
  <c r="T1489" i="1"/>
  <c r="T3633" i="1"/>
  <c r="T2846" i="1"/>
  <c r="T1536" i="1"/>
  <c r="T3722" i="1"/>
  <c r="T181" i="1"/>
  <c r="T3492" i="1"/>
  <c r="T1587" i="1"/>
  <c r="T3682" i="1"/>
  <c r="T387" i="1"/>
  <c r="T2487" i="1"/>
  <c r="T1531" i="1"/>
  <c r="T2617" i="1"/>
  <c r="T798" i="1"/>
  <c r="T547" i="1"/>
  <c r="T2234" i="1"/>
  <c r="T1343" i="1"/>
  <c r="T1158" i="1"/>
  <c r="T1386" i="1"/>
  <c r="T2278" i="1"/>
  <c r="T2699" i="1"/>
  <c r="T3867" i="1"/>
  <c r="T1207" i="1"/>
  <c r="T92" i="1"/>
  <c r="T1533" i="1"/>
  <c r="T1880" i="1"/>
  <c r="T3541" i="1"/>
  <c r="T3972" i="1"/>
  <c r="T3774" i="1"/>
  <c r="T727" i="1"/>
  <c r="T136" i="1"/>
  <c r="T1777" i="1"/>
  <c r="T1728" i="1"/>
  <c r="T3136" i="1"/>
  <c r="T3314" i="1"/>
  <c r="T3223" i="1"/>
  <c r="T1877" i="1"/>
  <c r="T2696" i="1"/>
  <c r="T3268" i="1"/>
  <c r="T2183" i="1"/>
  <c r="T2100" i="1"/>
  <c r="T1879" i="1"/>
  <c r="T2185" i="1"/>
  <c r="T3269" i="1"/>
  <c r="T1535" i="1"/>
  <c r="T3021" i="1"/>
  <c r="T140" i="1"/>
  <c r="T3448" i="1"/>
  <c r="T3821" i="1"/>
  <c r="T2673" i="1"/>
  <c r="T277" i="1"/>
  <c r="T2445" i="1"/>
  <c r="T2801" i="1"/>
  <c r="T3317" i="1"/>
  <c r="T3366" i="1"/>
  <c r="T435" i="1"/>
  <c r="T3272" i="1"/>
  <c r="T2011" i="1"/>
  <c r="T3865" i="1"/>
  <c r="T2965" i="1"/>
  <c r="T2237" i="1"/>
  <c r="T141" i="1"/>
  <c r="T234" i="1"/>
  <c r="T1387" i="1"/>
  <c r="T3634" i="1"/>
  <c r="T1288" i="1"/>
  <c r="T957" i="1"/>
  <c r="T1488" i="1"/>
  <c r="T3227" i="1"/>
  <c r="T46" i="1"/>
  <c r="T3096" i="1"/>
  <c r="T134" i="1"/>
  <c r="T3406" i="1"/>
  <c r="T1292" i="1"/>
  <c r="T1726" i="1"/>
  <c r="T1539" i="1"/>
  <c r="T3274" i="1"/>
  <c r="T1882" i="1"/>
  <c r="T1050" i="1"/>
  <c r="T1883" i="1"/>
  <c r="T2910" i="1"/>
  <c r="T959" i="1"/>
  <c r="T437" i="1"/>
  <c r="T1208" i="1"/>
  <c r="T1045" i="1"/>
  <c r="T3864" i="1"/>
  <c r="T3320" i="1"/>
  <c r="T905" i="1"/>
  <c r="T1048" i="1"/>
  <c r="T1778" i="1"/>
  <c r="T546" i="1"/>
  <c r="T1199" i="1"/>
  <c r="T3488" i="1"/>
  <c r="T2572" i="1"/>
  <c r="T2573" i="1"/>
  <c r="T996" i="1"/>
  <c r="T791" i="1"/>
  <c r="T3363" i="1"/>
  <c r="T2354" i="1"/>
  <c r="T682" i="1"/>
  <c r="T1585" i="1"/>
  <c r="T1293" i="1"/>
  <c r="T281" i="1"/>
  <c r="T1345" i="1"/>
  <c r="T2803" i="1"/>
  <c r="T2804" i="1"/>
  <c r="T3065" i="1"/>
  <c r="T2913" i="1"/>
  <c r="T2398" i="1"/>
  <c r="T1101" i="1"/>
  <c r="T1964" i="1"/>
  <c r="T2485" i="1"/>
  <c r="T42" i="1"/>
  <c r="T3969" i="1"/>
  <c r="T3965" i="1"/>
  <c r="T2486" i="1"/>
  <c r="T2401" i="1"/>
  <c r="T958" i="1"/>
  <c r="T3775" i="1"/>
  <c r="T1433" i="1"/>
  <c r="T1434" i="1"/>
  <c r="T235" i="1"/>
  <c r="T3497" i="1"/>
  <c r="T2148" i="1"/>
  <c r="T94" i="1"/>
  <c r="T482" i="1"/>
  <c r="T3495" i="1"/>
  <c r="T2353" i="1"/>
  <c r="T793" i="1"/>
  <c r="T3224" i="1"/>
  <c r="T749" i="1"/>
  <c r="T2845" i="1"/>
  <c r="T2056" i="1"/>
  <c r="T188" i="1"/>
  <c r="T3681" i="1"/>
  <c r="T1588" i="1"/>
  <c r="T2450" i="1"/>
  <c r="T390" i="1"/>
  <c r="T3185" i="1"/>
  <c r="T2189" i="1"/>
  <c r="T3913" i="1"/>
  <c r="T3970" i="1"/>
  <c r="T3062" i="1"/>
  <c r="T3063" i="1"/>
  <c r="T2404" i="1"/>
  <c r="T3367" i="1"/>
  <c r="T2616" i="1"/>
  <c r="T3911" i="1"/>
  <c r="T904" i="1"/>
  <c r="T3014" i="1"/>
  <c r="T586" i="1"/>
  <c r="T1202" i="1"/>
  <c r="T3629" i="1"/>
  <c r="T2610" i="1"/>
  <c r="T3814" i="1"/>
  <c r="T40" i="1"/>
  <c r="T2844" i="1"/>
  <c r="T2614" i="1"/>
  <c r="T3407" i="1"/>
  <c r="T93" i="1"/>
  <c r="T2187" i="1"/>
  <c r="T1832" i="1"/>
  <c r="T2671" i="1"/>
  <c r="T1295" i="1"/>
  <c r="T2805" i="1"/>
  <c r="T2271" i="1"/>
  <c r="T433" i="1"/>
  <c r="T1203" i="1"/>
  <c r="T1384" i="1"/>
  <c r="T956" i="1"/>
  <c r="T724" i="1"/>
  <c r="T1775" i="1"/>
  <c r="T679" i="1"/>
  <c r="T1047" i="1"/>
  <c r="T1486" i="1"/>
  <c r="T339" i="1"/>
  <c r="T2359" i="1"/>
  <c r="T3142" i="1"/>
  <c r="T3228" i="1"/>
  <c r="T1435" i="1"/>
  <c r="T3319" i="1"/>
  <c r="T3141" i="1"/>
  <c r="T1104" i="1"/>
  <c r="T684" i="1"/>
  <c r="T2151" i="1"/>
  <c r="T2146" i="1"/>
  <c r="T3271" i="1"/>
  <c r="T1772" i="1"/>
  <c r="T1963" i="1"/>
  <c r="T232" i="1"/>
  <c r="T1385" i="1"/>
  <c r="T545" i="1"/>
  <c r="T2618" i="1"/>
  <c r="T1257" i="1"/>
  <c r="T3971" i="1"/>
  <c r="T1432" i="1"/>
  <c r="T591" i="1"/>
  <c r="T3776" i="1"/>
  <c r="T438" i="1"/>
  <c r="T3768" i="1"/>
  <c r="T1000" i="1"/>
  <c r="T1255" i="1"/>
  <c r="T2701" i="1"/>
  <c r="T1967" i="1"/>
  <c r="T2448" i="1"/>
  <c r="T1727" i="1"/>
  <c r="T3321" i="1"/>
  <c r="AA39" i="1" l="1"/>
  <c r="AA42" i="1"/>
  <c r="AA26" i="1"/>
  <c r="AA62" i="1"/>
  <c r="AA47" i="1"/>
  <c r="AA78" i="1"/>
  <c r="AA106" i="1"/>
  <c r="AA81" i="1"/>
  <c r="AA97" i="1"/>
  <c r="AA93" i="1"/>
  <c r="AA83" i="1"/>
  <c r="AA77" i="1"/>
  <c r="AA52" i="1"/>
  <c r="AA105" i="1"/>
  <c r="AA41" i="1"/>
  <c r="AA65" i="1"/>
  <c r="AA27" i="1"/>
  <c r="AA31" i="1"/>
  <c r="AA108" i="1"/>
  <c r="AA87" i="1"/>
  <c r="AA54" i="1"/>
  <c r="AA98" i="1"/>
  <c r="AA55" i="1"/>
  <c r="AA100" i="1"/>
  <c r="AA73" i="1"/>
  <c r="AA69" i="1"/>
  <c r="AA85" i="1"/>
  <c r="AA68" i="1"/>
  <c r="AA79" i="1"/>
  <c r="AA64" i="1"/>
  <c r="AA74" i="1"/>
  <c r="AA90" i="1"/>
  <c r="AA29" i="1"/>
  <c r="AA53" i="1"/>
  <c r="AA48" i="1"/>
  <c r="AA28" i="1"/>
  <c r="AA58" i="1"/>
  <c r="AA57" i="1"/>
  <c r="AA104" i="1"/>
  <c r="AA95" i="1"/>
  <c r="AA60" i="1"/>
  <c r="AA99" i="1"/>
  <c r="AA49" i="1"/>
  <c r="AA86" i="1"/>
  <c r="AA96" i="1"/>
  <c r="AA43" i="1"/>
  <c r="AA40" i="1"/>
  <c r="AA72" i="1"/>
  <c r="AA33" i="1"/>
  <c r="AA84" i="1"/>
  <c r="AA34" i="1"/>
  <c r="AA109" i="1"/>
  <c r="AA37" i="1"/>
  <c r="AA45" i="1"/>
  <c r="AA71" i="1"/>
  <c r="AA92" i="1"/>
  <c r="AA107" i="1"/>
  <c r="AA35" i="1"/>
  <c r="AA59" i="1"/>
  <c r="AA32" i="1"/>
  <c r="AA44" i="1"/>
  <c r="AA82" i="1"/>
  <c r="AA30" i="1"/>
  <c r="AA51" i="1"/>
  <c r="AA70" i="1"/>
  <c r="AA61" i="1"/>
  <c r="AA94" i="1"/>
  <c r="AA56" i="1"/>
  <c r="AA67" i="1"/>
  <c r="AA38" i="1"/>
  <c r="AA66" i="1"/>
  <c r="AA63" i="1"/>
  <c r="AA88" i="1"/>
  <c r="AA75" i="1"/>
  <c r="AA91" i="1"/>
  <c r="AA80" i="1"/>
  <c r="AA50" i="1"/>
  <c r="AA89" i="1"/>
  <c r="AA46" i="1"/>
  <c r="AA76" i="1"/>
  <c r="AA36" i="1"/>
  <c r="U2619" i="1"/>
  <c r="U3321" i="1"/>
  <c r="U904" i="1"/>
  <c r="U546" i="1"/>
  <c r="U439" i="1"/>
  <c r="U1001" i="1"/>
  <c r="U1589" i="1"/>
  <c r="U3683" i="1"/>
  <c r="U547" i="1"/>
  <c r="U1727" i="1"/>
  <c r="U1881" i="1"/>
  <c r="U3911" i="1"/>
  <c r="U233" i="1"/>
  <c r="U2405" i="1"/>
  <c r="U1778" i="1"/>
  <c r="U2700" i="1"/>
  <c r="U1728" i="1"/>
  <c r="U2448" i="1"/>
  <c r="U3275" i="1"/>
  <c r="U3540" i="1"/>
  <c r="U2616" i="1"/>
  <c r="U1048" i="1"/>
  <c r="U798" i="1"/>
  <c r="U3772" i="1"/>
  <c r="U1258" i="1"/>
  <c r="U1681" i="1"/>
  <c r="U1967" i="1"/>
  <c r="U3367" i="1"/>
  <c r="U2107" i="1"/>
  <c r="U905" i="1"/>
  <c r="U3368" i="1"/>
  <c r="U1777" i="1"/>
  <c r="U3539" i="1"/>
  <c r="U2806" i="1"/>
  <c r="U3542" i="1"/>
  <c r="U2701" i="1"/>
  <c r="U2404" i="1"/>
  <c r="U2449" i="1"/>
  <c r="U1966" i="1"/>
  <c r="U3320" i="1"/>
  <c r="U2617" i="1"/>
  <c r="U1255" i="1"/>
  <c r="U2279" i="1"/>
  <c r="U1103" i="1"/>
  <c r="U3063" i="1"/>
  <c r="U3864" i="1"/>
  <c r="U851" i="1"/>
  <c r="U136" i="1"/>
  <c r="U2446" i="1"/>
  <c r="U1000" i="1"/>
  <c r="U3909" i="1"/>
  <c r="U3062" i="1"/>
  <c r="U1045" i="1"/>
  <c r="U1100" i="1"/>
  <c r="U1724" i="1"/>
  <c r="U1531" i="1"/>
  <c r="U3768" i="1"/>
  <c r="U3970" i="1"/>
  <c r="U1776" i="1"/>
  <c r="U799" i="1"/>
  <c r="U3915" i="1"/>
  <c r="U1208" i="1"/>
  <c r="U727" i="1"/>
  <c r="U3822" i="1"/>
  <c r="U438" i="1"/>
  <c r="U2848" i="1"/>
  <c r="U3913" i="1"/>
  <c r="U685" i="1"/>
  <c r="U437" i="1"/>
  <c r="U2487" i="1"/>
  <c r="U2847" i="1"/>
  <c r="U2057" i="1"/>
  <c r="U1162" i="1"/>
  <c r="U341" i="1"/>
  <c r="U855" i="1"/>
  <c r="U3776" i="1"/>
  <c r="U2189" i="1"/>
  <c r="U959" i="1"/>
  <c r="U95" i="1"/>
  <c r="U481" i="1"/>
  <c r="U3774" i="1"/>
  <c r="U591" i="1"/>
  <c r="U3773" i="1"/>
  <c r="U3185" i="1"/>
  <c r="U3493" i="1"/>
  <c r="U2910" i="1"/>
  <c r="U3538" i="1"/>
  <c r="U387" i="1"/>
  <c r="U1432" i="1"/>
  <c r="U3015" i="1"/>
  <c r="U2181" i="1"/>
  <c r="U548" i="1"/>
  <c r="U2451" i="1"/>
  <c r="U1969" i="1"/>
  <c r="U3276" i="1"/>
  <c r="U390" i="1"/>
  <c r="U1883" i="1"/>
  <c r="U3972" i="1"/>
  <c r="U3369" i="1"/>
  <c r="U1729" i="1"/>
  <c r="U3971" i="1"/>
  <c r="U2450" i="1"/>
  <c r="U1968" i="1"/>
  <c r="U1050" i="1"/>
  <c r="U1680" i="1"/>
  <c r="U3682" i="1"/>
  <c r="U2403" i="1"/>
  <c r="U1257" i="1"/>
  <c r="U1588" i="1"/>
  <c r="U2402" i="1"/>
  <c r="U389" i="1"/>
  <c r="U1882" i="1"/>
  <c r="U3541" i="1"/>
  <c r="U2618" i="1"/>
  <c r="U1049" i="1"/>
  <c r="U1679" i="1"/>
  <c r="U3681" i="1"/>
  <c r="U3274" i="1"/>
  <c r="U1256" i="1"/>
  <c r="U1587" i="1"/>
  <c r="U3273" i="1"/>
  <c r="U545" i="1"/>
  <c r="U903" i="1"/>
  <c r="U1209" i="1"/>
  <c r="U47" i="1"/>
  <c r="U3144" i="1"/>
  <c r="U188" i="1"/>
  <c r="U1539" i="1"/>
  <c r="U3230" i="1"/>
  <c r="U2615" i="1"/>
  <c r="U1880" i="1"/>
  <c r="U1385" i="1"/>
  <c r="U2056" i="1"/>
  <c r="U137" i="1"/>
  <c r="U3226" i="1"/>
  <c r="U1726" i="1"/>
  <c r="U3492" i="1"/>
  <c r="U1156" i="1"/>
  <c r="U232" i="1"/>
  <c r="U183" i="1"/>
  <c r="U2845" i="1"/>
  <c r="U2909" i="1"/>
  <c r="U1292" i="1"/>
  <c r="U1533" i="1"/>
  <c r="U955" i="1"/>
  <c r="U850" i="1"/>
  <c r="U1963" i="1"/>
  <c r="U749" i="1"/>
  <c r="U3406" i="1"/>
  <c r="U3585" i="1"/>
  <c r="U2668" i="1"/>
  <c r="U181" i="1"/>
  <c r="U1772" i="1"/>
  <c r="U432" i="1"/>
  <c r="U3224" i="1"/>
  <c r="U2053" i="1"/>
  <c r="U134" i="1"/>
  <c r="U544" i="1"/>
  <c r="U92" i="1"/>
  <c r="U3271" i="1"/>
  <c r="U3723" i="1"/>
  <c r="U901" i="1"/>
  <c r="U793" i="1"/>
  <c r="U3096" i="1"/>
  <c r="U3722" i="1"/>
  <c r="U90" i="1"/>
  <c r="U3444" i="1"/>
  <c r="U2146" i="1"/>
  <c r="U2353" i="1"/>
  <c r="U388" i="1"/>
  <c r="U1297" i="1"/>
  <c r="U2059" i="1"/>
  <c r="U46" i="1"/>
  <c r="U686" i="1"/>
  <c r="U1207" i="1"/>
  <c r="U2488" i="1"/>
  <c r="U2151" i="1"/>
  <c r="U3495" i="1"/>
  <c r="U44" i="1"/>
  <c r="U185" i="1"/>
  <c r="U3227" i="1"/>
  <c r="U1536" i="1"/>
  <c r="U684" i="1"/>
  <c r="U436" i="1"/>
  <c r="U1834" i="1"/>
  <c r="U960" i="1"/>
  <c r="U2968" i="1"/>
  <c r="U482" i="1"/>
  <c r="U1488" i="1"/>
  <c r="U2966" i="1"/>
  <c r="U3867" i="1"/>
  <c r="U1631" i="1"/>
  <c r="U1104" i="1"/>
  <c r="U138" i="1"/>
  <c r="U94" i="1"/>
  <c r="U957" i="1"/>
  <c r="U590" i="1"/>
  <c r="U751" i="1"/>
  <c r="U2846" i="1"/>
  <c r="U3141" i="1"/>
  <c r="U2148" i="1"/>
  <c r="U2482" i="1"/>
  <c r="U1876" i="1"/>
  <c r="U1288" i="1"/>
  <c r="U2699" i="1"/>
  <c r="U1586" i="1"/>
  <c r="U3319" i="1"/>
  <c r="U3231" i="1"/>
  <c r="U1436" i="1"/>
  <c r="U3727" i="1"/>
  <c r="U3823" i="1"/>
  <c r="U3497" i="1"/>
  <c r="U3066" i="1"/>
  <c r="U3634" i="1"/>
  <c r="U2278" i="1"/>
  <c r="U1538" i="1"/>
  <c r="U797" i="1"/>
  <c r="U1435" i="1"/>
  <c r="U235" i="1"/>
  <c r="U1387" i="1"/>
  <c r="U186" i="1"/>
  <c r="U2105" i="1"/>
  <c r="U3633" i="1"/>
  <c r="U3228" i="1"/>
  <c r="U3726" i="1"/>
  <c r="U1434" i="1"/>
  <c r="U3912" i="1"/>
  <c r="U234" i="1"/>
  <c r="U43" i="1"/>
  <c r="U1386" i="1"/>
  <c r="U3142" i="1"/>
  <c r="U3632" i="1"/>
  <c r="U2150" i="1"/>
  <c r="U1433" i="1"/>
  <c r="U2757" i="1"/>
  <c r="U1633" i="1"/>
  <c r="U1490" i="1"/>
  <c r="U1106" i="1"/>
  <c r="U141" i="1"/>
  <c r="U1489" i="1"/>
  <c r="U2014" i="1"/>
  <c r="U1004" i="1"/>
  <c r="U2359" i="1"/>
  <c r="U3775" i="1"/>
  <c r="U139" i="1"/>
  <c r="U2237" i="1"/>
  <c r="U592" i="1"/>
  <c r="U1158" i="1"/>
  <c r="U1003" i="1"/>
  <c r="U339" i="1"/>
  <c r="U958" i="1"/>
  <c r="U853" i="1"/>
  <c r="U3866" i="1"/>
  <c r="U2965" i="1"/>
  <c r="U2236" i="1"/>
  <c r="U1486" i="1"/>
  <c r="U3020" i="1"/>
  <c r="U2103" i="1"/>
  <c r="U2401" i="1"/>
  <c r="U3865" i="1"/>
  <c r="U2670" i="1"/>
  <c r="U1343" i="1"/>
  <c r="U184" i="1"/>
  <c r="U1047" i="1"/>
  <c r="U479" i="1"/>
  <c r="U2486" i="1"/>
  <c r="U2011" i="1"/>
  <c r="U337" i="1"/>
  <c r="U3679" i="1"/>
  <c r="U3628" i="1"/>
  <c r="U679" i="1"/>
  <c r="U3965" i="1"/>
  <c r="U3676" i="1"/>
  <c r="U1480" i="1"/>
  <c r="U3272" i="1"/>
  <c r="U3819" i="1"/>
  <c r="U280" i="1"/>
  <c r="U1775" i="1"/>
  <c r="U3447" i="1"/>
  <c r="U3969" i="1"/>
  <c r="U3587" i="1"/>
  <c r="U435" i="1"/>
  <c r="U2802" i="1"/>
  <c r="U1629" i="1"/>
  <c r="U3019" i="1"/>
  <c r="U724" i="1"/>
  <c r="U42" i="1"/>
  <c r="U3366" i="1"/>
  <c r="U589" i="1"/>
  <c r="U2102" i="1"/>
  <c r="U2234" i="1"/>
  <c r="U956" i="1"/>
  <c r="U1102" i="1"/>
  <c r="U2485" i="1"/>
  <c r="U2697" i="1"/>
  <c r="U3317" i="1"/>
  <c r="U3910" i="1"/>
  <c r="U2963" i="1"/>
  <c r="U1384" i="1"/>
  <c r="U279" i="1"/>
  <c r="U2669" i="1"/>
  <c r="U1964" i="1"/>
  <c r="U2801" i="1"/>
  <c r="U1774" i="1"/>
  <c r="U478" i="1"/>
  <c r="U1484" i="1"/>
  <c r="U1203" i="1"/>
  <c r="U1101" i="1"/>
  <c r="U182" i="1"/>
  <c r="U2445" i="1"/>
  <c r="U543" i="1"/>
  <c r="U3445" i="1"/>
  <c r="U1341" i="1"/>
  <c r="U3365" i="1"/>
  <c r="U3270" i="1"/>
  <c r="U433" i="1"/>
  <c r="U2184" i="1"/>
  <c r="U999" i="1"/>
  <c r="U2398" i="1"/>
  <c r="U3490" i="1"/>
  <c r="U385" i="1"/>
  <c r="U3017" i="1"/>
  <c r="U1583" i="1"/>
  <c r="U277" i="1"/>
  <c r="U89" i="1"/>
  <c r="U2750" i="1"/>
  <c r="U476" i="1"/>
  <c r="U2271" i="1"/>
  <c r="U1428" i="1"/>
  <c r="U3016" i="1"/>
  <c r="U3535" i="1"/>
  <c r="U1201" i="1"/>
  <c r="U1581" i="1"/>
  <c r="U2152" i="1"/>
  <c r="U2913" i="1"/>
  <c r="U2673" i="1"/>
  <c r="U187" i="1"/>
  <c r="U3914" i="1"/>
  <c r="U2106" i="1"/>
  <c r="U3496" i="1"/>
  <c r="U3229" i="1"/>
  <c r="U45" i="1"/>
  <c r="U1296" i="1"/>
  <c r="U2805" i="1"/>
  <c r="U3589" i="1"/>
  <c r="U3100" i="1"/>
  <c r="U3449" i="1"/>
  <c r="U3065" i="1"/>
  <c r="U726" i="1"/>
  <c r="U2277" i="1"/>
  <c r="U3821" i="1"/>
  <c r="U1537" i="1"/>
  <c r="U2912" i="1"/>
  <c r="U2672" i="1"/>
  <c r="U1206" i="1"/>
  <c r="U796" i="1"/>
  <c r="U3143" i="1"/>
  <c r="U2058" i="1"/>
  <c r="U1295" i="1"/>
  <c r="U2804" i="1"/>
  <c r="U2276" i="1"/>
  <c r="U3820" i="1"/>
  <c r="U3588" i="1"/>
  <c r="U1205" i="1"/>
  <c r="U795" i="1"/>
  <c r="U3099" i="1"/>
  <c r="U3448" i="1"/>
  <c r="U2104" i="1"/>
  <c r="U3494" i="1"/>
  <c r="U3725" i="1"/>
  <c r="U2911" i="1"/>
  <c r="U2671" i="1"/>
  <c r="U3064" i="1"/>
  <c r="U725" i="1"/>
  <c r="U1294" i="1"/>
  <c r="U2803" i="1"/>
  <c r="U1491" i="1"/>
  <c r="U961" i="1"/>
  <c r="U1107" i="1"/>
  <c r="U856" i="1"/>
  <c r="U1161" i="1"/>
  <c r="U2756" i="1"/>
  <c r="U1833" i="1"/>
  <c r="U1632" i="1"/>
  <c r="U340" i="1"/>
  <c r="U2015" i="1"/>
  <c r="U1160" i="1"/>
  <c r="U284" i="1"/>
  <c r="U140" i="1"/>
  <c r="U2967" i="1"/>
  <c r="U3187" i="1"/>
  <c r="U593" i="1"/>
  <c r="U3868" i="1"/>
  <c r="U1159" i="1"/>
  <c r="U283" i="1"/>
  <c r="U2755" i="1"/>
  <c r="U1832" i="1"/>
  <c r="U2013" i="1"/>
  <c r="U753" i="1"/>
  <c r="U1345" i="1"/>
  <c r="U3021" i="1"/>
  <c r="U2188" i="1"/>
  <c r="U2358" i="1"/>
  <c r="U1487" i="1"/>
  <c r="U3186" i="1"/>
  <c r="U1105" i="1"/>
  <c r="U854" i="1"/>
  <c r="U282" i="1"/>
  <c r="U2754" i="1"/>
  <c r="U1831" i="1"/>
  <c r="U1630" i="1"/>
  <c r="U338" i="1"/>
  <c r="U2187" i="1"/>
  <c r="U2357" i="1"/>
  <c r="U2012" i="1"/>
  <c r="U281" i="1"/>
  <c r="U752" i="1"/>
  <c r="U1344" i="1"/>
  <c r="U1157" i="1"/>
  <c r="U480" i="1"/>
  <c r="U1002" i="1"/>
  <c r="U2753" i="1"/>
  <c r="U1830" i="1"/>
  <c r="U1535" i="1"/>
  <c r="U2447" i="1"/>
  <c r="U1965" i="1"/>
  <c r="U2186" i="1"/>
  <c r="U2356" i="1"/>
  <c r="U3631" i="1"/>
  <c r="U683" i="1"/>
  <c r="U2235" i="1"/>
  <c r="U93" i="1"/>
  <c r="U2275" i="1"/>
  <c r="U3318" i="1"/>
  <c r="U902" i="1"/>
  <c r="U3098" i="1"/>
  <c r="U3184" i="1"/>
  <c r="U2698" i="1"/>
  <c r="U3724" i="1"/>
  <c r="U1293" i="1"/>
  <c r="U2964" i="1"/>
  <c r="U852" i="1"/>
  <c r="U2613" i="1"/>
  <c r="U3770" i="1"/>
  <c r="U3269" i="1"/>
  <c r="U3315" i="1"/>
  <c r="U3534" i="1"/>
  <c r="U953" i="1"/>
  <c r="U2352" i="1"/>
  <c r="U997" i="1"/>
  <c r="U2396" i="1"/>
  <c r="U719" i="1"/>
  <c r="U1624" i="1"/>
  <c r="U474" i="1"/>
  <c r="U2747" i="1"/>
  <c r="U3407" i="1"/>
  <c r="U2149" i="1"/>
  <c r="U1204" i="1"/>
  <c r="U794" i="1"/>
  <c r="U1254" i="1"/>
  <c r="U1585" i="1"/>
  <c r="U1678" i="1"/>
  <c r="U3680" i="1"/>
  <c r="U2185" i="1"/>
  <c r="U2355" i="1"/>
  <c r="U1534" i="1"/>
  <c r="U750" i="1"/>
  <c r="U1342" i="1"/>
  <c r="U2752" i="1"/>
  <c r="U1829" i="1"/>
  <c r="U1485" i="1"/>
  <c r="U1628" i="1"/>
  <c r="U336" i="1"/>
  <c r="U3586" i="1"/>
  <c r="U3968" i="1"/>
  <c r="U3537" i="1"/>
  <c r="U2614" i="1"/>
  <c r="U1046" i="1"/>
  <c r="U2274" i="1"/>
  <c r="U3818" i="1"/>
  <c r="U2010" i="1"/>
  <c r="U3097" i="1"/>
  <c r="U3446" i="1"/>
  <c r="U3140" i="1"/>
  <c r="U2055" i="1"/>
  <c r="U3771" i="1"/>
  <c r="U3630" i="1"/>
  <c r="U682" i="1"/>
  <c r="U2400" i="1"/>
  <c r="U434" i="1"/>
  <c r="U1431" i="1"/>
  <c r="U386" i="1"/>
  <c r="U1879" i="1"/>
  <c r="U2101" i="1"/>
  <c r="U3491" i="1"/>
  <c r="U3183" i="1"/>
  <c r="U1155" i="1"/>
  <c r="U2751" i="1"/>
  <c r="U1828" i="1"/>
  <c r="U3225" i="1"/>
  <c r="U41" i="1"/>
  <c r="U1627" i="1"/>
  <c r="U335" i="1"/>
  <c r="U2273" i="1"/>
  <c r="U3817" i="1"/>
  <c r="U2399" i="1"/>
  <c r="U1253" i="1"/>
  <c r="U1584" i="1"/>
  <c r="U2844" i="1"/>
  <c r="U1383" i="1"/>
  <c r="U2233" i="1"/>
  <c r="U91" i="1"/>
  <c r="U1677" i="1"/>
  <c r="U3536" i="1"/>
  <c r="U2054" i="1"/>
  <c r="U3967" i="1"/>
  <c r="U2147" i="1"/>
  <c r="U1430" i="1"/>
  <c r="U2574" i="1"/>
  <c r="U2354" i="1"/>
  <c r="U477" i="1"/>
  <c r="U2232" i="1"/>
  <c r="U1483" i="1"/>
  <c r="U2908" i="1"/>
  <c r="U2100" i="1"/>
  <c r="U2009" i="1"/>
  <c r="U849" i="1"/>
  <c r="U1878" i="1"/>
  <c r="U3908" i="1"/>
  <c r="U3095" i="1"/>
  <c r="U1252" i="1"/>
  <c r="U899" i="1"/>
  <c r="U541" i="1"/>
  <c r="U3364" i="1"/>
  <c r="U2231" i="1"/>
  <c r="U3584" i="1"/>
  <c r="U1429" i="1"/>
  <c r="U1827" i="1"/>
  <c r="U3316" i="1"/>
  <c r="U998" i="1"/>
  <c r="U40" i="1"/>
  <c r="U3815" i="1"/>
  <c r="U431" i="1"/>
  <c r="U3138" i="1"/>
  <c r="U2397" i="1"/>
  <c r="U587" i="1"/>
  <c r="U3966" i="1"/>
  <c r="U680" i="1"/>
  <c r="U229" i="1"/>
  <c r="U3059" i="1"/>
  <c r="U2611" i="1"/>
  <c r="U3363" i="1"/>
  <c r="U723" i="1"/>
  <c r="U1725" i="1"/>
  <c r="U3139" i="1"/>
  <c r="U278" i="1"/>
  <c r="U2183" i="1"/>
  <c r="U3443" i="1"/>
  <c r="U1153" i="1"/>
  <c r="U39" i="1"/>
  <c r="U2145" i="1"/>
  <c r="U1250" i="1"/>
  <c r="U1675" i="1"/>
  <c r="U1825" i="1"/>
  <c r="U1380" i="1"/>
  <c r="U747" i="1"/>
  <c r="U848" i="1"/>
  <c r="U1200" i="1"/>
  <c r="U2960" i="1"/>
  <c r="U3533" i="1"/>
  <c r="U3582" i="1"/>
  <c r="U1770" i="1"/>
  <c r="U3814" i="1"/>
  <c r="U3626" i="1"/>
  <c r="U2693" i="1"/>
  <c r="U3221" i="1"/>
  <c r="U3675" i="1"/>
  <c r="U2006" i="1"/>
  <c r="U3862" i="1"/>
  <c r="U2842" i="1"/>
  <c r="U2612" i="1"/>
  <c r="U2907" i="1"/>
  <c r="U1482" i="1"/>
  <c r="U791" i="1"/>
  <c r="U3583" i="1"/>
  <c r="U1481" i="1"/>
  <c r="U720" i="1"/>
  <c r="U2961" i="1"/>
  <c r="U3268" i="1"/>
  <c r="U898" i="1"/>
  <c r="U3677" i="1"/>
  <c r="U2748" i="1"/>
  <c r="U3627" i="1"/>
  <c r="U2841" i="1"/>
  <c r="U2182" i="1"/>
  <c r="U3720" i="1"/>
  <c r="U1338" i="1"/>
  <c r="U1099" i="1"/>
  <c r="U475" i="1"/>
  <c r="U1530" i="1"/>
  <c r="U790" i="1"/>
  <c r="U133" i="1"/>
  <c r="U1042" i="1"/>
  <c r="U275" i="1"/>
  <c r="U2610" i="1"/>
  <c r="U2797" i="1"/>
  <c r="U3058" i="1"/>
  <c r="U897" i="1"/>
  <c r="U1674" i="1"/>
  <c r="U2270" i="1"/>
  <c r="U2570" i="1"/>
  <c r="U332" i="1"/>
  <c r="U678" i="1"/>
  <c r="U2351" i="1"/>
  <c r="U539" i="1"/>
  <c r="U996" i="1"/>
  <c r="U37" i="1"/>
  <c r="U1673" i="1"/>
  <c r="U3719" i="1"/>
  <c r="U1824" i="1"/>
  <c r="U2696" i="1"/>
  <c r="U3061" i="1"/>
  <c r="U722" i="1"/>
  <c r="U1291" i="1"/>
  <c r="U2800" i="1"/>
  <c r="U3018" i="1"/>
  <c r="U588" i="1"/>
  <c r="U3863" i="1"/>
  <c r="U2484" i="1"/>
  <c r="U231" i="1"/>
  <c r="U3182" i="1"/>
  <c r="U748" i="1"/>
  <c r="U1340" i="1"/>
  <c r="U1154" i="1"/>
  <c r="U2444" i="1"/>
  <c r="U1962" i="1"/>
  <c r="U3629" i="1"/>
  <c r="U681" i="1"/>
  <c r="U1532" i="1"/>
  <c r="U135" i="1"/>
  <c r="U2962" i="1"/>
  <c r="U1626" i="1"/>
  <c r="U334" i="1"/>
  <c r="U900" i="1"/>
  <c r="U1773" i="1"/>
  <c r="U2272" i="1"/>
  <c r="U3816" i="1"/>
  <c r="U2573" i="1"/>
  <c r="U2843" i="1"/>
  <c r="U1382" i="1"/>
  <c r="U542" i="1"/>
  <c r="U384" i="1"/>
  <c r="U1877" i="1"/>
  <c r="U1251" i="1"/>
  <c r="U1582" i="1"/>
  <c r="U3769" i="1"/>
  <c r="U1676" i="1"/>
  <c r="U3678" i="1"/>
  <c r="U1339" i="1"/>
  <c r="U2483" i="1"/>
  <c r="U230" i="1"/>
  <c r="U1290" i="1"/>
  <c r="U2799" i="1"/>
  <c r="U954" i="1"/>
  <c r="U3060" i="1"/>
  <c r="U721" i="1"/>
  <c r="U1044" i="1"/>
  <c r="U3181" i="1"/>
  <c r="U1202" i="1"/>
  <c r="U792" i="1"/>
  <c r="U180" i="1"/>
  <c r="U3907" i="1"/>
  <c r="U2099" i="1"/>
  <c r="U3489" i="1"/>
  <c r="U1289" i="1"/>
  <c r="U2798" i="1"/>
  <c r="U3721" i="1"/>
  <c r="U2443" i="1"/>
  <c r="U1961" i="1"/>
  <c r="U2572" i="1"/>
  <c r="U3094" i="1"/>
  <c r="U1381" i="1"/>
  <c r="U2695" i="1"/>
  <c r="U2667" i="1"/>
  <c r="U3223" i="1"/>
  <c r="U276" i="1"/>
  <c r="U1152" i="1"/>
  <c r="U1043" i="1"/>
  <c r="U2008" i="1"/>
  <c r="U540" i="1"/>
  <c r="U383" i="1"/>
  <c r="U1771" i="1"/>
  <c r="U1723" i="1"/>
  <c r="U2749" i="1"/>
  <c r="U1826" i="1"/>
  <c r="U952" i="1"/>
  <c r="U2906" i="1"/>
  <c r="U2666" i="1"/>
  <c r="U3093" i="1"/>
  <c r="U3442" i="1"/>
  <c r="U586" i="1"/>
  <c r="U3861" i="1"/>
  <c r="U3137" i="1"/>
  <c r="U2052" i="1"/>
  <c r="U2230" i="1"/>
  <c r="U88" i="1"/>
  <c r="U2571" i="1"/>
  <c r="U1625" i="1"/>
  <c r="U333" i="1"/>
  <c r="U3180" i="1"/>
  <c r="U2098" i="1"/>
  <c r="U3488" i="1"/>
  <c r="U3222" i="1"/>
  <c r="U38" i="1"/>
  <c r="U2694" i="1"/>
  <c r="U2007" i="1"/>
  <c r="U3314" i="1"/>
  <c r="U2442" i="1"/>
  <c r="U1960" i="1"/>
  <c r="U3767" i="1"/>
  <c r="U3267" i="1"/>
  <c r="U430" i="1"/>
  <c r="U1427" i="1"/>
  <c r="U2481" i="1"/>
  <c r="U228" i="1"/>
  <c r="U2144" i="1"/>
  <c r="U382" i="1"/>
  <c r="U1875" i="1"/>
  <c r="U3362" i="1"/>
  <c r="U1722" i="1"/>
  <c r="U179" i="1"/>
  <c r="U3906" i="1"/>
  <c r="U3014" i="1"/>
  <c r="U1098" i="1"/>
  <c r="U847" i="1"/>
  <c r="U2905" i="1"/>
  <c r="U2665" i="1"/>
  <c r="U585" i="1"/>
  <c r="U3860" i="1"/>
  <c r="U3964" i="1"/>
  <c r="U1249" i="1"/>
  <c r="U1580" i="1"/>
  <c r="U3179" i="1"/>
  <c r="U1199" i="1"/>
  <c r="U789" i="1"/>
  <c r="U1151" i="1"/>
  <c r="U3361" i="1"/>
  <c r="U1721" i="1"/>
  <c r="U3136" i="1"/>
  <c r="U2051" i="1"/>
  <c r="U951" i="1"/>
  <c r="U132" i="1"/>
  <c r="U2959" i="1"/>
  <c r="S1258" i="1"/>
  <c r="R1258" i="1"/>
  <c r="S548" i="1"/>
  <c r="R548" i="1"/>
  <c r="S1589" i="1"/>
  <c r="R1589" i="1"/>
  <c r="S2451" i="1"/>
  <c r="R2451" i="1"/>
  <c r="S2405" i="1"/>
  <c r="R2405" i="1"/>
  <c r="S1969" i="1"/>
  <c r="R1969" i="1"/>
  <c r="S3542" i="1"/>
  <c r="R3542" i="1"/>
  <c r="S3276" i="1"/>
  <c r="R3276" i="1"/>
  <c r="S2619" i="1"/>
  <c r="R2619" i="1"/>
  <c r="S390" i="1"/>
  <c r="R390" i="1"/>
  <c r="S905" i="1"/>
  <c r="R905" i="1"/>
  <c r="S1883" i="1"/>
  <c r="R1883" i="1"/>
  <c r="S1778" i="1"/>
  <c r="R1778" i="1"/>
  <c r="S3972" i="1"/>
  <c r="R3972" i="1"/>
  <c r="S2701" i="1"/>
  <c r="R2701" i="1"/>
  <c r="S3369" i="1"/>
  <c r="R3369" i="1"/>
  <c r="S1681" i="1"/>
  <c r="R1681" i="1"/>
  <c r="S1729" i="1"/>
  <c r="R1729" i="1"/>
  <c r="S3683" i="1"/>
  <c r="R3683" i="1"/>
  <c r="S3971" i="1"/>
  <c r="R3971" i="1"/>
  <c r="S2700" i="1"/>
  <c r="R2700" i="1"/>
  <c r="S2450" i="1"/>
  <c r="R2450" i="1"/>
  <c r="S2404" i="1"/>
  <c r="R2404" i="1"/>
  <c r="S1968" i="1"/>
  <c r="R1968" i="1"/>
  <c r="S3321" i="1"/>
  <c r="R3321" i="1"/>
  <c r="S1050" i="1"/>
  <c r="R1050" i="1"/>
  <c r="S3368" i="1"/>
  <c r="R3368" i="1"/>
  <c r="S1680" i="1"/>
  <c r="R1680" i="1"/>
  <c r="S1728" i="1"/>
  <c r="R1728" i="1"/>
  <c r="S3682" i="1"/>
  <c r="R3682" i="1"/>
  <c r="S2449" i="1"/>
  <c r="R2449" i="1"/>
  <c r="S2403" i="1"/>
  <c r="R2403" i="1"/>
  <c r="S1967" i="1"/>
  <c r="R1967" i="1"/>
  <c r="S1257" i="1"/>
  <c r="R1257" i="1"/>
  <c r="S547" i="1"/>
  <c r="R547" i="1"/>
  <c r="S1588" i="1"/>
  <c r="R1588" i="1"/>
  <c r="S2448" i="1"/>
  <c r="R2448" i="1"/>
  <c r="S2402" i="1"/>
  <c r="R2402" i="1"/>
  <c r="S1966" i="1"/>
  <c r="R1966" i="1"/>
  <c r="S389" i="1"/>
  <c r="R389" i="1"/>
  <c r="S904" i="1"/>
  <c r="R904" i="1"/>
  <c r="S1882" i="1"/>
  <c r="R1882" i="1"/>
  <c r="S1777" i="1"/>
  <c r="R1777" i="1"/>
  <c r="S3541" i="1"/>
  <c r="R3541" i="1"/>
  <c r="S3275" i="1"/>
  <c r="R3275" i="1"/>
  <c r="S2618" i="1"/>
  <c r="R2618" i="1"/>
  <c r="S3320" i="1"/>
  <c r="R3320" i="1"/>
  <c r="S1049" i="1"/>
  <c r="R1049" i="1"/>
  <c r="S3367" i="1"/>
  <c r="R3367" i="1"/>
  <c r="S1679" i="1"/>
  <c r="R1679" i="1"/>
  <c r="S1727" i="1"/>
  <c r="R1727" i="1"/>
  <c r="S3681" i="1"/>
  <c r="R3681" i="1"/>
  <c r="S3540" i="1"/>
  <c r="R3540" i="1"/>
  <c r="S3274" i="1"/>
  <c r="R3274" i="1"/>
  <c r="S2617" i="1"/>
  <c r="R2617" i="1"/>
  <c r="S1256" i="1"/>
  <c r="R1256" i="1"/>
  <c r="S546" i="1"/>
  <c r="R546" i="1"/>
  <c r="S1587" i="1"/>
  <c r="R1587" i="1"/>
  <c r="S3539" i="1"/>
  <c r="R3539" i="1"/>
  <c r="S3273" i="1"/>
  <c r="R3273" i="1"/>
  <c r="S2616" i="1"/>
  <c r="R2616" i="1"/>
  <c r="S3970" i="1"/>
  <c r="R3970" i="1"/>
  <c r="S2699" i="1"/>
  <c r="R2699" i="1"/>
  <c r="C3319" i="1"/>
  <c r="C1776" i="1"/>
  <c r="C1881" i="1"/>
  <c r="C903" i="1"/>
  <c r="C388" i="1"/>
  <c r="C1586" i="1"/>
  <c r="C545" i="1"/>
  <c r="C1255" i="1"/>
  <c r="C2699" i="1"/>
  <c r="C3970" i="1"/>
  <c r="C2616" i="1"/>
  <c r="C3273" i="1"/>
  <c r="C3539" i="1"/>
  <c r="C1587" i="1"/>
  <c r="C546" i="1"/>
  <c r="C1256" i="1"/>
  <c r="C2617" i="1"/>
  <c r="C3274" i="1"/>
  <c r="C3540" i="1"/>
  <c r="C3681" i="1"/>
  <c r="C1727" i="1"/>
  <c r="C1679" i="1"/>
  <c r="C3367" i="1"/>
  <c r="C1049" i="1"/>
  <c r="C3320" i="1"/>
  <c r="C2618" i="1"/>
  <c r="C3275" i="1"/>
  <c r="C3541" i="1"/>
  <c r="C1777" i="1"/>
  <c r="C1882" i="1"/>
  <c r="C904" i="1"/>
  <c r="C389" i="1"/>
  <c r="C1966" i="1"/>
  <c r="C2402" i="1"/>
  <c r="C2448" i="1"/>
  <c r="C1588" i="1"/>
  <c r="C547" i="1"/>
  <c r="C1257" i="1"/>
  <c r="C1967" i="1"/>
  <c r="C2403" i="1"/>
  <c r="C2449" i="1"/>
  <c r="C3682" i="1"/>
  <c r="C1728" i="1"/>
  <c r="C1680" i="1"/>
  <c r="C3368" i="1"/>
  <c r="C1050" i="1"/>
  <c r="C3321" i="1"/>
  <c r="C1968" i="1"/>
  <c r="C2404" i="1"/>
  <c r="C2450" i="1"/>
  <c r="C2700" i="1"/>
  <c r="C3971" i="1"/>
  <c r="C3683" i="1"/>
  <c r="C1729" i="1"/>
  <c r="C1681" i="1"/>
  <c r="C3369" i="1"/>
  <c r="C2701" i="1"/>
  <c r="C3972" i="1"/>
  <c r="C1778" i="1"/>
  <c r="C1883" i="1"/>
  <c r="C905" i="1"/>
  <c r="C390" i="1"/>
  <c r="C2619" i="1"/>
  <c r="C3276" i="1"/>
  <c r="C3542" i="1"/>
  <c r="C1969" i="1"/>
  <c r="C2405" i="1"/>
  <c r="C2451" i="1"/>
  <c r="C1589" i="1"/>
  <c r="C548" i="1"/>
  <c r="C1258" i="1"/>
  <c r="S1255" i="1"/>
  <c r="R1255" i="1"/>
  <c r="S545" i="1"/>
  <c r="R545" i="1"/>
  <c r="S1586" i="1"/>
  <c r="R1586" i="1"/>
  <c r="S388" i="1"/>
  <c r="R388" i="1"/>
  <c r="S903" i="1"/>
  <c r="R903" i="1"/>
  <c r="S1881" i="1"/>
  <c r="R1881" i="1"/>
  <c r="S1776" i="1"/>
  <c r="R1776" i="1"/>
  <c r="S3319" i="1"/>
  <c r="R3319" i="1"/>
  <c r="S1048" i="1"/>
  <c r="R1048" i="1"/>
  <c r="C1048" i="1"/>
  <c r="S1209" i="1"/>
  <c r="R1209" i="1"/>
  <c r="S3231" i="1"/>
  <c r="R3231" i="1"/>
  <c r="S799" i="1"/>
  <c r="R799" i="1"/>
  <c r="S47" i="1"/>
  <c r="R47" i="1"/>
  <c r="S439" i="1"/>
  <c r="R439" i="1"/>
  <c r="S1297" i="1"/>
  <c r="R1297" i="1"/>
  <c r="S1436" i="1"/>
  <c r="R1436" i="1"/>
  <c r="S2806" i="1"/>
  <c r="R2806" i="1"/>
  <c r="S3144" i="1"/>
  <c r="R3144" i="1"/>
  <c r="S3727" i="1"/>
  <c r="R3727" i="1"/>
  <c r="S2059" i="1"/>
  <c r="R2059" i="1"/>
  <c r="C46" i="1"/>
  <c r="C798" i="1"/>
  <c r="C3230" i="1"/>
  <c r="C1208" i="1"/>
  <c r="C3497" i="1"/>
  <c r="C1539" i="1"/>
  <c r="C2107" i="1"/>
  <c r="C3823" i="1"/>
  <c r="C3915" i="1"/>
  <c r="C2279" i="1"/>
  <c r="C188" i="1"/>
  <c r="C2059" i="1"/>
  <c r="C3727" i="1"/>
  <c r="C3144" i="1"/>
  <c r="C2806" i="1"/>
  <c r="C1436" i="1"/>
  <c r="C1297" i="1"/>
  <c r="C439" i="1"/>
  <c r="C47" i="1"/>
  <c r="C799" i="1"/>
  <c r="C3231" i="1"/>
  <c r="C1209" i="1"/>
  <c r="S188" i="1"/>
  <c r="R188" i="1"/>
  <c r="S2279" i="1"/>
  <c r="R2279" i="1"/>
  <c r="S3915" i="1"/>
  <c r="R3915" i="1"/>
  <c r="S3823" i="1"/>
  <c r="R3823" i="1"/>
  <c r="S2107" i="1"/>
  <c r="R2107" i="1"/>
  <c r="S1539" i="1"/>
  <c r="R1539" i="1"/>
  <c r="S3497" i="1"/>
  <c r="R3497" i="1"/>
  <c r="S1208" i="1"/>
  <c r="R1208" i="1"/>
  <c r="S3230" i="1"/>
  <c r="R3230" i="1"/>
  <c r="S798" i="1"/>
  <c r="R798" i="1"/>
  <c r="S46" i="1"/>
  <c r="R46" i="1"/>
  <c r="C727" i="1"/>
  <c r="C2152" i="1"/>
  <c r="C3066" i="1"/>
  <c r="S3066" i="1"/>
  <c r="R3066" i="1"/>
  <c r="S2152" i="1"/>
  <c r="R2152" i="1"/>
  <c r="S727" i="1"/>
  <c r="R727" i="1"/>
  <c r="S2913" i="1"/>
  <c r="R2913" i="1"/>
  <c r="S3634" i="1"/>
  <c r="R3634" i="1"/>
  <c r="S2673" i="1"/>
  <c r="R2673" i="1"/>
  <c r="S686" i="1"/>
  <c r="R686" i="1"/>
  <c r="S187" i="1"/>
  <c r="R187" i="1"/>
  <c r="S2278" i="1"/>
  <c r="R2278" i="1"/>
  <c r="S3914" i="1"/>
  <c r="R3914" i="1"/>
  <c r="S3822" i="1"/>
  <c r="R3822" i="1"/>
  <c r="S2106" i="1"/>
  <c r="R2106" i="1"/>
  <c r="S1538" i="1"/>
  <c r="R1538" i="1"/>
  <c r="S3496" i="1"/>
  <c r="R3496" i="1"/>
  <c r="S1207" i="1"/>
  <c r="R1207" i="1"/>
  <c r="S3229" i="1"/>
  <c r="R3229" i="1"/>
  <c r="S797" i="1"/>
  <c r="R797" i="1"/>
  <c r="S45" i="1"/>
  <c r="R45" i="1"/>
  <c r="S438" i="1"/>
  <c r="R438" i="1"/>
  <c r="S1296" i="1"/>
  <c r="R1296" i="1"/>
  <c r="S1435" i="1"/>
  <c r="R1435" i="1"/>
  <c r="S2805" i="1"/>
  <c r="R2805" i="1"/>
  <c r="S2488" i="1"/>
  <c r="R2488" i="1"/>
  <c r="S3589" i="1"/>
  <c r="R3589" i="1"/>
  <c r="S235" i="1"/>
  <c r="R235" i="1"/>
  <c r="S3100" i="1"/>
  <c r="R3100" i="1"/>
  <c r="S2848" i="1"/>
  <c r="R2848" i="1"/>
  <c r="S3449" i="1"/>
  <c r="R3449" i="1"/>
  <c r="S1387" i="1"/>
  <c r="R1387" i="1"/>
  <c r="S3065" i="1"/>
  <c r="R3065" i="1"/>
  <c r="S2151" i="1"/>
  <c r="R2151" i="1"/>
  <c r="S726" i="1"/>
  <c r="R726" i="1"/>
  <c r="S186" i="1"/>
  <c r="R186" i="1"/>
  <c r="S2277" i="1"/>
  <c r="R2277" i="1"/>
  <c r="S3913" i="1"/>
  <c r="R3913" i="1"/>
  <c r="S3821" i="1"/>
  <c r="R3821" i="1"/>
  <c r="S2105" i="1"/>
  <c r="R2105" i="1"/>
  <c r="S1537" i="1"/>
  <c r="R1537" i="1"/>
  <c r="S3495" i="1"/>
  <c r="R3495" i="1"/>
  <c r="S2912" i="1"/>
  <c r="R2912" i="1"/>
  <c r="S3633" i="1"/>
  <c r="R3633" i="1"/>
  <c r="S2672" i="1"/>
  <c r="R2672" i="1"/>
  <c r="S685" i="1"/>
  <c r="R685" i="1"/>
  <c r="S1206" i="1"/>
  <c r="R1206" i="1"/>
  <c r="S3228" i="1"/>
  <c r="R3228" i="1"/>
  <c r="S796" i="1"/>
  <c r="R796" i="1"/>
  <c r="S44" i="1"/>
  <c r="R44" i="1"/>
  <c r="S3143" i="1"/>
  <c r="R3143" i="1"/>
  <c r="S3726" i="1"/>
  <c r="R3726" i="1"/>
  <c r="S2058" i="1"/>
  <c r="R2058" i="1"/>
  <c r="R437" i="1"/>
  <c r="S437" i="1"/>
  <c r="S1295" i="1"/>
  <c r="R1295" i="1"/>
  <c r="S1434" i="1"/>
  <c r="R1434" i="1"/>
  <c r="S2804" i="1"/>
  <c r="R2804" i="1"/>
  <c r="S185" i="1"/>
  <c r="R185" i="1"/>
  <c r="S2276" i="1"/>
  <c r="R2276" i="1"/>
  <c r="S3912" i="1"/>
  <c r="R3912" i="1"/>
  <c r="S3820" i="1"/>
  <c r="R3820" i="1"/>
  <c r="S2487" i="1"/>
  <c r="R2487" i="1"/>
  <c r="S3588" i="1"/>
  <c r="R3588" i="1"/>
  <c r="S234" i="1"/>
  <c r="R234" i="1"/>
  <c r="S1205" i="1"/>
  <c r="R1205" i="1"/>
  <c r="S3227" i="1"/>
  <c r="R3227" i="1"/>
  <c r="S795" i="1"/>
  <c r="R795" i="1"/>
  <c r="S43" i="1"/>
  <c r="R43" i="1"/>
  <c r="S3099" i="1"/>
  <c r="R3099" i="1"/>
  <c r="S2847" i="1"/>
  <c r="R2847" i="1"/>
  <c r="S3448" i="1"/>
  <c r="R3448" i="1"/>
  <c r="S1386" i="1"/>
  <c r="R1386" i="1"/>
  <c r="S2104" i="1"/>
  <c r="R2104" i="1"/>
  <c r="S1536" i="1"/>
  <c r="R1536" i="1"/>
  <c r="S3494" i="1"/>
  <c r="R3494" i="1"/>
  <c r="S3142" i="1"/>
  <c r="R3142" i="1"/>
  <c r="S3725" i="1"/>
  <c r="R3725" i="1"/>
  <c r="S2057" i="1"/>
  <c r="R2057" i="1"/>
  <c r="S2911" i="1"/>
  <c r="R2911" i="1"/>
  <c r="S3632" i="1"/>
  <c r="R3632" i="1"/>
  <c r="S2671" i="1"/>
  <c r="R2671" i="1"/>
  <c r="S684" i="1"/>
  <c r="R684" i="1"/>
  <c r="S3064" i="1"/>
  <c r="R3064" i="1"/>
  <c r="S2150" i="1"/>
  <c r="R2150" i="1"/>
  <c r="S725" i="1"/>
  <c r="R725" i="1"/>
  <c r="S436" i="1"/>
  <c r="R436" i="1"/>
  <c r="S1294" i="1"/>
  <c r="R1294" i="1"/>
  <c r="S1433" i="1"/>
  <c r="R1433" i="1"/>
  <c r="S2803" i="1"/>
  <c r="R2803" i="1"/>
  <c r="S1162" i="1"/>
  <c r="R1162" i="1"/>
  <c r="S1491" i="1"/>
  <c r="R1491" i="1"/>
  <c r="S2757" i="1"/>
  <c r="R2757" i="1"/>
  <c r="S961" i="1"/>
  <c r="R961" i="1"/>
  <c r="S1834" i="1"/>
  <c r="R1834" i="1"/>
  <c r="S1107" i="1"/>
  <c r="R1107" i="1"/>
  <c r="S1633" i="1"/>
  <c r="R1633" i="1"/>
  <c r="S856" i="1"/>
  <c r="R856" i="1"/>
  <c r="S341" i="1"/>
  <c r="R341" i="1"/>
  <c r="S1161" i="1"/>
  <c r="R1161" i="1"/>
  <c r="S1490" i="1"/>
  <c r="R1490" i="1"/>
  <c r="S2756" i="1"/>
  <c r="R2756" i="1"/>
  <c r="S960" i="1"/>
  <c r="R960" i="1"/>
  <c r="S1833" i="1"/>
  <c r="R1833" i="1"/>
  <c r="S1106" i="1"/>
  <c r="R1106" i="1"/>
  <c r="S1632" i="1"/>
  <c r="R1632" i="1"/>
  <c r="S855" i="1"/>
  <c r="R855" i="1"/>
  <c r="S340" i="1"/>
  <c r="R340" i="1"/>
  <c r="S141" i="1"/>
  <c r="R141" i="1"/>
  <c r="S2015" i="1"/>
  <c r="R2015" i="1"/>
  <c r="S2968" i="1"/>
  <c r="R2968" i="1"/>
  <c r="S1160" i="1"/>
  <c r="R1160" i="1"/>
  <c r="S1489" i="1"/>
  <c r="R1489" i="1"/>
  <c r="S284" i="1"/>
  <c r="R284" i="1"/>
  <c r="S3776" i="1"/>
  <c r="R3776" i="1"/>
  <c r="S140" i="1"/>
  <c r="R140" i="1"/>
  <c r="S2014" i="1"/>
  <c r="R2014" i="1"/>
  <c r="S2967" i="1"/>
  <c r="R2967" i="1"/>
  <c r="S482" i="1"/>
  <c r="R482" i="1"/>
  <c r="S3187" i="1"/>
  <c r="R3187" i="1"/>
  <c r="S1004" i="1"/>
  <c r="R1004" i="1"/>
  <c r="S593" i="1"/>
  <c r="R593" i="1"/>
  <c r="S2189" i="1"/>
  <c r="R2189" i="1"/>
  <c r="S3868" i="1"/>
  <c r="R3868" i="1"/>
  <c r="S2359" i="1"/>
  <c r="R2359" i="1"/>
  <c r="S1159" i="1"/>
  <c r="R1159" i="1"/>
  <c r="S1488" i="1"/>
  <c r="R1488" i="1"/>
  <c r="S283" i="1"/>
  <c r="R283" i="1"/>
  <c r="S3775" i="1"/>
  <c r="R3775" i="1"/>
  <c r="S2755" i="1"/>
  <c r="R2755" i="1"/>
  <c r="S959" i="1"/>
  <c r="R959" i="1"/>
  <c r="S1832" i="1"/>
  <c r="R1832" i="1"/>
  <c r="S139" i="1"/>
  <c r="R139" i="1"/>
  <c r="S2013" i="1"/>
  <c r="R2013" i="1"/>
  <c r="S2966" i="1"/>
  <c r="R2966" i="1"/>
  <c r="S753" i="1"/>
  <c r="R753" i="1"/>
  <c r="S2237" i="1"/>
  <c r="R2237" i="1"/>
  <c r="S1345" i="1"/>
  <c r="R1345" i="1"/>
  <c r="S95" i="1"/>
  <c r="R95" i="1"/>
  <c r="S3021" i="1"/>
  <c r="R3021" i="1"/>
  <c r="S592" i="1"/>
  <c r="R592" i="1"/>
  <c r="S2188" i="1"/>
  <c r="R2188" i="1"/>
  <c r="S3867" i="1"/>
  <c r="R3867" i="1"/>
  <c r="S2358" i="1"/>
  <c r="R2358" i="1"/>
  <c r="S1158" i="1"/>
  <c r="R1158" i="1"/>
  <c r="S1487" i="1"/>
  <c r="R1487" i="1"/>
  <c r="S481" i="1"/>
  <c r="R481" i="1"/>
  <c r="S3186" i="1"/>
  <c r="R3186" i="1"/>
  <c r="S1003" i="1"/>
  <c r="R1003" i="1"/>
  <c r="S1105" i="1"/>
  <c r="R1105" i="1"/>
  <c r="S1631" i="1"/>
  <c r="R1631" i="1"/>
  <c r="S854" i="1"/>
  <c r="R854" i="1"/>
  <c r="S339" i="1"/>
  <c r="R339" i="1"/>
  <c r="S282" i="1"/>
  <c r="R282" i="1"/>
  <c r="S3774" i="1"/>
  <c r="R3774" i="1"/>
  <c r="S2754" i="1"/>
  <c r="R2754" i="1"/>
  <c r="S958" i="1"/>
  <c r="R958" i="1"/>
  <c r="S1831" i="1"/>
  <c r="R1831" i="1"/>
  <c r="S1104" i="1"/>
  <c r="R1104" i="1"/>
  <c r="S1630" i="1"/>
  <c r="R1630" i="1"/>
  <c r="S853" i="1"/>
  <c r="R853" i="1"/>
  <c r="S338" i="1"/>
  <c r="R338" i="1"/>
  <c r="S591" i="1"/>
  <c r="R591" i="1"/>
  <c r="S2187" i="1"/>
  <c r="R2187" i="1"/>
  <c r="S3866" i="1"/>
  <c r="R3866" i="1"/>
  <c r="S2357" i="1"/>
  <c r="R2357" i="1"/>
  <c r="S138" i="1"/>
  <c r="R138" i="1"/>
  <c r="S2012" i="1"/>
  <c r="R2012" i="1"/>
  <c r="S2965" i="1"/>
  <c r="R2965" i="1"/>
  <c r="S281" i="1"/>
  <c r="R281" i="1"/>
  <c r="S3773" i="1"/>
  <c r="R3773" i="1"/>
  <c r="S752" i="1"/>
  <c r="R752" i="1"/>
  <c r="S2236" i="1"/>
  <c r="R2236" i="1"/>
  <c r="S1344" i="1"/>
  <c r="R1344" i="1"/>
  <c r="S94" i="1"/>
  <c r="R94" i="1"/>
  <c r="S1157" i="1"/>
  <c r="R1157" i="1"/>
  <c r="S1486" i="1"/>
  <c r="R1486" i="1"/>
  <c r="S480" i="1"/>
  <c r="R480" i="1"/>
  <c r="S3185" i="1"/>
  <c r="R3185" i="1"/>
  <c r="S1002" i="1"/>
  <c r="R1002" i="1"/>
  <c r="S3020" i="1"/>
  <c r="R3020" i="1"/>
  <c r="S2753" i="1"/>
  <c r="R2753" i="1"/>
  <c r="S957" i="1"/>
  <c r="R957" i="1"/>
  <c r="S1830" i="1"/>
  <c r="R1830" i="1"/>
  <c r="S2103" i="1"/>
  <c r="R2103" i="1"/>
  <c r="S1535" i="1"/>
  <c r="R1535" i="1"/>
  <c r="S3493" i="1"/>
  <c r="R3493" i="1"/>
  <c r="S2447" i="1"/>
  <c r="R2447" i="1"/>
  <c r="S2401" i="1"/>
  <c r="R2401" i="1"/>
  <c r="S1965" i="1"/>
  <c r="R1965" i="1"/>
  <c r="S590" i="1"/>
  <c r="R590" i="1"/>
  <c r="S2186" i="1"/>
  <c r="R2186" i="1"/>
  <c r="S3865" i="1"/>
  <c r="R3865" i="1"/>
  <c r="S2356" i="1"/>
  <c r="R2356" i="1"/>
  <c r="S2910" i="1"/>
  <c r="R2910" i="1"/>
  <c r="S3631" i="1"/>
  <c r="R3631" i="1"/>
  <c r="S2670" i="1"/>
  <c r="R2670" i="1"/>
  <c r="S683" i="1"/>
  <c r="R683" i="1"/>
  <c r="S751" i="1"/>
  <c r="R751" i="1"/>
  <c r="S2235" i="1"/>
  <c r="R2235" i="1"/>
  <c r="S1343" i="1"/>
  <c r="R1343" i="1"/>
  <c r="S93" i="1"/>
  <c r="R93" i="1"/>
  <c r="S3538" i="1"/>
  <c r="R3538" i="1"/>
  <c r="S3272" i="1"/>
  <c r="R3272" i="1"/>
  <c r="S2615" i="1"/>
  <c r="R2615" i="1"/>
  <c r="S184" i="1"/>
  <c r="R184" i="1"/>
  <c r="S2275" i="1"/>
  <c r="R2275" i="1"/>
  <c r="S3911" i="1"/>
  <c r="R3911" i="1"/>
  <c r="S3819" i="1"/>
  <c r="R3819" i="1"/>
  <c r="S3318" i="1"/>
  <c r="R3318" i="1"/>
  <c r="S1047" i="1"/>
  <c r="R1047" i="1"/>
  <c r="S280" i="1"/>
  <c r="R280" i="1"/>
  <c r="S3772" i="1"/>
  <c r="R3772" i="1"/>
  <c r="S387" i="1"/>
  <c r="R387" i="1"/>
  <c r="S902" i="1"/>
  <c r="R902" i="1"/>
  <c r="S1880" i="1"/>
  <c r="R1880" i="1"/>
  <c r="S1775" i="1"/>
  <c r="R1775" i="1"/>
  <c r="S3098" i="1"/>
  <c r="R3098" i="1"/>
  <c r="S2846" i="1"/>
  <c r="R2846" i="1"/>
  <c r="S3447" i="1"/>
  <c r="R3447" i="1"/>
  <c r="S1385" i="1"/>
  <c r="R1385" i="1"/>
  <c r="S479" i="1"/>
  <c r="R479" i="1"/>
  <c r="S3184" i="1"/>
  <c r="R3184" i="1"/>
  <c r="S1001" i="1"/>
  <c r="R1001" i="1"/>
  <c r="S3969" i="1"/>
  <c r="R3969" i="1"/>
  <c r="S2698" i="1"/>
  <c r="R2698" i="1"/>
  <c r="S2486" i="1"/>
  <c r="R2486" i="1"/>
  <c r="S3587" i="1"/>
  <c r="R3587" i="1"/>
  <c r="S233" i="1"/>
  <c r="R233" i="1"/>
  <c r="S3141" i="1"/>
  <c r="R3141" i="1"/>
  <c r="S3724" i="1"/>
  <c r="R3724" i="1"/>
  <c r="S2056" i="1"/>
  <c r="R2056" i="1"/>
  <c r="S435" i="1"/>
  <c r="R435" i="1"/>
  <c r="S1293" i="1"/>
  <c r="R1293" i="1"/>
  <c r="S1432" i="1"/>
  <c r="R1432" i="1"/>
  <c r="S2802" i="1"/>
  <c r="R2802" i="1"/>
  <c r="S137" i="1"/>
  <c r="R137" i="1"/>
  <c r="S2011" i="1"/>
  <c r="R2011" i="1"/>
  <c r="S2964" i="1"/>
  <c r="R2964" i="1"/>
  <c r="S1103" i="1"/>
  <c r="R1103" i="1"/>
  <c r="S1629" i="1"/>
  <c r="R1629" i="1"/>
  <c r="S852" i="1"/>
  <c r="R852" i="1"/>
  <c r="S337" i="1"/>
  <c r="R337" i="1"/>
  <c r="S3019" i="1"/>
  <c r="R3019" i="1"/>
  <c r="S3407" i="1"/>
  <c r="R3407" i="1"/>
  <c r="S3063" i="1"/>
  <c r="R3063" i="1"/>
  <c r="S2149" i="1"/>
  <c r="R2149" i="1"/>
  <c r="S724" i="1"/>
  <c r="R724" i="1"/>
  <c r="S1204" i="1"/>
  <c r="R1204" i="1"/>
  <c r="S3226" i="1"/>
  <c r="R3226" i="1"/>
  <c r="S794" i="1"/>
  <c r="R794" i="1"/>
  <c r="S42" i="1"/>
  <c r="R42" i="1"/>
  <c r="S1254" i="1"/>
  <c r="R1254" i="1"/>
  <c r="S544" i="1"/>
  <c r="R544" i="1"/>
  <c r="S1585" i="1"/>
  <c r="R1585" i="1"/>
  <c r="S3366" i="1"/>
  <c r="R3366" i="1"/>
  <c r="S1678" i="1"/>
  <c r="R1678" i="1"/>
  <c r="S1726" i="1"/>
  <c r="R1726" i="1"/>
  <c r="S3680" i="1"/>
  <c r="R3680" i="1"/>
  <c r="S589" i="1"/>
  <c r="R589" i="1"/>
  <c r="S2185" i="1"/>
  <c r="R2185" i="1"/>
  <c r="S3864" i="1"/>
  <c r="R3864" i="1"/>
  <c r="S2355" i="1"/>
  <c r="R2355" i="1"/>
  <c r="S2102" i="1"/>
  <c r="R2102" i="1"/>
  <c r="S1534" i="1"/>
  <c r="R1534" i="1"/>
  <c r="S3492" i="1"/>
  <c r="R3492" i="1"/>
  <c r="S750" i="1"/>
  <c r="R750" i="1"/>
  <c r="S2234" i="1"/>
  <c r="R2234" i="1"/>
  <c r="S1342" i="1"/>
  <c r="R1342" i="1"/>
  <c r="S92" i="1"/>
  <c r="R92" i="1"/>
  <c r="S2752" i="1"/>
  <c r="R2752" i="1"/>
  <c r="S956" i="1"/>
  <c r="R956" i="1"/>
  <c r="S1829" i="1"/>
  <c r="R1829" i="1"/>
  <c r="S1156" i="1"/>
  <c r="R1156" i="1"/>
  <c r="S1485" i="1"/>
  <c r="R1485" i="1"/>
  <c r="S1102" i="1"/>
  <c r="R1102" i="1"/>
  <c r="S1628" i="1"/>
  <c r="R1628" i="1"/>
  <c r="S851" i="1"/>
  <c r="R851" i="1"/>
  <c r="S336" i="1"/>
  <c r="R336" i="1"/>
  <c r="S2485" i="1"/>
  <c r="R2485" i="1"/>
  <c r="S3586" i="1"/>
  <c r="R3586" i="1"/>
  <c r="S232" i="1"/>
  <c r="R232" i="1"/>
  <c r="S3968" i="1"/>
  <c r="R3968" i="1"/>
  <c r="S2697" i="1"/>
  <c r="R2697" i="1"/>
  <c r="S3537" i="1"/>
  <c r="R3537" i="1"/>
  <c r="S3271" i="1"/>
  <c r="R3271" i="1"/>
  <c r="S2614" i="1"/>
  <c r="R2614" i="1"/>
  <c r="S3317" i="1"/>
  <c r="R3317" i="1"/>
  <c r="S1046" i="1"/>
  <c r="R1046" i="1"/>
  <c r="S183" i="1"/>
  <c r="R183" i="1"/>
  <c r="S2274" i="1"/>
  <c r="R2274" i="1"/>
  <c r="S3910" i="1"/>
  <c r="R3910" i="1"/>
  <c r="S3818" i="1"/>
  <c r="R3818" i="1"/>
  <c r="S136" i="1"/>
  <c r="R136" i="1"/>
  <c r="S2010" i="1"/>
  <c r="R2010" i="1"/>
  <c r="S2963" i="1"/>
  <c r="R2963" i="1"/>
  <c r="S3097" i="1"/>
  <c r="R3097" i="1"/>
  <c r="S2845" i="1"/>
  <c r="R2845" i="1"/>
  <c r="S3446" i="1"/>
  <c r="R3446" i="1"/>
  <c r="S1384" i="1"/>
  <c r="R1384" i="1"/>
  <c r="S3140" i="1"/>
  <c r="R3140" i="1"/>
  <c r="S3723" i="1"/>
  <c r="R3723" i="1"/>
  <c r="S2055" i="1"/>
  <c r="R2055" i="1"/>
  <c r="S279" i="1"/>
  <c r="R279" i="1"/>
  <c r="S3771" i="1"/>
  <c r="R3771" i="1"/>
  <c r="S2909" i="1"/>
  <c r="R2909" i="1"/>
  <c r="S3630" i="1"/>
  <c r="R3630" i="1"/>
  <c r="S2669" i="1"/>
  <c r="R2669" i="1"/>
  <c r="S682" i="1"/>
  <c r="R682" i="1"/>
  <c r="S2446" i="1"/>
  <c r="R2446" i="1"/>
  <c r="S2400" i="1"/>
  <c r="R2400" i="1"/>
  <c r="S1964" i="1"/>
  <c r="R1964" i="1"/>
  <c r="S434" i="1"/>
  <c r="R434" i="1"/>
  <c r="S1292" i="1"/>
  <c r="R1292" i="1"/>
  <c r="S1431" i="1"/>
  <c r="R1431" i="1"/>
  <c r="S2801" i="1"/>
  <c r="R2801" i="1"/>
  <c r="S386" i="1"/>
  <c r="R386" i="1"/>
  <c r="S901" i="1"/>
  <c r="R901" i="1"/>
  <c r="S1879" i="1"/>
  <c r="R1879" i="1"/>
  <c r="S1774" i="1"/>
  <c r="R1774" i="1"/>
  <c r="S2101" i="1"/>
  <c r="R2101" i="1"/>
  <c r="S1533" i="1"/>
  <c r="R1533" i="1"/>
  <c r="S3491" i="1"/>
  <c r="R3491" i="1"/>
  <c r="S478" i="1"/>
  <c r="R478" i="1"/>
  <c r="S3183" i="1"/>
  <c r="R3183" i="1"/>
  <c r="S1000" i="1"/>
  <c r="R1000" i="1"/>
  <c r="S1155" i="1"/>
  <c r="R1155" i="1"/>
  <c r="S1484" i="1"/>
  <c r="R1484" i="1"/>
  <c r="S2751" i="1"/>
  <c r="R2751" i="1"/>
  <c r="S955" i="1"/>
  <c r="R955" i="1"/>
  <c r="S1828" i="1"/>
  <c r="R1828" i="1"/>
  <c r="S1203" i="1"/>
  <c r="R1203" i="1"/>
  <c r="S3225" i="1"/>
  <c r="R3225" i="1"/>
  <c r="S793" i="1"/>
  <c r="R793" i="1"/>
  <c r="S41" i="1"/>
  <c r="R41" i="1"/>
  <c r="S1101" i="1"/>
  <c r="R1101" i="1"/>
  <c r="S1627" i="1"/>
  <c r="R1627" i="1"/>
  <c r="S850" i="1"/>
  <c r="R850" i="1"/>
  <c r="S335" i="1"/>
  <c r="R335" i="1"/>
  <c r="S182" i="1"/>
  <c r="R182" i="1"/>
  <c r="S2273" i="1"/>
  <c r="R2273" i="1"/>
  <c r="S3909" i="1"/>
  <c r="R3909" i="1"/>
  <c r="S3817" i="1"/>
  <c r="R3817" i="1"/>
  <c r="S2445" i="1"/>
  <c r="R2445" i="1"/>
  <c r="S2399" i="1"/>
  <c r="R2399" i="1"/>
  <c r="S1963" i="1"/>
  <c r="R1963" i="1"/>
  <c r="S1253" i="1"/>
  <c r="R1253" i="1"/>
  <c r="S543" i="1"/>
  <c r="R543" i="1"/>
  <c r="S1584" i="1"/>
  <c r="R1584" i="1"/>
  <c r="S3096" i="1"/>
  <c r="R3096" i="1"/>
  <c r="S2844" i="1"/>
  <c r="R2844" i="1"/>
  <c r="S3445" i="1"/>
  <c r="R3445" i="1"/>
  <c r="S1383" i="1"/>
  <c r="R1383" i="1"/>
  <c r="S749" i="1"/>
  <c r="R749" i="1"/>
  <c r="S2233" i="1"/>
  <c r="R2233" i="1"/>
  <c r="S1341" i="1"/>
  <c r="R1341" i="1"/>
  <c r="S91" i="1"/>
  <c r="R91" i="1"/>
  <c r="S3062" i="1"/>
  <c r="R3062" i="1"/>
  <c r="S2148" i="1"/>
  <c r="R2148" i="1"/>
  <c r="S723" i="1"/>
  <c r="R723" i="1"/>
  <c r="S3365" i="1"/>
  <c r="R3365" i="1"/>
  <c r="S1677" i="1"/>
  <c r="R1677" i="1"/>
  <c r="S1725" i="1"/>
  <c r="R1725" i="1"/>
  <c r="S3679" i="1"/>
  <c r="R3679" i="1"/>
  <c r="S3536" i="1"/>
  <c r="R3536" i="1"/>
  <c r="S3270" i="1"/>
  <c r="R3270" i="1"/>
  <c r="S2613" i="1"/>
  <c r="R2613" i="1"/>
  <c r="S3139" i="1"/>
  <c r="R3139" i="1"/>
  <c r="S3722" i="1"/>
  <c r="R3722" i="1"/>
  <c r="S2054" i="1"/>
  <c r="R2054" i="1"/>
  <c r="S278" i="1"/>
  <c r="R278" i="1"/>
  <c r="S3770" i="1"/>
  <c r="R3770" i="1"/>
  <c r="S3967" i="1"/>
  <c r="R3967" i="1"/>
  <c r="S2696" i="1"/>
  <c r="R2696" i="1"/>
  <c r="R3406" i="1"/>
  <c r="S3406" i="1"/>
  <c r="S3061" i="1"/>
  <c r="R3061" i="1"/>
  <c r="S2147" i="1"/>
  <c r="R2147" i="1"/>
  <c r="S722" i="1"/>
  <c r="R722" i="1"/>
  <c r="S433" i="1"/>
  <c r="R433" i="1"/>
  <c r="S1291" i="1"/>
  <c r="R1291" i="1"/>
  <c r="S1430" i="1"/>
  <c r="R1430" i="1"/>
  <c r="S2800" i="1"/>
  <c r="R2800" i="1"/>
  <c r="S1045" i="1"/>
  <c r="R1045" i="1"/>
  <c r="S3018" i="1"/>
  <c r="R3018" i="1"/>
  <c r="S2574" i="1"/>
  <c r="R2574" i="1"/>
  <c r="S588" i="1"/>
  <c r="R588" i="1"/>
  <c r="S2184" i="1"/>
  <c r="R2184" i="1"/>
  <c r="S3863" i="1"/>
  <c r="R3863" i="1"/>
  <c r="S2354" i="1"/>
  <c r="R2354" i="1"/>
  <c r="S2484" i="1"/>
  <c r="R2484" i="1"/>
  <c r="S3585" i="1"/>
  <c r="R3585" i="1"/>
  <c r="S231" i="1"/>
  <c r="R231" i="1"/>
  <c r="S477" i="1"/>
  <c r="R477" i="1"/>
  <c r="S3182" i="1"/>
  <c r="R3182" i="1"/>
  <c r="S999" i="1"/>
  <c r="R999" i="1"/>
  <c r="S748" i="1"/>
  <c r="R748" i="1"/>
  <c r="S2232" i="1"/>
  <c r="R2232" i="1"/>
  <c r="S1340" i="1"/>
  <c r="R1340" i="1"/>
  <c r="S90" i="1"/>
  <c r="R90" i="1"/>
  <c r="S1154" i="1"/>
  <c r="R1154" i="1"/>
  <c r="S1483" i="1"/>
  <c r="R1483" i="1"/>
  <c r="S2444" i="1"/>
  <c r="R2444" i="1"/>
  <c r="S2398" i="1"/>
  <c r="R2398" i="1"/>
  <c r="S1962" i="1"/>
  <c r="R1962" i="1"/>
  <c r="S2908" i="1"/>
  <c r="R2908" i="1"/>
  <c r="S3629" i="1"/>
  <c r="R3629" i="1"/>
  <c r="S2668" i="1"/>
  <c r="R2668" i="1"/>
  <c r="S681" i="1"/>
  <c r="R681" i="1"/>
  <c r="S2100" i="1"/>
  <c r="R2100" i="1"/>
  <c r="S1532" i="1"/>
  <c r="R1532" i="1"/>
  <c r="S3490" i="1"/>
  <c r="R3490" i="1"/>
  <c r="S135" i="1"/>
  <c r="R135" i="1"/>
  <c r="S2009" i="1"/>
  <c r="R2009" i="1"/>
  <c r="S2962" i="1"/>
  <c r="R2962" i="1"/>
  <c r="S1100" i="1"/>
  <c r="R1100" i="1"/>
  <c r="S1626" i="1"/>
  <c r="R1626" i="1"/>
  <c r="S849" i="1"/>
  <c r="R849" i="1"/>
  <c r="S334" i="1"/>
  <c r="R334" i="1"/>
  <c r="S385" i="1"/>
  <c r="R385" i="1"/>
  <c r="S900" i="1"/>
  <c r="R900" i="1"/>
  <c r="S1878" i="1"/>
  <c r="R1878" i="1"/>
  <c r="S1773" i="1"/>
  <c r="R1773" i="1"/>
  <c r="S181" i="1"/>
  <c r="R181" i="1"/>
  <c r="S2272" i="1"/>
  <c r="R2272" i="1"/>
  <c r="S3908" i="1"/>
  <c r="R3908" i="1"/>
  <c r="S3816" i="1"/>
  <c r="R3816" i="1"/>
  <c r="S3017" i="1"/>
  <c r="R3017" i="1"/>
  <c r="S2573" i="1"/>
  <c r="R2573" i="1"/>
  <c r="S3095" i="1"/>
  <c r="R3095" i="1"/>
  <c r="S2843" i="1"/>
  <c r="R2843" i="1"/>
  <c r="S3444" i="1"/>
  <c r="R3444" i="1"/>
  <c r="S1382" i="1"/>
  <c r="R1382" i="1"/>
  <c r="S1252" i="1"/>
  <c r="R1252" i="1"/>
  <c r="S542" i="1"/>
  <c r="R542" i="1"/>
  <c r="S1583" i="1"/>
  <c r="R1583" i="1"/>
  <c r="S384" i="1"/>
  <c r="R384" i="1"/>
  <c r="S899" i="1"/>
  <c r="R899" i="1"/>
  <c r="S1877" i="1"/>
  <c r="R1877" i="1"/>
  <c r="S1772" i="1"/>
  <c r="R1772" i="1"/>
  <c r="S1251" i="1"/>
  <c r="R1251" i="1"/>
  <c r="S541" i="1"/>
  <c r="R541" i="1"/>
  <c r="S1582" i="1"/>
  <c r="R1582" i="1"/>
  <c r="S277" i="1"/>
  <c r="R277" i="1"/>
  <c r="S3769" i="1"/>
  <c r="R3769" i="1"/>
  <c r="S3364" i="1"/>
  <c r="R3364" i="1"/>
  <c r="S1676" i="1"/>
  <c r="R1676" i="1"/>
  <c r="S1724" i="1"/>
  <c r="R1724" i="1"/>
  <c r="S3678" i="1"/>
  <c r="R3678" i="1"/>
  <c r="S2231" i="1"/>
  <c r="R2231" i="1"/>
  <c r="S1339" i="1"/>
  <c r="R1339" i="1"/>
  <c r="S89" i="1"/>
  <c r="R89" i="1"/>
  <c r="S2483" i="1"/>
  <c r="R2483" i="1"/>
  <c r="S3584" i="1"/>
  <c r="R3584" i="1"/>
  <c r="S230" i="1"/>
  <c r="R230" i="1"/>
  <c r="S432" i="1"/>
  <c r="R432" i="1"/>
  <c r="S1290" i="1"/>
  <c r="R1290" i="1"/>
  <c r="S1429" i="1"/>
  <c r="R1429" i="1"/>
  <c r="S2799" i="1"/>
  <c r="R2799" i="1"/>
  <c r="S2750" i="1"/>
  <c r="R2750" i="1"/>
  <c r="S954" i="1"/>
  <c r="R954" i="1"/>
  <c r="S1827" i="1"/>
  <c r="R1827" i="1"/>
  <c r="S3060" i="1"/>
  <c r="R3060" i="1"/>
  <c r="S2146" i="1"/>
  <c r="R2146" i="1"/>
  <c r="S721" i="1"/>
  <c r="R721" i="1"/>
  <c r="S3316" i="1"/>
  <c r="R3316" i="1"/>
  <c r="S1044" i="1"/>
  <c r="R1044" i="1"/>
  <c r="S476" i="1"/>
  <c r="R476" i="1"/>
  <c r="S3181" i="1"/>
  <c r="R3181" i="1"/>
  <c r="S998" i="1"/>
  <c r="R998" i="1"/>
  <c r="S1202" i="1"/>
  <c r="R1202" i="1"/>
  <c r="S3224" i="1"/>
  <c r="R3224" i="1"/>
  <c r="S792" i="1"/>
  <c r="R792" i="1"/>
  <c r="S40" i="1"/>
  <c r="R40" i="1"/>
  <c r="S180" i="1"/>
  <c r="R180" i="1"/>
  <c r="S2271" i="1"/>
  <c r="R2271" i="1"/>
  <c r="S3907" i="1"/>
  <c r="R3907" i="1"/>
  <c r="S3815" i="1"/>
  <c r="R3815" i="1"/>
  <c r="S2099" i="1"/>
  <c r="R2099" i="1"/>
  <c r="S1531" i="1"/>
  <c r="R1531" i="1"/>
  <c r="S3489" i="1"/>
  <c r="R3489" i="1"/>
  <c r="S431" i="1"/>
  <c r="R431" i="1"/>
  <c r="S1289" i="1"/>
  <c r="R1289" i="1"/>
  <c r="S1428" i="1"/>
  <c r="R1428" i="1"/>
  <c r="S2798" i="1"/>
  <c r="R2798" i="1"/>
  <c r="S3138" i="1" l="1"/>
  <c r="R3138" i="1"/>
  <c r="S3721" i="1"/>
  <c r="R3721" i="1"/>
  <c r="S2053" i="1"/>
  <c r="R2053" i="1"/>
  <c r="S2443" i="1"/>
  <c r="R2443" i="1"/>
  <c r="S2397" i="1"/>
  <c r="R2397" i="1"/>
  <c r="S1961" i="1"/>
  <c r="R1961" i="1"/>
  <c r="S3016" i="1"/>
  <c r="R3016" i="1"/>
  <c r="S2572" i="1"/>
  <c r="R2572" i="1"/>
  <c r="S587" i="1"/>
  <c r="R587" i="1"/>
  <c r="S2183" i="1"/>
  <c r="R2183" i="1"/>
  <c r="S3862" i="1"/>
  <c r="R3862" i="1"/>
  <c r="S2353" i="1"/>
  <c r="R2353" i="1"/>
  <c r="S3094" i="1"/>
  <c r="R3094" i="1"/>
  <c r="S2842" i="1"/>
  <c r="R2842" i="1"/>
  <c r="S3443" i="1"/>
  <c r="R3443" i="1"/>
  <c r="S1381" i="1"/>
  <c r="R1381" i="1"/>
  <c r="S3535" i="1"/>
  <c r="R3535" i="1"/>
  <c r="S3269" i="1"/>
  <c r="R3269" i="1"/>
  <c r="S2612" i="1"/>
  <c r="R2612" i="1"/>
  <c r="S3966" i="1"/>
  <c r="R3966" i="1"/>
  <c r="S2695" i="1"/>
  <c r="R2695" i="1"/>
  <c r="S2907" i="1"/>
  <c r="R2907" i="1"/>
  <c r="S3628" i="1"/>
  <c r="R3628" i="1"/>
  <c r="S2667" i="1"/>
  <c r="R2667" i="1"/>
  <c r="S680" i="1"/>
  <c r="R680" i="1"/>
  <c r="S1153" i="1"/>
  <c r="R1153" i="1"/>
  <c r="S1482" i="1"/>
  <c r="R1482" i="1"/>
  <c r="S1201" i="1"/>
  <c r="R1201" i="1"/>
  <c r="S3223" i="1"/>
  <c r="R3223" i="1"/>
  <c r="S791" i="1"/>
  <c r="R791" i="1"/>
  <c r="S39" i="1"/>
  <c r="R39" i="1"/>
  <c r="S276" i="1"/>
  <c r="R276" i="1"/>
  <c r="S3768" i="1"/>
  <c r="R3768" i="1"/>
  <c r="S2482" i="1"/>
  <c r="R2482" i="1"/>
  <c r="S3583" i="1"/>
  <c r="R3583" i="1"/>
  <c r="S229" i="1"/>
  <c r="R229" i="1"/>
  <c r="S1152" i="1"/>
  <c r="R1152" i="1"/>
  <c r="S1481" i="1"/>
  <c r="R1481" i="1"/>
  <c r="S3315" i="1"/>
  <c r="R3315" i="1"/>
  <c r="S1043" i="1"/>
  <c r="R1043" i="1"/>
  <c r="S3059" i="1"/>
  <c r="R3059" i="1"/>
  <c r="S2145" i="1"/>
  <c r="R2145" i="1"/>
  <c r="S720" i="1"/>
  <c r="R720" i="1"/>
  <c r="S134" i="1"/>
  <c r="R134" i="1"/>
  <c r="S2008" i="1"/>
  <c r="R2008" i="1"/>
  <c r="S2961" i="1"/>
  <c r="R2961" i="1"/>
  <c r="S1250" i="1"/>
  <c r="R1250" i="1"/>
  <c r="S540" i="1"/>
  <c r="R540" i="1"/>
  <c r="S1581" i="1"/>
  <c r="R1581" i="1"/>
  <c r="S3534" i="1"/>
  <c r="R3534" i="1"/>
  <c r="S3268" i="1"/>
  <c r="R3268" i="1"/>
  <c r="S2611" i="1"/>
  <c r="R2611" i="1"/>
  <c r="S383" i="1"/>
  <c r="R383" i="1"/>
  <c r="S898" i="1"/>
  <c r="R898" i="1"/>
  <c r="S1876" i="1"/>
  <c r="R1876" i="1"/>
  <c r="S1771" i="1"/>
  <c r="R1771" i="1"/>
  <c r="S3363" i="1"/>
  <c r="R3363" i="1"/>
  <c r="S1675" i="1"/>
  <c r="R1675" i="1"/>
  <c r="S1723" i="1"/>
  <c r="R1723" i="1"/>
  <c r="S3677" i="1"/>
  <c r="R3677" i="1"/>
  <c r="S2749" i="1"/>
  <c r="R2749" i="1"/>
  <c r="S953" i="1"/>
  <c r="R953" i="1"/>
  <c r="S1826" i="1"/>
  <c r="R1826" i="1"/>
  <c r="S2748" i="1"/>
  <c r="R2748" i="1"/>
  <c r="S952" i="1"/>
  <c r="R952" i="1"/>
  <c r="S1825" i="1"/>
  <c r="R1825" i="1"/>
  <c r="S2906" i="1"/>
  <c r="R2906" i="1"/>
  <c r="S3627" i="1"/>
  <c r="R3627" i="1"/>
  <c r="S2666" i="1"/>
  <c r="R2666" i="1"/>
  <c r="S679" i="1"/>
  <c r="R679" i="1"/>
  <c r="S3093" i="1"/>
  <c r="R3093" i="1"/>
  <c r="S2841" i="1"/>
  <c r="R2841" i="1"/>
  <c r="S3442" i="1"/>
  <c r="R3442" i="1"/>
  <c r="S1380" i="1"/>
  <c r="R1380" i="1"/>
  <c r="S586" i="1"/>
  <c r="R586" i="1"/>
  <c r="S2182" i="1"/>
  <c r="R2182" i="1"/>
  <c r="S3861" i="1"/>
  <c r="R3861" i="1"/>
  <c r="S2352" i="1"/>
  <c r="R2352" i="1"/>
  <c r="S3137" i="1"/>
  <c r="R3137" i="1"/>
  <c r="S3720" i="1"/>
  <c r="R3720" i="1"/>
  <c r="S2052" i="1"/>
  <c r="R2052" i="1"/>
  <c r="S747" i="1"/>
  <c r="R747" i="1"/>
  <c r="S2230" i="1"/>
  <c r="R2230" i="1"/>
  <c r="S1338" i="1"/>
  <c r="R1338" i="1"/>
  <c r="S88" i="1"/>
  <c r="R88" i="1"/>
  <c r="S3015" i="1"/>
  <c r="R3015" i="1"/>
  <c r="S2571" i="1"/>
  <c r="R2571" i="1"/>
  <c r="S1099" i="1"/>
  <c r="R1099" i="1"/>
  <c r="S1625" i="1"/>
  <c r="R1625" i="1"/>
  <c r="S848" i="1"/>
  <c r="R848" i="1"/>
  <c r="S333" i="1"/>
  <c r="R333" i="1"/>
  <c r="S475" i="1"/>
  <c r="R475" i="1"/>
  <c r="S3180" i="1"/>
  <c r="R3180" i="1"/>
  <c r="S997" i="1"/>
  <c r="R997" i="1"/>
  <c r="S2098" i="1"/>
  <c r="R2098" i="1"/>
  <c r="S1530" i="1"/>
  <c r="R1530" i="1"/>
  <c r="S3488" i="1"/>
  <c r="R3488" i="1"/>
  <c r="S1200" i="1"/>
  <c r="R1200" i="1"/>
  <c r="S3222" i="1"/>
  <c r="R3222" i="1"/>
  <c r="S790" i="1"/>
  <c r="R790" i="1"/>
  <c r="S38" i="1"/>
  <c r="R38" i="1"/>
  <c r="S3965" i="1"/>
  <c r="R3965" i="1"/>
  <c r="S2694" i="1"/>
  <c r="R2694" i="1"/>
  <c r="S133" i="1"/>
  <c r="R133" i="1"/>
  <c r="S2007" i="1"/>
  <c r="R2007" i="1"/>
  <c r="S2960" i="1"/>
  <c r="R2960" i="1"/>
  <c r="S3314" i="1"/>
  <c r="R3314" i="1"/>
  <c r="S1042" i="1"/>
  <c r="R1042" i="1"/>
  <c r="S2442" i="1"/>
  <c r="R2442" i="1"/>
  <c r="S2396" i="1"/>
  <c r="R2396" i="1"/>
  <c r="S1960" i="1"/>
  <c r="R1960" i="1"/>
  <c r="S275" i="1"/>
  <c r="R275" i="1"/>
  <c r="S3767" i="1"/>
  <c r="R3767" i="1"/>
  <c r="S3533" i="1"/>
  <c r="R3533" i="1"/>
  <c r="S3267" i="1"/>
  <c r="R3267" i="1"/>
  <c r="S2610" i="1"/>
  <c r="R2610" i="1"/>
  <c r="S430" i="1"/>
  <c r="R430" i="1"/>
  <c r="S1288" i="1"/>
  <c r="R1288" i="1"/>
  <c r="S1427" i="1"/>
  <c r="R1427" i="1"/>
  <c r="S2797" i="1"/>
  <c r="R2797" i="1"/>
  <c r="S2481" i="1"/>
  <c r="R2481" i="1"/>
  <c r="S3582" i="1"/>
  <c r="R3582" i="1"/>
  <c r="S228" i="1"/>
  <c r="R228" i="1"/>
  <c r="S3058" i="1"/>
  <c r="R3058" i="1"/>
  <c r="S2144" i="1"/>
  <c r="R2144" i="1"/>
  <c r="S719" i="1"/>
  <c r="R719" i="1"/>
  <c r="S382" i="1"/>
  <c r="R382" i="1"/>
  <c r="S897" i="1"/>
  <c r="R897" i="1"/>
  <c r="S1875" i="1"/>
  <c r="R1875" i="1"/>
  <c r="S1770" i="1"/>
  <c r="R1770" i="1"/>
  <c r="S3362" i="1"/>
  <c r="R3362" i="1"/>
  <c r="S1674" i="1"/>
  <c r="R1674" i="1"/>
  <c r="S1722" i="1"/>
  <c r="R1722" i="1"/>
  <c r="S3676" i="1"/>
  <c r="R3676" i="1"/>
  <c r="S179" i="1"/>
  <c r="R179" i="1"/>
  <c r="S2270" i="1"/>
  <c r="R2270" i="1"/>
  <c r="S3906" i="1"/>
  <c r="R3906" i="1"/>
  <c r="S3814" i="1"/>
  <c r="R3814" i="1"/>
  <c r="S3014" i="1"/>
  <c r="R3014" i="1"/>
  <c r="S2570" i="1"/>
  <c r="R2570" i="1"/>
  <c r="S1098" i="1"/>
  <c r="R1098" i="1"/>
  <c r="S1624" i="1"/>
  <c r="R1624" i="1"/>
  <c r="S847" i="1"/>
  <c r="R847" i="1"/>
  <c r="S332" i="1"/>
  <c r="R332" i="1"/>
  <c r="S2905" i="1"/>
  <c r="R2905" i="1"/>
  <c r="S3626" i="1"/>
  <c r="R3626" i="1"/>
  <c r="S2665" i="1"/>
  <c r="R2665" i="1"/>
  <c r="S678" i="1"/>
  <c r="R678" i="1"/>
  <c r="S585" i="1"/>
  <c r="R585" i="1"/>
  <c r="S2181" i="1"/>
  <c r="R2181" i="1"/>
  <c r="S3860" i="1"/>
  <c r="R3860" i="1"/>
  <c r="S2351" i="1"/>
  <c r="R2351" i="1"/>
  <c r="S3964" i="1"/>
  <c r="R3964" i="1"/>
  <c r="S2693" i="1"/>
  <c r="R2693" i="1"/>
  <c r="S1249" i="1"/>
  <c r="R1249" i="1"/>
  <c r="S539" i="1"/>
  <c r="R539" i="1"/>
  <c r="S1580" i="1"/>
  <c r="R1580" i="1"/>
  <c r="S474" i="1"/>
  <c r="R474" i="1"/>
  <c r="S3179" i="1"/>
  <c r="R3179" i="1"/>
  <c r="S996" i="1"/>
  <c r="R996" i="1"/>
  <c r="S1199" i="1"/>
  <c r="R1199" i="1"/>
  <c r="S3221" i="1"/>
  <c r="R3221" i="1"/>
  <c r="S789" i="1"/>
  <c r="R789" i="1"/>
  <c r="S37" i="1"/>
  <c r="R37" i="1"/>
  <c r="S1151" i="1"/>
  <c r="R1151" i="1"/>
  <c r="S1480" i="1"/>
  <c r="R1480" i="1"/>
  <c r="S3361" i="1"/>
  <c r="R3361" i="1"/>
  <c r="S1673" i="1"/>
  <c r="R1673" i="1"/>
  <c r="S1721" i="1"/>
  <c r="R1721" i="1"/>
  <c r="S3675" i="1"/>
  <c r="R3675" i="1"/>
  <c r="S3136" i="1"/>
  <c r="R3136" i="1"/>
  <c r="S3719" i="1"/>
  <c r="R3719" i="1"/>
  <c r="S2051" i="1"/>
  <c r="R2051" i="1"/>
  <c r="S2747" i="1"/>
  <c r="R2747" i="1"/>
  <c r="S951" i="1"/>
  <c r="R951" i="1"/>
  <c r="S1824" i="1"/>
  <c r="R1824" i="1"/>
  <c r="S132" i="1"/>
  <c r="R132" i="1"/>
  <c r="S2006" i="1"/>
  <c r="R2006" i="1"/>
  <c r="S2959" i="1"/>
  <c r="R2959" i="1"/>
  <c r="AB19" i="1" l="1"/>
  <c r="AB20" i="1"/>
  <c r="AB21" i="1"/>
  <c r="AB18" i="1"/>
  <c r="AA19" i="1"/>
  <c r="AA20" i="1"/>
  <c r="AA21" i="1"/>
  <c r="AA18" i="1"/>
  <c r="AB11" i="1"/>
  <c r="AB12" i="1"/>
  <c r="AB13" i="1"/>
  <c r="AB14" i="1"/>
  <c r="AB15" i="1"/>
  <c r="AB10" i="1"/>
  <c r="AA11" i="1"/>
  <c r="AA12" i="1"/>
  <c r="AA13" i="1"/>
  <c r="AA14" i="1"/>
  <c r="AA15" i="1"/>
  <c r="AA10" i="1"/>
  <c r="S704" i="1"/>
  <c r="S690" i="1"/>
  <c r="S687" i="1"/>
  <c r="S691" i="1"/>
  <c r="S703" i="1"/>
  <c r="S692" i="1"/>
  <c r="S705" i="1"/>
  <c r="S706" i="1"/>
  <c r="S696" i="1"/>
  <c r="S693" i="1"/>
  <c r="S707" i="1"/>
  <c r="S708" i="1"/>
  <c r="S709" i="1"/>
  <c r="S710" i="1"/>
  <c r="S694" i="1"/>
  <c r="S697" i="1"/>
  <c r="S698" i="1"/>
  <c r="S711" i="1"/>
  <c r="S688" i="1"/>
  <c r="S712" i="1"/>
  <c r="S699" i="1"/>
  <c r="S713" i="1"/>
  <c r="S700" i="1"/>
  <c r="S714" i="1"/>
  <c r="S715" i="1"/>
  <c r="S716" i="1"/>
  <c r="S701" i="1"/>
  <c r="S702" i="1"/>
  <c r="S689" i="1"/>
  <c r="S695" i="1"/>
  <c r="S717" i="1"/>
  <c r="S718" i="1"/>
  <c r="S1568" i="1"/>
  <c r="S1545" i="1"/>
  <c r="S1569" i="1"/>
  <c r="S1558" i="1"/>
  <c r="S1553" i="1"/>
  <c r="S1555" i="1"/>
  <c r="S1540" i="1"/>
  <c r="S1546" i="1"/>
  <c r="S1570" i="1"/>
  <c r="S1571" i="1"/>
  <c r="S1556" i="1"/>
  <c r="S1554" i="1"/>
  <c r="S1572" i="1"/>
  <c r="S1547" i="1"/>
  <c r="S1548" i="1"/>
  <c r="S1560" i="1"/>
  <c r="S1549" i="1"/>
  <c r="S1573" i="1"/>
  <c r="S1550" i="1"/>
  <c r="S1551" i="1"/>
  <c r="S1562" i="1"/>
  <c r="S1574" i="1"/>
  <c r="S1559" i="1"/>
  <c r="S1541" i="1"/>
  <c r="S1563" i="1"/>
  <c r="S1575" i="1"/>
  <c r="S1542" i="1"/>
  <c r="S1552" i="1"/>
  <c r="S1564" i="1"/>
  <c r="S1565" i="1"/>
  <c r="S1566" i="1"/>
  <c r="S1557" i="1"/>
  <c r="S1543" i="1"/>
  <c r="S1567" i="1"/>
  <c r="S1576" i="1"/>
  <c r="S1577" i="1"/>
  <c r="S1544" i="1"/>
  <c r="S1561" i="1"/>
  <c r="S1578" i="1"/>
  <c r="S1579" i="1"/>
  <c r="S1744" i="1"/>
  <c r="S1756" i="1"/>
  <c r="S1730" i="1"/>
  <c r="S1735" i="1"/>
  <c r="S1762" i="1"/>
  <c r="S1757" i="1"/>
  <c r="S1745" i="1"/>
  <c r="S1746" i="1"/>
  <c r="S1758" i="1"/>
  <c r="S1736" i="1"/>
  <c r="S1754" i="1"/>
  <c r="S1733" i="1"/>
  <c r="S1747" i="1"/>
  <c r="S1734" i="1"/>
  <c r="S1731" i="1"/>
  <c r="S1759" i="1"/>
  <c r="S1764" i="1"/>
  <c r="S1748" i="1"/>
  <c r="S1765" i="1"/>
  <c r="S1737" i="1"/>
  <c r="S1760" i="1"/>
  <c r="S1749" i="1"/>
  <c r="S1766" i="1"/>
  <c r="S1750" i="1"/>
  <c r="S1751" i="1"/>
  <c r="S1742" i="1"/>
  <c r="S1738" i="1"/>
  <c r="S1767" i="1"/>
  <c r="S1763" i="1"/>
  <c r="S1768" i="1"/>
  <c r="S1743" i="1"/>
  <c r="S1769" i="1"/>
  <c r="S1752" i="1"/>
  <c r="S1761" i="1"/>
  <c r="S1753" i="1"/>
  <c r="S1739" i="1"/>
  <c r="S1740" i="1"/>
  <c r="S1741" i="1"/>
  <c r="S1755" i="1"/>
  <c r="S1732" i="1"/>
  <c r="S2759" i="1"/>
  <c r="S2760" i="1"/>
  <c r="S2775" i="1"/>
  <c r="S2781" i="1"/>
  <c r="S2761" i="1"/>
  <c r="S2762" i="1"/>
  <c r="S2791" i="1"/>
  <c r="S2774" i="1"/>
  <c r="S2763" i="1"/>
  <c r="S2792" i="1"/>
  <c r="S2793" i="1"/>
  <c r="S2776" i="1"/>
  <c r="S2765" i="1"/>
  <c r="S2777" i="1"/>
  <c r="S2766" i="1"/>
  <c r="S2767" i="1"/>
  <c r="S2768" i="1"/>
  <c r="S2769" i="1"/>
  <c r="S2782" i="1"/>
  <c r="S2790" i="1"/>
  <c r="S2778" i="1"/>
  <c r="S2783" i="1"/>
  <c r="S2784" i="1"/>
  <c r="S2758" i="1"/>
  <c r="S2779" i="1"/>
  <c r="S2794" i="1"/>
  <c r="S2785" i="1"/>
  <c r="S2786" i="1"/>
  <c r="S2780" i="1"/>
  <c r="S2770" i="1"/>
  <c r="S2771" i="1"/>
  <c r="S2764" i="1"/>
  <c r="S2787" i="1"/>
  <c r="S2772" i="1"/>
  <c r="S2773" i="1"/>
  <c r="S2788" i="1"/>
  <c r="S2789" i="1"/>
  <c r="S2795" i="1"/>
  <c r="S2796" i="1"/>
  <c r="S2407" i="1"/>
  <c r="S2425" i="1"/>
  <c r="S2416" i="1"/>
  <c r="S2433" i="1"/>
  <c r="S2426" i="1"/>
  <c r="S2430" i="1"/>
  <c r="S2408" i="1"/>
  <c r="S2422" i="1"/>
  <c r="S2409" i="1"/>
  <c r="S2410" i="1"/>
  <c r="S2417" i="1"/>
  <c r="S2434" i="1"/>
  <c r="S2437" i="1"/>
  <c r="S2418" i="1"/>
  <c r="S2412" i="1"/>
  <c r="S2419" i="1"/>
  <c r="S2427" i="1"/>
  <c r="S2435" i="1"/>
  <c r="S2413" i="1"/>
  <c r="S2411" i="1"/>
  <c r="S2406" i="1"/>
  <c r="S2420" i="1"/>
  <c r="S2421" i="1"/>
  <c r="S2414" i="1"/>
  <c r="S2415" i="1"/>
  <c r="S2439" i="1"/>
  <c r="S2436" i="1"/>
  <c r="S2423" i="1"/>
  <c r="S2440" i="1"/>
  <c r="S2428" i="1"/>
  <c r="S2438" i="1"/>
  <c r="S2431" i="1"/>
  <c r="S2432" i="1"/>
  <c r="S2424" i="1"/>
  <c r="S2429" i="1"/>
  <c r="S2441" i="1"/>
  <c r="S3599" i="1"/>
  <c r="S3612" i="1"/>
  <c r="S3623" i="1"/>
  <c r="S3602" i="1"/>
  <c r="S3591" i="1"/>
  <c r="S3603" i="1"/>
  <c r="S3604" i="1"/>
  <c r="S3600" i="1"/>
  <c r="S3592" i="1"/>
  <c r="S3613" i="1"/>
  <c r="S3605" i="1"/>
  <c r="S3621" i="1"/>
  <c r="S3614" i="1"/>
  <c r="S3593" i="1"/>
  <c r="S3594" i="1"/>
  <c r="S3606" i="1"/>
  <c r="S3595" i="1"/>
  <c r="S3615" i="1"/>
  <c r="S3596" i="1"/>
  <c r="S3608" i="1"/>
  <c r="S3609" i="1"/>
  <c r="S3601" i="1"/>
  <c r="S3597" i="1"/>
  <c r="S3610" i="1"/>
  <c r="S3598" i="1"/>
  <c r="S3616" i="1"/>
  <c r="S3617" i="1"/>
  <c r="S3590" i="1"/>
  <c r="S3607" i="1"/>
  <c r="S3611" i="1"/>
  <c r="S3618" i="1"/>
  <c r="S3619" i="1"/>
  <c r="S3624" i="1"/>
  <c r="S3622" i="1"/>
  <c r="S3620" i="1"/>
  <c r="S3625" i="1"/>
  <c r="S3415" i="1"/>
  <c r="S3435" i="1"/>
  <c r="S3436" i="1"/>
  <c r="S3424" i="1"/>
  <c r="S3408" i="1"/>
  <c r="S3441" i="1"/>
  <c r="S3425" i="1"/>
  <c r="S3437" i="1"/>
  <c r="S3409" i="1"/>
  <c r="S3416" i="1"/>
  <c r="S3426" i="1"/>
  <c r="S3410" i="1"/>
  <c r="S3417" i="1"/>
  <c r="S3413" i="1"/>
  <c r="S3423" i="1"/>
  <c r="S3418" i="1"/>
  <c r="S3419" i="1"/>
  <c r="S3438" i="1"/>
  <c r="S3420" i="1"/>
  <c r="S3427" i="1"/>
  <c r="S3428" i="1"/>
  <c r="S3421" i="1"/>
  <c r="S3439" i="1"/>
  <c r="S3429" i="1"/>
  <c r="S3430" i="1"/>
  <c r="S3422" i="1"/>
  <c r="S3411" i="1"/>
  <c r="S3412" i="1"/>
  <c r="S3431" i="1"/>
  <c r="S3414" i="1"/>
  <c r="S3440" i="1"/>
  <c r="S3432" i="1"/>
  <c r="S3433" i="1"/>
  <c r="S3434" i="1"/>
  <c r="S3786" i="1"/>
  <c r="S3797" i="1"/>
  <c r="S3777" i="1"/>
  <c r="S3798" i="1"/>
  <c r="S3799" i="1"/>
  <c r="S3787" i="1"/>
  <c r="S3782" i="1"/>
  <c r="S3800" i="1"/>
  <c r="S3778" i="1"/>
  <c r="S3788" i="1"/>
  <c r="S3801" i="1"/>
  <c r="S3789" i="1"/>
  <c r="S3810" i="1"/>
  <c r="S3790" i="1"/>
  <c r="S3783" i="1"/>
  <c r="S3791" i="1"/>
  <c r="S3779" i="1"/>
  <c r="S3811" i="1"/>
  <c r="S3802" i="1"/>
  <c r="S3784" i="1"/>
  <c r="S3780" i="1"/>
  <c r="S3781" i="1"/>
  <c r="S3803" i="1"/>
  <c r="S3804" i="1"/>
  <c r="S3805" i="1"/>
  <c r="S3809" i="1"/>
  <c r="S3792" i="1"/>
  <c r="S3793" i="1"/>
  <c r="S3806" i="1"/>
  <c r="S3812" i="1"/>
  <c r="S3785" i="1"/>
  <c r="S3813" i="1"/>
  <c r="S3794" i="1"/>
  <c r="S3807" i="1"/>
  <c r="S3795" i="1"/>
  <c r="S3808" i="1"/>
  <c r="S3796" i="1"/>
  <c r="S1016" i="1"/>
  <c r="S1025" i="1"/>
  <c r="S1017" i="1"/>
  <c r="S1018" i="1"/>
  <c r="S1026" i="1"/>
  <c r="S1019" i="1"/>
  <c r="S1020" i="1"/>
  <c r="S1027" i="1"/>
  <c r="S1028" i="1"/>
  <c r="S1007" i="1"/>
  <c r="S1008" i="1"/>
  <c r="S1021" i="1"/>
  <c r="S1006" i="1"/>
  <c r="S1009" i="1"/>
  <c r="S1022" i="1"/>
  <c r="S1032" i="1"/>
  <c r="S1010" i="1"/>
  <c r="S1014" i="1"/>
  <c r="S1011" i="1"/>
  <c r="S1005" i="1"/>
  <c r="S1029" i="1"/>
  <c r="S1023" i="1"/>
  <c r="S1033" i="1"/>
  <c r="S1012" i="1"/>
  <c r="S1040" i="1"/>
  <c r="S1034" i="1"/>
  <c r="S1035" i="1"/>
  <c r="S1024" i="1"/>
  <c r="S1041" i="1"/>
  <c r="S1036" i="1"/>
  <c r="S1037" i="1"/>
  <c r="S1038" i="1"/>
  <c r="S1030" i="1"/>
  <c r="S1039" i="1"/>
  <c r="S1031" i="1"/>
  <c r="S1013" i="1"/>
  <c r="S1015" i="1"/>
  <c r="S3215" i="1"/>
  <c r="S3189" i="1"/>
  <c r="S3190" i="1"/>
  <c r="S3200" i="1"/>
  <c r="S3198" i="1"/>
  <c r="S3188" i="1"/>
  <c r="S3191" i="1"/>
  <c r="S3201" i="1"/>
  <c r="S3202" i="1"/>
  <c r="S3192" i="1"/>
  <c r="S3193" i="1"/>
  <c r="S3203" i="1"/>
  <c r="S3204" i="1"/>
  <c r="S3205" i="1"/>
  <c r="S3213" i="1"/>
  <c r="S3194" i="1"/>
  <c r="S3214" i="1"/>
  <c r="S3195" i="1"/>
  <c r="S3196" i="1"/>
  <c r="S3220" i="1"/>
  <c r="S3206" i="1"/>
  <c r="S3207" i="1"/>
  <c r="S3208" i="1"/>
  <c r="S3211" i="1"/>
  <c r="S3216" i="1"/>
  <c r="S3199" i="1"/>
  <c r="S3197" i="1"/>
  <c r="S3209" i="1"/>
  <c r="S3219" i="1"/>
  <c r="S3212" i="1"/>
  <c r="S3218" i="1"/>
  <c r="S3210" i="1"/>
  <c r="S3217" i="1"/>
  <c r="S2238" i="1"/>
  <c r="S2239" i="1"/>
  <c r="S2240" i="1"/>
  <c r="S2252" i="1"/>
  <c r="S2241" i="1"/>
  <c r="S2265" i="1"/>
  <c r="S2256" i="1"/>
  <c r="S2253" i="1"/>
  <c r="S2242" i="1"/>
  <c r="S2268" i="1"/>
  <c r="S2243" i="1"/>
  <c r="S2258" i="1"/>
  <c r="S2259" i="1"/>
  <c r="S2266" i="1"/>
  <c r="S2244" i="1"/>
  <c r="S2245" i="1"/>
  <c r="S2260" i="1"/>
  <c r="S2246" i="1"/>
  <c r="S2267" i="1"/>
  <c r="S2264" i="1"/>
  <c r="S2247" i="1"/>
  <c r="S2254" i="1"/>
  <c r="S2261" i="1"/>
  <c r="S2269" i="1"/>
  <c r="S2262" i="1"/>
  <c r="S2248" i="1"/>
  <c r="S2263" i="1"/>
  <c r="S2249" i="1"/>
  <c r="S2250" i="1"/>
  <c r="S2255" i="1"/>
  <c r="S2251" i="1"/>
  <c r="S2257" i="1"/>
  <c r="S2687" i="1"/>
  <c r="S2682" i="1"/>
  <c r="S2677" i="1"/>
  <c r="S2674" i="1"/>
  <c r="S2686" i="1"/>
  <c r="S2683" i="1"/>
  <c r="S2678" i="1"/>
  <c r="S2684" i="1"/>
  <c r="S2691" i="1"/>
  <c r="S2692" i="1"/>
  <c r="S2688" i="1"/>
  <c r="S2679" i="1"/>
  <c r="S2689" i="1"/>
  <c r="S2675" i="1"/>
  <c r="S2690" i="1"/>
  <c r="S2676" i="1"/>
  <c r="S2680" i="1"/>
  <c r="S2681" i="1"/>
  <c r="S2685" i="1"/>
  <c r="S519" i="1"/>
  <c r="S505" i="1"/>
  <c r="S520" i="1"/>
  <c r="S529" i="1"/>
  <c r="S521" i="1"/>
  <c r="S533" i="1"/>
  <c r="S508" i="1"/>
  <c r="S515" i="1"/>
  <c r="S516" i="1"/>
  <c r="S535" i="1"/>
  <c r="S506" i="1"/>
  <c r="S522" i="1"/>
  <c r="S523" i="1"/>
  <c r="S509" i="1"/>
  <c r="S524" i="1"/>
  <c r="S517" i="1"/>
  <c r="S510" i="1"/>
  <c r="S525" i="1"/>
  <c r="S507" i="1"/>
  <c r="S511" i="1"/>
  <c r="S536" i="1"/>
  <c r="S512" i="1"/>
  <c r="S534" i="1"/>
  <c r="S526" i="1"/>
  <c r="S527" i="1"/>
  <c r="S513" i="1"/>
  <c r="S537" i="1"/>
  <c r="S530" i="1"/>
  <c r="S514" i="1"/>
  <c r="S531" i="1"/>
  <c r="S532" i="1"/>
  <c r="S518" i="1"/>
  <c r="S528" i="1"/>
  <c r="S538" i="1"/>
  <c r="S1280" i="1"/>
  <c r="S1271" i="1"/>
  <c r="S1259" i="1"/>
  <c r="S1260" i="1"/>
  <c r="S1261" i="1"/>
  <c r="S1272" i="1"/>
  <c r="S1273" i="1"/>
  <c r="S1274" i="1"/>
  <c r="S1281" i="1"/>
  <c r="S1282" i="1"/>
  <c r="S1283" i="1"/>
  <c r="S1275" i="1"/>
  <c r="S1284" i="1"/>
  <c r="S1262" i="1"/>
  <c r="S1276" i="1"/>
  <c r="S1263" i="1"/>
  <c r="S1264" i="1"/>
  <c r="S1265" i="1"/>
  <c r="S1277" i="1"/>
  <c r="S1286" i="1"/>
  <c r="S1278" i="1"/>
  <c r="S1266" i="1"/>
  <c r="S1267" i="1"/>
  <c r="S1268" i="1"/>
  <c r="S1269" i="1"/>
  <c r="S1279" i="1"/>
  <c r="S1270" i="1"/>
  <c r="S1287" i="1"/>
  <c r="S1285" i="1"/>
  <c r="S1836" i="1"/>
  <c r="S1837" i="1"/>
  <c r="S1838" i="1"/>
  <c r="S1852" i="1"/>
  <c r="S1850" i="1"/>
  <c r="S1839" i="1"/>
  <c r="S1864" i="1"/>
  <c r="S1840" i="1"/>
  <c r="S1841" i="1"/>
  <c r="S1853" i="1"/>
  <c r="S1865" i="1"/>
  <c r="S1854" i="1"/>
  <c r="S1842" i="1"/>
  <c r="S1855" i="1"/>
  <c r="S1843" i="1"/>
  <c r="S1856" i="1"/>
  <c r="S1872" i="1"/>
  <c r="S1857" i="1"/>
  <c r="S1844" i="1"/>
  <c r="S1858" i="1"/>
  <c r="S1866" i="1"/>
  <c r="S1835" i="1"/>
  <c r="S1867" i="1"/>
  <c r="S1845" i="1"/>
  <c r="S1859" i="1"/>
  <c r="S1846" i="1"/>
  <c r="S1847" i="1"/>
  <c r="S1874" i="1"/>
  <c r="S1868" i="1"/>
  <c r="S1869" i="1"/>
  <c r="S1873" i="1"/>
  <c r="S1860" i="1"/>
  <c r="S1848" i="1"/>
  <c r="S1861" i="1"/>
  <c r="S1849" i="1"/>
  <c r="S1851" i="1"/>
  <c r="S1862" i="1"/>
  <c r="S1870" i="1"/>
  <c r="S1863" i="1"/>
  <c r="S1871" i="1"/>
  <c r="S3926" i="1"/>
  <c r="S3927" i="1"/>
  <c r="S3940" i="1"/>
  <c r="S3941" i="1"/>
  <c r="S3952" i="1"/>
  <c r="S3942" i="1"/>
  <c r="S3943" i="1"/>
  <c r="S3944" i="1"/>
  <c r="S3953" i="1"/>
  <c r="S3928" i="1"/>
  <c r="S3939" i="1"/>
  <c r="S3945" i="1"/>
  <c r="S3929" i="1"/>
  <c r="S3930" i="1"/>
  <c r="S3954" i="1"/>
  <c r="S3931" i="1"/>
  <c r="S3932" i="1"/>
  <c r="S3962" i="1"/>
  <c r="S3946" i="1"/>
  <c r="S3933" i="1"/>
  <c r="S3934" i="1"/>
  <c r="S3935" i="1"/>
  <c r="S3936" i="1"/>
  <c r="S3947" i="1"/>
  <c r="S3937" i="1"/>
  <c r="S3955" i="1"/>
  <c r="S3948" i="1"/>
  <c r="S3956" i="1"/>
  <c r="S3938" i="1"/>
  <c r="S3957" i="1"/>
  <c r="S3949" i="1"/>
  <c r="S3958" i="1"/>
  <c r="S3959" i="1"/>
  <c r="S3960" i="1"/>
  <c r="S3961" i="1"/>
  <c r="S3950" i="1"/>
  <c r="S3951" i="1"/>
  <c r="S3963" i="1"/>
  <c r="S3342" i="1"/>
  <c r="S3322" i="1"/>
  <c r="S3343" i="1"/>
  <c r="S3358" i="1"/>
  <c r="S3323" i="1"/>
  <c r="S3324" i="1"/>
  <c r="S3344" i="1"/>
  <c r="S3345" i="1"/>
  <c r="S3346" i="1"/>
  <c r="S3325" i="1"/>
  <c r="S3326" i="1"/>
  <c r="S3347" i="1"/>
  <c r="S3354" i="1"/>
  <c r="S3348" i="1"/>
  <c r="S3355" i="1"/>
  <c r="S3327" i="1"/>
  <c r="S3328" i="1"/>
  <c r="S3329" i="1"/>
  <c r="S3359" i="1"/>
  <c r="S3330" i="1"/>
  <c r="S3331" i="1"/>
  <c r="S3356" i="1"/>
  <c r="S3349" i="1"/>
  <c r="S3332" i="1"/>
  <c r="S3357" i="1"/>
  <c r="S3333" i="1"/>
  <c r="S3334" i="1"/>
  <c r="S3335" i="1"/>
  <c r="S3350" i="1"/>
  <c r="S3336" i="1"/>
  <c r="S3337" i="1"/>
  <c r="S3351" i="1"/>
  <c r="S3352" i="1"/>
  <c r="S3338" i="1"/>
  <c r="S3339" i="1"/>
  <c r="S3340" i="1"/>
  <c r="S3360" i="1"/>
  <c r="S3341" i="1"/>
  <c r="S3353" i="1"/>
  <c r="S31" i="1"/>
  <c r="S4" i="1"/>
  <c r="S5" i="1"/>
  <c r="S20" i="1"/>
  <c r="S28" i="1"/>
  <c r="S32" i="1"/>
  <c r="S2" i="1"/>
  <c r="S21" i="1"/>
  <c r="S22" i="1"/>
  <c r="S6" i="1"/>
  <c r="S23" i="1"/>
  <c r="S24" i="1"/>
  <c r="S33" i="1"/>
  <c r="S7" i="1"/>
  <c r="S8" i="1"/>
  <c r="S25" i="1"/>
  <c r="S9" i="1"/>
  <c r="S26" i="1"/>
  <c r="S10" i="1"/>
  <c r="S11" i="1"/>
  <c r="S12" i="1"/>
  <c r="S34" i="1"/>
  <c r="S13" i="1"/>
  <c r="S14" i="1"/>
  <c r="S27" i="1"/>
  <c r="S19" i="1"/>
  <c r="S15" i="1"/>
  <c r="S35" i="1"/>
  <c r="S29" i="1"/>
  <c r="S30" i="1"/>
  <c r="S16" i="1"/>
  <c r="S17" i="1"/>
  <c r="S3" i="1"/>
  <c r="S36" i="1"/>
  <c r="S18" i="1"/>
  <c r="S1390" i="1"/>
  <c r="S1391" i="1"/>
  <c r="S1392" i="1"/>
  <c r="S1423" i="1"/>
  <c r="S1393" i="1"/>
  <c r="S1394" i="1"/>
  <c r="S1395" i="1"/>
  <c r="S1407" i="1"/>
  <c r="S1396" i="1"/>
  <c r="S1388" i="1"/>
  <c r="S1408" i="1"/>
  <c r="S1397" i="1"/>
  <c r="S1398" i="1"/>
  <c r="S1399" i="1"/>
  <c r="S1409" i="1"/>
  <c r="S1400" i="1"/>
  <c r="S1417" i="1"/>
  <c r="S1410" i="1"/>
  <c r="S1406" i="1"/>
  <c r="S1418" i="1"/>
  <c r="S1419" i="1"/>
  <c r="S1424" i="1"/>
  <c r="S1389" i="1"/>
  <c r="S1401" i="1"/>
  <c r="S1411" i="1"/>
  <c r="S1412" i="1"/>
  <c r="S1420" i="1"/>
  <c r="S1413" i="1"/>
  <c r="S1402" i="1"/>
  <c r="S1403" i="1"/>
  <c r="S1426" i="1"/>
  <c r="S1404" i="1"/>
  <c r="S1414" i="1"/>
  <c r="S1415" i="1"/>
  <c r="S1416" i="1"/>
  <c r="S1421" i="1"/>
  <c r="S1405" i="1"/>
  <c r="S1425" i="1"/>
  <c r="S1422" i="1"/>
  <c r="S3067" i="1"/>
  <c r="S3068" i="1"/>
  <c r="S3069" i="1"/>
  <c r="S3079" i="1"/>
  <c r="S3080" i="1"/>
  <c r="S3081" i="1"/>
  <c r="S3088" i="1"/>
  <c r="S3070" i="1"/>
  <c r="S3071" i="1"/>
  <c r="S3072" i="1"/>
  <c r="S3073" i="1"/>
  <c r="S3082" i="1"/>
  <c r="S3089" i="1"/>
  <c r="S3074" i="1"/>
  <c r="S3075" i="1"/>
  <c r="S3083" i="1"/>
  <c r="S3084" i="1"/>
  <c r="S3090" i="1"/>
  <c r="S3085" i="1"/>
  <c r="S3076" i="1"/>
  <c r="S3091" i="1"/>
  <c r="S3077" i="1"/>
  <c r="S3078" i="1"/>
  <c r="S3086" i="1"/>
  <c r="S3087" i="1"/>
  <c r="S3092" i="1"/>
  <c r="S1636" i="1"/>
  <c r="S1640" i="1"/>
  <c r="S1641" i="1"/>
  <c r="S1637" i="1"/>
  <c r="S1642" i="1"/>
  <c r="S1643" i="1"/>
  <c r="S1644" i="1"/>
  <c r="S1655" i="1"/>
  <c r="S1656" i="1"/>
  <c r="S1645" i="1"/>
  <c r="S1653" i="1"/>
  <c r="S1667" i="1"/>
  <c r="S1634" i="1"/>
  <c r="S1646" i="1"/>
  <c r="S1657" i="1"/>
  <c r="S1668" i="1"/>
  <c r="S1647" i="1"/>
  <c r="S1648" i="1"/>
  <c r="S1664" i="1"/>
  <c r="S1669" i="1"/>
  <c r="S1638" i="1"/>
  <c r="S1665" i="1"/>
  <c r="S1649" i="1"/>
  <c r="S1635" i="1"/>
  <c r="S1670" i="1"/>
  <c r="S1658" i="1"/>
  <c r="S1659" i="1"/>
  <c r="S1650" i="1"/>
  <c r="S1660" i="1"/>
  <c r="S1661" i="1"/>
  <c r="S1671" i="1"/>
  <c r="S1639" i="1"/>
  <c r="S1672" i="1"/>
  <c r="S1651" i="1"/>
  <c r="S1662" i="1"/>
  <c r="S1654" i="1"/>
  <c r="S1663" i="1"/>
  <c r="S1652" i="1"/>
  <c r="S1666" i="1"/>
  <c r="S2125" i="1"/>
  <c r="S2108" i="1"/>
  <c r="S2109" i="1"/>
  <c r="S2110" i="1"/>
  <c r="S2111" i="1"/>
  <c r="S2112" i="1"/>
  <c r="S2113" i="1"/>
  <c r="S2126" i="1"/>
  <c r="S2127" i="1"/>
  <c r="S2139" i="1"/>
  <c r="S2128" i="1"/>
  <c r="S2129" i="1"/>
  <c r="S2130" i="1"/>
  <c r="S2114" i="1"/>
  <c r="S2140" i="1"/>
  <c r="S2115" i="1"/>
  <c r="S2131" i="1"/>
  <c r="S2132" i="1"/>
  <c r="S2133" i="1"/>
  <c r="S2116" i="1"/>
  <c r="S2117" i="1"/>
  <c r="S2134" i="1"/>
  <c r="S2141" i="1"/>
  <c r="S2142" i="1"/>
  <c r="S2135" i="1"/>
  <c r="S2118" i="1"/>
  <c r="S2119" i="1"/>
  <c r="S2120" i="1"/>
  <c r="S2136" i="1"/>
  <c r="S2121" i="1"/>
  <c r="S2143" i="1"/>
  <c r="S2137" i="1"/>
  <c r="S2122" i="1"/>
  <c r="S2138" i="1"/>
  <c r="S2123" i="1"/>
  <c r="S2124" i="1"/>
  <c r="S2489" i="1"/>
  <c r="S2509" i="1"/>
  <c r="S2490" i="1"/>
  <c r="S2491" i="1"/>
  <c r="S2492" i="1"/>
  <c r="S2518" i="1"/>
  <c r="S2493" i="1"/>
  <c r="S2494" i="1"/>
  <c r="S2495" i="1"/>
  <c r="S2496" i="1"/>
  <c r="S2497" i="1"/>
  <c r="S2498" i="1"/>
  <c r="S2510" i="1"/>
  <c r="S2511" i="1"/>
  <c r="S2519" i="1"/>
  <c r="S2512" i="1"/>
  <c r="S2499" i="1"/>
  <c r="S2517" i="1"/>
  <c r="S2500" i="1"/>
  <c r="S2501" i="1"/>
  <c r="S2502" i="1"/>
  <c r="S2503" i="1"/>
  <c r="S2504" i="1"/>
  <c r="S2520" i="1"/>
  <c r="S2525" i="1"/>
  <c r="S2505" i="1"/>
  <c r="S2521" i="1"/>
  <c r="S2522" i="1"/>
  <c r="S2508" i="1"/>
  <c r="S2513" i="1"/>
  <c r="S2514" i="1"/>
  <c r="S2523" i="1"/>
  <c r="S2524" i="1"/>
  <c r="S2506" i="1"/>
  <c r="S2515" i="1"/>
  <c r="S2516" i="1"/>
  <c r="S2507" i="1"/>
  <c r="S2526" i="1"/>
  <c r="S3023" i="1"/>
  <c r="S3024" i="1"/>
  <c r="S3025" i="1"/>
  <c r="S3026" i="1"/>
  <c r="S3027" i="1"/>
  <c r="S3052" i="1"/>
  <c r="S3028" i="1"/>
  <c r="S3029" i="1"/>
  <c r="S3030" i="1"/>
  <c r="S3031" i="1"/>
  <c r="S3043" i="1"/>
  <c r="S3053" i="1"/>
  <c r="S3032" i="1"/>
  <c r="S3044" i="1"/>
  <c r="S3033" i="1"/>
  <c r="S3034" i="1"/>
  <c r="S3045" i="1"/>
  <c r="S3035" i="1"/>
  <c r="S3036" i="1"/>
  <c r="S3037" i="1"/>
  <c r="S3038" i="1"/>
  <c r="S3039" i="1"/>
  <c r="S3046" i="1"/>
  <c r="S3056" i="1"/>
  <c r="S3040" i="1"/>
  <c r="S3054" i="1"/>
  <c r="S3051" i="1"/>
  <c r="S3041" i="1"/>
  <c r="S3047" i="1"/>
  <c r="S3048" i="1"/>
  <c r="S3055" i="1"/>
  <c r="S3057" i="1"/>
  <c r="S3049" i="1"/>
  <c r="S3050" i="1"/>
  <c r="S3042" i="1"/>
  <c r="S3022" i="1"/>
  <c r="S3916" i="1"/>
  <c r="S3917" i="1"/>
  <c r="S3918" i="1"/>
  <c r="S3919" i="1"/>
  <c r="S3924" i="1"/>
  <c r="S3923" i="1"/>
  <c r="S3925" i="1"/>
  <c r="S3920" i="1"/>
  <c r="S3921" i="1"/>
  <c r="S3922" i="1"/>
  <c r="S777" i="1"/>
  <c r="S778" i="1"/>
  <c r="S779" i="1"/>
  <c r="S754" i="1"/>
  <c r="S755" i="1"/>
  <c r="S756" i="1"/>
  <c r="S757" i="1"/>
  <c r="S776" i="1"/>
  <c r="S758" i="1"/>
  <c r="S759" i="1"/>
  <c r="S760" i="1"/>
  <c r="S761" i="1"/>
  <c r="S762" i="1"/>
  <c r="S763" i="1"/>
  <c r="S780" i="1"/>
  <c r="S764" i="1"/>
  <c r="S765" i="1"/>
  <c r="S766" i="1"/>
  <c r="S767" i="1"/>
  <c r="S768" i="1"/>
  <c r="S787" i="1"/>
  <c r="S769" i="1"/>
  <c r="S781" i="1"/>
  <c r="S770" i="1"/>
  <c r="S782" i="1"/>
  <c r="S783" i="1"/>
  <c r="S771" i="1"/>
  <c r="S772" i="1"/>
  <c r="S773" i="1"/>
  <c r="S784" i="1"/>
  <c r="S774" i="1"/>
  <c r="S775" i="1"/>
  <c r="S785" i="1"/>
  <c r="S786" i="1"/>
  <c r="S788" i="1"/>
  <c r="S1349" i="1"/>
  <c r="S1350" i="1"/>
  <c r="S1377" i="1"/>
  <c r="S1346" i="1"/>
  <c r="S1351" i="1"/>
  <c r="S1352" i="1"/>
  <c r="S1347" i="1"/>
  <c r="S1353" i="1"/>
  <c r="S1354" i="1"/>
  <c r="S1355" i="1"/>
  <c r="S1356" i="1"/>
  <c r="S1369" i="1"/>
  <c r="S1357" i="1"/>
  <c r="S1358" i="1"/>
  <c r="S1370" i="1"/>
  <c r="S1359" i="1"/>
  <c r="S1371" i="1"/>
  <c r="S1372" i="1"/>
  <c r="S1360" i="1"/>
  <c r="S1361" i="1"/>
  <c r="S1373" i="1"/>
  <c r="S1378" i="1"/>
  <c r="S1362" i="1"/>
  <c r="S1363" i="1"/>
  <c r="S1348" i="1"/>
  <c r="S1374" i="1"/>
  <c r="S1364" i="1"/>
  <c r="S1365" i="1"/>
  <c r="S1366" i="1"/>
  <c r="S1367" i="1"/>
  <c r="S1375" i="1"/>
  <c r="S1368" i="1"/>
  <c r="S1379" i="1"/>
  <c r="S1376" i="1"/>
  <c r="S393" i="1"/>
  <c r="S426" i="1"/>
  <c r="S391" i="1"/>
  <c r="S394" i="1"/>
  <c r="S395" i="1"/>
  <c r="S396" i="1"/>
  <c r="S397" i="1"/>
  <c r="S398" i="1"/>
  <c r="S427" i="1"/>
  <c r="S399" i="1"/>
  <c r="S400" i="1"/>
  <c r="S401" i="1"/>
  <c r="S420" i="1"/>
  <c r="S402" i="1"/>
  <c r="S403" i="1"/>
  <c r="S404" i="1"/>
  <c r="S392" i="1"/>
  <c r="S405" i="1"/>
  <c r="S421" i="1"/>
  <c r="S422" i="1"/>
  <c r="S406" i="1"/>
  <c r="S407" i="1"/>
  <c r="S408" i="1"/>
  <c r="S409" i="1"/>
  <c r="S423" i="1"/>
  <c r="S410" i="1"/>
  <c r="S424" i="1"/>
  <c r="S411" i="1"/>
  <c r="S412" i="1"/>
  <c r="S413" i="1"/>
  <c r="S414" i="1"/>
  <c r="S415" i="1"/>
  <c r="S416" i="1"/>
  <c r="S417" i="1"/>
  <c r="S418" i="1"/>
  <c r="S425" i="1"/>
  <c r="S419" i="1"/>
  <c r="S428" i="1"/>
  <c r="S429" i="1"/>
  <c r="S1163" i="1"/>
  <c r="S1164" i="1"/>
  <c r="S1165" i="1"/>
  <c r="S1166" i="1"/>
  <c r="S1189" i="1"/>
  <c r="S1167" i="1"/>
  <c r="S1190" i="1"/>
  <c r="S1168" i="1"/>
  <c r="S1169" i="1"/>
  <c r="S1170" i="1"/>
  <c r="S1191" i="1"/>
  <c r="S1171" i="1"/>
  <c r="S1192" i="1"/>
  <c r="S1172" i="1"/>
  <c r="S1173" i="1"/>
  <c r="S1174" i="1"/>
  <c r="S1175" i="1"/>
  <c r="S1193" i="1"/>
  <c r="S1176" i="1"/>
  <c r="S1177" i="1"/>
  <c r="S1178" i="1"/>
  <c r="S1179" i="1"/>
  <c r="S1180" i="1"/>
  <c r="S1181" i="1"/>
  <c r="S1182" i="1"/>
  <c r="S1183" i="1"/>
  <c r="S1184" i="1"/>
  <c r="S1194" i="1"/>
  <c r="S1195" i="1"/>
  <c r="S1185" i="1"/>
  <c r="S1196" i="1"/>
  <c r="S1186" i="1"/>
  <c r="S1197" i="1"/>
  <c r="S1187" i="1"/>
  <c r="S1198" i="1"/>
  <c r="S1188" i="1"/>
  <c r="S1888" i="1"/>
  <c r="S1889" i="1"/>
  <c r="S1890" i="1"/>
  <c r="S1891" i="1"/>
  <c r="S1892" i="1"/>
  <c r="S1893" i="1"/>
  <c r="S1884" i="1"/>
  <c r="S1894" i="1"/>
  <c r="S1914" i="1"/>
  <c r="S1915" i="1"/>
  <c r="S1895" i="1"/>
  <c r="S1896" i="1"/>
  <c r="S1897" i="1"/>
  <c r="S1898" i="1"/>
  <c r="S1899" i="1"/>
  <c r="S1900" i="1"/>
  <c r="S1901" i="1"/>
  <c r="S1902" i="1"/>
  <c r="S1903" i="1"/>
  <c r="S1904" i="1"/>
  <c r="S1905" i="1"/>
  <c r="S1920" i="1"/>
  <c r="S1906" i="1"/>
  <c r="S1907" i="1"/>
  <c r="S1908" i="1"/>
  <c r="S1916" i="1"/>
  <c r="S1909" i="1"/>
  <c r="S1910" i="1"/>
  <c r="S1885" i="1"/>
  <c r="S1921" i="1"/>
  <c r="S1922" i="1"/>
  <c r="S1917" i="1"/>
  <c r="S1911" i="1"/>
  <c r="S1912" i="1"/>
  <c r="S1918" i="1"/>
  <c r="S1886" i="1"/>
  <c r="S1913" i="1"/>
  <c r="S1887" i="1"/>
  <c r="S1919" i="1"/>
  <c r="S1923" i="1"/>
  <c r="S142" i="1"/>
  <c r="S143" i="1"/>
  <c r="S144" i="1"/>
  <c r="S145" i="1"/>
  <c r="S146" i="1"/>
  <c r="S147" i="1"/>
  <c r="S148" i="1"/>
  <c r="S149" i="1"/>
  <c r="S150" i="1"/>
  <c r="S151" i="1"/>
  <c r="S170" i="1"/>
  <c r="S152" i="1"/>
  <c r="S153" i="1"/>
  <c r="S154" i="1"/>
  <c r="S155" i="1"/>
  <c r="S156" i="1"/>
  <c r="S171" i="1"/>
  <c r="S172" i="1"/>
  <c r="S157" i="1"/>
  <c r="S158" i="1"/>
  <c r="S159" i="1"/>
  <c r="S173" i="1"/>
  <c r="S174" i="1"/>
  <c r="S160" i="1"/>
  <c r="S161" i="1"/>
  <c r="S175" i="1"/>
  <c r="S176" i="1"/>
  <c r="S162" i="1"/>
  <c r="S163" i="1"/>
  <c r="S164" i="1"/>
  <c r="S165" i="1"/>
  <c r="S166" i="1"/>
  <c r="S167" i="1"/>
  <c r="S178" i="1"/>
  <c r="S168" i="1"/>
  <c r="S177" i="1"/>
  <c r="S169" i="1"/>
  <c r="S3232" i="1"/>
  <c r="S3233" i="1"/>
  <c r="S3234" i="1"/>
  <c r="S3257" i="1"/>
  <c r="S3235" i="1"/>
  <c r="S3236" i="1"/>
  <c r="S3237" i="1"/>
  <c r="S3258" i="1"/>
  <c r="S3238" i="1"/>
  <c r="S3239" i="1"/>
  <c r="S3259" i="1"/>
  <c r="S3240" i="1"/>
  <c r="S3260" i="1"/>
  <c r="S3241" i="1"/>
  <c r="S3242" i="1"/>
  <c r="S3266" i="1"/>
  <c r="S3243" i="1"/>
  <c r="S3244" i="1"/>
  <c r="S3245" i="1"/>
  <c r="S3246" i="1"/>
  <c r="S3261" i="1"/>
  <c r="S3247" i="1"/>
  <c r="S3248" i="1"/>
  <c r="S3249" i="1"/>
  <c r="S3262" i="1"/>
  <c r="S3263" i="1"/>
  <c r="S3250" i="1"/>
  <c r="S3264" i="1"/>
  <c r="S3251" i="1"/>
  <c r="S3252" i="1"/>
  <c r="S3253" i="1"/>
  <c r="S3254" i="1"/>
  <c r="S3255" i="1"/>
  <c r="S3256" i="1"/>
  <c r="S3265" i="1"/>
  <c r="S3278" i="1"/>
  <c r="S3279" i="1"/>
  <c r="S3280" i="1"/>
  <c r="S3281" i="1"/>
  <c r="S3312" i="1"/>
  <c r="S3282" i="1"/>
  <c r="S3283" i="1"/>
  <c r="S3284" i="1"/>
  <c r="S3285" i="1"/>
  <c r="S3286" i="1"/>
  <c r="S3287" i="1"/>
  <c r="S3305" i="1"/>
  <c r="S3288" i="1"/>
  <c r="S3289" i="1"/>
  <c r="S3290" i="1"/>
  <c r="S3291" i="1"/>
  <c r="S3313" i="1"/>
  <c r="S3306" i="1"/>
  <c r="S3292" i="1"/>
  <c r="S3293" i="1"/>
  <c r="S3294" i="1"/>
  <c r="S3307" i="1"/>
  <c r="S3295" i="1"/>
  <c r="S3296" i="1"/>
  <c r="S3277" i="1"/>
  <c r="S3297" i="1"/>
  <c r="S3298" i="1"/>
  <c r="S3299" i="1"/>
  <c r="S3308" i="1"/>
  <c r="S3309" i="1"/>
  <c r="S3300" i="1"/>
  <c r="S3301" i="1"/>
  <c r="S3302" i="1"/>
  <c r="S3303" i="1"/>
  <c r="S3310" i="1"/>
  <c r="S3304" i="1"/>
  <c r="S3311" i="1"/>
  <c r="S3897" i="1"/>
  <c r="S3869" i="1"/>
  <c r="S3870" i="1"/>
  <c r="S3898" i="1"/>
  <c r="S3871" i="1"/>
  <c r="S3872" i="1"/>
  <c r="S3873" i="1"/>
  <c r="S3874" i="1"/>
  <c r="S3875" i="1"/>
  <c r="S3876" i="1"/>
  <c r="S3877" i="1"/>
  <c r="S3878" i="1"/>
  <c r="S3899" i="1"/>
  <c r="S3879" i="1"/>
  <c r="S3880" i="1"/>
  <c r="S3900" i="1"/>
  <c r="S3881" i="1"/>
  <c r="S3901" i="1"/>
  <c r="S3882" i="1"/>
  <c r="S3883" i="1"/>
  <c r="S3884" i="1"/>
  <c r="S3885" i="1"/>
  <c r="S3886" i="1"/>
  <c r="S3887" i="1"/>
  <c r="S3888" i="1"/>
  <c r="S3889" i="1"/>
  <c r="S3902" i="1"/>
  <c r="S3890" i="1"/>
  <c r="S3891" i="1"/>
  <c r="S3892" i="1"/>
  <c r="S3893" i="1"/>
  <c r="S3894" i="1"/>
  <c r="S3895" i="1"/>
  <c r="S3903" i="1"/>
  <c r="S3904" i="1"/>
  <c r="S3905" i="1"/>
  <c r="S3896" i="1"/>
  <c r="S2630" i="1"/>
  <c r="S2631" i="1"/>
  <c r="S2632" i="1"/>
  <c r="S2633" i="1"/>
  <c r="S2634" i="1"/>
  <c r="S2658" i="1"/>
  <c r="S2635" i="1"/>
  <c r="S2636" i="1"/>
  <c r="S2637" i="1"/>
  <c r="S2638" i="1"/>
  <c r="S2639" i="1"/>
  <c r="S2640" i="1"/>
  <c r="S2641" i="1"/>
  <c r="S2642" i="1"/>
  <c r="S2643" i="1"/>
  <c r="S2644" i="1"/>
  <c r="S2659" i="1"/>
  <c r="S2645" i="1"/>
  <c r="S2646" i="1"/>
  <c r="S2647" i="1"/>
  <c r="S2648" i="1"/>
  <c r="S2649" i="1"/>
  <c r="S2650" i="1"/>
  <c r="S2651" i="1"/>
  <c r="S2652" i="1"/>
  <c r="S2653" i="1"/>
  <c r="S2654" i="1"/>
  <c r="S2660" i="1"/>
  <c r="S2661" i="1"/>
  <c r="S2655" i="1"/>
  <c r="S2663" i="1"/>
  <c r="S2656" i="1"/>
  <c r="S2629" i="1"/>
  <c r="S2657" i="1"/>
  <c r="S2662" i="1"/>
  <c r="S2664" i="1"/>
  <c r="S2914" i="1"/>
  <c r="S2921" i="1"/>
  <c r="S2915" i="1"/>
  <c r="S2916" i="1"/>
  <c r="S2917" i="1"/>
  <c r="S2918" i="1"/>
  <c r="S2919" i="1"/>
  <c r="S2920" i="1"/>
  <c r="S2922" i="1"/>
  <c r="S2390" i="1"/>
  <c r="S2360" i="1"/>
  <c r="S2361" i="1"/>
  <c r="S2362" i="1"/>
  <c r="S2363" i="1"/>
  <c r="S2391" i="1"/>
  <c r="S2364" i="1"/>
  <c r="S2392" i="1"/>
  <c r="S2393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94" i="1"/>
  <c r="S2383" i="1"/>
  <c r="S2384" i="1"/>
  <c r="S2385" i="1"/>
  <c r="S2386" i="1"/>
  <c r="S2395" i="1"/>
  <c r="S2387" i="1"/>
  <c r="S2388" i="1"/>
  <c r="S2389" i="1"/>
  <c r="S1924" i="1"/>
  <c r="S1954" i="1"/>
  <c r="S1925" i="1"/>
  <c r="S1926" i="1"/>
  <c r="S1927" i="1"/>
  <c r="S1928" i="1"/>
  <c r="S1929" i="1"/>
  <c r="S1930" i="1"/>
  <c r="S1931" i="1"/>
  <c r="S1932" i="1"/>
  <c r="S1933" i="1"/>
  <c r="S1934" i="1"/>
  <c r="S1955" i="1"/>
  <c r="S1935" i="1"/>
  <c r="S1936" i="1"/>
  <c r="S1937" i="1"/>
  <c r="S1938" i="1"/>
  <c r="S1939" i="1"/>
  <c r="S1940" i="1"/>
  <c r="S1941" i="1"/>
  <c r="S1942" i="1"/>
  <c r="S1943" i="1"/>
  <c r="S1944" i="1"/>
  <c r="S1956" i="1"/>
  <c r="S1945" i="1"/>
  <c r="S1946" i="1"/>
  <c r="S1957" i="1"/>
  <c r="S1947" i="1"/>
  <c r="S1958" i="1"/>
  <c r="S1948" i="1"/>
  <c r="S1949" i="1"/>
  <c r="S1950" i="1"/>
  <c r="S1951" i="1"/>
  <c r="S1959" i="1"/>
  <c r="S1952" i="1"/>
  <c r="S1953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714" i="1"/>
  <c r="S1715" i="1"/>
  <c r="S1694" i="1"/>
  <c r="S1695" i="1"/>
  <c r="S1696" i="1"/>
  <c r="S1697" i="1"/>
  <c r="S1698" i="1"/>
  <c r="S1716" i="1"/>
  <c r="S1699" i="1"/>
  <c r="S1717" i="1"/>
  <c r="S1718" i="1"/>
  <c r="S1700" i="1"/>
  <c r="S1701" i="1"/>
  <c r="S1702" i="1"/>
  <c r="S1703" i="1"/>
  <c r="S1704" i="1"/>
  <c r="S1705" i="1"/>
  <c r="S1706" i="1"/>
  <c r="S1707" i="1"/>
  <c r="S1708" i="1"/>
  <c r="S1709" i="1"/>
  <c r="S1719" i="1"/>
  <c r="S1720" i="1"/>
  <c r="S1710" i="1"/>
  <c r="S1711" i="1"/>
  <c r="S1712" i="1"/>
  <c r="S1713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77" i="1"/>
  <c r="S362" i="1"/>
  <c r="S363" i="1"/>
  <c r="S364" i="1"/>
  <c r="S378" i="1"/>
  <c r="S365" i="1"/>
  <c r="S366" i="1"/>
  <c r="S367" i="1"/>
  <c r="S368" i="1"/>
  <c r="S369" i="1"/>
  <c r="S370" i="1"/>
  <c r="S371" i="1"/>
  <c r="S372" i="1"/>
  <c r="S379" i="1"/>
  <c r="S373" i="1"/>
  <c r="S380" i="1"/>
  <c r="S374" i="1"/>
  <c r="S375" i="1"/>
  <c r="S376" i="1"/>
  <c r="S381" i="1"/>
  <c r="S2809" i="1"/>
  <c r="S2807" i="1"/>
  <c r="S2810" i="1"/>
  <c r="S2811" i="1"/>
  <c r="S2812" i="1"/>
  <c r="S2813" i="1"/>
  <c r="S2814" i="1"/>
  <c r="S2815" i="1"/>
  <c r="S2837" i="1"/>
  <c r="S2816" i="1"/>
  <c r="S2817" i="1"/>
  <c r="S2838" i="1"/>
  <c r="S2818" i="1"/>
  <c r="S2819" i="1"/>
  <c r="S2820" i="1"/>
  <c r="S2821" i="1"/>
  <c r="S2822" i="1"/>
  <c r="S2823" i="1"/>
  <c r="S2824" i="1"/>
  <c r="S2825" i="1"/>
  <c r="S2826" i="1"/>
  <c r="S2827" i="1"/>
  <c r="S2808" i="1"/>
  <c r="S2828" i="1"/>
  <c r="S2839" i="1"/>
  <c r="S2829" i="1"/>
  <c r="S2830" i="1"/>
  <c r="S2831" i="1"/>
  <c r="S2832" i="1"/>
  <c r="S2833" i="1"/>
  <c r="S2834" i="1"/>
  <c r="S2835" i="1"/>
  <c r="S2840" i="1"/>
  <c r="S2836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6" i="1"/>
  <c r="S2863" i="1"/>
  <c r="S2864" i="1"/>
  <c r="S2867" i="1"/>
  <c r="S2865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92" i="1"/>
  <c r="S870" i="1"/>
  <c r="S871" i="1"/>
  <c r="S872" i="1"/>
  <c r="S873" i="1"/>
  <c r="S874" i="1"/>
  <c r="S875" i="1"/>
  <c r="S876" i="1"/>
  <c r="S893" i="1"/>
  <c r="S877" i="1"/>
  <c r="S878" i="1"/>
  <c r="S894" i="1"/>
  <c r="S879" i="1"/>
  <c r="S880" i="1"/>
  <c r="S881" i="1"/>
  <c r="S882" i="1"/>
  <c r="S883" i="1"/>
  <c r="S884" i="1"/>
  <c r="S885" i="1"/>
  <c r="S886" i="1"/>
  <c r="S887" i="1"/>
  <c r="S888" i="1"/>
  <c r="S895" i="1"/>
  <c r="S889" i="1"/>
  <c r="S890" i="1"/>
  <c r="S896" i="1"/>
  <c r="S891" i="1"/>
  <c r="S1210" i="1"/>
  <c r="S1211" i="1"/>
  <c r="S1212" i="1"/>
  <c r="S1213" i="1"/>
  <c r="S1214" i="1"/>
  <c r="S1215" i="1"/>
  <c r="S1216" i="1"/>
  <c r="S1217" i="1"/>
  <c r="S1218" i="1"/>
  <c r="S1246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47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8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74" i="1"/>
  <c r="S661" i="1"/>
  <c r="S662" i="1"/>
  <c r="S663" i="1"/>
  <c r="S664" i="1"/>
  <c r="S675" i="1"/>
  <c r="S665" i="1"/>
  <c r="S666" i="1"/>
  <c r="S667" i="1"/>
  <c r="S668" i="1"/>
  <c r="S669" i="1"/>
  <c r="S670" i="1"/>
  <c r="S671" i="1"/>
  <c r="S676" i="1"/>
  <c r="S672" i="1"/>
  <c r="S673" i="1"/>
  <c r="S677" i="1"/>
  <c r="S641" i="1"/>
  <c r="S633" i="1"/>
  <c r="S634" i="1"/>
  <c r="S635" i="1"/>
  <c r="S636" i="1"/>
  <c r="S637" i="1"/>
  <c r="S638" i="1"/>
  <c r="S639" i="1"/>
  <c r="S640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405" i="1"/>
  <c r="S3397" i="1"/>
  <c r="S3398" i="1"/>
  <c r="S3399" i="1"/>
  <c r="S3400" i="1"/>
  <c r="S3401" i="1"/>
  <c r="S3402" i="1"/>
  <c r="S3403" i="1"/>
  <c r="S3404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1121" i="1"/>
  <c r="S1141" i="1"/>
  <c r="S1142" i="1"/>
  <c r="S1114" i="1"/>
  <c r="S1143" i="1"/>
  <c r="S1108" i="1"/>
  <c r="S1128" i="1"/>
  <c r="S1129" i="1"/>
  <c r="S1144" i="1"/>
  <c r="S1117" i="1"/>
  <c r="S1115" i="1"/>
  <c r="S1130" i="1"/>
  <c r="S1145" i="1"/>
  <c r="S1118" i="1"/>
  <c r="S1131" i="1"/>
  <c r="S1132" i="1"/>
  <c r="S1122" i="1"/>
  <c r="S1146" i="1"/>
  <c r="S1133" i="1"/>
  <c r="S1123" i="1"/>
  <c r="S1124" i="1"/>
  <c r="S1147" i="1"/>
  <c r="S1134" i="1"/>
  <c r="S1148" i="1"/>
  <c r="S1135" i="1"/>
  <c r="S1109" i="1"/>
  <c r="S1136" i="1"/>
  <c r="S1137" i="1"/>
  <c r="S1138" i="1"/>
  <c r="S1110" i="1"/>
  <c r="S1120" i="1"/>
  <c r="S1113" i="1"/>
  <c r="S1139" i="1"/>
  <c r="S1119" i="1"/>
  <c r="S1111" i="1"/>
  <c r="S1149" i="1"/>
  <c r="S1112" i="1"/>
  <c r="S1125" i="1"/>
  <c r="S1126" i="1"/>
  <c r="S1127" i="1"/>
  <c r="S1116" i="1"/>
  <c r="S1140" i="1"/>
  <c r="S1150" i="1"/>
  <c r="AR2" i="1" s="1"/>
  <c r="S299" i="1"/>
  <c r="S308" i="1"/>
  <c r="S309" i="1"/>
  <c r="S310" i="1"/>
  <c r="S300" i="1"/>
  <c r="S301" i="1"/>
  <c r="S294" i="1"/>
  <c r="S292" i="1"/>
  <c r="S302" i="1"/>
  <c r="S311" i="1"/>
  <c r="S312" i="1"/>
  <c r="S303" i="1"/>
  <c r="S313" i="1"/>
  <c r="S314" i="1"/>
  <c r="S285" i="1"/>
  <c r="S304" i="1"/>
  <c r="S315" i="1"/>
  <c r="S316" i="1"/>
  <c r="S290" i="1"/>
  <c r="S317" i="1"/>
  <c r="S318" i="1"/>
  <c r="S319" i="1"/>
  <c r="S320" i="1"/>
  <c r="S321" i="1"/>
  <c r="S293" i="1"/>
  <c r="S305" i="1"/>
  <c r="S322" i="1"/>
  <c r="S295" i="1"/>
  <c r="S323" i="1"/>
  <c r="S287" i="1"/>
  <c r="S324" i="1"/>
  <c r="S325" i="1"/>
  <c r="S296" i="1"/>
  <c r="S326" i="1"/>
  <c r="S291" i="1"/>
  <c r="S306" i="1"/>
  <c r="S288" i="1"/>
  <c r="S289" i="1"/>
  <c r="S297" i="1"/>
  <c r="S307" i="1"/>
  <c r="S327" i="1"/>
  <c r="S328" i="1"/>
  <c r="S298" i="1"/>
  <c r="S286" i="1"/>
  <c r="AR4" i="1" s="1"/>
  <c r="S329" i="1"/>
  <c r="S330" i="1"/>
  <c r="S331" i="1"/>
  <c r="S3454" i="1"/>
  <c r="S3479" i="1"/>
  <c r="S3456" i="1"/>
  <c r="S3470" i="1"/>
  <c r="S3461" i="1"/>
  <c r="S3480" i="1"/>
  <c r="S3466" i="1"/>
  <c r="S3452" i="1"/>
  <c r="S3457" i="1"/>
  <c r="S3481" i="1"/>
  <c r="S3468" i="1"/>
  <c r="S3458" i="1"/>
  <c r="S3453" i="1"/>
  <c r="S3482" i="1"/>
  <c r="S3464" i="1"/>
  <c r="S3465" i="1"/>
  <c r="S3474" i="1"/>
  <c r="S3483" i="1"/>
  <c r="S3462" i="1"/>
  <c r="S3484" i="1"/>
  <c r="S3485" i="1"/>
  <c r="S3471" i="1"/>
  <c r="S3467" i="1"/>
  <c r="S3475" i="1"/>
  <c r="S3472" i="1"/>
  <c r="S3469" i="1"/>
  <c r="S3476" i="1"/>
  <c r="S3450" i="1"/>
  <c r="S3455" i="1"/>
  <c r="S3477" i="1"/>
  <c r="S3473" i="1"/>
  <c r="S3478" i="1"/>
  <c r="S3459" i="1"/>
  <c r="S3460" i="1"/>
  <c r="S3463" i="1"/>
  <c r="S3487" i="1"/>
  <c r="S3486" i="1"/>
  <c r="S3451" i="1"/>
  <c r="S2731" i="1"/>
  <c r="S2714" i="1"/>
  <c r="S2707" i="1"/>
  <c r="S2732" i="1"/>
  <c r="S2733" i="1"/>
  <c r="S2734" i="1"/>
  <c r="S2713" i="1"/>
  <c r="S2715" i="1"/>
  <c r="S2723" i="1"/>
  <c r="S2716" i="1"/>
  <c r="S2717" i="1"/>
  <c r="S2724" i="1"/>
  <c r="S2718" i="1"/>
  <c r="S2735" i="1"/>
  <c r="S2736" i="1"/>
  <c r="S2737" i="1"/>
  <c r="S2738" i="1"/>
  <c r="S2739" i="1"/>
  <c r="S2740" i="1"/>
  <c r="S2719" i="1"/>
  <c r="S2725" i="1"/>
  <c r="S2709" i="1"/>
  <c r="S2722" i="1"/>
  <c r="S2726" i="1"/>
  <c r="S2727" i="1"/>
  <c r="S2728" i="1"/>
  <c r="S2703" i="1"/>
  <c r="S2704" i="1"/>
  <c r="S2710" i="1"/>
  <c r="S2702" i="1"/>
  <c r="S2708" i="1"/>
  <c r="S2741" i="1"/>
  <c r="S2729" i="1"/>
  <c r="S2720" i="1"/>
  <c r="S2742" i="1"/>
  <c r="AR5" i="1" s="1"/>
  <c r="S2730" i="1"/>
  <c r="S2721" i="1"/>
  <c r="S2711" i="1"/>
  <c r="S2743" i="1"/>
  <c r="S2705" i="1"/>
  <c r="S2712" i="1"/>
  <c r="S2706" i="1"/>
  <c r="S2744" i="1"/>
  <c r="S2745" i="1"/>
  <c r="S2746" i="1"/>
  <c r="S81" i="1"/>
  <c r="S63" i="1"/>
  <c r="S70" i="1"/>
  <c r="S49" i="1"/>
  <c r="S71" i="1"/>
  <c r="S72" i="1"/>
  <c r="S82" i="1"/>
  <c r="S83" i="1"/>
  <c r="S73" i="1"/>
  <c r="S64" i="1"/>
  <c r="S65" i="1"/>
  <c r="S74" i="1"/>
  <c r="S66" i="1"/>
  <c r="S75" i="1"/>
  <c r="S67" i="1"/>
  <c r="S84" i="1"/>
  <c r="S57" i="1"/>
  <c r="S52" i="1"/>
  <c r="S53" i="1"/>
  <c r="S60" i="1"/>
  <c r="S68" i="1"/>
  <c r="S85" i="1"/>
  <c r="S86" i="1"/>
  <c r="S76" i="1"/>
  <c r="S54" i="1"/>
  <c r="S48" i="1"/>
  <c r="S77" i="1"/>
  <c r="S61" i="1"/>
  <c r="S69" i="1"/>
  <c r="S56" i="1"/>
  <c r="S87" i="1"/>
  <c r="S62" i="1"/>
  <c r="S50" i="1"/>
  <c r="S55" i="1"/>
  <c r="S78" i="1"/>
  <c r="S58" i="1"/>
  <c r="S79" i="1"/>
  <c r="S80" i="1"/>
  <c r="AR3" i="1" s="1"/>
  <c r="S59" i="1"/>
  <c r="S51" i="1"/>
  <c r="S3760" i="1"/>
  <c r="S3732" i="1"/>
  <c r="S3755" i="1"/>
  <c r="S3761" i="1"/>
  <c r="S3762" i="1"/>
  <c r="S3731" i="1"/>
  <c r="S3748" i="1"/>
  <c r="S3728" i="1"/>
  <c r="S3749" i="1"/>
  <c r="S3763" i="1"/>
  <c r="S3750" i="1"/>
  <c r="S3746" i="1"/>
  <c r="S3764" i="1"/>
  <c r="S3751" i="1"/>
  <c r="S3737" i="1"/>
  <c r="S3730" i="1"/>
  <c r="S3733" i="1"/>
  <c r="S3756" i="1"/>
  <c r="S3738" i="1"/>
  <c r="S3739" i="1"/>
  <c r="S3757" i="1"/>
  <c r="S3758" i="1"/>
  <c r="S3734" i="1"/>
  <c r="S3752" i="1"/>
  <c r="S3743" i="1"/>
  <c r="S3765" i="1"/>
  <c r="S3735" i="1"/>
  <c r="S3766" i="1"/>
  <c r="S3759" i="1"/>
  <c r="S3753" i="1"/>
  <c r="S3740" i="1"/>
  <c r="S3741" i="1"/>
  <c r="S3742" i="1"/>
  <c r="S3744" i="1"/>
  <c r="S3745" i="1"/>
  <c r="S3754" i="1"/>
  <c r="S3729" i="1"/>
  <c r="S3736" i="1"/>
  <c r="S3747" i="1"/>
  <c r="S2040" i="1"/>
  <c r="S2030" i="1"/>
  <c r="S2031" i="1"/>
  <c r="S2032" i="1"/>
  <c r="S2041" i="1"/>
  <c r="S2023" i="1"/>
  <c r="S2042" i="1"/>
  <c r="S2022" i="1"/>
  <c r="S2033" i="1"/>
  <c r="S2034" i="1"/>
  <c r="S2043" i="1"/>
  <c r="S2019" i="1"/>
  <c r="S2044" i="1"/>
  <c r="S2020" i="1"/>
  <c r="S2045" i="1"/>
  <c r="S2046" i="1"/>
  <c r="S2035" i="1"/>
  <c r="S2029" i="1"/>
  <c r="S2036" i="1"/>
  <c r="S2021" i="1"/>
  <c r="S2026" i="1"/>
  <c r="S2047" i="1"/>
  <c r="S2048" i="1"/>
  <c r="S2016" i="1"/>
  <c r="S2017" i="1"/>
  <c r="S2037" i="1"/>
  <c r="S2024" i="1"/>
  <c r="S2038" i="1"/>
  <c r="S2027" i="1"/>
  <c r="S2039" i="1"/>
  <c r="S2049" i="1"/>
  <c r="S2050" i="1"/>
  <c r="S2028" i="1"/>
  <c r="S2025" i="1"/>
  <c r="S2018" i="1"/>
  <c r="S8" i="2" s="1"/>
  <c r="S102" i="1"/>
  <c r="S116" i="1"/>
  <c r="S112" i="1"/>
  <c r="S117" i="1"/>
  <c r="S98" i="1"/>
  <c r="S106" i="1"/>
  <c r="S120" i="1"/>
  <c r="S121" i="1"/>
  <c r="S113" i="1"/>
  <c r="S122" i="1"/>
  <c r="S123" i="1"/>
  <c r="S114" i="1"/>
  <c r="S124" i="1"/>
  <c r="S96" i="1"/>
  <c r="S125" i="1"/>
  <c r="S126" i="1"/>
  <c r="S115" i="1"/>
  <c r="S107" i="1"/>
  <c r="S105" i="1"/>
  <c r="S127" i="1"/>
  <c r="S128" i="1"/>
  <c r="S103" i="1"/>
  <c r="S111" i="1"/>
  <c r="S129" i="1"/>
  <c r="S130" i="1"/>
  <c r="S118" i="1"/>
  <c r="S99" i="1"/>
  <c r="S131" i="1"/>
  <c r="S100" i="1"/>
  <c r="S119" i="1"/>
  <c r="S108" i="1"/>
  <c r="S110" i="1"/>
  <c r="S109" i="1"/>
  <c r="S97" i="1"/>
  <c r="S101" i="1"/>
  <c r="S104" i="1"/>
  <c r="AR14" i="1" s="1"/>
  <c r="S2322" i="1"/>
  <c r="S2335" i="1"/>
  <c r="S2345" i="1"/>
  <c r="S2331" i="1"/>
  <c r="S2325" i="1"/>
  <c r="S2326" i="1"/>
  <c r="S2333" i="1"/>
  <c r="S2327" i="1"/>
  <c r="S2332" i="1"/>
  <c r="S2317" i="1"/>
  <c r="S2346" i="1"/>
  <c r="S2318" i="1"/>
  <c r="S2339" i="1"/>
  <c r="S2347" i="1"/>
  <c r="S2340" i="1"/>
  <c r="S2336" i="1"/>
  <c r="S2348" i="1"/>
  <c r="S2341" i="1"/>
  <c r="S2337" i="1"/>
  <c r="S2328" i="1"/>
  <c r="S2349" i="1"/>
  <c r="S2329" i="1"/>
  <c r="S2338" i="1"/>
  <c r="S2342" i="1"/>
  <c r="S2330" i="1"/>
  <c r="S2343" i="1"/>
  <c r="S2350" i="1"/>
  <c r="S2319" i="1"/>
  <c r="S2320" i="1"/>
  <c r="S2321" i="1"/>
  <c r="S2334" i="1"/>
  <c r="S2323" i="1"/>
  <c r="S2324" i="1"/>
  <c r="S2344" i="1"/>
  <c r="S2547" i="1"/>
  <c r="S2560" i="1"/>
  <c r="S2548" i="1"/>
  <c r="S2549" i="1"/>
  <c r="S2538" i="1"/>
  <c r="S2550" i="1"/>
  <c r="S2539" i="1"/>
  <c r="S2561" i="1"/>
  <c r="S2551" i="1"/>
  <c r="S2552" i="1"/>
  <c r="S2553" i="1"/>
  <c r="S2540" i="1"/>
  <c r="S2544" i="1"/>
  <c r="S2562" i="1"/>
  <c r="S2545" i="1"/>
  <c r="S2554" i="1"/>
  <c r="S2541" i="1"/>
  <c r="S2555" i="1"/>
  <c r="S2556" i="1"/>
  <c r="S2563" i="1"/>
  <c r="S2564" i="1"/>
  <c r="S2565" i="1"/>
  <c r="S2566" i="1"/>
  <c r="S2527" i="1"/>
  <c r="S2529" i="1"/>
  <c r="S2534" i="1"/>
  <c r="S2557" i="1"/>
  <c r="S2546" i="1"/>
  <c r="S2528" i="1"/>
  <c r="S2530" i="1"/>
  <c r="S2542" i="1"/>
  <c r="S2535" i="1"/>
  <c r="S2531" i="1"/>
  <c r="S2543" i="1"/>
  <c r="S2532" i="1"/>
  <c r="S2558" i="1"/>
  <c r="S2533" i="1"/>
  <c r="S2559" i="1"/>
  <c r="S2536" i="1"/>
  <c r="S2537" i="1"/>
  <c r="S2567" i="1"/>
  <c r="S2568" i="1"/>
  <c r="AR12" i="1" s="1"/>
  <c r="S2569" i="1"/>
  <c r="S2997" i="1"/>
  <c r="S2985" i="1"/>
  <c r="S2998" i="1"/>
  <c r="S2983" i="1"/>
  <c r="S2982" i="1"/>
  <c r="S2999" i="1"/>
  <c r="S2971" i="1"/>
  <c r="S2978" i="1"/>
  <c r="S3000" i="1"/>
  <c r="S3001" i="1"/>
  <c r="S3002" i="1"/>
  <c r="S2988" i="1"/>
  <c r="S3003" i="1"/>
  <c r="S2986" i="1"/>
  <c r="S3004" i="1"/>
  <c r="S3005" i="1"/>
  <c r="S2989" i="1"/>
  <c r="S3006" i="1"/>
  <c r="S3007" i="1"/>
  <c r="S2979" i="1"/>
  <c r="S2990" i="1"/>
  <c r="S2991" i="1"/>
  <c r="S2992" i="1"/>
  <c r="S2973" i="1"/>
  <c r="S2993" i="1"/>
  <c r="S2974" i="1"/>
  <c r="S3008" i="1"/>
  <c r="S3009" i="1"/>
  <c r="S2994" i="1"/>
  <c r="S3010" i="1"/>
  <c r="S2987" i="1"/>
  <c r="S2984" i="1"/>
  <c r="S2969" i="1"/>
  <c r="S2972" i="1"/>
  <c r="S2995" i="1"/>
  <c r="S2975" i="1"/>
  <c r="S2980" i="1"/>
  <c r="S2996" i="1"/>
  <c r="S2970" i="1"/>
  <c r="S5" i="2" s="1"/>
  <c r="S2981" i="1"/>
  <c r="S2976" i="1"/>
  <c r="S2977" i="1"/>
  <c r="S3011" i="1"/>
  <c r="AR13" i="1" s="1"/>
  <c r="S3012" i="1"/>
  <c r="S3013" i="1"/>
  <c r="S1785" i="1"/>
  <c r="S1798" i="1"/>
  <c r="S1817" i="1"/>
  <c r="S1818" i="1"/>
  <c r="S1814" i="1"/>
  <c r="S1811" i="1"/>
  <c r="S1799" i="1"/>
  <c r="S1793" i="1"/>
  <c r="S1780" i="1"/>
  <c r="S1815" i="1"/>
  <c r="S1781" i="1"/>
  <c r="S1789" i="1"/>
  <c r="S1800" i="1"/>
  <c r="S1806" i="1"/>
  <c r="S1790" i="1"/>
  <c r="S1819" i="1"/>
  <c r="S1794" i="1"/>
  <c r="S1786" i="1"/>
  <c r="S1812" i="1"/>
  <c r="S1791" i="1"/>
  <c r="S1801" i="1"/>
  <c r="S1807" i="1"/>
  <c r="S1779" i="1"/>
  <c r="S1795" i="1"/>
  <c r="S1808" i="1"/>
  <c r="S1820" i="1"/>
  <c r="S1809" i="1"/>
  <c r="S1813" i="1"/>
  <c r="S1782" i="1"/>
  <c r="S1796" i="1"/>
  <c r="S1797" i="1"/>
  <c r="S1802" i="1"/>
  <c r="S1784" i="1"/>
  <c r="S1816" i="1"/>
  <c r="S1810" i="1"/>
  <c r="S1792" i="1"/>
  <c r="S1787" i="1"/>
  <c r="S1788" i="1"/>
  <c r="S1803" i="1"/>
  <c r="S1804" i="1"/>
  <c r="S1805" i="1"/>
  <c r="S1783" i="1"/>
  <c r="AR10" i="1" s="1"/>
  <c r="S1821" i="1"/>
  <c r="S1822" i="1"/>
  <c r="S1823" i="1"/>
  <c r="S964" i="1"/>
  <c r="S974" i="1"/>
  <c r="S985" i="1"/>
  <c r="S986" i="1"/>
  <c r="S987" i="1"/>
  <c r="S971" i="1"/>
  <c r="S988" i="1"/>
  <c r="S981" i="1"/>
  <c r="S978" i="1"/>
  <c r="S989" i="1"/>
  <c r="S976" i="1"/>
  <c r="S990" i="1"/>
  <c r="S991" i="1"/>
  <c r="S982" i="1"/>
  <c r="S968" i="1"/>
  <c r="S979" i="1"/>
  <c r="S992" i="1"/>
  <c r="S969" i="1"/>
  <c r="S993" i="1"/>
  <c r="S994" i="1"/>
  <c r="S995" i="1"/>
  <c r="S962" i="1"/>
  <c r="S963" i="1"/>
  <c r="S983" i="1"/>
  <c r="S977" i="1"/>
  <c r="S980" i="1"/>
  <c r="S970" i="1"/>
  <c r="S965" i="1"/>
  <c r="S972" i="1"/>
  <c r="S984" i="1"/>
  <c r="S973" i="1"/>
  <c r="S966" i="1"/>
  <c r="S975" i="1"/>
  <c r="S967" i="1"/>
  <c r="S917" i="1"/>
  <c r="S925" i="1"/>
  <c r="S926" i="1"/>
  <c r="S927" i="1"/>
  <c r="S924" i="1"/>
  <c r="S928" i="1"/>
  <c r="S910" i="1"/>
  <c r="S913" i="1"/>
  <c r="S929" i="1"/>
  <c r="S918" i="1"/>
  <c r="S908" i="1"/>
  <c r="S914" i="1"/>
  <c r="S906" i="1"/>
  <c r="S919" i="1"/>
  <c r="S937" i="1"/>
  <c r="S936" i="1"/>
  <c r="S938" i="1"/>
  <c r="S944" i="1"/>
  <c r="S911" i="1"/>
  <c r="S945" i="1"/>
  <c r="S920" i="1"/>
  <c r="S915" i="1"/>
  <c r="S939" i="1"/>
  <c r="S946" i="1"/>
  <c r="S916" i="1"/>
  <c r="S940" i="1"/>
  <c r="S941" i="1"/>
  <c r="S909" i="1"/>
  <c r="S947" i="1"/>
  <c r="S930" i="1"/>
  <c r="S931" i="1"/>
  <c r="S932" i="1"/>
  <c r="S933" i="1"/>
  <c r="S921" i="1"/>
  <c r="S942" i="1"/>
  <c r="S934" i="1"/>
  <c r="S922" i="1"/>
  <c r="S912" i="1"/>
  <c r="S943" i="1"/>
  <c r="S923" i="1"/>
  <c r="S935" i="1"/>
  <c r="S907" i="1"/>
  <c r="S948" i="1"/>
  <c r="S949" i="1"/>
  <c r="S950" i="1"/>
  <c r="S268" i="1"/>
  <c r="S248" i="1"/>
  <c r="S266" i="1"/>
  <c r="S249" i="1"/>
  <c r="S257" i="1"/>
  <c r="S258" i="1"/>
  <c r="S250" i="1"/>
  <c r="S265" i="1"/>
  <c r="S259" i="1"/>
  <c r="S269" i="1"/>
  <c r="S260" i="1"/>
  <c r="S261" i="1"/>
  <c r="S267" i="1"/>
  <c r="S262" i="1"/>
  <c r="S270" i="1"/>
  <c r="S242" i="1"/>
  <c r="S245" i="1"/>
  <c r="S263" i="1"/>
  <c r="S271" i="1"/>
  <c r="S251" i="1"/>
  <c r="S252" i="1"/>
  <c r="S272" i="1"/>
  <c r="S236" i="1"/>
  <c r="S253" i="1"/>
  <c r="S254" i="1"/>
  <c r="S273" i="1"/>
  <c r="S237" i="1"/>
  <c r="S274" i="1"/>
  <c r="S238" i="1"/>
  <c r="S243" i="1"/>
  <c r="S255" i="1"/>
  <c r="S244" i="1"/>
  <c r="S246" i="1"/>
  <c r="S256" i="1"/>
  <c r="S239" i="1"/>
  <c r="S264" i="1"/>
  <c r="S247" i="1"/>
  <c r="S240" i="1"/>
  <c r="S19" i="2" s="1"/>
  <c r="S241" i="1"/>
  <c r="S1312" i="1"/>
  <c r="S1313" i="1"/>
  <c r="S1328" i="1"/>
  <c r="S1335" i="1"/>
  <c r="S1329" i="1"/>
  <c r="S1330" i="1"/>
  <c r="S1319" i="1"/>
  <c r="S1331" i="1"/>
  <c r="S1298" i="1"/>
  <c r="S1332" i="1"/>
  <c r="S1322" i="1"/>
  <c r="S1320" i="1"/>
  <c r="S1333" i="1"/>
  <c r="S1308" i="1"/>
  <c r="S1326" i="1"/>
  <c r="S1334" i="1"/>
  <c r="S1327" i="1"/>
  <c r="S1323" i="1"/>
  <c r="S1314" i="1"/>
  <c r="S1300" i="1"/>
  <c r="S1336" i="1"/>
  <c r="S1315" i="1"/>
  <c r="S1316" i="1"/>
  <c r="S1321" i="1"/>
  <c r="S1299" i="1"/>
  <c r="S1301" i="1"/>
  <c r="S1309" i="1"/>
  <c r="S1302" i="1"/>
  <c r="S1324" i="1"/>
  <c r="S1325" i="1"/>
  <c r="S1304" i="1"/>
  <c r="S1317" i="1"/>
  <c r="S1310" i="1"/>
  <c r="S1337" i="1"/>
  <c r="S1303" i="1"/>
  <c r="S1305" i="1"/>
  <c r="S1318" i="1"/>
  <c r="S1311" i="1"/>
  <c r="S1306" i="1"/>
  <c r="S1307" i="1"/>
  <c r="S1468" i="1"/>
  <c r="S1443" i="1"/>
  <c r="S1473" i="1"/>
  <c r="S1464" i="1"/>
  <c r="S1474" i="1"/>
  <c r="S1444" i="1"/>
  <c r="S1454" i="1"/>
  <c r="S1475" i="1"/>
  <c r="S1456" i="1"/>
  <c r="S1441" i="1"/>
  <c r="S1455" i="1"/>
  <c r="S1469" i="1"/>
  <c r="S1470" i="1"/>
  <c r="S1465" i="1"/>
  <c r="S1445" i="1"/>
  <c r="S1459" i="1"/>
  <c r="S1471" i="1"/>
  <c r="S1437" i="1"/>
  <c r="S1460" i="1"/>
  <c r="S1476" i="1"/>
  <c r="S1461" i="1"/>
  <c r="S1477" i="1"/>
  <c r="S1472" i="1"/>
  <c r="S1462" i="1"/>
  <c r="S1466" i="1"/>
  <c r="S1478" i="1"/>
  <c r="S1463" i="1"/>
  <c r="S1457" i="1"/>
  <c r="S1479" i="1"/>
  <c r="S1446" i="1"/>
  <c r="S1447" i="1"/>
  <c r="S1442" i="1"/>
  <c r="S1448" i="1"/>
  <c r="S1467" i="1"/>
  <c r="S1438" i="1"/>
  <c r="S1449" i="1"/>
  <c r="S1439" i="1"/>
  <c r="S1450" i="1"/>
  <c r="S1451" i="1"/>
  <c r="S1452" i="1"/>
  <c r="S1440" i="1"/>
  <c r="S1458" i="1"/>
  <c r="S1453" i="1"/>
  <c r="AR11" i="1" s="1"/>
  <c r="S831" i="1"/>
  <c r="S818" i="1"/>
  <c r="S819" i="1"/>
  <c r="S834" i="1"/>
  <c r="S802" i="1"/>
  <c r="S808" i="1"/>
  <c r="S820" i="1"/>
  <c r="S835" i="1"/>
  <c r="S836" i="1"/>
  <c r="S833" i="1"/>
  <c r="S821" i="1"/>
  <c r="S837" i="1"/>
  <c r="S838" i="1"/>
  <c r="S839" i="1"/>
  <c r="S822" i="1"/>
  <c r="S823" i="1"/>
  <c r="S840" i="1"/>
  <c r="S841" i="1"/>
  <c r="S824" i="1"/>
  <c r="S842" i="1"/>
  <c r="S803" i="1"/>
  <c r="S807" i="1"/>
  <c r="S804" i="1"/>
  <c r="S843" i="1"/>
  <c r="S809" i="1"/>
  <c r="S810" i="1"/>
  <c r="S805" i="1"/>
  <c r="S806" i="1"/>
  <c r="S832" i="1"/>
  <c r="S825" i="1"/>
  <c r="S811" i="1"/>
  <c r="S812" i="1"/>
  <c r="S813" i="1"/>
  <c r="S826" i="1"/>
  <c r="S814" i="1"/>
  <c r="S815" i="1"/>
  <c r="S827" i="1"/>
  <c r="S828" i="1"/>
  <c r="S816" i="1"/>
  <c r="S829" i="1"/>
  <c r="S830" i="1"/>
  <c r="S817" i="1"/>
  <c r="S800" i="1"/>
  <c r="S801" i="1"/>
  <c r="S12" i="2" s="1"/>
  <c r="S844" i="1"/>
  <c r="S845" i="1"/>
  <c r="S846" i="1"/>
  <c r="S2952" i="1"/>
  <c r="S2945" i="1"/>
  <c r="S2935" i="1"/>
  <c r="S2936" i="1"/>
  <c r="S2946" i="1"/>
  <c r="S2923" i="1"/>
  <c r="S2944" i="1"/>
  <c r="S2955" i="1"/>
  <c r="S2937" i="1"/>
  <c r="S2956" i="1"/>
  <c r="S2925" i="1"/>
  <c r="S2938" i="1"/>
  <c r="S2939" i="1"/>
  <c r="S2940" i="1"/>
  <c r="S2957" i="1"/>
  <c r="S2924" i="1"/>
  <c r="S2947" i="1"/>
  <c r="S2953" i="1"/>
  <c r="S2926" i="1"/>
  <c r="S2958" i="1"/>
  <c r="S2941" i="1"/>
  <c r="S2927" i="1"/>
  <c r="S2928" i="1"/>
  <c r="S2948" i="1"/>
  <c r="S2942" i="1"/>
  <c r="S2943" i="1"/>
  <c r="S2929" i="1"/>
  <c r="S2930" i="1"/>
  <c r="S2949" i="1"/>
  <c r="S2931" i="1"/>
  <c r="S2932" i="1"/>
  <c r="S2933" i="1"/>
  <c r="S2950" i="1"/>
  <c r="S2951" i="1"/>
  <c r="S2954" i="1"/>
  <c r="S2934" i="1"/>
  <c r="S215" i="1"/>
  <c r="S190" i="1"/>
  <c r="S189" i="1"/>
  <c r="S191" i="1"/>
  <c r="S223" i="1"/>
  <c r="S216" i="1"/>
  <c r="S192" i="1"/>
  <c r="S193" i="1"/>
  <c r="S227" i="1"/>
  <c r="S207" i="1"/>
  <c r="S194" i="1"/>
  <c r="S195" i="1"/>
  <c r="S196" i="1"/>
  <c r="S224" i="1"/>
  <c r="S197" i="1"/>
  <c r="S225" i="1"/>
  <c r="S217" i="1"/>
  <c r="S208" i="1"/>
  <c r="S226" i="1"/>
  <c r="S198" i="1"/>
  <c r="S209" i="1"/>
  <c r="S210" i="1"/>
  <c r="S218" i="1"/>
  <c r="S199" i="1"/>
  <c r="S219" i="1"/>
  <c r="S211" i="1"/>
  <c r="S200" i="1"/>
  <c r="S212" i="1"/>
  <c r="S213" i="1"/>
  <c r="S201" i="1"/>
  <c r="S202" i="1"/>
  <c r="S203" i="1"/>
  <c r="S204" i="1"/>
  <c r="S220" i="1"/>
  <c r="S221" i="1"/>
  <c r="S205" i="1"/>
  <c r="S222" i="1"/>
  <c r="S206" i="1"/>
  <c r="S214" i="1"/>
  <c r="S598" i="1"/>
  <c r="S599" i="1"/>
  <c r="S600" i="1"/>
  <c r="S601" i="1"/>
  <c r="S622" i="1"/>
  <c r="S602" i="1"/>
  <c r="S603" i="1"/>
  <c r="S604" i="1"/>
  <c r="S605" i="1"/>
  <c r="S606" i="1"/>
  <c r="S594" i="1"/>
  <c r="S595" i="1"/>
  <c r="S607" i="1"/>
  <c r="S596" i="1"/>
  <c r="S65" i="2" s="1"/>
  <c r="S608" i="1"/>
  <c r="S623" i="1"/>
  <c r="S624" i="1"/>
  <c r="S609" i="1"/>
  <c r="S625" i="1"/>
  <c r="S610" i="1"/>
  <c r="S611" i="1"/>
  <c r="S612" i="1"/>
  <c r="S613" i="1"/>
  <c r="S614" i="1"/>
  <c r="S626" i="1"/>
  <c r="S627" i="1"/>
  <c r="S615" i="1"/>
  <c r="S616" i="1"/>
  <c r="S597" i="1"/>
  <c r="S632" i="1"/>
  <c r="S630" i="1"/>
  <c r="S617" i="1"/>
  <c r="S621" i="1"/>
  <c r="S618" i="1"/>
  <c r="S628" i="1"/>
  <c r="S619" i="1"/>
  <c r="S629" i="1"/>
  <c r="S631" i="1"/>
  <c r="S620" i="1"/>
  <c r="S3149" i="1"/>
  <c r="S3156" i="1"/>
  <c r="S3169" i="1"/>
  <c r="S3174" i="1"/>
  <c r="S3145" i="1"/>
  <c r="S3157" i="1"/>
  <c r="S3162" i="1"/>
  <c r="S3175" i="1"/>
  <c r="S3158" i="1"/>
  <c r="S3163" i="1"/>
  <c r="S3150" i="1"/>
  <c r="S3178" i="1"/>
  <c r="S3168" i="1"/>
  <c r="S3170" i="1"/>
  <c r="S3164" i="1"/>
  <c r="S3165" i="1"/>
  <c r="S3151" i="1"/>
  <c r="S3166" i="1"/>
  <c r="S3176" i="1"/>
  <c r="S3173" i="1"/>
  <c r="S3177" i="1"/>
  <c r="S3171" i="1"/>
  <c r="S3146" i="1"/>
  <c r="S38" i="2" s="1"/>
  <c r="S3159" i="1"/>
  <c r="S3160" i="1"/>
  <c r="S3152" i="1"/>
  <c r="S3153" i="1"/>
  <c r="S3172" i="1"/>
  <c r="S3167" i="1"/>
  <c r="S3154" i="1"/>
  <c r="S3161" i="1"/>
  <c r="S3155" i="1"/>
  <c r="S3147" i="1"/>
  <c r="S3148" i="1"/>
  <c r="S1990" i="1"/>
  <c r="S2000" i="1"/>
  <c r="S1979" i="1"/>
  <c r="S1995" i="1"/>
  <c r="S1984" i="1"/>
  <c r="S1980" i="1"/>
  <c r="S1994" i="1"/>
  <c r="S2001" i="1"/>
  <c r="S1970" i="1"/>
  <c r="S2002" i="1"/>
  <c r="S1981" i="1"/>
  <c r="S2003" i="1"/>
  <c r="S1996" i="1"/>
  <c r="S1991" i="1"/>
  <c r="S2004" i="1"/>
  <c r="S2005" i="1"/>
  <c r="S1972" i="1"/>
  <c r="S1997" i="1"/>
  <c r="S1985" i="1"/>
  <c r="S1989" i="1"/>
  <c r="S1982" i="1"/>
  <c r="S1992" i="1"/>
  <c r="S1971" i="1"/>
  <c r="S1993" i="1"/>
  <c r="S1986" i="1"/>
  <c r="S1973" i="1"/>
  <c r="S1987" i="1"/>
  <c r="S1983" i="1"/>
  <c r="S1974" i="1"/>
  <c r="S1975" i="1"/>
  <c r="S1998" i="1"/>
  <c r="S1988" i="1"/>
  <c r="S1976" i="1"/>
  <c r="S1977" i="1"/>
  <c r="S1999" i="1"/>
  <c r="S1978" i="1"/>
  <c r="S3691" i="1"/>
  <c r="S3699" i="1"/>
  <c r="S3692" i="1"/>
  <c r="S3707" i="1"/>
  <c r="S3708" i="1"/>
  <c r="S3697" i="1"/>
  <c r="S3709" i="1"/>
  <c r="S3693" i="1"/>
  <c r="S3685" i="1"/>
  <c r="S3710" i="1"/>
  <c r="S3706" i="1"/>
  <c r="S3711" i="1"/>
  <c r="S3698" i="1"/>
  <c r="S3703" i="1"/>
  <c r="S3705" i="1"/>
  <c r="S3712" i="1"/>
  <c r="S3686" i="1"/>
  <c r="S3700" i="1"/>
  <c r="S3701" i="1"/>
  <c r="S3694" i="1"/>
  <c r="S3687" i="1"/>
  <c r="S3713" i="1"/>
  <c r="S3714" i="1"/>
  <c r="S3684" i="1"/>
  <c r="S3695" i="1"/>
  <c r="S3696" i="1"/>
  <c r="S3704" i="1"/>
  <c r="S3715" i="1"/>
  <c r="S3688" i="1"/>
  <c r="S3716" i="1"/>
  <c r="S3717" i="1"/>
  <c r="S3718" i="1"/>
  <c r="S3689" i="1"/>
  <c r="S3690" i="1"/>
  <c r="S3702" i="1"/>
  <c r="S1511" i="1"/>
  <c r="S1528" i="1"/>
  <c r="S1498" i="1"/>
  <c r="S1512" i="1"/>
  <c r="S1513" i="1"/>
  <c r="S1521" i="1"/>
  <c r="S1514" i="1"/>
  <c r="S1499" i="1"/>
  <c r="S1500" i="1"/>
  <c r="S1522" i="1"/>
  <c r="S1492" i="1"/>
  <c r="S1493" i="1"/>
  <c r="S1501" i="1"/>
  <c r="S1502" i="1"/>
  <c r="S1494" i="1"/>
  <c r="S1503" i="1"/>
  <c r="S1515" i="1"/>
  <c r="S1527" i="1"/>
  <c r="S1495" i="1"/>
  <c r="S1526" i="1"/>
  <c r="S1496" i="1"/>
  <c r="S1504" i="1"/>
  <c r="S1505" i="1"/>
  <c r="S1516" i="1"/>
  <c r="S1517" i="1"/>
  <c r="S1506" i="1"/>
  <c r="S1523" i="1"/>
  <c r="S1497" i="1"/>
  <c r="S1524" i="1"/>
  <c r="S1507" i="1"/>
  <c r="S1508" i="1"/>
  <c r="S1509" i="1"/>
  <c r="S1525" i="1"/>
  <c r="S1518" i="1"/>
  <c r="S1519" i="1"/>
  <c r="S1529" i="1"/>
  <c r="S1520" i="1"/>
  <c r="S1510" i="1"/>
  <c r="S467" i="1"/>
  <c r="S454" i="1"/>
  <c r="S440" i="1"/>
  <c r="S463" i="1"/>
  <c r="S464" i="1"/>
  <c r="S460" i="1"/>
  <c r="S459" i="1"/>
  <c r="S441" i="1"/>
  <c r="S461" i="1"/>
  <c r="S468" i="1"/>
  <c r="S442" i="1"/>
  <c r="S471" i="1"/>
  <c r="S469" i="1"/>
  <c r="S443" i="1"/>
  <c r="S465" i="1"/>
  <c r="S444" i="1"/>
  <c r="S472" i="1"/>
  <c r="S455" i="1"/>
  <c r="S456" i="1"/>
  <c r="S462" i="1"/>
  <c r="S445" i="1"/>
  <c r="S473" i="1"/>
  <c r="S446" i="1"/>
  <c r="S447" i="1"/>
  <c r="S466" i="1"/>
  <c r="S470" i="1"/>
  <c r="S457" i="1"/>
  <c r="S458" i="1"/>
  <c r="S448" i="1"/>
  <c r="S449" i="1"/>
  <c r="S450" i="1"/>
  <c r="S453" i="1"/>
  <c r="S451" i="1"/>
  <c r="S452" i="1"/>
  <c r="S2452" i="1"/>
  <c r="S2453" i="1"/>
  <c r="S2454" i="1"/>
  <c r="S2455" i="1"/>
  <c r="S2456" i="1"/>
  <c r="S2457" i="1"/>
  <c r="S2458" i="1"/>
  <c r="S2459" i="1"/>
  <c r="S2460" i="1"/>
  <c r="S2461" i="1"/>
  <c r="S2473" i="1"/>
  <c r="S2462" i="1"/>
  <c r="S2463" i="1"/>
  <c r="S2474" i="1"/>
  <c r="S2464" i="1"/>
  <c r="S2465" i="1"/>
  <c r="S2475" i="1"/>
  <c r="S2466" i="1"/>
  <c r="S2467" i="1"/>
  <c r="S2476" i="1"/>
  <c r="S2480" i="1"/>
  <c r="S2468" i="1"/>
  <c r="S2469" i="1"/>
  <c r="S2470" i="1"/>
  <c r="S2479" i="1"/>
  <c r="S2477" i="1"/>
  <c r="S2471" i="1"/>
  <c r="S2478" i="1"/>
  <c r="S2472" i="1"/>
  <c r="S2598" i="1"/>
  <c r="S2599" i="1"/>
  <c r="S2600" i="1"/>
  <c r="S2575" i="1"/>
  <c r="S2585" i="1"/>
  <c r="S2596" i="1"/>
  <c r="S2591" i="1"/>
  <c r="S2592" i="1"/>
  <c r="S2588" i="1"/>
  <c r="S2583" i="1"/>
  <c r="S2605" i="1"/>
  <c r="S2606" i="1"/>
  <c r="S2593" i="1"/>
  <c r="S2586" i="1"/>
  <c r="S2576" i="1"/>
  <c r="S2587" i="1"/>
  <c r="S2577" i="1"/>
  <c r="S25" i="2" s="1"/>
  <c r="S2578" i="1"/>
  <c r="S2594" i="1"/>
  <c r="S2579" i="1"/>
  <c r="S2604" i="1"/>
  <c r="S2589" i="1"/>
  <c r="S2601" i="1"/>
  <c r="S2580" i="1"/>
  <c r="S2581" i="1"/>
  <c r="S2582" i="1"/>
  <c r="S2607" i="1"/>
  <c r="S2595" i="1"/>
  <c r="S2602" i="1"/>
  <c r="S2608" i="1"/>
  <c r="S2603" i="1"/>
  <c r="S2609" i="1"/>
  <c r="S2590" i="1"/>
  <c r="S2597" i="1"/>
  <c r="S2584" i="1"/>
  <c r="S3544" i="1"/>
  <c r="S3545" i="1"/>
  <c r="S3555" i="1"/>
  <c r="S3546" i="1"/>
  <c r="S3556" i="1"/>
  <c r="S3557" i="1"/>
  <c r="S3547" i="1"/>
  <c r="S3548" i="1"/>
  <c r="S3549" i="1"/>
  <c r="S3558" i="1"/>
  <c r="S3550" i="1"/>
  <c r="S3559" i="1"/>
  <c r="S3567" i="1"/>
  <c r="S3573" i="1"/>
  <c r="S3560" i="1"/>
  <c r="S3568" i="1"/>
  <c r="S3561" i="1"/>
  <c r="S3578" i="1"/>
  <c r="S3569" i="1"/>
  <c r="S3574" i="1"/>
  <c r="S3562" i="1"/>
  <c r="S3563" i="1"/>
  <c r="S3564" i="1"/>
  <c r="S3551" i="1"/>
  <c r="S3552" i="1"/>
  <c r="S3566" i="1"/>
  <c r="S3570" i="1"/>
  <c r="S3571" i="1"/>
  <c r="S3543" i="1"/>
  <c r="S3554" i="1"/>
  <c r="S3575" i="1"/>
  <c r="S3577" i="1"/>
  <c r="S3572" i="1"/>
  <c r="S3579" i="1"/>
  <c r="S3580" i="1"/>
  <c r="S3581" i="1"/>
  <c r="S3576" i="1"/>
  <c r="S3553" i="1"/>
  <c r="S3565" i="1"/>
  <c r="S3653" i="1"/>
  <c r="S3637" i="1"/>
  <c r="S3672" i="1"/>
  <c r="S3638" i="1"/>
  <c r="S3636" i="1"/>
  <c r="S3665" i="1"/>
  <c r="S3635" i="1"/>
  <c r="S3639" i="1"/>
  <c r="S3640" i="1"/>
  <c r="S3654" i="1"/>
  <c r="S3651" i="1"/>
  <c r="S3655" i="1"/>
  <c r="S3656" i="1"/>
  <c r="S3666" i="1"/>
  <c r="S3667" i="1"/>
  <c r="S3657" i="1"/>
  <c r="S3658" i="1"/>
  <c r="S3641" i="1"/>
  <c r="S3642" i="1"/>
  <c r="S3643" i="1"/>
  <c r="S3659" i="1"/>
  <c r="S3660" i="1"/>
  <c r="S3661" i="1"/>
  <c r="S3644" i="1"/>
  <c r="S3645" i="1"/>
  <c r="S3668" i="1"/>
  <c r="S3646" i="1"/>
  <c r="S3652" i="1"/>
  <c r="S3662" i="1"/>
  <c r="S3663" i="1"/>
  <c r="S3673" i="1"/>
  <c r="S3669" i="1"/>
  <c r="S3670" i="1"/>
  <c r="S3674" i="1"/>
  <c r="S3671" i="1"/>
  <c r="S3664" i="1"/>
  <c r="S3647" i="1"/>
  <c r="S3648" i="1"/>
  <c r="S3649" i="1"/>
  <c r="S3650" i="1"/>
  <c r="S3824" i="1"/>
  <c r="S3825" i="1"/>
  <c r="S3826" i="1"/>
  <c r="S3827" i="1"/>
  <c r="S3855" i="1"/>
  <c r="S3828" i="1"/>
  <c r="S3848" i="1"/>
  <c r="S3849" i="1"/>
  <c r="S3856" i="1"/>
  <c r="S3829" i="1"/>
  <c r="S3850" i="1"/>
  <c r="S3851" i="1"/>
  <c r="S3852" i="1"/>
  <c r="S3830" i="1"/>
  <c r="S3853" i="1"/>
  <c r="S3831" i="1"/>
  <c r="S3832" i="1"/>
  <c r="S3833" i="1"/>
  <c r="S3854" i="1"/>
  <c r="S3834" i="1"/>
  <c r="S3835" i="1"/>
  <c r="S3836" i="1"/>
  <c r="S3837" i="1"/>
  <c r="S3857" i="1"/>
  <c r="S3838" i="1"/>
  <c r="S3858" i="1"/>
  <c r="S3839" i="1"/>
  <c r="S3840" i="1"/>
  <c r="S3841" i="1"/>
  <c r="S3842" i="1"/>
  <c r="S3843" i="1"/>
  <c r="S3859" i="1"/>
  <c r="S3844" i="1"/>
  <c r="S3845" i="1"/>
  <c r="S3846" i="1"/>
  <c r="S3847" i="1"/>
  <c r="S2228" i="1"/>
  <c r="S2190" i="1"/>
  <c r="S2222" i="1"/>
  <c r="S2220" i="1"/>
  <c r="S2191" i="1"/>
  <c r="S2229" i="1"/>
  <c r="S2192" i="1"/>
  <c r="S2223" i="1"/>
  <c r="S2224" i="1"/>
  <c r="S2193" i="1"/>
  <c r="S2194" i="1"/>
  <c r="S2195" i="1"/>
  <c r="S2196" i="1"/>
  <c r="S2197" i="1"/>
  <c r="S2225" i="1"/>
  <c r="S2221" i="1"/>
  <c r="S2198" i="1"/>
  <c r="S2199" i="1"/>
  <c r="S2200" i="1"/>
  <c r="S2201" i="1"/>
  <c r="S2226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27" i="1"/>
  <c r="S2218" i="1"/>
  <c r="AR15" i="1" s="1"/>
  <c r="S2219" i="1"/>
  <c r="S567" i="1"/>
  <c r="S577" i="1"/>
  <c r="S568" i="1"/>
  <c r="S550" i="1"/>
  <c r="S579" i="1"/>
  <c r="S560" i="1"/>
  <c r="S572" i="1"/>
  <c r="S580" i="1"/>
  <c r="S575" i="1"/>
  <c r="S551" i="1"/>
  <c r="S582" i="1"/>
  <c r="S578" i="1"/>
  <c r="S552" i="1"/>
  <c r="S553" i="1"/>
  <c r="S569" i="1"/>
  <c r="S581" i="1"/>
  <c r="S561" i="1"/>
  <c r="S576" i="1"/>
  <c r="S554" i="1"/>
  <c r="S555" i="1"/>
  <c r="S562" i="1"/>
  <c r="S573" i="1"/>
  <c r="S563" i="1"/>
  <c r="S570" i="1"/>
  <c r="S583" i="1"/>
  <c r="S564" i="1"/>
  <c r="S556" i="1"/>
  <c r="S557" i="1"/>
  <c r="S574" i="1"/>
  <c r="S565" i="1"/>
  <c r="S566" i="1"/>
  <c r="S584" i="1"/>
  <c r="S558" i="1"/>
  <c r="S571" i="1"/>
  <c r="S559" i="1"/>
  <c r="S549" i="1"/>
  <c r="S2281" i="1"/>
  <c r="S2316" i="1"/>
  <c r="S2282" i="1"/>
  <c r="S2283" i="1"/>
  <c r="S2284" i="1"/>
  <c r="S2285" i="1"/>
  <c r="S2311" i="1"/>
  <c r="S2286" i="1"/>
  <c r="S2312" i="1"/>
  <c r="S2287" i="1"/>
  <c r="S2288" i="1"/>
  <c r="S2313" i="1"/>
  <c r="S2289" i="1"/>
  <c r="S2290" i="1"/>
  <c r="S2291" i="1"/>
  <c r="S2292" i="1"/>
  <c r="S2293" i="1"/>
  <c r="S2294" i="1"/>
  <c r="S2280" i="1"/>
  <c r="S2295" i="1"/>
  <c r="S2296" i="1"/>
  <c r="S2314" i="1"/>
  <c r="S2297" i="1"/>
  <c r="S2298" i="1"/>
  <c r="S2299" i="1"/>
  <c r="S2300" i="1"/>
  <c r="S2301" i="1"/>
  <c r="S2302" i="1"/>
  <c r="S2303" i="1"/>
  <c r="S2304" i="1"/>
  <c r="S2305" i="1"/>
  <c r="S2306" i="1"/>
  <c r="S2315" i="1"/>
  <c r="S2307" i="1"/>
  <c r="S2308" i="1"/>
  <c r="S2309" i="1"/>
  <c r="S231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2062" i="1"/>
  <c r="S2063" i="1"/>
  <c r="S2060" i="1"/>
  <c r="S48" i="2" s="1"/>
  <c r="S2064" i="1"/>
  <c r="S2065" i="1"/>
  <c r="S2066" i="1"/>
  <c r="S2061" i="1"/>
  <c r="S2067" i="1"/>
  <c r="S2068" i="1"/>
  <c r="S2083" i="1"/>
  <c r="S2069" i="1"/>
  <c r="S2070" i="1"/>
  <c r="S2071" i="1"/>
  <c r="S2072" i="1"/>
  <c r="S2094" i="1"/>
  <c r="S2073" i="1"/>
  <c r="S2084" i="1"/>
  <c r="S2085" i="1"/>
  <c r="S2086" i="1"/>
  <c r="S2096" i="1"/>
  <c r="S2074" i="1"/>
  <c r="S2095" i="1"/>
  <c r="S2075" i="1"/>
  <c r="S2087" i="1"/>
  <c r="S2076" i="1"/>
  <c r="S2088" i="1"/>
  <c r="S2089" i="1"/>
  <c r="S2077" i="1"/>
  <c r="S2090" i="1"/>
  <c r="S2078" i="1"/>
  <c r="S2079" i="1"/>
  <c r="S2091" i="1"/>
  <c r="S2092" i="1"/>
  <c r="S2080" i="1"/>
  <c r="S2093" i="1"/>
  <c r="S2097" i="1"/>
  <c r="S2081" i="1"/>
  <c r="S2082" i="1"/>
  <c r="S2868" i="1"/>
  <c r="S47" i="2" s="1"/>
  <c r="S2898" i="1"/>
  <c r="S2869" i="1"/>
  <c r="S2870" i="1"/>
  <c r="S2871" i="1"/>
  <c r="S2872" i="1"/>
  <c r="S2873" i="1"/>
  <c r="S2899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900" i="1"/>
  <c r="S2887" i="1"/>
  <c r="S2902" i="1"/>
  <c r="S2888" i="1"/>
  <c r="S2889" i="1"/>
  <c r="S2890" i="1"/>
  <c r="S2891" i="1"/>
  <c r="S2903" i="1"/>
  <c r="S2901" i="1"/>
  <c r="S2892" i="1"/>
  <c r="S2893" i="1"/>
  <c r="S2894" i="1"/>
  <c r="S2904" i="1"/>
  <c r="S2895" i="1"/>
  <c r="S2896" i="1"/>
  <c r="S2897" i="1"/>
  <c r="S3103" i="1"/>
  <c r="S3104" i="1"/>
  <c r="S3105" i="1"/>
  <c r="S3106" i="1"/>
  <c r="S3130" i="1"/>
  <c r="S3107" i="1"/>
  <c r="S3134" i="1"/>
  <c r="S3108" i="1"/>
  <c r="S3109" i="1"/>
  <c r="S3110" i="1"/>
  <c r="S3111" i="1"/>
  <c r="S3112" i="1"/>
  <c r="S3113" i="1"/>
  <c r="S3114" i="1"/>
  <c r="S3131" i="1"/>
  <c r="S3115" i="1"/>
  <c r="S3116" i="1"/>
  <c r="S3117" i="1"/>
  <c r="S3118" i="1"/>
  <c r="S3119" i="1"/>
  <c r="S3120" i="1"/>
  <c r="S3132" i="1"/>
  <c r="S3133" i="1"/>
  <c r="S3101" i="1"/>
  <c r="S3121" i="1"/>
  <c r="S3122" i="1"/>
  <c r="S3102" i="1"/>
  <c r="S3123" i="1"/>
  <c r="S3124" i="1"/>
  <c r="S3125" i="1"/>
  <c r="S3126" i="1"/>
  <c r="S3135" i="1"/>
  <c r="S3127" i="1"/>
  <c r="S3128" i="1"/>
  <c r="S3129" i="1"/>
  <c r="S1590" i="1"/>
  <c r="S1591" i="1"/>
  <c r="S1592" i="1"/>
  <c r="S1593" i="1"/>
  <c r="S162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AR19" i="1" s="1"/>
  <c r="S1622" i="1"/>
  <c r="S2620" i="1"/>
  <c r="S728" i="1"/>
  <c r="S729" i="1"/>
  <c r="S2621" i="1"/>
  <c r="S730" i="1"/>
  <c r="S731" i="1"/>
  <c r="S732" i="1"/>
  <c r="S733" i="1"/>
  <c r="S2622" i="1"/>
  <c r="S734" i="1"/>
  <c r="S2623" i="1"/>
  <c r="S735" i="1"/>
  <c r="S2624" i="1"/>
  <c r="S736" i="1"/>
  <c r="S737" i="1"/>
  <c r="S2625" i="1"/>
  <c r="S738" i="1"/>
  <c r="S739" i="1"/>
  <c r="S740" i="1"/>
  <c r="S741" i="1"/>
  <c r="S2626" i="1"/>
  <c r="S2627" i="1"/>
  <c r="S742" i="1"/>
  <c r="S743" i="1"/>
  <c r="S744" i="1"/>
  <c r="S745" i="1"/>
  <c r="S2628" i="1"/>
  <c r="S746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80" i="1"/>
  <c r="S2178" i="1"/>
  <c r="S2179" i="1"/>
  <c r="S485" i="1"/>
  <c r="S486" i="1"/>
  <c r="S483" i="1"/>
  <c r="S487" i="1"/>
  <c r="S488" i="1"/>
  <c r="S504" i="1"/>
  <c r="S489" i="1"/>
  <c r="S490" i="1"/>
  <c r="S491" i="1"/>
  <c r="S484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AA23" i="4"/>
  <c r="AB23" i="4"/>
  <c r="AB20" i="4"/>
  <c r="AB21" i="4"/>
  <c r="AB22" i="4"/>
  <c r="AC23" i="4"/>
  <c r="AC20" i="4"/>
  <c r="AC21" i="4"/>
  <c r="AC22" i="4"/>
  <c r="AD23" i="4"/>
  <c r="AD20" i="4"/>
  <c r="AD21" i="4"/>
  <c r="AD22" i="4"/>
  <c r="R704" i="1"/>
  <c r="R690" i="1"/>
  <c r="R687" i="1"/>
  <c r="R691" i="1"/>
  <c r="R703" i="1"/>
  <c r="R692" i="1"/>
  <c r="R705" i="1"/>
  <c r="R706" i="1"/>
  <c r="R696" i="1"/>
  <c r="R693" i="1"/>
  <c r="R707" i="1"/>
  <c r="R708" i="1"/>
  <c r="R709" i="1"/>
  <c r="R710" i="1"/>
  <c r="R694" i="1"/>
  <c r="R697" i="1"/>
  <c r="R698" i="1"/>
  <c r="R711" i="1"/>
  <c r="R688" i="1"/>
  <c r="R712" i="1"/>
  <c r="R699" i="1"/>
  <c r="R713" i="1"/>
  <c r="R700" i="1"/>
  <c r="R714" i="1"/>
  <c r="R715" i="1"/>
  <c r="R716" i="1"/>
  <c r="R701" i="1"/>
  <c r="R702" i="1"/>
  <c r="R689" i="1"/>
  <c r="R695" i="1"/>
  <c r="R717" i="1"/>
  <c r="R718" i="1"/>
  <c r="R1568" i="1"/>
  <c r="R1545" i="1"/>
  <c r="R1569" i="1"/>
  <c r="R1558" i="1"/>
  <c r="R1553" i="1"/>
  <c r="R1555" i="1"/>
  <c r="R1540" i="1"/>
  <c r="R1546" i="1"/>
  <c r="R1570" i="1"/>
  <c r="R1571" i="1"/>
  <c r="R1556" i="1"/>
  <c r="R1554" i="1"/>
  <c r="R1572" i="1"/>
  <c r="R1547" i="1"/>
  <c r="R1548" i="1"/>
  <c r="R1560" i="1"/>
  <c r="R1549" i="1"/>
  <c r="R1573" i="1"/>
  <c r="R1550" i="1"/>
  <c r="R1551" i="1"/>
  <c r="R1562" i="1"/>
  <c r="R1574" i="1"/>
  <c r="R1559" i="1"/>
  <c r="R1541" i="1"/>
  <c r="Q20" i="2" s="1"/>
  <c r="R1563" i="1"/>
  <c r="R1575" i="1"/>
  <c r="R1542" i="1"/>
  <c r="R1552" i="1"/>
  <c r="R1564" i="1"/>
  <c r="R1565" i="1"/>
  <c r="R1566" i="1"/>
  <c r="R1557" i="1"/>
  <c r="R1543" i="1"/>
  <c r="R1567" i="1"/>
  <c r="R1576" i="1"/>
  <c r="R1577" i="1"/>
  <c r="R1544" i="1"/>
  <c r="R1561" i="1"/>
  <c r="R1578" i="1"/>
  <c r="R1579" i="1"/>
  <c r="R1744" i="1"/>
  <c r="R1756" i="1"/>
  <c r="R1730" i="1"/>
  <c r="R1735" i="1"/>
  <c r="R1762" i="1"/>
  <c r="R1757" i="1"/>
  <c r="R1745" i="1"/>
  <c r="R1746" i="1"/>
  <c r="R1758" i="1"/>
  <c r="R1736" i="1"/>
  <c r="R1754" i="1"/>
  <c r="R1733" i="1"/>
  <c r="R1747" i="1"/>
  <c r="R1734" i="1"/>
  <c r="R1731" i="1"/>
  <c r="R1759" i="1"/>
  <c r="R1764" i="1"/>
  <c r="R1748" i="1"/>
  <c r="R1765" i="1"/>
  <c r="R1737" i="1"/>
  <c r="R1760" i="1"/>
  <c r="R1749" i="1"/>
  <c r="R1766" i="1"/>
  <c r="R1750" i="1"/>
  <c r="R1751" i="1"/>
  <c r="R1742" i="1"/>
  <c r="R1738" i="1"/>
  <c r="R1767" i="1"/>
  <c r="R1763" i="1"/>
  <c r="R1768" i="1"/>
  <c r="R1743" i="1"/>
  <c r="R1769" i="1"/>
  <c r="R1752" i="1"/>
  <c r="R1761" i="1"/>
  <c r="R1753" i="1"/>
  <c r="R1739" i="1"/>
  <c r="R1740" i="1"/>
  <c r="R1741" i="1"/>
  <c r="R1755" i="1"/>
  <c r="R1732" i="1"/>
  <c r="R2759" i="1"/>
  <c r="R2760" i="1"/>
  <c r="R2775" i="1"/>
  <c r="R2781" i="1"/>
  <c r="R2761" i="1"/>
  <c r="R2762" i="1"/>
  <c r="R2791" i="1"/>
  <c r="R2774" i="1"/>
  <c r="R2763" i="1"/>
  <c r="R2792" i="1"/>
  <c r="R2793" i="1"/>
  <c r="R2776" i="1"/>
  <c r="R2765" i="1"/>
  <c r="R2777" i="1"/>
  <c r="R2766" i="1"/>
  <c r="R2767" i="1"/>
  <c r="R2768" i="1"/>
  <c r="R2769" i="1"/>
  <c r="R2782" i="1"/>
  <c r="R2790" i="1"/>
  <c r="R2778" i="1"/>
  <c r="R2783" i="1"/>
  <c r="R2784" i="1"/>
  <c r="R2758" i="1"/>
  <c r="R2779" i="1"/>
  <c r="R2794" i="1"/>
  <c r="R2785" i="1"/>
  <c r="R2786" i="1"/>
  <c r="R2780" i="1"/>
  <c r="R2770" i="1"/>
  <c r="R2771" i="1"/>
  <c r="R2764" i="1"/>
  <c r="R2787" i="1"/>
  <c r="R2772" i="1"/>
  <c r="R2773" i="1"/>
  <c r="R2788" i="1"/>
  <c r="R2789" i="1"/>
  <c r="R2795" i="1"/>
  <c r="R2796" i="1"/>
  <c r="R2407" i="1"/>
  <c r="R2425" i="1"/>
  <c r="R2416" i="1"/>
  <c r="R2433" i="1"/>
  <c r="R2426" i="1"/>
  <c r="R2430" i="1"/>
  <c r="R2408" i="1"/>
  <c r="R2422" i="1"/>
  <c r="R2409" i="1"/>
  <c r="R2410" i="1"/>
  <c r="R2417" i="1"/>
  <c r="R2434" i="1"/>
  <c r="R2437" i="1"/>
  <c r="R2418" i="1"/>
  <c r="R2412" i="1"/>
  <c r="R2419" i="1"/>
  <c r="R2427" i="1"/>
  <c r="R2435" i="1"/>
  <c r="R2413" i="1"/>
  <c r="R2411" i="1"/>
  <c r="R2406" i="1"/>
  <c r="R2420" i="1"/>
  <c r="R2421" i="1"/>
  <c r="R2414" i="1"/>
  <c r="R2415" i="1"/>
  <c r="R2439" i="1"/>
  <c r="R2436" i="1"/>
  <c r="R2423" i="1"/>
  <c r="R2440" i="1"/>
  <c r="R2428" i="1"/>
  <c r="R2438" i="1"/>
  <c r="R2431" i="1"/>
  <c r="R2432" i="1"/>
  <c r="R2424" i="1"/>
  <c r="R2429" i="1"/>
  <c r="R2441" i="1"/>
  <c r="R3599" i="1"/>
  <c r="R3612" i="1"/>
  <c r="R3623" i="1"/>
  <c r="R3602" i="1"/>
  <c r="R3591" i="1"/>
  <c r="R3603" i="1"/>
  <c r="R3604" i="1"/>
  <c r="R3600" i="1"/>
  <c r="R3592" i="1"/>
  <c r="R3613" i="1"/>
  <c r="R3605" i="1"/>
  <c r="R3621" i="1"/>
  <c r="R3614" i="1"/>
  <c r="R3593" i="1"/>
  <c r="R3594" i="1"/>
  <c r="R3606" i="1"/>
  <c r="R3595" i="1"/>
  <c r="R3615" i="1"/>
  <c r="R3596" i="1"/>
  <c r="R3608" i="1"/>
  <c r="R3609" i="1"/>
  <c r="R3601" i="1"/>
  <c r="R3597" i="1"/>
  <c r="R3610" i="1"/>
  <c r="R3598" i="1"/>
  <c r="R3616" i="1"/>
  <c r="R3617" i="1"/>
  <c r="R3590" i="1"/>
  <c r="R3607" i="1"/>
  <c r="R3611" i="1"/>
  <c r="R3618" i="1"/>
  <c r="R3619" i="1"/>
  <c r="R3624" i="1"/>
  <c r="R3622" i="1"/>
  <c r="R3620" i="1"/>
  <c r="R3625" i="1"/>
  <c r="R3415" i="1"/>
  <c r="R3435" i="1"/>
  <c r="R3436" i="1"/>
  <c r="R3424" i="1"/>
  <c r="R3408" i="1"/>
  <c r="R3441" i="1"/>
  <c r="R3425" i="1"/>
  <c r="R3437" i="1"/>
  <c r="R3409" i="1"/>
  <c r="R3416" i="1"/>
  <c r="R3426" i="1"/>
  <c r="R3410" i="1"/>
  <c r="R3417" i="1"/>
  <c r="R3413" i="1"/>
  <c r="R3423" i="1"/>
  <c r="R3418" i="1"/>
  <c r="R3419" i="1"/>
  <c r="R3438" i="1"/>
  <c r="R3420" i="1"/>
  <c r="R3427" i="1"/>
  <c r="R3428" i="1"/>
  <c r="R3421" i="1"/>
  <c r="R3439" i="1"/>
  <c r="R3429" i="1"/>
  <c r="R3430" i="1"/>
  <c r="R3422" i="1"/>
  <c r="R3411" i="1"/>
  <c r="R3412" i="1"/>
  <c r="R3431" i="1"/>
  <c r="R3414" i="1"/>
  <c r="R3440" i="1"/>
  <c r="R3432" i="1"/>
  <c r="R3433" i="1"/>
  <c r="R3434" i="1"/>
  <c r="R3786" i="1"/>
  <c r="R3797" i="1"/>
  <c r="R3777" i="1"/>
  <c r="R3798" i="1"/>
  <c r="R3799" i="1"/>
  <c r="R3787" i="1"/>
  <c r="R3782" i="1"/>
  <c r="R3800" i="1"/>
  <c r="R3778" i="1"/>
  <c r="R3788" i="1"/>
  <c r="R3801" i="1"/>
  <c r="R3789" i="1"/>
  <c r="R3810" i="1"/>
  <c r="R3790" i="1"/>
  <c r="R3783" i="1"/>
  <c r="R3791" i="1"/>
  <c r="R3779" i="1"/>
  <c r="R3811" i="1"/>
  <c r="R3802" i="1"/>
  <c r="R3784" i="1"/>
  <c r="R3780" i="1"/>
  <c r="R3781" i="1"/>
  <c r="R3803" i="1"/>
  <c r="R3804" i="1"/>
  <c r="R3805" i="1"/>
  <c r="R3809" i="1"/>
  <c r="R3792" i="1"/>
  <c r="R3793" i="1"/>
  <c r="R3806" i="1"/>
  <c r="R3812" i="1"/>
  <c r="R3785" i="1"/>
  <c r="R3813" i="1"/>
  <c r="R3794" i="1"/>
  <c r="R3807" i="1"/>
  <c r="R3795" i="1"/>
  <c r="R3808" i="1"/>
  <c r="R3796" i="1"/>
  <c r="R1016" i="1"/>
  <c r="R1025" i="1"/>
  <c r="R1017" i="1"/>
  <c r="R1018" i="1"/>
  <c r="R1026" i="1"/>
  <c r="R1019" i="1"/>
  <c r="R1020" i="1"/>
  <c r="R1027" i="1"/>
  <c r="R1028" i="1"/>
  <c r="R1007" i="1"/>
  <c r="R1008" i="1"/>
  <c r="R1021" i="1"/>
  <c r="R1006" i="1"/>
  <c r="R1009" i="1"/>
  <c r="R1022" i="1"/>
  <c r="R1032" i="1"/>
  <c r="R1010" i="1"/>
  <c r="R1014" i="1"/>
  <c r="R1011" i="1"/>
  <c r="R1005" i="1"/>
  <c r="R1029" i="1"/>
  <c r="R1023" i="1"/>
  <c r="R1033" i="1"/>
  <c r="R1012" i="1"/>
  <c r="R1040" i="1"/>
  <c r="R1034" i="1"/>
  <c r="R1035" i="1"/>
  <c r="R1024" i="1"/>
  <c r="R1041" i="1"/>
  <c r="R1036" i="1"/>
  <c r="R1037" i="1"/>
  <c r="R1038" i="1"/>
  <c r="R1030" i="1"/>
  <c r="R1039" i="1"/>
  <c r="R1031" i="1"/>
  <c r="R1013" i="1"/>
  <c r="R1015" i="1"/>
  <c r="R3215" i="1"/>
  <c r="R3189" i="1"/>
  <c r="R3190" i="1"/>
  <c r="R3200" i="1"/>
  <c r="R3198" i="1"/>
  <c r="Q37" i="2" s="1"/>
  <c r="R3188" i="1"/>
  <c r="R3191" i="1"/>
  <c r="R3201" i="1"/>
  <c r="R3202" i="1"/>
  <c r="R3192" i="1"/>
  <c r="R3193" i="1"/>
  <c r="R3203" i="1"/>
  <c r="R3204" i="1"/>
  <c r="R3205" i="1"/>
  <c r="R3213" i="1"/>
  <c r="R3194" i="1"/>
  <c r="R3214" i="1"/>
  <c r="R3195" i="1"/>
  <c r="R3196" i="1"/>
  <c r="R3220" i="1"/>
  <c r="R3206" i="1"/>
  <c r="R3207" i="1"/>
  <c r="R3208" i="1"/>
  <c r="R3211" i="1"/>
  <c r="R3216" i="1"/>
  <c r="R3199" i="1"/>
  <c r="R3197" i="1"/>
  <c r="R3209" i="1"/>
  <c r="R3219" i="1"/>
  <c r="R3212" i="1"/>
  <c r="R3218" i="1"/>
  <c r="R3210" i="1"/>
  <c r="R3217" i="1"/>
  <c r="R2238" i="1"/>
  <c r="R2239" i="1"/>
  <c r="R2240" i="1"/>
  <c r="R2252" i="1"/>
  <c r="R2241" i="1"/>
  <c r="R2265" i="1"/>
  <c r="R2256" i="1"/>
  <c r="R2253" i="1"/>
  <c r="R2242" i="1"/>
  <c r="R2268" i="1"/>
  <c r="R2243" i="1"/>
  <c r="R2258" i="1"/>
  <c r="R2259" i="1"/>
  <c r="R2266" i="1"/>
  <c r="R2244" i="1"/>
  <c r="R2245" i="1"/>
  <c r="R2260" i="1"/>
  <c r="R2246" i="1"/>
  <c r="R2267" i="1"/>
  <c r="R2264" i="1"/>
  <c r="R2247" i="1"/>
  <c r="R2254" i="1"/>
  <c r="R2261" i="1"/>
  <c r="R2269" i="1"/>
  <c r="R2262" i="1"/>
  <c r="R2248" i="1"/>
  <c r="R2263" i="1"/>
  <c r="R2249" i="1"/>
  <c r="R2250" i="1"/>
  <c r="R2255" i="1"/>
  <c r="R2251" i="1"/>
  <c r="R2257" i="1"/>
  <c r="R2687" i="1"/>
  <c r="R2682" i="1"/>
  <c r="R2677" i="1"/>
  <c r="R2674" i="1"/>
  <c r="R2686" i="1"/>
  <c r="R2683" i="1"/>
  <c r="R2678" i="1"/>
  <c r="R2684" i="1"/>
  <c r="R2691" i="1"/>
  <c r="R2692" i="1"/>
  <c r="R2688" i="1"/>
  <c r="R2679" i="1"/>
  <c r="R2689" i="1"/>
  <c r="R2675" i="1"/>
  <c r="R2690" i="1"/>
  <c r="R2676" i="1"/>
  <c r="R2680" i="1"/>
  <c r="R2681" i="1"/>
  <c r="R2685" i="1"/>
  <c r="R519" i="1"/>
  <c r="R505" i="1"/>
  <c r="R520" i="1"/>
  <c r="R529" i="1"/>
  <c r="R521" i="1"/>
  <c r="R533" i="1"/>
  <c r="R508" i="1"/>
  <c r="R515" i="1"/>
  <c r="R516" i="1"/>
  <c r="R535" i="1"/>
  <c r="R506" i="1"/>
  <c r="R522" i="1"/>
  <c r="R523" i="1"/>
  <c r="R509" i="1"/>
  <c r="R524" i="1"/>
  <c r="R517" i="1"/>
  <c r="R510" i="1"/>
  <c r="R525" i="1"/>
  <c r="R507" i="1"/>
  <c r="R511" i="1"/>
  <c r="R536" i="1"/>
  <c r="R512" i="1"/>
  <c r="R534" i="1"/>
  <c r="R526" i="1"/>
  <c r="R527" i="1"/>
  <c r="R513" i="1"/>
  <c r="R537" i="1"/>
  <c r="R530" i="1"/>
  <c r="R514" i="1"/>
  <c r="R531" i="1"/>
  <c r="R532" i="1"/>
  <c r="R518" i="1"/>
  <c r="R528" i="1"/>
  <c r="R538" i="1"/>
  <c r="R1280" i="1"/>
  <c r="R1271" i="1"/>
  <c r="R1259" i="1"/>
  <c r="R1260" i="1"/>
  <c r="R1261" i="1"/>
  <c r="R1272" i="1"/>
  <c r="R1273" i="1"/>
  <c r="R1274" i="1"/>
  <c r="R1281" i="1"/>
  <c r="R1282" i="1"/>
  <c r="R1283" i="1"/>
  <c r="R1275" i="1"/>
  <c r="R1284" i="1"/>
  <c r="R1262" i="1"/>
  <c r="R1276" i="1"/>
  <c r="R1263" i="1"/>
  <c r="R1264" i="1"/>
  <c r="R1265" i="1"/>
  <c r="R1277" i="1"/>
  <c r="R1286" i="1"/>
  <c r="R1278" i="1"/>
  <c r="R1266" i="1"/>
  <c r="R1267" i="1"/>
  <c r="R1268" i="1"/>
  <c r="R1269" i="1"/>
  <c r="R1279" i="1"/>
  <c r="R1270" i="1"/>
  <c r="R1287" i="1"/>
  <c r="R1285" i="1"/>
  <c r="R1836" i="1"/>
  <c r="R1837" i="1"/>
  <c r="R1838" i="1"/>
  <c r="R1852" i="1"/>
  <c r="R1850" i="1"/>
  <c r="R1839" i="1"/>
  <c r="R1864" i="1"/>
  <c r="R1840" i="1"/>
  <c r="R1841" i="1"/>
  <c r="R1853" i="1"/>
  <c r="R1865" i="1"/>
  <c r="R1854" i="1"/>
  <c r="R1842" i="1"/>
  <c r="R1855" i="1"/>
  <c r="R1843" i="1"/>
  <c r="R1856" i="1"/>
  <c r="R1872" i="1"/>
  <c r="R1857" i="1"/>
  <c r="R1844" i="1"/>
  <c r="R1858" i="1"/>
  <c r="R1866" i="1"/>
  <c r="R1835" i="1"/>
  <c r="R1867" i="1"/>
  <c r="R1845" i="1"/>
  <c r="R1859" i="1"/>
  <c r="R1846" i="1"/>
  <c r="R1847" i="1"/>
  <c r="R1874" i="1"/>
  <c r="R1868" i="1"/>
  <c r="R1869" i="1"/>
  <c r="R1873" i="1"/>
  <c r="R1860" i="1"/>
  <c r="R1848" i="1"/>
  <c r="R1861" i="1"/>
  <c r="R1849" i="1"/>
  <c r="R1851" i="1"/>
  <c r="R1862" i="1"/>
  <c r="R1870" i="1"/>
  <c r="R1863" i="1"/>
  <c r="R1871" i="1"/>
  <c r="R3926" i="1"/>
  <c r="R3927" i="1"/>
  <c r="R3940" i="1"/>
  <c r="R3941" i="1"/>
  <c r="R3952" i="1"/>
  <c r="R3942" i="1"/>
  <c r="R3943" i="1"/>
  <c r="R3944" i="1"/>
  <c r="R3953" i="1"/>
  <c r="R3928" i="1"/>
  <c r="R3939" i="1"/>
  <c r="R3945" i="1"/>
  <c r="R3929" i="1"/>
  <c r="R3930" i="1"/>
  <c r="R3954" i="1"/>
  <c r="R3931" i="1"/>
  <c r="R3932" i="1"/>
  <c r="R3962" i="1"/>
  <c r="R3946" i="1"/>
  <c r="R3933" i="1"/>
  <c r="R3934" i="1"/>
  <c r="R3935" i="1"/>
  <c r="R3936" i="1"/>
  <c r="R3947" i="1"/>
  <c r="R3937" i="1"/>
  <c r="R3955" i="1"/>
  <c r="R3948" i="1"/>
  <c r="R3956" i="1"/>
  <c r="R3938" i="1"/>
  <c r="R3957" i="1"/>
  <c r="R3949" i="1"/>
  <c r="R3958" i="1"/>
  <c r="R3959" i="1"/>
  <c r="R3960" i="1"/>
  <c r="R3961" i="1"/>
  <c r="R3950" i="1"/>
  <c r="R3951" i="1"/>
  <c r="R3963" i="1"/>
  <c r="R3342" i="1"/>
  <c r="R3322" i="1"/>
  <c r="R3343" i="1"/>
  <c r="R3358" i="1"/>
  <c r="R3323" i="1"/>
  <c r="R3324" i="1"/>
  <c r="R3344" i="1"/>
  <c r="R3345" i="1"/>
  <c r="R3346" i="1"/>
  <c r="R3325" i="1"/>
  <c r="R3326" i="1"/>
  <c r="R3347" i="1"/>
  <c r="R3354" i="1"/>
  <c r="R3348" i="1"/>
  <c r="R3355" i="1"/>
  <c r="R3327" i="1"/>
  <c r="R3328" i="1"/>
  <c r="R3329" i="1"/>
  <c r="R3359" i="1"/>
  <c r="R3330" i="1"/>
  <c r="R3331" i="1"/>
  <c r="R3356" i="1"/>
  <c r="R3349" i="1"/>
  <c r="R3332" i="1"/>
  <c r="R3357" i="1"/>
  <c r="R3333" i="1"/>
  <c r="R3334" i="1"/>
  <c r="R3335" i="1"/>
  <c r="R3350" i="1"/>
  <c r="R3336" i="1"/>
  <c r="R3337" i="1"/>
  <c r="R3351" i="1"/>
  <c r="R3352" i="1"/>
  <c r="R3338" i="1"/>
  <c r="R3339" i="1"/>
  <c r="R3340" i="1"/>
  <c r="R3360" i="1"/>
  <c r="R3341" i="1"/>
  <c r="R3353" i="1"/>
  <c r="R31" i="1"/>
  <c r="R4" i="1"/>
  <c r="R5" i="1"/>
  <c r="R20" i="1"/>
  <c r="R28" i="1"/>
  <c r="R32" i="1"/>
  <c r="R2" i="1"/>
  <c r="R21" i="1"/>
  <c r="R22" i="1"/>
  <c r="R6" i="1"/>
  <c r="R23" i="1"/>
  <c r="R24" i="1"/>
  <c r="R33" i="1"/>
  <c r="R7" i="1"/>
  <c r="R8" i="1"/>
  <c r="R25" i="1"/>
  <c r="R9" i="1"/>
  <c r="R26" i="1"/>
  <c r="R10" i="1"/>
  <c r="R11" i="1"/>
  <c r="R12" i="1"/>
  <c r="R34" i="1"/>
  <c r="R13" i="1"/>
  <c r="R14" i="1"/>
  <c r="R27" i="1"/>
  <c r="R19" i="1"/>
  <c r="R15" i="1"/>
  <c r="R35" i="1"/>
  <c r="R29" i="1"/>
  <c r="R30" i="1"/>
  <c r="R16" i="1"/>
  <c r="R17" i="1"/>
  <c r="R3" i="1"/>
  <c r="Q59" i="2" s="1"/>
  <c r="R36" i="1"/>
  <c r="R18" i="1"/>
  <c r="R1390" i="1"/>
  <c r="R1391" i="1"/>
  <c r="R1392" i="1"/>
  <c r="R1423" i="1"/>
  <c r="R1393" i="1"/>
  <c r="R1394" i="1"/>
  <c r="R1395" i="1"/>
  <c r="R1407" i="1"/>
  <c r="R1396" i="1"/>
  <c r="R1388" i="1"/>
  <c r="R1408" i="1"/>
  <c r="R1397" i="1"/>
  <c r="R1398" i="1"/>
  <c r="R1399" i="1"/>
  <c r="R1409" i="1"/>
  <c r="R1400" i="1"/>
  <c r="R1417" i="1"/>
  <c r="R1410" i="1"/>
  <c r="R1406" i="1"/>
  <c r="R1418" i="1"/>
  <c r="R1419" i="1"/>
  <c r="R1424" i="1"/>
  <c r="R1389" i="1"/>
  <c r="R1401" i="1"/>
  <c r="R1411" i="1"/>
  <c r="R1412" i="1"/>
  <c r="R1420" i="1"/>
  <c r="R1413" i="1"/>
  <c r="R1402" i="1"/>
  <c r="R1403" i="1"/>
  <c r="R1426" i="1"/>
  <c r="R1404" i="1"/>
  <c r="R1414" i="1"/>
  <c r="R1415" i="1"/>
  <c r="R1416" i="1"/>
  <c r="R1421" i="1"/>
  <c r="R1405" i="1"/>
  <c r="R1425" i="1"/>
  <c r="R1422" i="1"/>
  <c r="R3067" i="1"/>
  <c r="R3068" i="1"/>
  <c r="R3069" i="1"/>
  <c r="R3079" i="1"/>
  <c r="R3080" i="1"/>
  <c r="R3081" i="1"/>
  <c r="R3088" i="1"/>
  <c r="R3070" i="1"/>
  <c r="R3071" i="1"/>
  <c r="R3072" i="1"/>
  <c r="R3073" i="1"/>
  <c r="R3082" i="1"/>
  <c r="R3089" i="1"/>
  <c r="R3074" i="1"/>
  <c r="R3075" i="1"/>
  <c r="R3083" i="1"/>
  <c r="R3084" i="1"/>
  <c r="R3090" i="1"/>
  <c r="R3085" i="1"/>
  <c r="R3076" i="1"/>
  <c r="R3091" i="1"/>
  <c r="R3077" i="1"/>
  <c r="R3078" i="1"/>
  <c r="R3086" i="1"/>
  <c r="R3087" i="1"/>
  <c r="R3092" i="1"/>
  <c r="R1636" i="1"/>
  <c r="R1640" i="1"/>
  <c r="R1641" i="1"/>
  <c r="R1637" i="1"/>
  <c r="R1642" i="1"/>
  <c r="R1643" i="1"/>
  <c r="R1644" i="1"/>
  <c r="R1655" i="1"/>
  <c r="R1656" i="1"/>
  <c r="R1645" i="1"/>
  <c r="R1653" i="1"/>
  <c r="R1667" i="1"/>
  <c r="R1634" i="1"/>
  <c r="R1646" i="1"/>
  <c r="R1657" i="1"/>
  <c r="R1668" i="1"/>
  <c r="R1647" i="1"/>
  <c r="R1648" i="1"/>
  <c r="R1664" i="1"/>
  <c r="R1669" i="1"/>
  <c r="R1638" i="1"/>
  <c r="R1665" i="1"/>
  <c r="R1649" i="1"/>
  <c r="R1635" i="1"/>
  <c r="R1670" i="1"/>
  <c r="R1658" i="1"/>
  <c r="R1659" i="1"/>
  <c r="R1650" i="1"/>
  <c r="R1660" i="1"/>
  <c r="R1661" i="1"/>
  <c r="R1671" i="1"/>
  <c r="R1639" i="1"/>
  <c r="R1672" i="1"/>
  <c r="R1651" i="1"/>
  <c r="R1662" i="1"/>
  <c r="R1654" i="1"/>
  <c r="R1663" i="1"/>
  <c r="R1652" i="1"/>
  <c r="R1666" i="1"/>
  <c r="R2125" i="1"/>
  <c r="R2108" i="1"/>
  <c r="R2109" i="1"/>
  <c r="R2110" i="1"/>
  <c r="R2111" i="1"/>
  <c r="R2112" i="1"/>
  <c r="R2113" i="1"/>
  <c r="R2126" i="1"/>
  <c r="R2127" i="1"/>
  <c r="R2139" i="1"/>
  <c r="R2128" i="1"/>
  <c r="R2129" i="1"/>
  <c r="R2130" i="1"/>
  <c r="R2114" i="1"/>
  <c r="R2140" i="1"/>
  <c r="R2115" i="1"/>
  <c r="R2131" i="1"/>
  <c r="R2132" i="1"/>
  <c r="R2133" i="1"/>
  <c r="R2116" i="1"/>
  <c r="R2117" i="1"/>
  <c r="R2134" i="1"/>
  <c r="R2141" i="1"/>
  <c r="R2142" i="1"/>
  <c r="R2135" i="1"/>
  <c r="R2118" i="1"/>
  <c r="R2119" i="1"/>
  <c r="R2120" i="1"/>
  <c r="R2136" i="1"/>
  <c r="R2121" i="1"/>
  <c r="R2143" i="1"/>
  <c r="R2137" i="1"/>
  <c r="R2122" i="1"/>
  <c r="R2138" i="1"/>
  <c r="R2123" i="1"/>
  <c r="R2124" i="1"/>
  <c r="R2489" i="1"/>
  <c r="R2509" i="1"/>
  <c r="R2490" i="1"/>
  <c r="R2491" i="1"/>
  <c r="R2492" i="1"/>
  <c r="R2518" i="1"/>
  <c r="R2493" i="1"/>
  <c r="R2494" i="1"/>
  <c r="R2495" i="1"/>
  <c r="R2496" i="1"/>
  <c r="R2497" i="1"/>
  <c r="R2498" i="1"/>
  <c r="R2510" i="1"/>
  <c r="R2511" i="1"/>
  <c r="R2519" i="1"/>
  <c r="R2512" i="1"/>
  <c r="R2499" i="1"/>
  <c r="R2517" i="1"/>
  <c r="R2500" i="1"/>
  <c r="R2501" i="1"/>
  <c r="R2502" i="1"/>
  <c r="R2503" i="1"/>
  <c r="R2504" i="1"/>
  <c r="R2520" i="1"/>
  <c r="R2525" i="1"/>
  <c r="R2505" i="1"/>
  <c r="R2521" i="1"/>
  <c r="R2522" i="1"/>
  <c r="R2508" i="1"/>
  <c r="R2513" i="1"/>
  <c r="R2514" i="1"/>
  <c r="R2523" i="1"/>
  <c r="R2524" i="1"/>
  <c r="R2506" i="1"/>
  <c r="R2515" i="1"/>
  <c r="R2516" i="1"/>
  <c r="R2507" i="1"/>
  <c r="R2526" i="1"/>
  <c r="R3023" i="1"/>
  <c r="R3024" i="1"/>
  <c r="R3025" i="1"/>
  <c r="R3026" i="1"/>
  <c r="R3027" i="1"/>
  <c r="R3052" i="1"/>
  <c r="R3028" i="1"/>
  <c r="R3029" i="1"/>
  <c r="R3030" i="1"/>
  <c r="R3031" i="1"/>
  <c r="R3043" i="1"/>
  <c r="R3053" i="1"/>
  <c r="R3032" i="1"/>
  <c r="R3044" i="1"/>
  <c r="R3033" i="1"/>
  <c r="R3034" i="1"/>
  <c r="R3045" i="1"/>
  <c r="R3035" i="1"/>
  <c r="R3036" i="1"/>
  <c r="R3037" i="1"/>
  <c r="R3038" i="1"/>
  <c r="R3039" i="1"/>
  <c r="R3046" i="1"/>
  <c r="R3056" i="1"/>
  <c r="R3040" i="1"/>
  <c r="R3054" i="1"/>
  <c r="R3051" i="1"/>
  <c r="R3041" i="1"/>
  <c r="R3047" i="1"/>
  <c r="R3048" i="1"/>
  <c r="R3055" i="1"/>
  <c r="R3057" i="1"/>
  <c r="R3049" i="1"/>
  <c r="R3050" i="1"/>
  <c r="R3042" i="1"/>
  <c r="R3022" i="1"/>
  <c r="Q46" i="2" s="1"/>
  <c r="R3916" i="1"/>
  <c r="R3917" i="1"/>
  <c r="R3918" i="1"/>
  <c r="R3919" i="1"/>
  <c r="R3924" i="1"/>
  <c r="R3923" i="1"/>
  <c r="R3925" i="1"/>
  <c r="R3920" i="1"/>
  <c r="R3921" i="1"/>
  <c r="R3922" i="1"/>
  <c r="R777" i="1"/>
  <c r="R778" i="1"/>
  <c r="R779" i="1"/>
  <c r="R754" i="1"/>
  <c r="R755" i="1"/>
  <c r="R756" i="1"/>
  <c r="R757" i="1"/>
  <c r="R776" i="1"/>
  <c r="R758" i="1"/>
  <c r="R759" i="1"/>
  <c r="R760" i="1"/>
  <c r="R761" i="1"/>
  <c r="R762" i="1"/>
  <c r="R763" i="1"/>
  <c r="R780" i="1"/>
  <c r="R764" i="1"/>
  <c r="R765" i="1"/>
  <c r="R766" i="1"/>
  <c r="R767" i="1"/>
  <c r="R768" i="1"/>
  <c r="R787" i="1"/>
  <c r="R769" i="1"/>
  <c r="R781" i="1"/>
  <c r="R770" i="1"/>
  <c r="R782" i="1"/>
  <c r="R783" i="1"/>
  <c r="R771" i="1"/>
  <c r="R772" i="1"/>
  <c r="R773" i="1"/>
  <c r="R784" i="1"/>
  <c r="R774" i="1"/>
  <c r="R775" i="1"/>
  <c r="R785" i="1"/>
  <c r="R786" i="1"/>
  <c r="R788" i="1"/>
  <c r="R1349" i="1"/>
  <c r="R1350" i="1"/>
  <c r="R1377" i="1"/>
  <c r="R1346" i="1"/>
  <c r="R1351" i="1"/>
  <c r="R1352" i="1"/>
  <c r="R1347" i="1"/>
  <c r="R1353" i="1"/>
  <c r="R1354" i="1"/>
  <c r="R1355" i="1"/>
  <c r="R1356" i="1"/>
  <c r="R1369" i="1"/>
  <c r="R1357" i="1"/>
  <c r="R1358" i="1"/>
  <c r="R1370" i="1"/>
  <c r="R1359" i="1"/>
  <c r="R1371" i="1"/>
  <c r="R1372" i="1"/>
  <c r="R1360" i="1"/>
  <c r="R1361" i="1"/>
  <c r="R1373" i="1"/>
  <c r="R1378" i="1"/>
  <c r="R1362" i="1"/>
  <c r="R1363" i="1"/>
  <c r="R1348" i="1"/>
  <c r="R1374" i="1"/>
  <c r="R1364" i="1"/>
  <c r="R1365" i="1"/>
  <c r="R1366" i="1"/>
  <c r="R1367" i="1"/>
  <c r="R1375" i="1"/>
  <c r="R1368" i="1"/>
  <c r="R1379" i="1"/>
  <c r="R1376" i="1"/>
  <c r="R393" i="1"/>
  <c r="R426" i="1"/>
  <c r="R391" i="1"/>
  <c r="R394" i="1"/>
  <c r="R395" i="1"/>
  <c r="R396" i="1"/>
  <c r="R397" i="1"/>
  <c r="R398" i="1"/>
  <c r="R427" i="1"/>
  <c r="R399" i="1"/>
  <c r="R400" i="1"/>
  <c r="R401" i="1"/>
  <c r="R420" i="1"/>
  <c r="R402" i="1"/>
  <c r="R403" i="1"/>
  <c r="R404" i="1"/>
  <c r="R392" i="1"/>
  <c r="R405" i="1"/>
  <c r="R421" i="1"/>
  <c r="R422" i="1"/>
  <c r="R406" i="1"/>
  <c r="R407" i="1"/>
  <c r="R408" i="1"/>
  <c r="R409" i="1"/>
  <c r="R423" i="1"/>
  <c r="R410" i="1"/>
  <c r="R424" i="1"/>
  <c r="R411" i="1"/>
  <c r="R412" i="1"/>
  <c r="R413" i="1"/>
  <c r="R414" i="1"/>
  <c r="R415" i="1"/>
  <c r="R416" i="1"/>
  <c r="R417" i="1"/>
  <c r="R418" i="1"/>
  <c r="R425" i="1"/>
  <c r="R419" i="1"/>
  <c r="R428" i="1"/>
  <c r="R429" i="1"/>
  <c r="R1163" i="1"/>
  <c r="R1164" i="1"/>
  <c r="R1165" i="1"/>
  <c r="R1166" i="1"/>
  <c r="R1189" i="1"/>
  <c r="R1167" i="1"/>
  <c r="R1190" i="1"/>
  <c r="R1168" i="1"/>
  <c r="R1169" i="1"/>
  <c r="R1170" i="1"/>
  <c r="R1191" i="1"/>
  <c r="R1171" i="1"/>
  <c r="R1192" i="1"/>
  <c r="R1172" i="1"/>
  <c r="R1173" i="1"/>
  <c r="R1174" i="1"/>
  <c r="R1175" i="1"/>
  <c r="R1193" i="1"/>
  <c r="R1176" i="1"/>
  <c r="R1177" i="1"/>
  <c r="R1178" i="1"/>
  <c r="R1179" i="1"/>
  <c r="R1180" i="1"/>
  <c r="R1181" i="1"/>
  <c r="R1182" i="1"/>
  <c r="R1183" i="1"/>
  <c r="R1184" i="1"/>
  <c r="R1194" i="1"/>
  <c r="R1195" i="1"/>
  <c r="R1185" i="1"/>
  <c r="R1196" i="1"/>
  <c r="R1186" i="1"/>
  <c r="R1197" i="1"/>
  <c r="R1187" i="1"/>
  <c r="R1198" i="1"/>
  <c r="R1188" i="1"/>
  <c r="R1888" i="1"/>
  <c r="R1889" i="1"/>
  <c r="R1890" i="1"/>
  <c r="R1891" i="1"/>
  <c r="R1892" i="1"/>
  <c r="R1893" i="1"/>
  <c r="R1884" i="1"/>
  <c r="R1894" i="1"/>
  <c r="R1914" i="1"/>
  <c r="R1915" i="1"/>
  <c r="R1895" i="1"/>
  <c r="R1896" i="1"/>
  <c r="R1897" i="1"/>
  <c r="R1898" i="1"/>
  <c r="R1899" i="1"/>
  <c r="R1900" i="1"/>
  <c r="R1901" i="1"/>
  <c r="R1902" i="1"/>
  <c r="R1903" i="1"/>
  <c r="R1904" i="1"/>
  <c r="R1905" i="1"/>
  <c r="R1920" i="1"/>
  <c r="R1906" i="1"/>
  <c r="R1907" i="1"/>
  <c r="R1908" i="1"/>
  <c r="R1916" i="1"/>
  <c r="R1909" i="1"/>
  <c r="R1910" i="1"/>
  <c r="R1885" i="1"/>
  <c r="R1921" i="1"/>
  <c r="R1922" i="1"/>
  <c r="R1917" i="1"/>
  <c r="R1911" i="1"/>
  <c r="R1912" i="1"/>
  <c r="R1918" i="1"/>
  <c r="R1886" i="1"/>
  <c r="R1913" i="1"/>
  <c r="R1887" i="1"/>
  <c r="Q88" i="2" s="1"/>
  <c r="R1919" i="1"/>
  <c r="R1923" i="1"/>
  <c r="R142" i="1"/>
  <c r="R143" i="1"/>
  <c r="R144" i="1"/>
  <c r="R145" i="1"/>
  <c r="R146" i="1"/>
  <c r="R147" i="1"/>
  <c r="R148" i="1"/>
  <c r="R149" i="1"/>
  <c r="R150" i="1"/>
  <c r="R151" i="1"/>
  <c r="R170" i="1"/>
  <c r="R152" i="1"/>
  <c r="R153" i="1"/>
  <c r="R154" i="1"/>
  <c r="R155" i="1"/>
  <c r="R156" i="1"/>
  <c r="R171" i="1"/>
  <c r="R172" i="1"/>
  <c r="R157" i="1"/>
  <c r="R158" i="1"/>
  <c r="R159" i="1"/>
  <c r="R173" i="1"/>
  <c r="R174" i="1"/>
  <c r="R160" i="1"/>
  <c r="R161" i="1"/>
  <c r="R175" i="1"/>
  <c r="R176" i="1"/>
  <c r="R162" i="1"/>
  <c r="R163" i="1"/>
  <c r="R164" i="1"/>
  <c r="R165" i="1"/>
  <c r="R166" i="1"/>
  <c r="R167" i="1"/>
  <c r="R178" i="1"/>
  <c r="R168" i="1"/>
  <c r="R177" i="1"/>
  <c r="R169" i="1"/>
  <c r="R3232" i="1"/>
  <c r="R3233" i="1"/>
  <c r="R3234" i="1"/>
  <c r="R3257" i="1"/>
  <c r="R3235" i="1"/>
  <c r="R3236" i="1"/>
  <c r="R3237" i="1"/>
  <c r="R3258" i="1"/>
  <c r="R3238" i="1"/>
  <c r="R3239" i="1"/>
  <c r="R3259" i="1"/>
  <c r="R3240" i="1"/>
  <c r="R3260" i="1"/>
  <c r="R3241" i="1"/>
  <c r="R3242" i="1"/>
  <c r="R3266" i="1"/>
  <c r="R3243" i="1"/>
  <c r="R3244" i="1"/>
  <c r="R3245" i="1"/>
  <c r="R3246" i="1"/>
  <c r="R3261" i="1"/>
  <c r="R3247" i="1"/>
  <c r="R3248" i="1"/>
  <c r="R3249" i="1"/>
  <c r="R3262" i="1"/>
  <c r="R3263" i="1"/>
  <c r="R3250" i="1"/>
  <c r="R3264" i="1"/>
  <c r="R3251" i="1"/>
  <c r="R3252" i="1"/>
  <c r="R3253" i="1"/>
  <c r="R3254" i="1"/>
  <c r="R3255" i="1"/>
  <c r="R3256" i="1"/>
  <c r="R3265" i="1"/>
  <c r="R3278" i="1"/>
  <c r="R3279" i="1"/>
  <c r="R3280" i="1"/>
  <c r="R3281" i="1"/>
  <c r="R3312" i="1"/>
  <c r="R3282" i="1"/>
  <c r="R3283" i="1"/>
  <c r="R3284" i="1"/>
  <c r="R3285" i="1"/>
  <c r="R3286" i="1"/>
  <c r="R3287" i="1"/>
  <c r="R3305" i="1"/>
  <c r="R3288" i="1"/>
  <c r="R3289" i="1"/>
  <c r="R3290" i="1"/>
  <c r="R3291" i="1"/>
  <c r="R3313" i="1"/>
  <c r="R3306" i="1"/>
  <c r="R3292" i="1"/>
  <c r="R3293" i="1"/>
  <c r="R3294" i="1"/>
  <c r="R3307" i="1"/>
  <c r="R3295" i="1"/>
  <c r="R3296" i="1"/>
  <c r="R3277" i="1"/>
  <c r="R3297" i="1"/>
  <c r="R3298" i="1"/>
  <c r="R3299" i="1"/>
  <c r="R3308" i="1"/>
  <c r="R3309" i="1"/>
  <c r="R3300" i="1"/>
  <c r="R3301" i="1"/>
  <c r="R3302" i="1"/>
  <c r="R3303" i="1"/>
  <c r="R3310" i="1"/>
  <c r="R3304" i="1"/>
  <c r="R3311" i="1"/>
  <c r="R3897" i="1"/>
  <c r="R3869" i="1"/>
  <c r="R3870" i="1"/>
  <c r="R3898" i="1"/>
  <c r="R3871" i="1"/>
  <c r="R3872" i="1"/>
  <c r="R3873" i="1"/>
  <c r="R3874" i="1"/>
  <c r="R3875" i="1"/>
  <c r="R3876" i="1"/>
  <c r="R3877" i="1"/>
  <c r="R3878" i="1"/>
  <c r="R3899" i="1"/>
  <c r="R3879" i="1"/>
  <c r="R3880" i="1"/>
  <c r="R3900" i="1"/>
  <c r="R3881" i="1"/>
  <c r="R3901" i="1"/>
  <c r="R3882" i="1"/>
  <c r="R3883" i="1"/>
  <c r="R3884" i="1"/>
  <c r="R3885" i="1"/>
  <c r="R3886" i="1"/>
  <c r="R3887" i="1"/>
  <c r="R3888" i="1"/>
  <c r="R3889" i="1"/>
  <c r="R3902" i="1"/>
  <c r="R3890" i="1"/>
  <c r="R3891" i="1"/>
  <c r="R3892" i="1"/>
  <c r="R3893" i="1"/>
  <c r="R3894" i="1"/>
  <c r="R3895" i="1"/>
  <c r="R3903" i="1"/>
  <c r="R3904" i="1"/>
  <c r="R3905" i="1"/>
  <c r="R3896" i="1"/>
  <c r="R2630" i="1"/>
  <c r="R2631" i="1"/>
  <c r="R2632" i="1"/>
  <c r="R2633" i="1"/>
  <c r="R2634" i="1"/>
  <c r="R2658" i="1"/>
  <c r="R2635" i="1"/>
  <c r="R2636" i="1"/>
  <c r="R2637" i="1"/>
  <c r="R2638" i="1"/>
  <c r="R2639" i="1"/>
  <c r="R2640" i="1"/>
  <c r="R2641" i="1"/>
  <c r="R2642" i="1"/>
  <c r="R2643" i="1"/>
  <c r="R2644" i="1"/>
  <c r="R2659" i="1"/>
  <c r="R2645" i="1"/>
  <c r="R2646" i="1"/>
  <c r="R2647" i="1"/>
  <c r="R2648" i="1"/>
  <c r="R2649" i="1"/>
  <c r="R2650" i="1"/>
  <c r="R2651" i="1"/>
  <c r="R2652" i="1"/>
  <c r="R2653" i="1"/>
  <c r="R2654" i="1"/>
  <c r="R2660" i="1"/>
  <c r="R2661" i="1"/>
  <c r="R2655" i="1"/>
  <c r="R2663" i="1"/>
  <c r="R2656" i="1"/>
  <c r="R2629" i="1"/>
  <c r="R2657" i="1"/>
  <c r="R2662" i="1"/>
  <c r="R2664" i="1"/>
  <c r="R2914" i="1"/>
  <c r="R2921" i="1"/>
  <c r="R2915" i="1"/>
  <c r="R2916" i="1"/>
  <c r="R2917" i="1"/>
  <c r="R2918" i="1"/>
  <c r="R2919" i="1"/>
  <c r="R2920" i="1"/>
  <c r="R2922" i="1"/>
  <c r="R2390" i="1"/>
  <c r="R2360" i="1"/>
  <c r="R2361" i="1"/>
  <c r="R2362" i="1"/>
  <c r="R2363" i="1"/>
  <c r="R2391" i="1"/>
  <c r="R2364" i="1"/>
  <c r="R2392" i="1"/>
  <c r="R2393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94" i="1"/>
  <c r="R2383" i="1"/>
  <c r="R2384" i="1"/>
  <c r="R2385" i="1"/>
  <c r="R2386" i="1"/>
  <c r="R2395" i="1"/>
  <c r="R2387" i="1"/>
  <c r="R2388" i="1"/>
  <c r="R2389" i="1"/>
  <c r="R1924" i="1"/>
  <c r="R1954" i="1"/>
  <c r="R1925" i="1"/>
  <c r="R1926" i="1"/>
  <c r="R1927" i="1"/>
  <c r="R1928" i="1"/>
  <c r="R1929" i="1"/>
  <c r="R1930" i="1"/>
  <c r="R1931" i="1"/>
  <c r="R1932" i="1"/>
  <c r="R1933" i="1"/>
  <c r="R1934" i="1"/>
  <c r="R1955" i="1"/>
  <c r="R1935" i="1"/>
  <c r="R1936" i="1"/>
  <c r="R1937" i="1"/>
  <c r="R1938" i="1"/>
  <c r="R1939" i="1"/>
  <c r="R1940" i="1"/>
  <c r="R1941" i="1"/>
  <c r="R1942" i="1"/>
  <c r="R1943" i="1"/>
  <c r="R1944" i="1"/>
  <c r="R1956" i="1"/>
  <c r="R1945" i="1"/>
  <c r="R1946" i="1"/>
  <c r="R1957" i="1"/>
  <c r="R1947" i="1"/>
  <c r="R1958" i="1"/>
  <c r="R1948" i="1"/>
  <c r="R1949" i="1"/>
  <c r="R1950" i="1"/>
  <c r="R1951" i="1"/>
  <c r="R1959" i="1"/>
  <c r="R1952" i="1"/>
  <c r="R1953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714" i="1"/>
  <c r="R1715" i="1"/>
  <c r="R1694" i="1"/>
  <c r="R1695" i="1"/>
  <c r="R1696" i="1"/>
  <c r="R1697" i="1"/>
  <c r="R1698" i="1"/>
  <c r="R1716" i="1"/>
  <c r="R1699" i="1"/>
  <c r="R1717" i="1"/>
  <c r="R1718" i="1"/>
  <c r="R1700" i="1"/>
  <c r="R1701" i="1"/>
  <c r="R1702" i="1"/>
  <c r="R1703" i="1"/>
  <c r="R1704" i="1"/>
  <c r="R1705" i="1"/>
  <c r="R1706" i="1"/>
  <c r="R1707" i="1"/>
  <c r="R1708" i="1"/>
  <c r="R1709" i="1"/>
  <c r="R1719" i="1"/>
  <c r="R1720" i="1"/>
  <c r="R1710" i="1"/>
  <c r="R1711" i="1"/>
  <c r="R1712" i="1"/>
  <c r="R1713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77" i="1"/>
  <c r="R362" i="1"/>
  <c r="R363" i="1"/>
  <c r="R364" i="1"/>
  <c r="R378" i="1"/>
  <c r="R365" i="1"/>
  <c r="R366" i="1"/>
  <c r="R367" i="1"/>
  <c r="R368" i="1"/>
  <c r="R369" i="1"/>
  <c r="R370" i="1"/>
  <c r="R371" i="1"/>
  <c r="R372" i="1"/>
  <c r="R379" i="1"/>
  <c r="R373" i="1"/>
  <c r="R380" i="1"/>
  <c r="R374" i="1"/>
  <c r="R375" i="1"/>
  <c r="R376" i="1"/>
  <c r="R381" i="1"/>
  <c r="R2809" i="1"/>
  <c r="R2807" i="1"/>
  <c r="R2810" i="1"/>
  <c r="R2811" i="1"/>
  <c r="R2812" i="1"/>
  <c r="R2813" i="1"/>
  <c r="R2814" i="1"/>
  <c r="R2815" i="1"/>
  <c r="R2837" i="1"/>
  <c r="R2816" i="1"/>
  <c r="R2817" i="1"/>
  <c r="R2838" i="1"/>
  <c r="R2818" i="1"/>
  <c r="R2819" i="1"/>
  <c r="R2820" i="1"/>
  <c r="R2821" i="1"/>
  <c r="R2822" i="1"/>
  <c r="R2823" i="1"/>
  <c r="R2824" i="1"/>
  <c r="R2825" i="1"/>
  <c r="R2826" i="1"/>
  <c r="R2827" i="1"/>
  <c r="R2808" i="1"/>
  <c r="R2828" i="1"/>
  <c r="R2839" i="1"/>
  <c r="R2829" i="1"/>
  <c r="R2830" i="1"/>
  <c r="R2831" i="1"/>
  <c r="R2832" i="1"/>
  <c r="R2833" i="1"/>
  <c r="R2834" i="1"/>
  <c r="R2835" i="1"/>
  <c r="R2840" i="1"/>
  <c r="R2836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6" i="1"/>
  <c r="R2863" i="1"/>
  <c r="R2864" i="1"/>
  <c r="R2867" i="1"/>
  <c r="R2865" i="1"/>
  <c r="R857" i="1"/>
  <c r="R858" i="1"/>
  <c r="R859" i="1"/>
  <c r="Q86" i="2" s="1"/>
  <c r="R860" i="1"/>
  <c r="R861" i="1"/>
  <c r="R862" i="1"/>
  <c r="R863" i="1"/>
  <c r="R864" i="1"/>
  <c r="R865" i="1"/>
  <c r="R866" i="1"/>
  <c r="R867" i="1"/>
  <c r="R868" i="1"/>
  <c r="R869" i="1"/>
  <c r="R892" i="1"/>
  <c r="R870" i="1"/>
  <c r="R871" i="1"/>
  <c r="R872" i="1"/>
  <c r="R873" i="1"/>
  <c r="R874" i="1"/>
  <c r="R875" i="1"/>
  <c r="R876" i="1"/>
  <c r="R893" i="1"/>
  <c r="R877" i="1"/>
  <c r="R878" i="1"/>
  <c r="R894" i="1"/>
  <c r="R879" i="1"/>
  <c r="R880" i="1"/>
  <c r="R881" i="1"/>
  <c r="R882" i="1"/>
  <c r="R883" i="1"/>
  <c r="R884" i="1"/>
  <c r="R885" i="1"/>
  <c r="R886" i="1"/>
  <c r="R887" i="1"/>
  <c r="R888" i="1"/>
  <c r="R895" i="1"/>
  <c r="R889" i="1"/>
  <c r="R890" i="1"/>
  <c r="R896" i="1"/>
  <c r="R891" i="1"/>
  <c r="R1210" i="1"/>
  <c r="R1211" i="1"/>
  <c r="R1212" i="1"/>
  <c r="R1213" i="1"/>
  <c r="R1214" i="1"/>
  <c r="R1215" i="1"/>
  <c r="R1216" i="1"/>
  <c r="R1217" i="1"/>
  <c r="R1218" i="1"/>
  <c r="R1246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47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8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74" i="1"/>
  <c r="R661" i="1"/>
  <c r="R662" i="1"/>
  <c r="R663" i="1"/>
  <c r="R664" i="1"/>
  <c r="R675" i="1"/>
  <c r="R665" i="1"/>
  <c r="R666" i="1"/>
  <c r="R667" i="1"/>
  <c r="R668" i="1"/>
  <c r="R669" i="1"/>
  <c r="R670" i="1"/>
  <c r="R671" i="1"/>
  <c r="R676" i="1"/>
  <c r="R672" i="1"/>
  <c r="R673" i="1"/>
  <c r="R677" i="1"/>
  <c r="R641" i="1"/>
  <c r="R633" i="1"/>
  <c r="R634" i="1"/>
  <c r="R635" i="1"/>
  <c r="R636" i="1"/>
  <c r="R637" i="1"/>
  <c r="R638" i="1"/>
  <c r="R639" i="1"/>
  <c r="R640" i="1"/>
  <c r="R3370" i="1"/>
  <c r="R3371" i="1"/>
  <c r="R3372" i="1"/>
  <c r="R3373" i="1"/>
  <c r="R3374" i="1"/>
  <c r="R3375" i="1"/>
  <c r="R3376" i="1"/>
  <c r="R3377" i="1"/>
  <c r="R3378" i="1"/>
  <c r="R3379" i="1"/>
  <c r="R3380" i="1"/>
  <c r="R3381" i="1"/>
  <c r="R3382" i="1"/>
  <c r="R3383" i="1"/>
  <c r="R3384" i="1"/>
  <c r="R3385" i="1"/>
  <c r="R3386" i="1"/>
  <c r="R3387" i="1"/>
  <c r="R3388" i="1"/>
  <c r="R3389" i="1"/>
  <c r="R3390" i="1"/>
  <c r="R3391" i="1"/>
  <c r="R3392" i="1"/>
  <c r="R3393" i="1"/>
  <c r="R3394" i="1"/>
  <c r="R3395" i="1"/>
  <c r="R3396" i="1"/>
  <c r="R3405" i="1"/>
  <c r="R3397" i="1"/>
  <c r="R3398" i="1"/>
  <c r="R3399" i="1"/>
  <c r="R3400" i="1"/>
  <c r="R3401" i="1"/>
  <c r="R3402" i="1"/>
  <c r="R3403" i="1"/>
  <c r="R3404" i="1"/>
  <c r="R3498" i="1"/>
  <c r="R3499" i="1"/>
  <c r="R3500" i="1"/>
  <c r="R3501" i="1"/>
  <c r="R3502" i="1"/>
  <c r="R3503" i="1"/>
  <c r="R3504" i="1"/>
  <c r="R3505" i="1"/>
  <c r="R3506" i="1"/>
  <c r="R3507" i="1"/>
  <c r="R3508" i="1"/>
  <c r="R3509" i="1"/>
  <c r="R3510" i="1"/>
  <c r="R3511" i="1"/>
  <c r="R3512" i="1"/>
  <c r="R3513" i="1"/>
  <c r="R3514" i="1"/>
  <c r="R3515" i="1"/>
  <c r="R3516" i="1"/>
  <c r="R3517" i="1"/>
  <c r="R3518" i="1"/>
  <c r="R3519" i="1"/>
  <c r="R3520" i="1"/>
  <c r="R3521" i="1"/>
  <c r="R3522" i="1"/>
  <c r="R3523" i="1"/>
  <c r="R3524" i="1"/>
  <c r="R3525" i="1"/>
  <c r="R3526" i="1"/>
  <c r="R3527" i="1"/>
  <c r="R3528" i="1"/>
  <c r="R3529" i="1"/>
  <c r="R3530" i="1"/>
  <c r="R3531" i="1"/>
  <c r="R3532" i="1"/>
  <c r="R1121" i="1"/>
  <c r="R1141" i="1"/>
  <c r="R1142" i="1"/>
  <c r="R1114" i="1"/>
  <c r="R1143" i="1"/>
  <c r="R1108" i="1"/>
  <c r="R1128" i="1"/>
  <c r="R1129" i="1"/>
  <c r="R1144" i="1"/>
  <c r="R1117" i="1"/>
  <c r="R1115" i="1"/>
  <c r="R1130" i="1"/>
  <c r="R1145" i="1"/>
  <c r="R1118" i="1"/>
  <c r="R1131" i="1"/>
  <c r="R1132" i="1"/>
  <c r="R1122" i="1"/>
  <c r="R1146" i="1"/>
  <c r="R1133" i="1"/>
  <c r="R1123" i="1"/>
  <c r="R1124" i="1"/>
  <c r="R1147" i="1"/>
  <c r="R1134" i="1"/>
  <c r="R1148" i="1"/>
  <c r="R1135" i="1"/>
  <c r="R1109" i="1"/>
  <c r="R1136" i="1"/>
  <c r="R1137" i="1"/>
  <c r="R1138" i="1"/>
  <c r="R1110" i="1"/>
  <c r="R1120" i="1"/>
  <c r="R1113" i="1"/>
  <c r="R1139" i="1"/>
  <c r="R1119" i="1"/>
  <c r="R1111" i="1"/>
  <c r="R1149" i="1"/>
  <c r="R1112" i="1"/>
  <c r="R1125" i="1"/>
  <c r="R1126" i="1"/>
  <c r="R1127" i="1"/>
  <c r="AQ2" i="1" s="1"/>
  <c r="R1116" i="1"/>
  <c r="R1140" i="1"/>
  <c r="R1150" i="1"/>
  <c r="R299" i="1"/>
  <c r="R308" i="1"/>
  <c r="R309" i="1"/>
  <c r="R310" i="1"/>
  <c r="R300" i="1"/>
  <c r="R301" i="1"/>
  <c r="R294" i="1"/>
  <c r="R292" i="1"/>
  <c r="R302" i="1"/>
  <c r="R311" i="1"/>
  <c r="R312" i="1"/>
  <c r="R303" i="1"/>
  <c r="R313" i="1"/>
  <c r="R314" i="1"/>
  <c r="R285" i="1"/>
  <c r="R304" i="1"/>
  <c r="R315" i="1"/>
  <c r="R316" i="1"/>
  <c r="R290" i="1"/>
  <c r="R317" i="1"/>
  <c r="R318" i="1"/>
  <c r="R319" i="1"/>
  <c r="R320" i="1"/>
  <c r="R321" i="1"/>
  <c r="R293" i="1"/>
  <c r="R305" i="1"/>
  <c r="R322" i="1"/>
  <c r="R295" i="1"/>
  <c r="R323" i="1"/>
  <c r="R287" i="1"/>
  <c r="R324" i="1"/>
  <c r="R325" i="1"/>
  <c r="R296" i="1"/>
  <c r="R326" i="1"/>
  <c r="R291" i="1"/>
  <c r="R306" i="1"/>
  <c r="R288" i="1"/>
  <c r="R289" i="1"/>
  <c r="R297" i="1"/>
  <c r="R307" i="1"/>
  <c r="R327" i="1"/>
  <c r="R328" i="1"/>
  <c r="R298" i="1"/>
  <c r="R286" i="1"/>
  <c r="R329" i="1"/>
  <c r="R330" i="1"/>
  <c r="R331" i="1"/>
  <c r="R3454" i="1"/>
  <c r="R3479" i="1"/>
  <c r="R3456" i="1"/>
  <c r="R3470" i="1"/>
  <c r="R3461" i="1"/>
  <c r="R3480" i="1"/>
  <c r="R3466" i="1"/>
  <c r="R3452" i="1"/>
  <c r="R3457" i="1"/>
  <c r="R3481" i="1"/>
  <c r="R3468" i="1"/>
  <c r="R3458" i="1"/>
  <c r="R3453" i="1"/>
  <c r="R3482" i="1"/>
  <c r="R3464" i="1"/>
  <c r="R3465" i="1"/>
  <c r="R3474" i="1"/>
  <c r="R3483" i="1"/>
  <c r="R3462" i="1"/>
  <c r="R3484" i="1"/>
  <c r="R3485" i="1"/>
  <c r="R3471" i="1"/>
  <c r="R3467" i="1"/>
  <c r="R3475" i="1"/>
  <c r="R3472" i="1"/>
  <c r="R3469" i="1"/>
  <c r="R3476" i="1"/>
  <c r="R3450" i="1"/>
  <c r="R3455" i="1"/>
  <c r="R3477" i="1"/>
  <c r="R3473" i="1"/>
  <c r="R3478" i="1"/>
  <c r="R3459" i="1"/>
  <c r="R3460" i="1"/>
  <c r="R3463" i="1"/>
  <c r="R3487" i="1"/>
  <c r="R3486" i="1"/>
  <c r="R3451" i="1"/>
  <c r="Q21" i="2" s="1"/>
  <c r="R2731" i="1"/>
  <c r="R2714" i="1"/>
  <c r="R2707" i="1"/>
  <c r="R2732" i="1"/>
  <c r="R2733" i="1"/>
  <c r="R2734" i="1"/>
  <c r="R2713" i="1"/>
  <c r="R2715" i="1"/>
  <c r="R2723" i="1"/>
  <c r="R2716" i="1"/>
  <c r="R2717" i="1"/>
  <c r="R2724" i="1"/>
  <c r="R2718" i="1"/>
  <c r="R2735" i="1"/>
  <c r="R2736" i="1"/>
  <c r="R2737" i="1"/>
  <c r="R2738" i="1"/>
  <c r="R2739" i="1"/>
  <c r="R2740" i="1"/>
  <c r="R2719" i="1"/>
  <c r="R2725" i="1"/>
  <c r="R2709" i="1"/>
  <c r="R2722" i="1"/>
  <c r="R2726" i="1"/>
  <c r="R2727" i="1"/>
  <c r="R2728" i="1"/>
  <c r="R2703" i="1"/>
  <c r="R2704" i="1"/>
  <c r="R2710" i="1"/>
  <c r="R2702" i="1"/>
  <c r="R2708" i="1"/>
  <c r="R2741" i="1"/>
  <c r="R2729" i="1"/>
  <c r="R2720" i="1"/>
  <c r="R2742" i="1"/>
  <c r="R2730" i="1"/>
  <c r="R2721" i="1"/>
  <c r="R2711" i="1"/>
  <c r="R2743" i="1"/>
  <c r="R2705" i="1"/>
  <c r="R2712" i="1"/>
  <c r="R2706" i="1"/>
  <c r="R2744" i="1"/>
  <c r="R2745" i="1"/>
  <c r="R2746" i="1"/>
  <c r="R81" i="1"/>
  <c r="R63" i="1"/>
  <c r="R70" i="1"/>
  <c r="R49" i="1"/>
  <c r="R71" i="1"/>
  <c r="R72" i="1"/>
  <c r="R82" i="1"/>
  <c r="R83" i="1"/>
  <c r="R73" i="1"/>
  <c r="R64" i="1"/>
  <c r="R65" i="1"/>
  <c r="R74" i="1"/>
  <c r="R66" i="1"/>
  <c r="R75" i="1"/>
  <c r="R67" i="1"/>
  <c r="R84" i="1"/>
  <c r="R57" i="1"/>
  <c r="R52" i="1"/>
  <c r="R53" i="1"/>
  <c r="R60" i="1"/>
  <c r="R68" i="1"/>
  <c r="R85" i="1"/>
  <c r="R86" i="1"/>
  <c r="R76" i="1"/>
  <c r="R54" i="1"/>
  <c r="R48" i="1"/>
  <c r="R77" i="1"/>
  <c r="R61" i="1"/>
  <c r="R69" i="1"/>
  <c r="R56" i="1"/>
  <c r="R87" i="1"/>
  <c r="R62" i="1"/>
  <c r="R50" i="1"/>
  <c r="R55" i="1"/>
  <c r="R78" i="1"/>
  <c r="R58" i="1"/>
  <c r="R79" i="1"/>
  <c r="R80" i="1"/>
  <c r="R59" i="1"/>
  <c r="AQ3" i="1" s="1"/>
  <c r="R51" i="1"/>
  <c r="R3760" i="1"/>
  <c r="R3732" i="1"/>
  <c r="R3755" i="1"/>
  <c r="R3761" i="1"/>
  <c r="R3762" i="1"/>
  <c r="R3731" i="1"/>
  <c r="R3748" i="1"/>
  <c r="R3728" i="1"/>
  <c r="R3749" i="1"/>
  <c r="R3763" i="1"/>
  <c r="R3750" i="1"/>
  <c r="R3746" i="1"/>
  <c r="R3764" i="1"/>
  <c r="R3751" i="1"/>
  <c r="R3737" i="1"/>
  <c r="R3730" i="1"/>
  <c r="R3733" i="1"/>
  <c r="R3756" i="1"/>
  <c r="R3738" i="1"/>
  <c r="R3739" i="1"/>
  <c r="R3757" i="1"/>
  <c r="R3758" i="1"/>
  <c r="R3734" i="1"/>
  <c r="R3752" i="1"/>
  <c r="R3743" i="1"/>
  <c r="R3765" i="1"/>
  <c r="R3735" i="1"/>
  <c r="R3766" i="1"/>
  <c r="R3759" i="1"/>
  <c r="R3753" i="1"/>
  <c r="R3740" i="1"/>
  <c r="R3741" i="1"/>
  <c r="R3742" i="1"/>
  <c r="R3744" i="1"/>
  <c r="R3745" i="1"/>
  <c r="R3754" i="1"/>
  <c r="R3729" i="1"/>
  <c r="R3736" i="1"/>
  <c r="R3747" i="1"/>
  <c r="R2040" i="1"/>
  <c r="R2030" i="1"/>
  <c r="R2031" i="1"/>
  <c r="R2032" i="1"/>
  <c r="R2041" i="1"/>
  <c r="R2023" i="1"/>
  <c r="R2042" i="1"/>
  <c r="R2022" i="1"/>
  <c r="R2033" i="1"/>
  <c r="R2034" i="1"/>
  <c r="R2043" i="1"/>
  <c r="R2019" i="1"/>
  <c r="R2044" i="1"/>
  <c r="R2020" i="1"/>
  <c r="R2045" i="1"/>
  <c r="R2046" i="1"/>
  <c r="R2035" i="1"/>
  <c r="R2029" i="1"/>
  <c r="R2036" i="1"/>
  <c r="R2021" i="1"/>
  <c r="R2026" i="1"/>
  <c r="R2047" i="1"/>
  <c r="R2048" i="1"/>
  <c r="R2016" i="1"/>
  <c r="R2017" i="1"/>
  <c r="R2037" i="1"/>
  <c r="R2024" i="1"/>
  <c r="R2038" i="1"/>
  <c r="R2027" i="1"/>
  <c r="R2039" i="1"/>
  <c r="R2049" i="1"/>
  <c r="R2050" i="1"/>
  <c r="R2028" i="1"/>
  <c r="R2025" i="1"/>
  <c r="R2018" i="1"/>
  <c r="R102" i="1"/>
  <c r="R116" i="1"/>
  <c r="R112" i="1"/>
  <c r="R117" i="1"/>
  <c r="R98" i="1"/>
  <c r="R106" i="1"/>
  <c r="R120" i="1"/>
  <c r="R121" i="1"/>
  <c r="R113" i="1"/>
  <c r="R122" i="1"/>
  <c r="R123" i="1"/>
  <c r="R114" i="1"/>
  <c r="R124" i="1"/>
  <c r="R96" i="1"/>
  <c r="R125" i="1"/>
  <c r="R126" i="1"/>
  <c r="R115" i="1"/>
  <c r="R107" i="1"/>
  <c r="R105" i="1"/>
  <c r="R127" i="1"/>
  <c r="R128" i="1"/>
  <c r="R103" i="1"/>
  <c r="R111" i="1"/>
  <c r="R129" i="1"/>
  <c r="R130" i="1"/>
  <c r="R118" i="1"/>
  <c r="R99" i="1"/>
  <c r="R131" i="1"/>
  <c r="R100" i="1"/>
  <c r="R119" i="1"/>
  <c r="R108" i="1"/>
  <c r="R110" i="1"/>
  <c r="R109" i="1"/>
  <c r="R97" i="1"/>
  <c r="R101" i="1"/>
  <c r="R104" i="1"/>
  <c r="R2322" i="1"/>
  <c r="R2335" i="1"/>
  <c r="R2345" i="1"/>
  <c r="R2331" i="1"/>
  <c r="R2325" i="1"/>
  <c r="R2326" i="1"/>
  <c r="R2333" i="1"/>
  <c r="R2327" i="1"/>
  <c r="R2332" i="1"/>
  <c r="R2317" i="1"/>
  <c r="R2346" i="1"/>
  <c r="R2318" i="1"/>
  <c r="R2339" i="1"/>
  <c r="R2347" i="1"/>
  <c r="R2340" i="1"/>
  <c r="R2336" i="1"/>
  <c r="R2348" i="1"/>
  <c r="R2341" i="1"/>
  <c r="R2337" i="1"/>
  <c r="R2328" i="1"/>
  <c r="R2349" i="1"/>
  <c r="R2329" i="1"/>
  <c r="R2338" i="1"/>
  <c r="R2342" i="1"/>
  <c r="R2330" i="1"/>
  <c r="R2343" i="1"/>
  <c r="R2350" i="1"/>
  <c r="R2319" i="1"/>
  <c r="R2320" i="1"/>
  <c r="R2321" i="1"/>
  <c r="R2334" i="1"/>
  <c r="R2323" i="1"/>
  <c r="R2324" i="1"/>
  <c r="R2344" i="1"/>
  <c r="R2547" i="1"/>
  <c r="R2560" i="1"/>
  <c r="R2548" i="1"/>
  <c r="R2549" i="1"/>
  <c r="R2538" i="1"/>
  <c r="R2550" i="1"/>
  <c r="R2539" i="1"/>
  <c r="R2561" i="1"/>
  <c r="R2551" i="1"/>
  <c r="R2552" i="1"/>
  <c r="R2553" i="1"/>
  <c r="R2540" i="1"/>
  <c r="R2544" i="1"/>
  <c r="R2562" i="1"/>
  <c r="R2545" i="1"/>
  <c r="R2554" i="1"/>
  <c r="R2541" i="1"/>
  <c r="R2555" i="1"/>
  <c r="R2556" i="1"/>
  <c r="R2563" i="1"/>
  <c r="R2564" i="1"/>
  <c r="R2565" i="1"/>
  <c r="R2566" i="1"/>
  <c r="R2527" i="1"/>
  <c r="R2529" i="1"/>
  <c r="R2534" i="1"/>
  <c r="R2557" i="1"/>
  <c r="R2546" i="1"/>
  <c r="R2528" i="1"/>
  <c r="R2530" i="1"/>
  <c r="R2542" i="1"/>
  <c r="R2535" i="1"/>
  <c r="R2531" i="1"/>
  <c r="R2543" i="1"/>
  <c r="R2532" i="1"/>
  <c r="R2558" i="1"/>
  <c r="R2533" i="1"/>
  <c r="R2559" i="1"/>
  <c r="R2536" i="1"/>
  <c r="R2537" i="1"/>
  <c r="R2567" i="1"/>
  <c r="R2568" i="1"/>
  <c r="R2569" i="1"/>
  <c r="R2997" i="1"/>
  <c r="R2985" i="1"/>
  <c r="R2998" i="1"/>
  <c r="R2983" i="1"/>
  <c r="R2982" i="1"/>
  <c r="R2999" i="1"/>
  <c r="R2971" i="1"/>
  <c r="R2978" i="1"/>
  <c r="R3000" i="1"/>
  <c r="R3001" i="1"/>
  <c r="R3002" i="1"/>
  <c r="R2988" i="1"/>
  <c r="R3003" i="1"/>
  <c r="R2986" i="1"/>
  <c r="R3004" i="1"/>
  <c r="R3005" i="1"/>
  <c r="R2989" i="1"/>
  <c r="R3006" i="1"/>
  <c r="R3007" i="1"/>
  <c r="R2979" i="1"/>
  <c r="R2990" i="1"/>
  <c r="R2991" i="1"/>
  <c r="R2992" i="1"/>
  <c r="R2973" i="1"/>
  <c r="Q5" i="2" s="1"/>
  <c r="R2993" i="1"/>
  <c r="R2974" i="1"/>
  <c r="R3008" i="1"/>
  <c r="R3009" i="1"/>
  <c r="R2994" i="1"/>
  <c r="R3010" i="1"/>
  <c r="R2987" i="1"/>
  <c r="R2984" i="1"/>
  <c r="R2969" i="1"/>
  <c r="R2972" i="1"/>
  <c r="R2995" i="1"/>
  <c r="R2975" i="1"/>
  <c r="R2980" i="1"/>
  <c r="R2996" i="1"/>
  <c r="R2970" i="1"/>
  <c r="R2981" i="1"/>
  <c r="R2976" i="1"/>
  <c r="R2977" i="1"/>
  <c r="R3011" i="1"/>
  <c r="R3012" i="1"/>
  <c r="AQ13" i="1" s="1"/>
  <c r="R3013" i="1"/>
  <c r="R1785" i="1"/>
  <c r="R1798" i="1"/>
  <c r="R1817" i="1"/>
  <c r="R1818" i="1"/>
  <c r="R1814" i="1"/>
  <c r="R1811" i="1"/>
  <c r="R1799" i="1"/>
  <c r="R1793" i="1"/>
  <c r="R1780" i="1"/>
  <c r="R1815" i="1"/>
  <c r="R1781" i="1"/>
  <c r="R1789" i="1"/>
  <c r="R1800" i="1"/>
  <c r="R1806" i="1"/>
  <c r="R1790" i="1"/>
  <c r="R1819" i="1"/>
  <c r="R1794" i="1"/>
  <c r="R1786" i="1"/>
  <c r="R1812" i="1"/>
  <c r="R1791" i="1"/>
  <c r="R1801" i="1"/>
  <c r="R1807" i="1"/>
  <c r="R1779" i="1"/>
  <c r="R1795" i="1"/>
  <c r="R1808" i="1"/>
  <c r="R1820" i="1"/>
  <c r="R1809" i="1"/>
  <c r="R1813" i="1"/>
  <c r="R1782" i="1"/>
  <c r="R1796" i="1"/>
  <c r="R1797" i="1"/>
  <c r="R1802" i="1"/>
  <c r="R1784" i="1"/>
  <c r="R1816" i="1"/>
  <c r="R1810" i="1"/>
  <c r="R1792" i="1"/>
  <c r="R1787" i="1"/>
  <c r="R1788" i="1"/>
  <c r="R1803" i="1"/>
  <c r="R1804" i="1"/>
  <c r="R1805" i="1"/>
  <c r="R1783" i="1"/>
  <c r="R1821" i="1"/>
  <c r="R1822" i="1"/>
  <c r="R1823" i="1"/>
  <c r="R964" i="1"/>
  <c r="R974" i="1"/>
  <c r="R985" i="1"/>
  <c r="R986" i="1"/>
  <c r="R987" i="1"/>
  <c r="R971" i="1"/>
  <c r="R988" i="1"/>
  <c r="R981" i="1"/>
  <c r="R978" i="1"/>
  <c r="R989" i="1"/>
  <c r="R976" i="1"/>
  <c r="R990" i="1"/>
  <c r="R991" i="1"/>
  <c r="R982" i="1"/>
  <c r="R968" i="1"/>
  <c r="R979" i="1"/>
  <c r="R992" i="1"/>
  <c r="R969" i="1"/>
  <c r="R993" i="1"/>
  <c r="R994" i="1"/>
  <c r="R995" i="1"/>
  <c r="R962" i="1"/>
  <c r="R963" i="1"/>
  <c r="R983" i="1"/>
  <c r="R977" i="1"/>
  <c r="R980" i="1"/>
  <c r="R970" i="1"/>
  <c r="R965" i="1"/>
  <c r="R972" i="1"/>
  <c r="R984" i="1"/>
  <c r="R973" i="1"/>
  <c r="R966" i="1"/>
  <c r="R975" i="1"/>
  <c r="R967" i="1"/>
  <c r="R917" i="1"/>
  <c r="R925" i="1"/>
  <c r="R926" i="1"/>
  <c r="R927" i="1"/>
  <c r="R924" i="1"/>
  <c r="R928" i="1"/>
  <c r="R910" i="1"/>
  <c r="R913" i="1"/>
  <c r="R929" i="1"/>
  <c r="R918" i="1"/>
  <c r="R908" i="1"/>
  <c r="R914" i="1"/>
  <c r="R906" i="1"/>
  <c r="R919" i="1"/>
  <c r="R937" i="1"/>
  <c r="R936" i="1"/>
  <c r="R938" i="1"/>
  <c r="R944" i="1"/>
  <c r="R911" i="1"/>
  <c r="R945" i="1"/>
  <c r="R920" i="1"/>
  <c r="R915" i="1"/>
  <c r="R939" i="1"/>
  <c r="R946" i="1"/>
  <c r="R916" i="1"/>
  <c r="R940" i="1"/>
  <c r="R941" i="1"/>
  <c r="R909" i="1"/>
  <c r="R947" i="1"/>
  <c r="R930" i="1"/>
  <c r="R931" i="1"/>
  <c r="R932" i="1"/>
  <c r="R933" i="1"/>
  <c r="R921" i="1"/>
  <c r="R942" i="1"/>
  <c r="R934" i="1"/>
  <c r="R922" i="1"/>
  <c r="R912" i="1"/>
  <c r="R943" i="1"/>
  <c r="R923" i="1"/>
  <c r="R935" i="1"/>
  <c r="R907" i="1"/>
  <c r="R948" i="1"/>
  <c r="R949" i="1"/>
  <c r="R950" i="1"/>
  <c r="R268" i="1"/>
  <c r="R248" i="1"/>
  <c r="R266" i="1"/>
  <c r="R249" i="1"/>
  <c r="R257" i="1"/>
  <c r="R258" i="1"/>
  <c r="R250" i="1"/>
  <c r="R265" i="1"/>
  <c r="R259" i="1"/>
  <c r="R269" i="1"/>
  <c r="R260" i="1"/>
  <c r="R261" i="1"/>
  <c r="R267" i="1"/>
  <c r="R262" i="1"/>
  <c r="R270" i="1"/>
  <c r="R242" i="1"/>
  <c r="R245" i="1"/>
  <c r="R263" i="1"/>
  <c r="R271" i="1"/>
  <c r="R251" i="1"/>
  <c r="R252" i="1"/>
  <c r="R272" i="1"/>
  <c r="R236" i="1"/>
  <c r="R253" i="1"/>
  <c r="R254" i="1"/>
  <c r="R273" i="1"/>
  <c r="R237" i="1"/>
  <c r="R274" i="1"/>
  <c r="R238" i="1"/>
  <c r="R243" i="1"/>
  <c r="R255" i="1"/>
  <c r="R244" i="1"/>
  <c r="R246" i="1"/>
  <c r="R256" i="1"/>
  <c r="R239" i="1"/>
  <c r="R264" i="1"/>
  <c r="R247" i="1"/>
  <c r="R240" i="1"/>
  <c r="R241" i="1"/>
  <c r="R1312" i="1"/>
  <c r="R1313" i="1"/>
  <c r="R1328" i="1"/>
  <c r="R1335" i="1"/>
  <c r="R1329" i="1"/>
  <c r="R1330" i="1"/>
  <c r="R1319" i="1"/>
  <c r="R1331" i="1"/>
  <c r="R1298" i="1"/>
  <c r="R1332" i="1"/>
  <c r="R1322" i="1"/>
  <c r="R1320" i="1"/>
  <c r="R1333" i="1"/>
  <c r="R1308" i="1"/>
  <c r="R1326" i="1"/>
  <c r="R1334" i="1"/>
  <c r="R1327" i="1"/>
  <c r="R1323" i="1"/>
  <c r="R1314" i="1"/>
  <c r="R1300" i="1"/>
  <c r="R1336" i="1"/>
  <c r="R1315" i="1"/>
  <c r="R1316" i="1"/>
  <c r="R1321" i="1"/>
  <c r="R1299" i="1"/>
  <c r="R1301" i="1"/>
  <c r="R1309" i="1"/>
  <c r="R1302" i="1"/>
  <c r="R1324" i="1"/>
  <c r="R1325" i="1"/>
  <c r="R1304" i="1"/>
  <c r="R1317" i="1"/>
  <c r="R1310" i="1"/>
  <c r="R1337" i="1"/>
  <c r="R1303" i="1"/>
  <c r="R1305" i="1"/>
  <c r="R1318" i="1"/>
  <c r="R1311" i="1"/>
  <c r="R1306" i="1"/>
  <c r="R1307" i="1"/>
  <c r="AQ6" i="1" s="1"/>
  <c r="R1468" i="1"/>
  <c r="R1443" i="1"/>
  <c r="R1473" i="1"/>
  <c r="R1464" i="1"/>
  <c r="R1474" i="1"/>
  <c r="R1444" i="1"/>
  <c r="R1454" i="1"/>
  <c r="R1475" i="1"/>
  <c r="R1456" i="1"/>
  <c r="R1441" i="1"/>
  <c r="R1455" i="1"/>
  <c r="R1469" i="1"/>
  <c r="R1470" i="1"/>
  <c r="R1465" i="1"/>
  <c r="R1445" i="1"/>
  <c r="R1459" i="1"/>
  <c r="R1471" i="1"/>
  <c r="R1437" i="1"/>
  <c r="R1460" i="1"/>
  <c r="R1476" i="1"/>
  <c r="R1461" i="1"/>
  <c r="R1477" i="1"/>
  <c r="R1472" i="1"/>
  <c r="R1462" i="1"/>
  <c r="R1466" i="1"/>
  <c r="R1478" i="1"/>
  <c r="R1463" i="1"/>
  <c r="R1457" i="1"/>
  <c r="R1479" i="1"/>
  <c r="R1446" i="1"/>
  <c r="R1447" i="1"/>
  <c r="R1442" i="1"/>
  <c r="R1448" i="1"/>
  <c r="R1467" i="1"/>
  <c r="R1438" i="1"/>
  <c r="R1449" i="1"/>
  <c r="R1439" i="1"/>
  <c r="R1450" i="1"/>
  <c r="R1451" i="1"/>
  <c r="R1452" i="1"/>
  <c r="AQ11" i="1" s="1"/>
  <c r="R1440" i="1"/>
  <c r="R1458" i="1"/>
  <c r="R1453" i="1"/>
  <c r="R831" i="1"/>
  <c r="R818" i="1"/>
  <c r="R819" i="1"/>
  <c r="R834" i="1"/>
  <c r="R802" i="1"/>
  <c r="R808" i="1"/>
  <c r="R820" i="1"/>
  <c r="R835" i="1"/>
  <c r="R836" i="1"/>
  <c r="R833" i="1"/>
  <c r="R821" i="1"/>
  <c r="R837" i="1"/>
  <c r="R838" i="1"/>
  <c r="R839" i="1"/>
  <c r="R822" i="1"/>
  <c r="R823" i="1"/>
  <c r="R840" i="1"/>
  <c r="R841" i="1"/>
  <c r="R824" i="1"/>
  <c r="R842" i="1"/>
  <c r="R803" i="1"/>
  <c r="R807" i="1"/>
  <c r="R804" i="1"/>
  <c r="R843" i="1"/>
  <c r="R809" i="1"/>
  <c r="R810" i="1"/>
  <c r="R805" i="1"/>
  <c r="R806" i="1"/>
  <c r="R832" i="1"/>
  <c r="R825" i="1"/>
  <c r="R811" i="1"/>
  <c r="R812" i="1"/>
  <c r="R813" i="1"/>
  <c r="R826" i="1"/>
  <c r="R814" i="1"/>
  <c r="R815" i="1"/>
  <c r="R827" i="1"/>
  <c r="R828" i="1"/>
  <c r="R816" i="1"/>
  <c r="R829" i="1"/>
  <c r="R830" i="1"/>
  <c r="R817" i="1"/>
  <c r="R800" i="1"/>
  <c r="R801" i="1"/>
  <c r="R844" i="1"/>
  <c r="R845" i="1"/>
  <c r="R846" i="1"/>
  <c r="R2952" i="1"/>
  <c r="R2945" i="1"/>
  <c r="R2935" i="1"/>
  <c r="R2936" i="1"/>
  <c r="R2946" i="1"/>
  <c r="R2923" i="1"/>
  <c r="R2944" i="1"/>
  <c r="R2955" i="1"/>
  <c r="R2937" i="1"/>
  <c r="R2956" i="1"/>
  <c r="R2925" i="1"/>
  <c r="R2938" i="1"/>
  <c r="R2939" i="1"/>
  <c r="R2940" i="1"/>
  <c r="R2957" i="1"/>
  <c r="R2924" i="1"/>
  <c r="R2947" i="1"/>
  <c r="R2953" i="1"/>
  <c r="R2926" i="1"/>
  <c r="R2958" i="1"/>
  <c r="R2941" i="1"/>
  <c r="R2927" i="1"/>
  <c r="R2928" i="1"/>
  <c r="R2948" i="1"/>
  <c r="R2942" i="1"/>
  <c r="R2943" i="1"/>
  <c r="R2929" i="1"/>
  <c r="R2930" i="1"/>
  <c r="R2949" i="1"/>
  <c r="R2931" i="1"/>
  <c r="R2932" i="1"/>
  <c r="R2933" i="1"/>
  <c r="R2950" i="1"/>
  <c r="R2951" i="1"/>
  <c r="R2954" i="1"/>
  <c r="R2934" i="1"/>
  <c r="R215" i="1"/>
  <c r="R190" i="1"/>
  <c r="R189" i="1"/>
  <c r="R191" i="1"/>
  <c r="R223" i="1"/>
  <c r="R216" i="1"/>
  <c r="R192" i="1"/>
  <c r="R193" i="1"/>
  <c r="R227" i="1"/>
  <c r="R207" i="1"/>
  <c r="R194" i="1"/>
  <c r="R195" i="1"/>
  <c r="R196" i="1"/>
  <c r="R224" i="1"/>
  <c r="R197" i="1"/>
  <c r="R225" i="1"/>
  <c r="R217" i="1"/>
  <c r="R208" i="1"/>
  <c r="R226" i="1"/>
  <c r="R198" i="1"/>
  <c r="R209" i="1"/>
  <c r="R210" i="1"/>
  <c r="R218" i="1"/>
  <c r="R199" i="1"/>
  <c r="R219" i="1"/>
  <c r="R211" i="1"/>
  <c r="R200" i="1"/>
  <c r="R212" i="1"/>
  <c r="R213" i="1"/>
  <c r="R201" i="1"/>
  <c r="R202" i="1"/>
  <c r="R203" i="1"/>
  <c r="R204" i="1"/>
  <c r="R220" i="1"/>
  <c r="R221" i="1"/>
  <c r="R205" i="1"/>
  <c r="R222" i="1"/>
  <c r="R206" i="1"/>
  <c r="R214" i="1"/>
  <c r="R598" i="1"/>
  <c r="R599" i="1"/>
  <c r="R600" i="1"/>
  <c r="R601" i="1"/>
  <c r="R622" i="1"/>
  <c r="R602" i="1"/>
  <c r="R603" i="1"/>
  <c r="R604" i="1"/>
  <c r="R605" i="1"/>
  <c r="R606" i="1"/>
  <c r="R594" i="1"/>
  <c r="R595" i="1"/>
  <c r="R607" i="1"/>
  <c r="R596" i="1"/>
  <c r="R608" i="1"/>
  <c r="R623" i="1"/>
  <c r="R624" i="1"/>
  <c r="R609" i="1"/>
  <c r="R625" i="1"/>
  <c r="R610" i="1"/>
  <c r="R611" i="1"/>
  <c r="R612" i="1"/>
  <c r="R613" i="1"/>
  <c r="R614" i="1"/>
  <c r="R626" i="1"/>
  <c r="R627" i="1"/>
  <c r="R615" i="1"/>
  <c r="R616" i="1"/>
  <c r="R597" i="1"/>
  <c r="R632" i="1"/>
  <c r="R630" i="1"/>
  <c r="R617" i="1"/>
  <c r="R621" i="1"/>
  <c r="R618" i="1"/>
  <c r="R628" i="1"/>
  <c r="R619" i="1"/>
  <c r="R629" i="1"/>
  <c r="R631" i="1"/>
  <c r="R620" i="1"/>
  <c r="R3149" i="1"/>
  <c r="R3156" i="1"/>
  <c r="R3169" i="1"/>
  <c r="R3174" i="1"/>
  <c r="R3145" i="1"/>
  <c r="R3157" i="1"/>
  <c r="R3162" i="1"/>
  <c r="R3175" i="1"/>
  <c r="R3158" i="1"/>
  <c r="R3163" i="1"/>
  <c r="R3150" i="1"/>
  <c r="R3178" i="1"/>
  <c r="R3168" i="1"/>
  <c r="R3170" i="1"/>
  <c r="R3164" i="1"/>
  <c r="R3165" i="1"/>
  <c r="R3151" i="1"/>
  <c r="R3166" i="1"/>
  <c r="R3176" i="1"/>
  <c r="R3173" i="1"/>
  <c r="R3177" i="1"/>
  <c r="R3171" i="1"/>
  <c r="R3146" i="1"/>
  <c r="R3159" i="1"/>
  <c r="R3160" i="1"/>
  <c r="R3152" i="1"/>
  <c r="R3153" i="1"/>
  <c r="R3172" i="1"/>
  <c r="R3167" i="1"/>
  <c r="R3154" i="1"/>
  <c r="R3161" i="1"/>
  <c r="R3155" i="1"/>
  <c r="Q38" i="2" s="1"/>
  <c r="R3147" i="1"/>
  <c r="R3148" i="1"/>
  <c r="R1990" i="1"/>
  <c r="R2000" i="1"/>
  <c r="R1979" i="1"/>
  <c r="R1995" i="1"/>
  <c r="R1984" i="1"/>
  <c r="R1980" i="1"/>
  <c r="R1994" i="1"/>
  <c r="R2001" i="1"/>
  <c r="R1970" i="1"/>
  <c r="R2002" i="1"/>
  <c r="R1981" i="1"/>
  <c r="R2003" i="1"/>
  <c r="R1996" i="1"/>
  <c r="R1991" i="1"/>
  <c r="R2004" i="1"/>
  <c r="R2005" i="1"/>
  <c r="R1972" i="1"/>
  <c r="R1997" i="1"/>
  <c r="R1985" i="1"/>
  <c r="R1989" i="1"/>
  <c r="R1982" i="1"/>
  <c r="R1992" i="1"/>
  <c r="R1971" i="1"/>
  <c r="R1993" i="1"/>
  <c r="R1986" i="1"/>
  <c r="R1973" i="1"/>
  <c r="R1987" i="1"/>
  <c r="R1983" i="1"/>
  <c r="R1974" i="1"/>
  <c r="R1975" i="1"/>
  <c r="R1998" i="1"/>
  <c r="R1988" i="1"/>
  <c r="R1976" i="1"/>
  <c r="R1977" i="1"/>
  <c r="R1999" i="1"/>
  <c r="R1978" i="1"/>
  <c r="R3691" i="1"/>
  <c r="R3699" i="1"/>
  <c r="R3692" i="1"/>
  <c r="R3707" i="1"/>
  <c r="R3708" i="1"/>
  <c r="R3697" i="1"/>
  <c r="R3709" i="1"/>
  <c r="R3693" i="1"/>
  <c r="R3685" i="1"/>
  <c r="R3710" i="1"/>
  <c r="R3706" i="1"/>
  <c r="R3711" i="1"/>
  <c r="R3698" i="1"/>
  <c r="R3703" i="1"/>
  <c r="R3705" i="1"/>
  <c r="R3712" i="1"/>
  <c r="R3686" i="1"/>
  <c r="R3700" i="1"/>
  <c r="R3701" i="1"/>
  <c r="R3694" i="1"/>
  <c r="R3687" i="1"/>
  <c r="R3713" i="1"/>
  <c r="R3714" i="1"/>
  <c r="R3684" i="1"/>
  <c r="R3695" i="1"/>
  <c r="R3696" i="1"/>
  <c r="R3704" i="1"/>
  <c r="R3715" i="1"/>
  <c r="R3688" i="1"/>
  <c r="R3716" i="1"/>
  <c r="R3717" i="1"/>
  <c r="R3718" i="1"/>
  <c r="R3689" i="1"/>
  <c r="R3690" i="1"/>
  <c r="Q11" i="2" s="1"/>
  <c r="R3702" i="1"/>
  <c r="R1511" i="1"/>
  <c r="R1528" i="1"/>
  <c r="R1498" i="1"/>
  <c r="R1512" i="1"/>
  <c r="R1513" i="1"/>
  <c r="R1521" i="1"/>
  <c r="R1514" i="1"/>
  <c r="R1499" i="1"/>
  <c r="R1500" i="1"/>
  <c r="R1522" i="1"/>
  <c r="R1492" i="1"/>
  <c r="R1493" i="1"/>
  <c r="R1501" i="1"/>
  <c r="R1502" i="1"/>
  <c r="R1494" i="1"/>
  <c r="R1503" i="1"/>
  <c r="R1515" i="1"/>
  <c r="R1527" i="1"/>
  <c r="R1495" i="1"/>
  <c r="R1526" i="1"/>
  <c r="R1496" i="1"/>
  <c r="R1504" i="1"/>
  <c r="R1505" i="1"/>
  <c r="R1516" i="1"/>
  <c r="R1517" i="1"/>
  <c r="R1506" i="1"/>
  <c r="R1523" i="1"/>
  <c r="R1497" i="1"/>
  <c r="R1524" i="1"/>
  <c r="R1507" i="1"/>
  <c r="R1508" i="1"/>
  <c r="R1509" i="1"/>
  <c r="R1525" i="1"/>
  <c r="R1518" i="1"/>
  <c r="R1519" i="1"/>
  <c r="R1529" i="1"/>
  <c r="R1520" i="1"/>
  <c r="R1510" i="1"/>
  <c r="R467" i="1"/>
  <c r="R454" i="1"/>
  <c r="R440" i="1"/>
  <c r="R463" i="1"/>
  <c r="R464" i="1"/>
  <c r="R460" i="1"/>
  <c r="R459" i="1"/>
  <c r="R441" i="1"/>
  <c r="R461" i="1"/>
  <c r="R468" i="1"/>
  <c r="R442" i="1"/>
  <c r="R471" i="1"/>
  <c r="R469" i="1"/>
  <c r="R443" i="1"/>
  <c r="R465" i="1"/>
  <c r="R444" i="1"/>
  <c r="R472" i="1"/>
  <c r="R455" i="1"/>
  <c r="R456" i="1"/>
  <c r="R462" i="1"/>
  <c r="R445" i="1"/>
  <c r="Q28" i="2" s="1"/>
  <c r="R473" i="1"/>
  <c r="R446" i="1"/>
  <c r="R447" i="1"/>
  <c r="R466" i="1"/>
  <c r="R470" i="1"/>
  <c r="R457" i="1"/>
  <c r="R458" i="1"/>
  <c r="R448" i="1"/>
  <c r="R449" i="1"/>
  <c r="R450" i="1"/>
  <c r="R453" i="1"/>
  <c r="R451" i="1"/>
  <c r="R452" i="1"/>
  <c r="R2452" i="1"/>
  <c r="R2453" i="1"/>
  <c r="R2454" i="1"/>
  <c r="R2455" i="1"/>
  <c r="R2456" i="1"/>
  <c r="R2457" i="1"/>
  <c r="R2458" i="1"/>
  <c r="R2459" i="1"/>
  <c r="R2460" i="1"/>
  <c r="R2461" i="1"/>
  <c r="R2473" i="1"/>
  <c r="R2462" i="1"/>
  <c r="R2463" i="1"/>
  <c r="R2474" i="1"/>
  <c r="R2464" i="1"/>
  <c r="R2465" i="1"/>
  <c r="R2475" i="1"/>
  <c r="R2466" i="1"/>
  <c r="R2467" i="1"/>
  <c r="R2476" i="1"/>
  <c r="R2480" i="1"/>
  <c r="R2468" i="1"/>
  <c r="R2469" i="1"/>
  <c r="R2470" i="1"/>
  <c r="R2479" i="1"/>
  <c r="R2477" i="1"/>
  <c r="R2471" i="1"/>
  <c r="R2478" i="1"/>
  <c r="R2472" i="1"/>
  <c r="R2598" i="1"/>
  <c r="R2599" i="1"/>
  <c r="R2600" i="1"/>
  <c r="R2575" i="1"/>
  <c r="R2585" i="1"/>
  <c r="R2596" i="1"/>
  <c r="R2591" i="1"/>
  <c r="R2592" i="1"/>
  <c r="R2588" i="1"/>
  <c r="R2583" i="1"/>
  <c r="R2605" i="1"/>
  <c r="R2606" i="1"/>
  <c r="R2593" i="1"/>
  <c r="R2586" i="1"/>
  <c r="R2576" i="1"/>
  <c r="R2587" i="1"/>
  <c r="R2577" i="1"/>
  <c r="R2578" i="1"/>
  <c r="Q25" i="2" s="1"/>
  <c r="R2594" i="1"/>
  <c r="R2579" i="1"/>
  <c r="R2604" i="1"/>
  <c r="R2589" i="1"/>
  <c r="R2601" i="1"/>
  <c r="R2580" i="1"/>
  <c r="R2581" i="1"/>
  <c r="R2582" i="1"/>
  <c r="R2607" i="1"/>
  <c r="R2595" i="1"/>
  <c r="R2602" i="1"/>
  <c r="R2608" i="1"/>
  <c r="R2603" i="1"/>
  <c r="R2609" i="1"/>
  <c r="R2590" i="1"/>
  <c r="R2597" i="1"/>
  <c r="R2584" i="1"/>
  <c r="R3544" i="1"/>
  <c r="R3545" i="1"/>
  <c r="R3555" i="1"/>
  <c r="R3546" i="1"/>
  <c r="R3556" i="1"/>
  <c r="R3557" i="1"/>
  <c r="R3547" i="1"/>
  <c r="R3548" i="1"/>
  <c r="R3549" i="1"/>
  <c r="R3558" i="1"/>
  <c r="R3550" i="1"/>
  <c r="R3559" i="1"/>
  <c r="R3567" i="1"/>
  <c r="R3573" i="1"/>
  <c r="R3560" i="1"/>
  <c r="R3568" i="1"/>
  <c r="R3561" i="1"/>
  <c r="R3578" i="1"/>
  <c r="R3569" i="1"/>
  <c r="R3574" i="1"/>
  <c r="R3562" i="1"/>
  <c r="R3563" i="1"/>
  <c r="R3564" i="1"/>
  <c r="R3551" i="1"/>
  <c r="R3552" i="1"/>
  <c r="R3566" i="1"/>
  <c r="R3570" i="1"/>
  <c r="R3571" i="1"/>
  <c r="R3543" i="1"/>
  <c r="R3554" i="1"/>
  <c r="R3575" i="1"/>
  <c r="R3577" i="1"/>
  <c r="R3572" i="1"/>
  <c r="R3579" i="1"/>
  <c r="R3580" i="1"/>
  <c r="R3581" i="1"/>
  <c r="R3576" i="1"/>
  <c r="R3553" i="1"/>
  <c r="R3565" i="1"/>
  <c r="R3653" i="1"/>
  <c r="R3637" i="1"/>
  <c r="R3672" i="1"/>
  <c r="R3638" i="1"/>
  <c r="Q45" i="2" s="1"/>
  <c r="R3636" i="1"/>
  <c r="R3665" i="1"/>
  <c r="R3635" i="1"/>
  <c r="R3639" i="1"/>
  <c r="R3640" i="1"/>
  <c r="R3654" i="1"/>
  <c r="R3651" i="1"/>
  <c r="R3655" i="1"/>
  <c r="R3656" i="1"/>
  <c r="R3666" i="1"/>
  <c r="R3667" i="1"/>
  <c r="R3657" i="1"/>
  <c r="R3658" i="1"/>
  <c r="R3641" i="1"/>
  <c r="R3642" i="1"/>
  <c r="R3643" i="1"/>
  <c r="R3659" i="1"/>
  <c r="R3660" i="1"/>
  <c r="R3661" i="1"/>
  <c r="R3644" i="1"/>
  <c r="R3645" i="1"/>
  <c r="R3668" i="1"/>
  <c r="R3646" i="1"/>
  <c r="R3652" i="1"/>
  <c r="R3662" i="1"/>
  <c r="R3663" i="1"/>
  <c r="R3673" i="1"/>
  <c r="R3669" i="1"/>
  <c r="R3670" i="1"/>
  <c r="R3674" i="1"/>
  <c r="R3671" i="1"/>
  <c r="R3664" i="1"/>
  <c r="R3647" i="1"/>
  <c r="R3648" i="1"/>
  <c r="R3649" i="1"/>
  <c r="R3650" i="1"/>
  <c r="R3824" i="1"/>
  <c r="R3825" i="1"/>
  <c r="R3826" i="1"/>
  <c r="R3827" i="1"/>
  <c r="R3855" i="1"/>
  <c r="R3828" i="1"/>
  <c r="R3848" i="1"/>
  <c r="R3849" i="1"/>
  <c r="R3856" i="1"/>
  <c r="R3829" i="1"/>
  <c r="R3850" i="1"/>
  <c r="R3851" i="1"/>
  <c r="R3852" i="1"/>
  <c r="R3830" i="1"/>
  <c r="R3853" i="1"/>
  <c r="R3831" i="1"/>
  <c r="R3832" i="1"/>
  <c r="R3833" i="1"/>
  <c r="R3854" i="1"/>
  <c r="R3834" i="1"/>
  <c r="R3835" i="1"/>
  <c r="R3836" i="1"/>
  <c r="R3837" i="1"/>
  <c r="R3857" i="1"/>
  <c r="R3838" i="1"/>
  <c r="R3858" i="1"/>
  <c r="R3839" i="1"/>
  <c r="R3840" i="1"/>
  <c r="R3841" i="1"/>
  <c r="R3842" i="1"/>
  <c r="R3843" i="1"/>
  <c r="R3859" i="1"/>
  <c r="R3844" i="1"/>
  <c r="R3845" i="1"/>
  <c r="R3846" i="1"/>
  <c r="R3847" i="1"/>
  <c r="R2228" i="1"/>
  <c r="R2190" i="1"/>
  <c r="R2222" i="1"/>
  <c r="R2220" i="1"/>
  <c r="R2191" i="1"/>
  <c r="R2229" i="1"/>
  <c r="R2192" i="1"/>
  <c r="R2223" i="1"/>
  <c r="R2224" i="1"/>
  <c r="R2193" i="1"/>
  <c r="R2194" i="1"/>
  <c r="R2195" i="1"/>
  <c r="R2196" i="1"/>
  <c r="R2197" i="1"/>
  <c r="R2225" i="1"/>
  <c r="R2221" i="1"/>
  <c r="R2198" i="1"/>
  <c r="R2199" i="1"/>
  <c r="R2200" i="1"/>
  <c r="R2201" i="1"/>
  <c r="R2226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27" i="1"/>
  <c r="R2218" i="1"/>
  <c r="R2219" i="1"/>
  <c r="AQ15" i="1" s="1"/>
  <c r="R567" i="1"/>
  <c r="R577" i="1"/>
  <c r="R568" i="1"/>
  <c r="R550" i="1"/>
  <c r="R579" i="1"/>
  <c r="R560" i="1"/>
  <c r="R572" i="1"/>
  <c r="R580" i="1"/>
  <c r="R575" i="1"/>
  <c r="R551" i="1"/>
  <c r="R582" i="1"/>
  <c r="R578" i="1"/>
  <c r="R552" i="1"/>
  <c r="R553" i="1"/>
  <c r="R569" i="1"/>
  <c r="R581" i="1"/>
  <c r="R561" i="1"/>
  <c r="R576" i="1"/>
  <c r="R554" i="1"/>
  <c r="R555" i="1"/>
  <c r="R562" i="1"/>
  <c r="R573" i="1"/>
  <c r="R563" i="1"/>
  <c r="R570" i="1"/>
  <c r="R583" i="1"/>
  <c r="R564" i="1"/>
  <c r="R556" i="1"/>
  <c r="R557" i="1"/>
  <c r="R574" i="1"/>
  <c r="R565" i="1"/>
  <c r="R566" i="1"/>
  <c r="R584" i="1"/>
  <c r="R558" i="1"/>
  <c r="R571" i="1"/>
  <c r="R559" i="1"/>
  <c r="R549" i="1"/>
  <c r="Q36" i="2" s="1"/>
  <c r="R2281" i="1"/>
  <c r="R2316" i="1"/>
  <c r="R2282" i="1"/>
  <c r="R2283" i="1"/>
  <c r="R2284" i="1"/>
  <c r="R2285" i="1"/>
  <c r="R2311" i="1"/>
  <c r="R2286" i="1"/>
  <c r="R2312" i="1"/>
  <c r="R2287" i="1"/>
  <c r="R2288" i="1"/>
  <c r="R2313" i="1"/>
  <c r="R2289" i="1"/>
  <c r="R2290" i="1"/>
  <c r="R2291" i="1"/>
  <c r="R2292" i="1"/>
  <c r="R2293" i="1"/>
  <c r="R2294" i="1"/>
  <c r="R2280" i="1"/>
  <c r="R2295" i="1"/>
  <c r="R2296" i="1"/>
  <c r="R2314" i="1"/>
  <c r="R2297" i="1"/>
  <c r="R2298" i="1"/>
  <c r="R2299" i="1"/>
  <c r="R2300" i="1"/>
  <c r="R2301" i="1"/>
  <c r="R2302" i="1"/>
  <c r="R2303" i="1"/>
  <c r="R2304" i="1"/>
  <c r="R2305" i="1"/>
  <c r="R2306" i="1"/>
  <c r="R2315" i="1"/>
  <c r="R2307" i="1"/>
  <c r="R2308" i="1"/>
  <c r="R2309" i="1"/>
  <c r="AQ20" i="1" s="1"/>
  <c r="R2310" i="1"/>
  <c r="R1051" i="1"/>
  <c r="R1052" i="1"/>
  <c r="R1053" i="1"/>
  <c r="Q80" i="2" s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2062" i="1"/>
  <c r="R2063" i="1"/>
  <c r="R2060" i="1"/>
  <c r="R2064" i="1"/>
  <c r="Q48" i="2" s="1"/>
  <c r="R2065" i="1"/>
  <c r="R2066" i="1"/>
  <c r="R2061" i="1"/>
  <c r="R2067" i="1"/>
  <c r="R2068" i="1"/>
  <c r="R2083" i="1"/>
  <c r="R2069" i="1"/>
  <c r="R2070" i="1"/>
  <c r="R2071" i="1"/>
  <c r="R2072" i="1"/>
  <c r="R2094" i="1"/>
  <c r="R2073" i="1"/>
  <c r="R2084" i="1"/>
  <c r="R2085" i="1"/>
  <c r="R2086" i="1"/>
  <c r="R2096" i="1"/>
  <c r="R2074" i="1"/>
  <c r="R2095" i="1"/>
  <c r="R2075" i="1"/>
  <c r="R2087" i="1"/>
  <c r="R2076" i="1"/>
  <c r="R2088" i="1"/>
  <c r="R2089" i="1"/>
  <c r="R2077" i="1"/>
  <c r="R2090" i="1"/>
  <c r="R2078" i="1"/>
  <c r="R2079" i="1"/>
  <c r="R2091" i="1"/>
  <c r="R2092" i="1"/>
  <c r="R2080" i="1"/>
  <c r="R2093" i="1"/>
  <c r="R2097" i="1"/>
  <c r="R2081" i="1"/>
  <c r="R2082" i="1"/>
  <c r="R2868" i="1"/>
  <c r="R2898" i="1"/>
  <c r="R2869" i="1"/>
  <c r="R2870" i="1"/>
  <c r="R2871" i="1"/>
  <c r="R2872" i="1"/>
  <c r="Q47" i="2" s="1"/>
  <c r="R2873" i="1"/>
  <c r="R2899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900" i="1"/>
  <c r="R2887" i="1"/>
  <c r="R2902" i="1"/>
  <c r="R2888" i="1"/>
  <c r="R2889" i="1"/>
  <c r="R2890" i="1"/>
  <c r="R2891" i="1"/>
  <c r="R2903" i="1"/>
  <c r="R2901" i="1"/>
  <c r="R2892" i="1"/>
  <c r="R2893" i="1"/>
  <c r="R2894" i="1"/>
  <c r="R2904" i="1"/>
  <c r="R2895" i="1"/>
  <c r="R2896" i="1"/>
  <c r="R2897" i="1"/>
  <c r="R3103" i="1"/>
  <c r="R3104" i="1"/>
  <c r="R3105" i="1"/>
  <c r="R3106" i="1"/>
  <c r="R3130" i="1"/>
  <c r="R3107" i="1"/>
  <c r="R3134" i="1"/>
  <c r="R3108" i="1"/>
  <c r="R3109" i="1"/>
  <c r="R3110" i="1"/>
  <c r="R3111" i="1"/>
  <c r="R3112" i="1"/>
  <c r="R3113" i="1"/>
  <c r="R3114" i="1"/>
  <c r="R3131" i="1"/>
  <c r="R3115" i="1"/>
  <c r="R3116" i="1"/>
  <c r="R3117" i="1"/>
  <c r="R3118" i="1"/>
  <c r="R3119" i="1"/>
  <c r="R3120" i="1"/>
  <c r="R3132" i="1"/>
  <c r="R3133" i="1"/>
  <c r="R3101" i="1"/>
  <c r="R3121" i="1"/>
  <c r="R3122" i="1"/>
  <c r="R3102" i="1"/>
  <c r="R3123" i="1"/>
  <c r="R3124" i="1"/>
  <c r="R3125" i="1"/>
  <c r="R3126" i="1"/>
  <c r="R3135" i="1"/>
  <c r="R3127" i="1"/>
  <c r="R3128" i="1"/>
  <c r="R3129" i="1"/>
  <c r="R1590" i="1"/>
  <c r="R1591" i="1"/>
  <c r="R1592" i="1"/>
  <c r="R1593" i="1"/>
  <c r="R162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AQ19" i="1" s="1"/>
  <c r="R2620" i="1"/>
  <c r="R728" i="1"/>
  <c r="R729" i="1"/>
  <c r="R2621" i="1"/>
  <c r="R730" i="1"/>
  <c r="R731" i="1"/>
  <c r="R732" i="1"/>
  <c r="R733" i="1"/>
  <c r="R2622" i="1"/>
  <c r="R734" i="1"/>
  <c r="R2623" i="1"/>
  <c r="R735" i="1"/>
  <c r="R2624" i="1"/>
  <c r="R736" i="1"/>
  <c r="R737" i="1"/>
  <c r="R2625" i="1"/>
  <c r="R738" i="1"/>
  <c r="R739" i="1"/>
  <c r="R740" i="1"/>
  <c r="R741" i="1"/>
  <c r="R2626" i="1"/>
  <c r="R2627" i="1"/>
  <c r="R742" i="1"/>
  <c r="R743" i="1"/>
  <c r="R744" i="1"/>
  <c r="R745" i="1"/>
  <c r="R2628" i="1"/>
  <c r="R746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80" i="1"/>
  <c r="R2178" i="1"/>
  <c r="R2179" i="1"/>
  <c r="R485" i="1"/>
  <c r="R486" i="1"/>
  <c r="R483" i="1"/>
  <c r="R487" i="1"/>
  <c r="R488" i="1"/>
  <c r="R504" i="1"/>
  <c r="R489" i="1"/>
  <c r="R490" i="1"/>
  <c r="R491" i="1"/>
  <c r="R484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AF4" i="1"/>
  <c r="AF9" i="1"/>
  <c r="AF2" i="1"/>
  <c r="AF10" i="1"/>
  <c r="AF3" i="1"/>
  <c r="AF12" i="1"/>
  <c r="AF13" i="1"/>
  <c r="AF16" i="1"/>
  <c r="AF6" i="1"/>
  <c r="AF11" i="1"/>
  <c r="AF8" i="1"/>
  <c r="AF7" i="1"/>
  <c r="AF14" i="1"/>
  <c r="AF15" i="1"/>
  <c r="AF17" i="1"/>
  <c r="AF18" i="1"/>
  <c r="AF19" i="1"/>
  <c r="AF20" i="1"/>
  <c r="AF5" i="1"/>
  <c r="AI4" i="1"/>
  <c r="AI9" i="1"/>
  <c r="AI2" i="1"/>
  <c r="AI10" i="1"/>
  <c r="AI3" i="1"/>
  <c r="AI12" i="1"/>
  <c r="AI13" i="1"/>
  <c r="AI16" i="1"/>
  <c r="AI6" i="1"/>
  <c r="AI11" i="1"/>
  <c r="AI8" i="1"/>
  <c r="AI7" i="1"/>
  <c r="AI14" i="1"/>
  <c r="AI15" i="1"/>
  <c r="AI17" i="1"/>
  <c r="AI18" i="1"/>
  <c r="AI19" i="1"/>
  <c r="AI20" i="1"/>
  <c r="AI5" i="1"/>
  <c r="AG4" i="1"/>
  <c r="AG9" i="1"/>
  <c r="AG2" i="1"/>
  <c r="AG10" i="1"/>
  <c r="AG3" i="1"/>
  <c r="AG12" i="1"/>
  <c r="AG13" i="1"/>
  <c r="AG16" i="1"/>
  <c r="AG6" i="1"/>
  <c r="AG11" i="1"/>
  <c r="AG8" i="1"/>
  <c r="AG7" i="1"/>
  <c r="AG14" i="1"/>
  <c r="AG15" i="1"/>
  <c r="AG17" i="1"/>
  <c r="AG18" i="1"/>
  <c r="AG19" i="1"/>
  <c r="AG20" i="1"/>
  <c r="AG5" i="1"/>
  <c r="AR17" i="1"/>
  <c r="AR6" i="1"/>
  <c r="AR8" i="1"/>
  <c r="AR20" i="1"/>
  <c r="AR7" i="1"/>
  <c r="AQ14" i="1"/>
  <c r="AQ17" i="1"/>
  <c r="AQ8" i="1"/>
  <c r="AQ7" i="1"/>
  <c r="AP14" i="1"/>
  <c r="AP4" i="1"/>
  <c r="AP17" i="1"/>
  <c r="AP16" i="1"/>
  <c r="AP9" i="1"/>
  <c r="AP18" i="1"/>
  <c r="AP2" i="1"/>
  <c r="AP6" i="1"/>
  <c r="AP11" i="1"/>
  <c r="AP19" i="1"/>
  <c r="AP10" i="1"/>
  <c r="AP8" i="1"/>
  <c r="AP15" i="1"/>
  <c r="AP20" i="1"/>
  <c r="AP12" i="1"/>
  <c r="AP5" i="1"/>
  <c r="AP7" i="1"/>
  <c r="AP13" i="1"/>
  <c r="AP3" i="1"/>
  <c r="AO14" i="1"/>
  <c r="AO4" i="1"/>
  <c r="AO17" i="1"/>
  <c r="AO16" i="1"/>
  <c r="AO9" i="1"/>
  <c r="AO18" i="1"/>
  <c r="AO2" i="1"/>
  <c r="AO6" i="1"/>
  <c r="AO11" i="1"/>
  <c r="AO19" i="1"/>
  <c r="AO10" i="1"/>
  <c r="AO8" i="1"/>
  <c r="AO15" i="1"/>
  <c r="AO20" i="1"/>
  <c r="AO12" i="1"/>
  <c r="AO5" i="1"/>
  <c r="AO7" i="1"/>
  <c r="AO13" i="1"/>
  <c r="AO3" i="1"/>
  <c r="AN14" i="1"/>
  <c r="AN4" i="1"/>
  <c r="AN17" i="1"/>
  <c r="AN16" i="1"/>
  <c r="AN9" i="1"/>
  <c r="AN18" i="1"/>
  <c r="AN2" i="1"/>
  <c r="AN6" i="1"/>
  <c r="AN11" i="1"/>
  <c r="AN19" i="1"/>
  <c r="AN10" i="1"/>
  <c r="AN8" i="1"/>
  <c r="AN15" i="1"/>
  <c r="AN20" i="1"/>
  <c r="AN12" i="1"/>
  <c r="AN5" i="1"/>
  <c r="AN7" i="1"/>
  <c r="AN13" i="1"/>
  <c r="AN3" i="1"/>
  <c r="AM14" i="1"/>
  <c r="AM4" i="1"/>
  <c r="AM17" i="1"/>
  <c r="AM16" i="1"/>
  <c r="AM9" i="1"/>
  <c r="AM18" i="1"/>
  <c r="AM2" i="1"/>
  <c r="AM6" i="1"/>
  <c r="AM11" i="1"/>
  <c r="AM19" i="1"/>
  <c r="AM10" i="1"/>
  <c r="AM8" i="1"/>
  <c r="AM15" i="1"/>
  <c r="AM20" i="1"/>
  <c r="AM12" i="1"/>
  <c r="AM5" i="1"/>
  <c r="AM7" i="1"/>
  <c r="AM13" i="1"/>
  <c r="AM3" i="1"/>
  <c r="AL14" i="1"/>
  <c r="AL4" i="1"/>
  <c r="AL17" i="1"/>
  <c r="AL16" i="1"/>
  <c r="AL9" i="1"/>
  <c r="AL18" i="1"/>
  <c r="AL2" i="1"/>
  <c r="AL6" i="1"/>
  <c r="AL11" i="1"/>
  <c r="AL19" i="1"/>
  <c r="AL10" i="1"/>
  <c r="AL8" i="1"/>
  <c r="AL15" i="1"/>
  <c r="AL20" i="1"/>
  <c r="AL12" i="1"/>
  <c r="AL5" i="1"/>
  <c r="AL7" i="1"/>
  <c r="AL13" i="1"/>
  <c r="AL3" i="1"/>
  <c r="AK14" i="1"/>
  <c r="AK4" i="1"/>
  <c r="AK17" i="1"/>
  <c r="AK16" i="1"/>
  <c r="AK9" i="1"/>
  <c r="AK18" i="1"/>
  <c r="AK2" i="1"/>
  <c r="AK6" i="1"/>
  <c r="AK11" i="1"/>
  <c r="AK19" i="1"/>
  <c r="AK10" i="1"/>
  <c r="AK8" i="1"/>
  <c r="AK15" i="1"/>
  <c r="AK20" i="1"/>
  <c r="AK12" i="1"/>
  <c r="AK5" i="1"/>
  <c r="AK7" i="1"/>
  <c r="AK13" i="1"/>
  <c r="AK3" i="1"/>
  <c r="N7" i="4"/>
  <c r="I4" i="4"/>
  <c r="J4" i="4"/>
  <c r="Y20" i="4"/>
  <c r="Y21" i="4"/>
  <c r="Y22" i="4"/>
  <c r="AA4" i="1"/>
  <c r="AB4" i="1"/>
  <c r="AA5" i="1"/>
  <c r="AB5" i="1"/>
  <c r="AA6" i="1"/>
  <c r="AB6" i="1"/>
  <c r="AA7" i="1"/>
  <c r="AB7" i="1"/>
  <c r="AA3" i="1"/>
  <c r="AB3" i="1"/>
  <c r="AA25" i="4"/>
  <c r="Z25" i="4"/>
  <c r="AA24" i="4"/>
  <c r="Z24" i="4"/>
  <c r="U17" i="2"/>
  <c r="U28" i="2"/>
  <c r="U20" i="2"/>
  <c r="U30" i="2"/>
  <c r="U39" i="2"/>
  <c r="U9" i="2"/>
  <c r="U19" i="2"/>
  <c r="U5" i="2"/>
  <c r="U16" i="2"/>
  <c r="U8" i="2"/>
  <c r="U34" i="2"/>
  <c r="U13" i="2"/>
  <c r="U6" i="2"/>
  <c r="U3" i="2"/>
  <c r="U18" i="2"/>
  <c r="U14" i="2"/>
  <c r="U21" i="2"/>
  <c r="U4" i="2"/>
  <c r="U2" i="2"/>
  <c r="U38" i="2"/>
  <c r="U7" i="2"/>
  <c r="U58" i="2"/>
  <c r="U22" i="2"/>
  <c r="U79" i="2"/>
  <c r="S6" i="2"/>
  <c r="S22" i="2"/>
  <c r="Q3" i="2"/>
  <c r="N39" i="2"/>
  <c r="N27" i="2"/>
  <c r="N61" i="2"/>
  <c r="N73" i="2"/>
  <c r="N38" i="2"/>
  <c r="N67" i="2"/>
  <c r="N82" i="2"/>
  <c r="N53" i="2"/>
  <c r="N44" i="2"/>
  <c r="N15" i="2"/>
  <c r="N37" i="2"/>
  <c r="N29" i="2"/>
  <c r="N28" i="2"/>
  <c r="N30" i="2"/>
  <c r="M24" i="2"/>
  <c r="M40" i="2"/>
  <c r="M77" i="2"/>
  <c r="M16" i="2"/>
  <c r="M7" i="2"/>
  <c r="M59" i="2"/>
  <c r="M21" i="2"/>
  <c r="M34" i="2"/>
  <c r="M18" i="2"/>
  <c r="M81" i="2"/>
  <c r="M43" i="2"/>
  <c r="L21" i="2"/>
  <c r="L6" i="2"/>
  <c r="L16" i="2"/>
  <c r="L34" i="2"/>
  <c r="L24" i="2"/>
  <c r="L23" i="2"/>
  <c r="L37" i="2"/>
  <c r="L7" i="2"/>
  <c r="L19" i="2"/>
  <c r="L2" i="2"/>
  <c r="L3" i="2"/>
  <c r="AA17" i="2"/>
  <c r="AA36" i="2"/>
  <c r="AA2" i="2"/>
  <c r="AA74" i="2"/>
  <c r="AA5" i="2"/>
  <c r="AA53" i="2"/>
  <c r="AA21" i="2"/>
  <c r="AA37" i="2"/>
  <c r="AA25" i="2"/>
  <c r="AA86" i="2"/>
  <c r="AA15" i="2"/>
  <c r="AA49" i="2"/>
  <c r="AA29" i="2"/>
  <c r="AA6" i="2"/>
  <c r="AA84" i="2"/>
  <c r="AA16" i="2"/>
  <c r="AA39" i="2"/>
  <c r="AA10" i="2"/>
  <c r="AA7" i="2"/>
  <c r="AA20" i="2"/>
  <c r="AA4" i="2"/>
  <c r="J26" i="4"/>
  <c r="I26" i="4"/>
  <c r="J25" i="4"/>
  <c r="I25" i="4"/>
  <c r="J24" i="4"/>
  <c r="I24" i="4"/>
  <c r="J23" i="4"/>
  <c r="I23" i="4"/>
  <c r="J22" i="4"/>
  <c r="I22" i="4"/>
  <c r="N6" i="4"/>
  <c r="N3" i="4"/>
  <c r="N5" i="4"/>
  <c r="N4" i="4"/>
  <c r="N2" i="4"/>
  <c r="J7" i="4"/>
  <c r="I7" i="4"/>
  <c r="J6" i="4"/>
  <c r="I6" i="4"/>
  <c r="J3" i="4"/>
  <c r="I3" i="4"/>
  <c r="J2" i="4"/>
  <c r="I2" i="4"/>
  <c r="J5" i="4"/>
  <c r="I5" i="4"/>
  <c r="S9" i="2"/>
  <c r="S11" i="2"/>
  <c r="S28" i="2"/>
  <c r="S29" i="2"/>
  <c r="S41" i="2"/>
  <c r="S45" i="2"/>
  <c r="S52" i="2"/>
  <c r="S62" i="2"/>
  <c r="S57" i="2"/>
  <c r="S60" i="2"/>
  <c r="S80" i="2"/>
  <c r="S70" i="2"/>
  <c r="S88" i="2"/>
  <c r="S89" i="2"/>
  <c r="Q17" i="2"/>
  <c r="Q24" i="2"/>
  <c r="Q44" i="2"/>
  <c r="Q62" i="2"/>
  <c r="Q57" i="2"/>
  <c r="Q70" i="2"/>
  <c r="Q65" i="2"/>
  <c r="Q92" i="2"/>
  <c r="P2" i="2"/>
  <c r="P3" i="2"/>
  <c r="P5" i="2"/>
  <c r="P14" i="2"/>
  <c r="P8" i="2"/>
  <c r="P4" i="2"/>
  <c r="P6" i="2"/>
  <c r="P9" i="2"/>
  <c r="P13" i="2"/>
  <c r="P21" i="2"/>
  <c r="P7" i="2"/>
  <c r="P20" i="2"/>
  <c r="P17" i="2"/>
  <c r="P19" i="2"/>
  <c r="P12" i="2"/>
  <c r="P16" i="2"/>
  <c r="P22" i="2"/>
  <c r="P11" i="2"/>
  <c r="P18" i="2"/>
  <c r="P32" i="2"/>
  <c r="P10" i="2"/>
  <c r="P15" i="2"/>
  <c r="P28" i="2"/>
  <c r="P23" i="2"/>
  <c r="P27" i="2"/>
  <c r="P26" i="2"/>
  <c r="P25" i="2"/>
  <c r="P38" i="2"/>
  <c r="P39" i="2"/>
  <c r="P30" i="2"/>
  <c r="P24" i="2"/>
  <c r="P33" i="2"/>
  <c r="P29" i="2"/>
  <c r="P35" i="2"/>
  <c r="P37" i="2"/>
  <c r="P55" i="2"/>
  <c r="P41" i="2"/>
  <c r="P43" i="2"/>
  <c r="P44" i="2"/>
  <c r="P58" i="2"/>
  <c r="P36" i="2"/>
  <c r="P34" i="2"/>
  <c r="P45" i="2"/>
  <c r="P40" i="2"/>
  <c r="P49" i="2"/>
  <c r="P46" i="2"/>
  <c r="P48" i="2"/>
  <c r="P50" i="2"/>
  <c r="P31" i="2"/>
  <c r="P53" i="2"/>
  <c r="P52" i="2"/>
  <c r="P42" i="2"/>
  <c r="P61" i="2"/>
  <c r="P51" i="2"/>
  <c r="P62" i="2"/>
  <c r="P59" i="2"/>
  <c r="P82" i="2"/>
  <c r="P56" i="2"/>
  <c r="P57" i="2"/>
  <c r="P71" i="2"/>
  <c r="P73" i="2"/>
  <c r="P63" i="2"/>
  <c r="P47" i="2"/>
  <c r="P75" i="2"/>
  <c r="P68" i="2"/>
  <c r="P64" i="2"/>
  <c r="P60" i="2"/>
  <c r="P54" i="2"/>
  <c r="P90" i="2"/>
  <c r="P72" i="2"/>
  <c r="P80" i="2"/>
  <c r="P69" i="2"/>
  <c r="P76" i="2"/>
  <c r="P66" i="2"/>
  <c r="P70" i="2"/>
  <c r="P77" i="2"/>
  <c r="P67" i="2"/>
  <c r="P78" i="2"/>
  <c r="P65" i="2"/>
  <c r="P74" i="2"/>
  <c r="P83" i="2"/>
  <c r="P84" i="2"/>
  <c r="P88" i="2"/>
  <c r="P85" i="2"/>
  <c r="P81" i="2"/>
  <c r="P79" i="2"/>
  <c r="P86" i="2"/>
  <c r="P89" i="2"/>
  <c r="P91" i="2"/>
  <c r="P87" i="2"/>
  <c r="P92" i="2"/>
  <c r="O2" i="2"/>
  <c r="O3" i="2"/>
  <c r="O5" i="2"/>
  <c r="O14" i="2"/>
  <c r="O8" i="2"/>
  <c r="O4" i="2"/>
  <c r="O6" i="2"/>
  <c r="O9" i="2"/>
  <c r="O13" i="2"/>
  <c r="O21" i="2"/>
  <c r="O7" i="2"/>
  <c r="O20" i="2"/>
  <c r="O17" i="2"/>
  <c r="O19" i="2"/>
  <c r="O12" i="2"/>
  <c r="O16" i="2"/>
  <c r="O22" i="2"/>
  <c r="O11" i="2"/>
  <c r="O18" i="2"/>
  <c r="O32" i="2"/>
  <c r="O10" i="2"/>
  <c r="O15" i="2"/>
  <c r="O28" i="2"/>
  <c r="O23" i="2"/>
  <c r="O27" i="2"/>
  <c r="O26" i="2"/>
  <c r="O25" i="2"/>
  <c r="O38" i="2"/>
  <c r="O39" i="2"/>
  <c r="O30" i="2"/>
  <c r="O24" i="2"/>
  <c r="O33" i="2"/>
  <c r="O29" i="2"/>
  <c r="O35" i="2"/>
  <c r="O37" i="2"/>
  <c r="O55" i="2"/>
  <c r="O41" i="2"/>
  <c r="O43" i="2"/>
  <c r="O44" i="2"/>
  <c r="O58" i="2"/>
  <c r="O36" i="2"/>
  <c r="O34" i="2"/>
  <c r="O45" i="2"/>
  <c r="O40" i="2"/>
  <c r="O49" i="2"/>
  <c r="O46" i="2"/>
  <c r="O48" i="2"/>
  <c r="O50" i="2"/>
  <c r="O31" i="2"/>
  <c r="O53" i="2"/>
  <c r="O52" i="2"/>
  <c r="O42" i="2"/>
  <c r="O61" i="2"/>
  <c r="O51" i="2"/>
  <c r="O62" i="2"/>
  <c r="O59" i="2"/>
  <c r="O82" i="2"/>
  <c r="O56" i="2"/>
  <c r="O57" i="2"/>
  <c r="O71" i="2"/>
  <c r="O73" i="2"/>
  <c r="O63" i="2"/>
  <c r="O47" i="2"/>
  <c r="O75" i="2"/>
  <c r="O68" i="2"/>
  <c r="O64" i="2"/>
  <c r="O60" i="2"/>
  <c r="O54" i="2"/>
  <c r="O90" i="2"/>
  <c r="O72" i="2"/>
  <c r="O80" i="2"/>
  <c r="O69" i="2"/>
  <c r="O76" i="2"/>
  <c r="O66" i="2"/>
  <c r="O70" i="2"/>
  <c r="O77" i="2"/>
  <c r="O67" i="2"/>
  <c r="O78" i="2"/>
  <c r="O65" i="2"/>
  <c r="O74" i="2"/>
  <c r="O83" i="2"/>
  <c r="O84" i="2"/>
  <c r="O88" i="2"/>
  <c r="O85" i="2"/>
  <c r="O81" i="2"/>
  <c r="O79" i="2"/>
  <c r="O86" i="2"/>
  <c r="O89" i="2"/>
  <c r="O91" i="2"/>
  <c r="O87" i="2"/>
  <c r="O92" i="2"/>
  <c r="N2" i="2"/>
  <c r="N3" i="2"/>
  <c r="N5" i="2"/>
  <c r="N14" i="2"/>
  <c r="N8" i="2"/>
  <c r="N4" i="2"/>
  <c r="N6" i="2"/>
  <c r="N9" i="2"/>
  <c r="N13" i="2"/>
  <c r="N21" i="2"/>
  <c r="N7" i="2"/>
  <c r="N20" i="2"/>
  <c r="N17" i="2"/>
  <c r="N19" i="2"/>
  <c r="N12" i="2"/>
  <c r="N16" i="2"/>
  <c r="N22" i="2"/>
  <c r="N11" i="2"/>
  <c r="N18" i="2"/>
  <c r="N32" i="2"/>
  <c r="N10" i="2"/>
  <c r="N23" i="2"/>
  <c r="N26" i="2"/>
  <c r="N25" i="2"/>
  <c r="N24" i="2"/>
  <c r="N33" i="2"/>
  <c r="N35" i="2"/>
  <c r="N55" i="2"/>
  <c r="N41" i="2"/>
  <c r="N43" i="2"/>
  <c r="N58" i="2"/>
  <c r="N36" i="2"/>
  <c r="N34" i="2"/>
  <c r="N45" i="2"/>
  <c r="N40" i="2"/>
  <c r="N49" i="2"/>
  <c r="N46" i="2"/>
  <c r="N48" i="2"/>
  <c r="N50" i="2"/>
  <c r="N31" i="2"/>
  <c r="N52" i="2"/>
  <c r="N42" i="2"/>
  <c r="N51" i="2"/>
  <c r="N62" i="2"/>
  <c r="N59" i="2"/>
  <c r="N56" i="2"/>
  <c r="N57" i="2"/>
  <c r="N71" i="2"/>
  <c r="N63" i="2"/>
  <c r="N47" i="2"/>
  <c r="N75" i="2"/>
  <c r="N68" i="2"/>
  <c r="N64" i="2"/>
  <c r="N60" i="2"/>
  <c r="N54" i="2"/>
  <c r="N90" i="2"/>
  <c r="N72" i="2"/>
  <c r="N80" i="2"/>
  <c r="N69" i="2"/>
  <c r="N76" i="2"/>
  <c r="N66" i="2"/>
  <c r="N70" i="2"/>
  <c r="N77" i="2"/>
  <c r="N78" i="2"/>
  <c r="N65" i="2"/>
  <c r="N74" i="2"/>
  <c r="N83" i="2"/>
  <c r="N84" i="2"/>
  <c r="N88" i="2"/>
  <c r="N85" i="2"/>
  <c r="N81" i="2"/>
  <c r="N79" i="2"/>
  <c r="N86" i="2"/>
  <c r="N89" i="2"/>
  <c r="N91" i="2"/>
  <c r="N87" i="2"/>
  <c r="N92" i="2"/>
  <c r="M2" i="2"/>
  <c r="M3" i="2"/>
  <c r="M5" i="2"/>
  <c r="M14" i="2"/>
  <c r="M8" i="2"/>
  <c r="M4" i="2"/>
  <c r="M6" i="2"/>
  <c r="M9" i="2"/>
  <c r="M13" i="2"/>
  <c r="M20" i="2"/>
  <c r="M17" i="2"/>
  <c r="M19" i="2"/>
  <c r="M12" i="2"/>
  <c r="M22" i="2"/>
  <c r="M11" i="2"/>
  <c r="M32" i="2"/>
  <c r="M10" i="2"/>
  <c r="M15" i="2"/>
  <c r="M28" i="2"/>
  <c r="M23" i="2"/>
  <c r="M27" i="2"/>
  <c r="M26" i="2"/>
  <c r="M25" i="2"/>
  <c r="M38" i="2"/>
  <c r="M39" i="2"/>
  <c r="M30" i="2"/>
  <c r="M33" i="2"/>
  <c r="M29" i="2"/>
  <c r="M35" i="2"/>
  <c r="M37" i="2"/>
  <c r="M55" i="2"/>
  <c r="M41" i="2"/>
  <c r="M44" i="2"/>
  <c r="M58" i="2"/>
  <c r="M36" i="2"/>
  <c r="M45" i="2"/>
  <c r="M49" i="2"/>
  <c r="M46" i="2"/>
  <c r="M48" i="2"/>
  <c r="M50" i="2"/>
  <c r="M31" i="2"/>
  <c r="M53" i="2"/>
  <c r="M52" i="2"/>
  <c r="M42" i="2"/>
  <c r="M61" i="2"/>
  <c r="M51" i="2"/>
  <c r="M62" i="2"/>
  <c r="M82" i="2"/>
  <c r="M56" i="2"/>
  <c r="M57" i="2"/>
  <c r="M71" i="2"/>
  <c r="M73" i="2"/>
  <c r="M63" i="2"/>
  <c r="M47" i="2"/>
  <c r="M75" i="2"/>
  <c r="M68" i="2"/>
  <c r="M64" i="2"/>
  <c r="M60" i="2"/>
  <c r="M54" i="2"/>
  <c r="M90" i="2"/>
  <c r="M72" i="2"/>
  <c r="M80" i="2"/>
  <c r="M69" i="2"/>
  <c r="M76" i="2"/>
  <c r="M66" i="2"/>
  <c r="M70" i="2"/>
  <c r="M67" i="2"/>
  <c r="M78" i="2"/>
  <c r="M65" i="2"/>
  <c r="M74" i="2"/>
  <c r="M83" i="2"/>
  <c r="M84" i="2"/>
  <c r="M88" i="2"/>
  <c r="M85" i="2"/>
  <c r="M79" i="2"/>
  <c r="M86" i="2"/>
  <c r="M89" i="2"/>
  <c r="M91" i="2"/>
  <c r="M87" i="2"/>
  <c r="M92" i="2"/>
  <c r="L5" i="2"/>
  <c r="L14" i="2"/>
  <c r="L8" i="2"/>
  <c r="L4" i="2"/>
  <c r="L9" i="2"/>
  <c r="L13" i="2"/>
  <c r="L20" i="2"/>
  <c r="L17" i="2"/>
  <c r="L12" i="2"/>
  <c r="L22" i="2"/>
  <c r="L11" i="2"/>
  <c r="L18" i="2"/>
  <c r="L32" i="2"/>
  <c r="L10" i="2"/>
  <c r="L15" i="2"/>
  <c r="L28" i="2"/>
  <c r="L27" i="2"/>
  <c r="L26" i="2"/>
  <c r="L25" i="2"/>
  <c r="L38" i="2"/>
  <c r="L39" i="2"/>
  <c r="L30" i="2"/>
  <c r="L33" i="2"/>
  <c r="L29" i="2"/>
  <c r="L35" i="2"/>
  <c r="L55" i="2"/>
  <c r="L41" i="2"/>
  <c r="L43" i="2"/>
  <c r="L44" i="2"/>
  <c r="L58" i="2"/>
  <c r="L36" i="2"/>
  <c r="L45" i="2"/>
  <c r="L40" i="2"/>
  <c r="L49" i="2"/>
  <c r="L46" i="2"/>
  <c r="L48" i="2"/>
  <c r="L50" i="2"/>
  <c r="L31" i="2"/>
  <c r="L53" i="2"/>
  <c r="L52" i="2"/>
  <c r="L42" i="2"/>
  <c r="L61" i="2"/>
  <c r="L51" i="2"/>
  <c r="L62" i="2"/>
  <c r="L59" i="2"/>
  <c r="L82" i="2"/>
  <c r="L56" i="2"/>
  <c r="L57" i="2"/>
  <c r="L71" i="2"/>
  <c r="L73" i="2"/>
  <c r="L63" i="2"/>
  <c r="L47" i="2"/>
  <c r="L75" i="2"/>
  <c r="L68" i="2"/>
  <c r="L64" i="2"/>
  <c r="L60" i="2"/>
  <c r="L54" i="2"/>
  <c r="L90" i="2"/>
  <c r="L72" i="2"/>
  <c r="L80" i="2"/>
  <c r="L69" i="2"/>
  <c r="L76" i="2"/>
  <c r="L66" i="2"/>
  <c r="L70" i="2"/>
  <c r="L77" i="2"/>
  <c r="L67" i="2"/>
  <c r="L78" i="2"/>
  <c r="L65" i="2"/>
  <c r="L74" i="2"/>
  <c r="L83" i="2"/>
  <c r="L84" i="2"/>
  <c r="L88" i="2"/>
  <c r="L85" i="2"/>
  <c r="L81" i="2"/>
  <c r="L79" i="2"/>
  <c r="L86" i="2"/>
  <c r="L89" i="2"/>
  <c r="L91" i="2"/>
  <c r="L87" i="2"/>
  <c r="L92" i="2"/>
  <c r="K2" i="2"/>
  <c r="K3" i="2"/>
  <c r="K5" i="2"/>
  <c r="K14" i="2"/>
  <c r="K8" i="2"/>
  <c r="K4" i="2"/>
  <c r="K6" i="2"/>
  <c r="K9" i="2"/>
  <c r="K13" i="2"/>
  <c r="K21" i="2"/>
  <c r="K7" i="2"/>
  <c r="K20" i="2"/>
  <c r="K17" i="2"/>
  <c r="K19" i="2"/>
  <c r="K12" i="2"/>
  <c r="K16" i="2"/>
  <c r="K22" i="2"/>
  <c r="K11" i="2"/>
  <c r="K18" i="2"/>
  <c r="K32" i="2"/>
  <c r="K10" i="2"/>
  <c r="K15" i="2"/>
  <c r="K28" i="2"/>
  <c r="K23" i="2"/>
  <c r="K27" i="2"/>
  <c r="K26" i="2"/>
  <c r="K25" i="2"/>
  <c r="K38" i="2"/>
  <c r="K39" i="2"/>
  <c r="K30" i="2"/>
  <c r="K24" i="2"/>
  <c r="K33" i="2"/>
  <c r="K29" i="2"/>
  <c r="K35" i="2"/>
  <c r="K37" i="2"/>
  <c r="K55" i="2"/>
  <c r="K41" i="2"/>
  <c r="K43" i="2"/>
  <c r="K44" i="2"/>
  <c r="K58" i="2"/>
  <c r="K36" i="2"/>
  <c r="K34" i="2"/>
  <c r="K45" i="2"/>
  <c r="K40" i="2"/>
  <c r="K49" i="2"/>
  <c r="K46" i="2"/>
  <c r="K48" i="2"/>
  <c r="K50" i="2"/>
  <c r="K31" i="2"/>
  <c r="K53" i="2"/>
  <c r="K52" i="2"/>
  <c r="K42" i="2"/>
  <c r="K61" i="2"/>
  <c r="K51" i="2"/>
  <c r="K62" i="2"/>
  <c r="K59" i="2"/>
  <c r="K82" i="2"/>
  <c r="K56" i="2"/>
  <c r="K57" i="2"/>
  <c r="K71" i="2"/>
  <c r="K73" i="2"/>
  <c r="K63" i="2"/>
  <c r="K47" i="2"/>
  <c r="K75" i="2"/>
  <c r="K68" i="2"/>
  <c r="K64" i="2"/>
  <c r="K60" i="2"/>
  <c r="K54" i="2"/>
  <c r="K90" i="2"/>
  <c r="K72" i="2"/>
  <c r="K80" i="2"/>
  <c r="K69" i="2"/>
  <c r="K76" i="2"/>
  <c r="K66" i="2"/>
  <c r="K70" i="2"/>
  <c r="K77" i="2"/>
  <c r="K67" i="2"/>
  <c r="K78" i="2"/>
  <c r="K65" i="2"/>
  <c r="K74" i="2"/>
  <c r="K83" i="2"/>
  <c r="K84" i="2"/>
  <c r="K88" i="2"/>
  <c r="K85" i="2"/>
  <c r="K81" i="2"/>
  <c r="K79" i="2"/>
  <c r="K86" i="2"/>
  <c r="K89" i="2"/>
  <c r="K91" i="2"/>
  <c r="K87" i="2"/>
  <c r="K92" i="2"/>
  <c r="D2" i="2"/>
  <c r="D3" i="2"/>
  <c r="R3" i="2" s="1"/>
  <c r="D5" i="2"/>
  <c r="D14" i="2"/>
  <c r="D8" i="2"/>
  <c r="D4" i="2"/>
  <c r="D6" i="2"/>
  <c r="D9" i="2"/>
  <c r="D13" i="2"/>
  <c r="D21" i="2"/>
  <c r="R21" i="2" s="1"/>
  <c r="D7" i="2"/>
  <c r="D20" i="2"/>
  <c r="D17" i="2"/>
  <c r="D19" i="2"/>
  <c r="D12" i="2"/>
  <c r="D16" i="2"/>
  <c r="D22" i="2"/>
  <c r="D11" i="2"/>
  <c r="D18" i="2"/>
  <c r="D32" i="2"/>
  <c r="D10" i="2"/>
  <c r="D15" i="2"/>
  <c r="D28" i="2"/>
  <c r="D23" i="2"/>
  <c r="D27" i="2"/>
  <c r="D26" i="2"/>
  <c r="D25" i="2"/>
  <c r="D38" i="2"/>
  <c r="D39" i="2"/>
  <c r="D30" i="2"/>
  <c r="D24" i="2"/>
  <c r="D33" i="2"/>
  <c r="D29" i="2"/>
  <c r="D35" i="2"/>
  <c r="D37" i="2"/>
  <c r="D55" i="2"/>
  <c r="D41" i="2"/>
  <c r="D43" i="2"/>
  <c r="D44" i="2"/>
  <c r="D58" i="2"/>
  <c r="D36" i="2"/>
  <c r="D34" i="2"/>
  <c r="D45" i="2"/>
  <c r="D40" i="2"/>
  <c r="D49" i="2"/>
  <c r="D46" i="2"/>
  <c r="D48" i="2"/>
  <c r="D50" i="2"/>
  <c r="D31" i="2"/>
  <c r="D53" i="2"/>
  <c r="D52" i="2"/>
  <c r="D42" i="2"/>
  <c r="D61" i="2"/>
  <c r="D51" i="2"/>
  <c r="D62" i="2"/>
  <c r="D59" i="2"/>
  <c r="D82" i="2"/>
  <c r="D56" i="2"/>
  <c r="D57" i="2"/>
  <c r="D71" i="2"/>
  <c r="D73" i="2"/>
  <c r="D63" i="2"/>
  <c r="D47" i="2"/>
  <c r="D75" i="2"/>
  <c r="D68" i="2"/>
  <c r="D64" i="2"/>
  <c r="D60" i="2"/>
  <c r="D54" i="2"/>
  <c r="D90" i="2"/>
  <c r="D72" i="2"/>
  <c r="D80" i="2"/>
  <c r="D69" i="2"/>
  <c r="D76" i="2"/>
  <c r="D66" i="2"/>
  <c r="D70" i="2"/>
  <c r="D77" i="2"/>
  <c r="D67" i="2"/>
  <c r="D78" i="2"/>
  <c r="D65" i="2"/>
  <c r="D74" i="2"/>
  <c r="D83" i="2"/>
  <c r="D84" i="2"/>
  <c r="D88" i="2"/>
  <c r="D85" i="2"/>
  <c r="D81" i="2"/>
  <c r="D79" i="2"/>
  <c r="D86" i="2"/>
  <c r="D89" i="2"/>
  <c r="D91" i="2"/>
  <c r="D87" i="2"/>
  <c r="D92" i="2"/>
  <c r="E2" i="2"/>
  <c r="E3" i="2"/>
  <c r="E5" i="2"/>
  <c r="E14" i="2"/>
  <c r="E8" i="2"/>
  <c r="E4" i="2"/>
  <c r="E6" i="2"/>
  <c r="E9" i="2"/>
  <c r="E13" i="2"/>
  <c r="E21" i="2"/>
  <c r="E7" i="2"/>
  <c r="E20" i="2"/>
  <c r="E17" i="2"/>
  <c r="E19" i="2"/>
  <c r="E12" i="2"/>
  <c r="E16" i="2"/>
  <c r="E22" i="2"/>
  <c r="E11" i="2"/>
  <c r="E18" i="2"/>
  <c r="E32" i="2"/>
  <c r="E10" i="2"/>
  <c r="E15" i="2"/>
  <c r="E28" i="2"/>
  <c r="E23" i="2"/>
  <c r="E27" i="2"/>
  <c r="E26" i="2"/>
  <c r="E25" i="2"/>
  <c r="E38" i="2"/>
  <c r="E39" i="2"/>
  <c r="E30" i="2"/>
  <c r="E24" i="2"/>
  <c r="E33" i="2"/>
  <c r="E29" i="2"/>
  <c r="E35" i="2"/>
  <c r="E37" i="2"/>
  <c r="E55" i="2"/>
  <c r="E41" i="2"/>
  <c r="E43" i="2"/>
  <c r="E44" i="2"/>
  <c r="E58" i="2"/>
  <c r="E36" i="2"/>
  <c r="E34" i="2"/>
  <c r="E45" i="2"/>
  <c r="E40" i="2"/>
  <c r="E49" i="2"/>
  <c r="E46" i="2"/>
  <c r="E48" i="2"/>
  <c r="E50" i="2"/>
  <c r="E31" i="2"/>
  <c r="E53" i="2"/>
  <c r="E52" i="2"/>
  <c r="E42" i="2"/>
  <c r="E61" i="2"/>
  <c r="E51" i="2"/>
  <c r="E62" i="2"/>
  <c r="E59" i="2"/>
  <c r="E82" i="2"/>
  <c r="E56" i="2"/>
  <c r="E57" i="2"/>
  <c r="E71" i="2"/>
  <c r="E73" i="2"/>
  <c r="E63" i="2"/>
  <c r="E47" i="2"/>
  <c r="E75" i="2"/>
  <c r="E68" i="2"/>
  <c r="E64" i="2"/>
  <c r="E60" i="2"/>
  <c r="E54" i="2"/>
  <c r="E90" i="2"/>
  <c r="E72" i="2"/>
  <c r="E80" i="2"/>
  <c r="E69" i="2"/>
  <c r="E76" i="2"/>
  <c r="E66" i="2"/>
  <c r="E70" i="2"/>
  <c r="E77" i="2"/>
  <c r="E67" i="2"/>
  <c r="E78" i="2"/>
  <c r="E65" i="2"/>
  <c r="E74" i="2"/>
  <c r="E83" i="2"/>
  <c r="E84" i="2"/>
  <c r="E88" i="2"/>
  <c r="E85" i="2"/>
  <c r="E81" i="2"/>
  <c r="E79" i="2"/>
  <c r="E86" i="2"/>
  <c r="E89" i="2"/>
  <c r="E91" i="2"/>
  <c r="E87" i="2"/>
  <c r="E92" i="2"/>
  <c r="F2" i="2"/>
  <c r="F3" i="2"/>
  <c r="F5" i="2"/>
  <c r="F14" i="2"/>
  <c r="F8" i="2"/>
  <c r="F4" i="2"/>
  <c r="F6" i="2"/>
  <c r="F9" i="2"/>
  <c r="F13" i="2"/>
  <c r="F21" i="2"/>
  <c r="F7" i="2"/>
  <c r="F20" i="2"/>
  <c r="F17" i="2"/>
  <c r="F19" i="2"/>
  <c r="F12" i="2"/>
  <c r="F16" i="2"/>
  <c r="F22" i="2"/>
  <c r="F11" i="2"/>
  <c r="F18" i="2"/>
  <c r="F32" i="2"/>
  <c r="F10" i="2"/>
  <c r="F15" i="2"/>
  <c r="F28" i="2"/>
  <c r="F23" i="2"/>
  <c r="F27" i="2"/>
  <c r="F26" i="2"/>
  <c r="F25" i="2"/>
  <c r="F38" i="2"/>
  <c r="F39" i="2"/>
  <c r="F30" i="2"/>
  <c r="F24" i="2"/>
  <c r="F33" i="2"/>
  <c r="F29" i="2"/>
  <c r="F35" i="2"/>
  <c r="F37" i="2"/>
  <c r="F55" i="2"/>
  <c r="F41" i="2"/>
  <c r="F43" i="2"/>
  <c r="F44" i="2"/>
  <c r="F58" i="2"/>
  <c r="F36" i="2"/>
  <c r="F34" i="2"/>
  <c r="F45" i="2"/>
  <c r="F40" i="2"/>
  <c r="F49" i="2"/>
  <c r="F46" i="2"/>
  <c r="F48" i="2"/>
  <c r="F50" i="2"/>
  <c r="F31" i="2"/>
  <c r="F53" i="2"/>
  <c r="F52" i="2"/>
  <c r="F42" i="2"/>
  <c r="F61" i="2"/>
  <c r="F51" i="2"/>
  <c r="F62" i="2"/>
  <c r="F59" i="2"/>
  <c r="F82" i="2"/>
  <c r="F56" i="2"/>
  <c r="F57" i="2"/>
  <c r="F71" i="2"/>
  <c r="F73" i="2"/>
  <c r="F63" i="2"/>
  <c r="F47" i="2"/>
  <c r="F75" i="2"/>
  <c r="F68" i="2"/>
  <c r="F64" i="2"/>
  <c r="F60" i="2"/>
  <c r="F54" i="2"/>
  <c r="F90" i="2"/>
  <c r="F72" i="2"/>
  <c r="F80" i="2"/>
  <c r="F69" i="2"/>
  <c r="F76" i="2"/>
  <c r="F66" i="2"/>
  <c r="F70" i="2"/>
  <c r="F77" i="2"/>
  <c r="F67" i="2"/>
  <c r="F78" i="2"/>
  <c r="F65" i="2"/>
  <c r="F74" i="2"/>
  <c r="F83" i="2"/>
  <c r="F84" i="2"/>
  <c r="F88" i="2"/>
  <c r="F85" i="2"/>
  <c r="F81" i="2"/>
  <c r="F79" i="2"/>
  <c r="F86" i="2"/>
  <c r="F89" i="2"/>
  <c r="F91" i="2"/>
  <c r="F87" i="2"/>
  <c r="F92" i="2"/>
  <c r="U85" i="2"/>
  <c r="V85" i="2"/>
  <c r="X85" i="2"/>
  <c r="Y85" i="2"/>
  <c r="AA85" i="2"/>
  <c r="AB85" i="2"/>
  <c r="AD85" i="2"/>
  <c r="AE85" i="2"/>
  <c r="U50" i="2"/>
  <c r="U35" i="2"/>
  <c r="V50" i="2"/>
  <c r="V35" i="2"/>
  <c r="X50" i="2"/>
  <c r="X35" i="2"/>
  <c r="Y50" i="2"/>
  <c r="Y35" i="2"/>
  <c r="AA50" i="2"/>
  <c r="AA35" i="2"/>
  <c r="AB50" i="2"/>
  <c r="AB35" i="2"/>
  <c r="AD50" i="2"/>
  <c r="AD35" i="2"/>
  <c r="AE50" i="2"/>
  <c r="AE35" i="2"/>
  <c r="D12" i="4"/>
  <c r="C12" i="4"/>
  <c r="D21" i="4"/>
  <c r="C21" i="4"/>
  <c r="D11" i="4"/>
  <c r="C11" i="4"/>
  <c r="D8" i="4"/>
  <c r="C8" i="4"/>
  <c r="D6" i="4"/>
  <c r="C6" i="4"/>
  <c r="D9" i="4"/>
  <c r="C9" i="4"/>
  <c r="D4" i="4"/>
  <c r="C4" i="4"/>
  <c r="D7" i="4"/>
  <c r="C7" i="4"/>
  <c r="D15" i="4"/>
  <c r="C15" i="4"/>
  <c r="D3" i="4"/>
  <c r="C3" i="4"/>
  <c r="D17" i="4"/>
  <c r="C17" i="4"/>
  <c r="D19" i="4"/>
  <c r="C19" i="4"/>
  <c r="D14" i="4"/>
  <c r="C14" i="4"/>
  <c r="D5" i="4"/>
  <c r="C5" i="4"/>
  <c r="D18" i="4"/>
  <c r="C18" i="4"/>
  <c r="D16" i="4"/>
  <c r="C16" i="4"/>
  <c r="D13" i="4"/>
  <c r="C13" i="4"/>
  <c r="D20" i="4"/>
  <c r="C20" i="4"/>
  <c r="D10" i="4"/>
  <c r="C10" i="4"/>
  <c r="D2" i="4"/>
  <c r="C2" i="4"/>
  <c r="Y25" i="4"/>
  <c r="Y24" i="4"/>
  <c r="Y23" i="4"/>
  <c r="U74" i="2"/>
  <c r="U31" i="2"/>
  <c r="U84" i="2"/>
  <c r="U81" i="2"/>
  <c r="U91" i="2"/>
  <c r="U36" i="2"/>
  <c r="U65" i="2"/>
  <c r="U92" i="2"/>
  <c r="U77" i="2"/>
  <c r="U54" i="2"/>
  <c r="U12" i="2"/>
  <c r="U86" i="2"/>
  <c r="U43" i="2"/>
  <c r="U80" i="2"/>
  <c r="U66" i="2"/>
  <c r="U76" i="2"/>
  <c r="U75" i="2"/>
  <c r="U53" i="2"/>
  <c r="U10" i="2"/>
  <c r="U82" i="2"/>
  <c r="U64" i="2"/>
  <c r="U90" i="2"/>
  <c r="U68" i="2"/>
  <c r="U49" i="2"/>
  <c r="U88" i="2"/>
  <c r="U63" i="2"/>
  <c r="U27" i="2"/>
  <c r="U48" i="2"/>
  <c r="U44" i="2"/>
  <c r="U87" i="2"/>
  <c r="U67" i="2"/>
  <c r="U71" i="2"/>
  <c r="U51" i="2"/>
  <c r="U41" i="2"/>
  <c r="U25" i="2"/>
  <c r="U72" i="2"/>
  <c r="U60" i="2"/>
  <c r="U55" i="2"/>
  <c r="U15" i="2"/>
  <c r="U83" i="2"/>
  <c r="U56" i="2"/>
  <c r="U47" i="2"/>
  <c r="U69" i="2"/>
  <c r="U32" i="2"/>
  <c r="U46" i="2"/>
  <c r="U42" i="2"/>
  <c r="U73" i="2"/>
  <c r="U37" i="2"/>
  <c r="U52" i="2"/>
  <c r="U62" i="2"/>
  <c r="U33" i="2"/>
  <c r="U70" i="2"/>
  <c r="U26" i="2"/>
  <c r="U78" i="2"/>
  <c r="U29" i="2"/>
  <c r="U23" i="2"/>
  <c r="U45" i="2"/>
  <c r="U11" i="2"/>
  <c r="U24" i="2"/>
  <c r="U61" i="2"/>
  <c r="U89" i="2"/>
  <c r="U57" i="2"/>
  <c r="U40" i="2"/>
  <c r="V13" i="2"/>
  <c r="V7" i="2"/>
  <c r="V74" i="2"/>
  <c r="V31" i="2"/>
  <c r="V19" i="2"/>
  <c r="V3" i="2"/>
  <c r="V84" i="2"/>
  <c r="V81" i="2"/>
  <c r="V28" i="2"/>
  <c r="V91" i="2"/>
  <c r="W91" i="2" s="1"/>
  <c r="V79" i="2"/>
  <c r="W79" i="2" s="1"/>
  <c r="V36" i="2"/>
  <c r="V65" i="2"/>
  <c r="V92" i="2"/>
  <c r="V77" i="2"/>
  <c r="V2" i="2"/>
  <c r="V54" i="2"/>
  <c r="V12" i="2"/>
  <c r="V86" i="2"/>
  <c r="V30" i="2"/>
  <c r="V14" i="2"/>
  <c r="V43" i="2"/>
  <c r="V80" i="2"/>
  <c r="V6" i="2"/>
  <c r="V66" i="2"/>
  <c r="V76" i="2"/>
  <c r="V22" i="2"/>
  <c r="V75" i="2"/>
  <c r="V53" i="2"/>
  <c r="V10" i="2"/>
  <c r="V82" i="2"/>
  <c r="V20" i="2"/>
  <c r="V64" i="2"/>
  <c r="V90" i="2"/>
  <c r="V68" i="2"/>
  <c r="V17" i="2"/>
  <c r="V39" i="2"/>
  <c r="V49" i="2"/>
  <c r="V88" i="2"/>
  <c r="V63" i="2"/>
  <c r="V27" i="2"/>
  <c r="V8" i="2"/>
  <c r="V48" i="2"/>
  <c r="V44" i="2"/>
  <c r="V87" i="2"/>
  <c r="V67" i="2"/>
  <c r="V58" i="2"/>
  <c r="V71" i="2"/>
  <c r="V18" i="2"/>
  <c r="V51" i="2"/>
  <c r="V34" i="2"/>
  <c r="V41" i="2"/>
  <c r="V9" i="2"/>
  <c r="V25" i="2"/>
  <c r="V72" i="2"/>
  <c r="V60" i="2"/>
  <c r="V55" i="2"/>
  <c r="V4" i="2"/>
  <c r="V15" i="2"/>
  <c r="V83" i="2"/>
  <c r="V56" i="2"/>
  <c r="V47" i="2"/>
  <c r="V69" i="2"/>
  <c r="V32" i="2"/>
  <c r="V5" i="2"/>
  <c r="V46" i="2"/>
  <c r="W46" i="2" s="1"/>
  <c r="V42" i="2"/>
  <c r="V73" i="2"/>
  <c r="V38" i="2"/>
  <c r="V37" i="2"/>
  <c r="V52" i="2"/>
  <c r="V62" i="2"/>
  <c r="V33" i="2"/>
  <c r="V70" i="2"/>
  <c r="V26" i="2"/>
  <c r="V21" i="2"/>
  <c r="V78" i="2"/>
  <c r="V29" i="2"/>
  <c r="V23" i="2"/>
  <c r="V45" i="2"/>
  <c r="V11" i="2"/>
  <c r="V16" i="2"/>
  <c r="V24" i="2"/>
  <c r="V61" i="2"/>
  <c r="V89" i="2"/>
  <c r="V57" i="2"/>
  <c r="V40" i="2"/>
  <c r="X13" i="2"/>
  <c r="X7" i="2"/>
  <c r="X74" i="2"/>
  <c r="X31" i="2"/>
  <c r="X19" i="2"/>
  <c r="X3" i="2"/>
  <c r="X84" i="2"/>
  <c r="X81" i="2"/>
  <c r="X28" i="2"/>
  <c r="X91" i="2"/>
  <c r="X79" i="2"/>
  <c r="X36" i="2"/>
  <c r="X65" i="2"/>
  <c r="X92" i="2"/>
  <c r="X77" i="2"/>
  <c r="X2" i="2"/>
  <c r="X54" i="2"/>
  <c r="X12" i="2"/>
  <c r="X86" i="2"/>
  <c r="X30" i="2"/>
  <c r="X14" i="2"/>
  <c r="X43" i="2"/>
  <c r="X80" i="2"/>
  <c r="X6" i="2"/>
  <c r="X66" i="2"/>
  <c r="X76" i="2"/>
  <c r="X22" i="2"/>
  <c r="X75" i="2"/>
  <c r="X53" i="2"/>
  <c r="X10" i="2"/>
  <c r="X82" i="2"/>
  <c r="X20" i="2"/>
  <c r="X64" i="2"/>
  <c r="X90" i="2"/>
  <c r="X68" i="2"/>
  <c r="X17" i="2"/>
  <c r="X39" i="2"/>
  <c r="X49" i="2"/>
  <c r="X88" i="2"/>
  <c r="X63" i="2"/>
  <c r="X27" i="2"/>
  <c r="X8" i="2"/>
  <c r="X48" i="2"/>
  <c r="X44" i="2"/>
  <c r="X87" i="2"/>
  <c r="X67" i="2"/>
  <c r="X58" i="2"/>
  <c r="X71" i="2"/>
  <c r="X18" i="2"/>
  <c r="X51" i="2"/>
  <c r="X34" i="2"/>
  <c r="X41" i="2"/>
  <c r="X9" i="2"/>
  <c r="X25" i="2"/>
  <c r="X72" i="2"/>
  <c r="X60" i="2"/>
  <c r="X55" i="2"/>
  <c r="X4" i="2"/>
  <c r="X15" i="2"/>
  <c r="X83" i="2"/>
  <c r="X56" i="2"/>
  <c r="X47" i="2"/>
  <c r="X69" i="2"/>
  <c r="X32" i="2"/>
  <c r="X5" i="2"/>
  <c r="X46" i="2"/>
  <c r="X42" i="2"/>
  <c r="X73" i="2"/>
  <c r="X38" i="2"/>
  <c r="X37" i="2"/>
  <c r="X52" i="2"/>
  <c r="X62" i="2"/>
  <c r="X33" i="2"/>
  <c r="X70" i="2"/>
  <c r="X26" i="2"/>
  <c r="X21" i="2"/>
  <c r="X78" i="2"/>
  <c r="X29" i="2"/>
  <c r="X23" i="2"/>
  <c r="X45" i="2"/>
  <c r="X11" i="2"/>
  <c r="X16" i="2"/>
  <c r="X24" i="2"/>
  <c r="X61" i="2"/>
  <c r="X89" i="2"/>
  <c r="X57" i="2"/>
  <c r="X40" i="2"/>
  <c r="Y13" i="2"/>
  <c r="Y7" i="2"/>
  <c r="Y74" i="2"/>
  <c r="Y31" i="2"/>
  <c r="Y19" i="2"/>
  <c r="Y3" i="2"/>
  <c r="Y84" i="2"/>
  <c r="Y81" i="2"/>
  <c r="Y28" i="2"/>
  <c r="Y91" i="2"/>
  <c r="Y79" i="2"/>
  <c r="Y36" i="2"/>
  <c r="Y65" i="2"/>
  <c r="Y92" i="2"/>
  <c r="Y77" i="2"/>
  <c r="Y2" i="2"/>
  <c r="Y54" i="2"/>
  <c r="Y12" i="2"/>
  <c r="Y86" i="2"/>
  <c r="Y30" i="2"/>
  <c r="Y14" i="2"/>
  <c r="Y43" i="2"/>
  <c r="Y80" i="2"/>
  <c r="Y6" i="2"/>
  <c r="Y66" i="2"/>
  <c r="Y76" i="2"/>
  <c r="Y22" i="2"/>
  <c r="Y75" i="2"/>
  <c r="Y53" i="2"/>
  <c r="Y10" i="2"/>
  <c r="Y82" i="2"/>
  <c r="Y20" i="2"/>
  <c r="Y64" i="2"/>
  <c r="Y90" i="2"/>
  <c r="Y68" i="2"/>
  <c r="Y17" i="2"/>
  <c r="Y39" i="2"/>
  <c r="Y49" i="2"/>
  <c r="Y88" i="2"/>
  <c r="Y63" i="2"/>
  <c r="Y27" i="2"/>
  <c r="Y8" i="2"/>
  <c r="Y48" i="2"/>
  <c r="Y44" i="2"/>
  <c r="Y87" i="2"/>
  <c r="Y67" i="2"/>
  <c r="Y58" i="2"/>
  <c r="Y71" i="2"/>
  <c r="Y18" i="2"/>
  <c r="Y51" i="2"/>
  <c r="Y34" i="2"/>
  <c r="Y41" i="2"/>
  <c r="Y9" i="2"/>
  <c r="Y25" i="2"/>
  <c r="Y72" i="2"/>
  <c r="Y60" i="2"/>
  <c r="Y55" i="2"/>
  <c r="Y4" i="2"/>
  <c r="Y15" i="2"/>
  <c r="Y83" i="2"/>
  <c r="Y56" i="2"/>
  <c r="Y47" i="2"/>
  <c r="Y69" i="2"/>
  <c r="Y32" i="2"/>
  <c r="Y5" i="2"/>
  <c r="Y46" i="2"/>
  <c r="Y42" i="2"/>
  <c r="Y73" i="2"/>
  <c r="Y38" i="2"/>
  <c r="Y37" i="2"/>
  <c r="Y52" i="2"/>
  <c r="Y62" i="2"/>
  <c r="Y33" i="2"/>
  <c r="Y70" i="2"/>
  <c r="Y26" i="2"/>
  <c r="Y21" i="2"/>
  <c r="Y78" i="2"/>
  <c r="Y29" i="2"/>
  <c r="Y23" i="2"/>
  <c r="Y45" i="2"/>
  <c r="Y11" i="2"/>
  <c r="Y16" i="2"/>
  <c r="Y24" i="2"/>
  <c r="Y61" i="2"/>
  <c r="Y89" i="2"/>
  <c r="Y57" i="2"/>
  <c r="Y40" i="2"/>
  <c r="AA13" i="2"/>
  <c r="AA31" i="2"/>
  <c r="AA19" i="2"/>
  <c r="AA3" i="2"/>
  <c r="AA81" i="2"/>
  <c r="AA28" i="2"/>
  <c r="AA91" i="2"/>
  <c r="AA79" i="2"/>
  <c r="AA65" i="2"/>
  <c r="AA92" i="2"/>
  <c r="AA77" i="2"/>
  <c r="AA54" i="2"/>
  <c r="AA12" i="2"/>
  <c r="AA30" i="2"/>
  <c r="AA14" i="2"/>
  <c r="AA43" i="2"/>
  <c r="AA80" i="2"/>
  <c r="AA66" i="2"/>
  <c r="AA76" i="2"/>
  <c r="AA22" i="2"/>
  <c r="AA75" i="2"/>
  <c r="AA82" i="2"/>
  <c r="AA64" i="2"/>
  <c r="AA90" i="2"/>
  <c r="AA68" i="2"/>
  <c r="AA88" i="2"/>
  <c r="AA63" i="2"/>
  <c r="AA27" i="2"/>
  <c r="AA8" i="2"/>
  <c r="AA48" i="2"/>
  <c r="AA44" i="2"/>
  <c r="AA87" i="2"/>
  <c r="AA67" i="2"/>
  <c r="AA58" i="2"/>
  <c r="AA71" i="2"/>
  <c r="AA18" i="2"/>
  <c r="AA51" i="2"/>
  <c r="AA34" i="2"/>
  <c r="AA41" i="2"/>
  <c r="AA9" i="2"/>
  <c r="AA72" i="2"/>
  <c r="AA60" i="2"/>
  <c r="AA55" i="2"/>
  <c r="AA83" i="2"/>
  <c r="AA56" i="2"/>
  <c r="AA47" i="2"/>
  <c r="AA69" i="2"/>
  <c r="AA32" i="2"/>
  <c r="AA46" i="2"/>
  <c r="AA42" i="2"/>
  <c r="AA73" i="2"/>
  <c r="AA38" i="2"/>
  <c r="AA52" i="2"/>
  <c r="AA62" i="2"/>
  <c r="AA33" i="2"/>
  <c r="AA70" i="2"/>
  <c r="AA26" i="2"/>
  <c r="AA78" i="2"/>
  <c r="AA23" i="2"/>
  <c r="AA45" i="2"/>
  <c r="AA11" i="2"/>
  <c r="AA24" i="2"/>
  <c r="AA61" i="2"/>
  <c r="AA89" i="2"/>
  <c r="AA57" i="2"/>
  <c r="AA40" i="2"/>
  <c r="AB13" i="2"/>
  <c r="AB7" i="2"/>
  <c r="AB74" i="2"/>
  <c r="AB31" i="2"/>
  <c r="AB19" i="2"/>
  <c r="AB3" i="2"/>
  <c r="AB84" i="2"/>
  <c r="AB81" i="2"/>
  <c r="AB28" i="2"/>
  <c r="AB91" i="2"/>
  <c r="AB79" i="2"/>
  <c r="AB36" i="2"/>
  <c r="AB65" i="2"/>
  <c r="AB92" i="2"/>
  <c r="AB77" i="2"/>
  <c r="AB2" i="2"/>
  <c r="AB54" i="2"/>
  <c r="AB12" i="2"/>
  <c r="AB86" i="2"/>
  <c r="AB30" i="2"/>
  <c r="AB14" i="2"/>
  <c r="AB43" i="2"/>
  <c r="AB80" i="2"/>
  <c r="AB6" i="2"/>
  <c r="AB66" i="2"/>
  <c r="AB76" i="2"/>
  <c r="AB22" i="2"/>
  <c r="AB75" i="2"/>
  <c r="AB53" i="2"/>
  <c r="AB10" i="2"/>
  <c r="AC10" i="2" s="1"/>
  <c r="AB82" i="2"/>
  <c r="AB20" i="2"/>
  <c r="AB64" i="2"/>
  <c r="AB90" i="2"/>
  <c r="AB68" i="2"/>
  <c r="AB17" i="2"/>
  <c r="AB39" i="2"/>
  <c r="AB49" i="2"/>
  <c r="AB88" i="2"/>
  <c r="AB63" i="2"/>
  <c r="AB27" i="2"/>
  <c r="AB8" i="2"/>
  <c r="AB48" i="2"/>
  <c r="AB44" i="2"/>
  <c r="AB87" i="2"/>
  <c r="AB67" i="2"/>
  <c r="AB58" i="2"/>
  <c r="AB71" i="2"/>
  <c r="AB18" i="2"/>
  <c r="AB51" i="2"/>
  <c r="AB34" i="2"/>
  <c r="AB41" i="2"/>
  <c r="AB9" i="2"/>
  <c r="AB25" i="2"/>
  <c r="AB72" i="2"/>
  <c r="AB60" i="2"/>
  <c r="AB55" i="2"/>
  <c r="AB4" i="2"/>
  <c r="AB15" i="2"/>
  <c r="AC15" i="2" s="1"/>
  <c r="AB83" i="2"/>
  <c r="AB56" i="2"/>
  <c r="AB47" i="2"/>
  <c r="AB69" i="2"/>
  <c r="AB32" i="2"/>
  <c r="AB5" i="2"/>
  <c r="AC5" i="2" s="1"/>
  <c r="AB46" i="2"/>
  <c r="AB42" i="2"/>
  <c r="AB73" i="2"/>
  <c r="AB38" i="2"/>
  <c r="AB37" i="2"/>
  <c r="AB52" i="2"/>
  <c r="AB62" i="2"/>
  <c r="AB33" i="2"/>
  <c r="AB70" i="2"/>
  <c r="AB26" i="2"/>
  <c r="AB21" i="2"/>
  <c r="AB78" i="2"/>
  <c r="AB29" i="2"/>
  <c r="AB23" i="2"/>
  <c r="AB45" i="2"/>
  <c r="AB11" i="2"/>
  <c r="AB16" i="2"/>
  <c r="AB24" i="2"/>
  <c r="AB61" i="2"/>
  <c r="AB89" i="2"/>
  <c r="AB57" i="2"/>
  <c r="AB40" i="2"/>
  <c r="AD13" i="2"/>
  <c r="AD7" i="2"/>
  <c r="AD74" i="2"/>
  <c r="AD31" i="2"/>
  <c r="AD19" i="2"/>
  <c r="AD3" i="2"/>
  <c r="AD84" i="2"/>
  <c r="AD81" i="2"/>
  <c r="AD28" i="2"/>
  <c r="AD91" i="2"/>
  <c r="AD79" i="2"/>
  <c r="AD36" i="2"/>
  <c r="AD65" i="2"/>
  <c r="AD92" i="2"/>
  <c r="AD77" i="2"/>
  <c r="AD2" i="2"/>
  <c r="AD54" i="2"/>
  <c r="AD12" i="2"/>
  <c r="AD86" i="2"/>
  <c r="AD30" i="2"/>
  <c r="AD14" i="2"/>
  <c r="AD43" i="2"/>
  <c r="AD80" i="2"/>
  <c r="AD6" i="2"/>
  <c r="AD66" i="2"/>
  <c r="AD76" i="2"/>
  <c r="AD22" i="2"/>
  <c r="AD75" i="2"/>
  <c r="AD53" i="2"/>
  <c r="AD10" i="2"/>
  <c r="AD82" i="2"/>
  <c r="AD20" i="2"/>
  <c r="AD64" i="2"/>
  <c r="AD90" i="2"/>
  <c r="AD68" i="2"/>
  <c r="AD17" i="2"/>
  <c r="AD39" i="2"/>
  <c r="AD49" i="2"/>
  <c r="AD88" i="2"/>
  <c r="AD63" i="2"/>
  <c r="AD27" i="2"/>
  <c r="AD8" i="2"/>
  <c r="AD48" i="2"/>
  <c r="AD44" i="2"/>
  <c r="AD87" i="2"/>
  <c r="AD67" i="2"/>
  <c r="AD58" i="2"/>
  <c r="AD71" i="2"/>
  <c r="AD18" i="2"/>
  <c r="AD51" i="2"/>
  <c r="AD34" i="2"/>
  <c r="AD41" i="2"/>
  <c r="AD9" i="2"/>
  <c r="AD25" i="2"/>
  <c r="AD72" i="2"/>
  <c r="AD60" i="2"/>
  <c r="AD55" i="2"/>
  <c r="AD4" i="2"/>
  <c r="AD15" i="2"/>
  <c r="AD83" i="2"/>
  <c r="AD56" i="2"/>
  <c r="AD47" i="2"/>
  <c r="AD69" i="2"/>
  <c r="AD32" i="2"/>
  <c r="AD5" i="2"/>
  <c r="AD46" i="2"/>
  <c r="AD42" i="2"/>
  <c r="AD73" i="2"/>
  <c r="AD38" i="2"/>
  <c r="AD37" i="2"/>
  <c r="AD52" i="2"/>
  <c r="AD62" i="2"/>
  <c r="AD33" i="2"/>
  <c r="AD70" i="2"/>
  <c r="AD26" i="2"/>
  <c r="AD21" i="2"/>
  <c r="AD78" i="2"/>
  <c r="AD29" i="2"/>
  <c r="AD23" i="2"/>
  <c r="AD45" i="2"/>
  <c r="AD11" i="2"/>
  <c r="AD16" i="2"/>
  <c r="AD24" i="2"/>
  <c r="AD61" i="2"/>
  <c r="AD89" i="2"/>
  <c r="AD57" i="2"/>
  <c r="AD40" i="2"/>
  <c r="AE13" i="2"/>
  <c r="AE7" i="2"/>
  <c r="AE74" i="2"/>
  <c r="AE31" i="2"/>
  <c r="AE19" i="2"/>
  <c r="AE3" i="2"/>
  <c r="AE84" i="2"/>
  <c r="AE81" i="2"/>
  <c r="AE28" i="2"/>
  <c r="AE91" i="2"/>
  <c r="AE79" i="2"/>
  <c r="AE36" i="2"/>
  <c r="AE65" i="2"/>
  <c r="AE92" i="2"/>
  <c r="AE77" i="2"/>
  <c r="AE2" i="2"/>
  <c r="AE54" i="2"/>
  <c r="AE12" i="2"/>
  <c r="AE86" i="2"/>
  <c r="AE30" i="2"/>
  <c r="AE14" i="2"/>
  <c r="AE43" i="2"/>
  <c r="AE80" i="2"/>
  <c r="AE6" i="2"/>
  <c r="AE66" i="2"/>
  <c r="AE76" i="2"/>
  <c r="AE22" i="2"/>
  <c r="AE75" i="2"/>
  <c r="AE53" i="2"/>
  <c r="AE10" i="2"/>
  <c r="AE82" i="2"/>
  <c r="AE20" i="2"/>
  <c r="AE64" i="2"/>
  <c r="AE90" i="2"/>
  <c r="AE68" i="2"/>
  <c r="AE17" i="2"/>
  <c r="AE39" i="2"/>
  <c r="AE49" i="2"/>
  <c r="AE88" i="2"/>
  <c r="AE63" i="2"/>
  <c r="AE27" i="2"/>
  <c r="AE8" i="2"/>
  <c r="AE48" i="2"/>
  <c r="AE44" i="2"/>
  <c r="AE87" i="2"/>
  <c r="AE67" i="2"/>
  <c r="AE58" i="2"/>
  <c r="AE71" i="2"/>
  <c r="AE18" i="2"/>
  <c r="AE51" i="2"/>
  <c r="AE34" i="2"/>
  <c r="AE41" i="2"/>
  <c r="AE9" i="2"/>
  <c r="AE25" i="2"/>
  <c r="AE72" i="2"/>
  <c r="AE60" i="2"/>
  <c r="AE55" i="2"/>
  <c r="AE4" i="2"/>
  <c r="AE15" i="2"/>
  <c r="AE83" i="2"/>
  <c r="AE56" i="2"/>
  <c r="AE47" i="2"/>
  <c r="AE69" i="2"/>
  <c r="AE32" i="2"/>
  <c r="AE5" i="2"/>
  <c r="AE46" i="2"/>
  <c r="AE42" i="2"/>
  <c r="AE73" i="2"/>
  <c r="AE38" i="2"/>
  <c r="AE37" i="2"/>
  <c r="AE52" i="2"/>
  <c r="AE62" i="2"/>
  <c r="AE33" i="2"/>
  <c r="AE70" i="2"/>
  <c r="AE26" i="2"/>
  <c r="AE21" i="2"/>
  <c r="AE78" i="2"/>
  <c r="AE29" i="2"/>
  <c r="AE23" i="2"/>
  <c r="AE45" i="2"/>
  <c r="AE11" i="2"/>
  <c r="AE16" i="2"/>
  <c r="AE24" i="2"/>
  <c r="AE61" i="2"/>
  <c r="AE89" i="2"/>
  <c r="AE57" i="2"/>
  <c r="AE40" i="2"/>
  <c r="U59" i="2"/>
  <c r="V59" i="2"/>
  <c r="X59" i="2"/>
  <c r="Y59" i="2"/>
  <c r="AA59" i="2"/>
  <c r="AB59" i="2"/>
  <c r="AD59" i="2"/>
  <c r="AE59" i="2"/>
  <c r="Q19" i="4"/>
  <c r="P19" i="4"/>
  <c r="O19" i="4"/>
  <c r="N19" i="4"/>
  <c r="M19" i="4"/>
  <c r="L19" i="4"/>
  <c r="Q18" i="4"/>
  <c r="P18" i="4"/>
  <c r="O18" i="4"/>
  <c r="N18" i="4"/>
  <c r="M18" i="4"/>
  <c r="L18" i="4"/>
  <c r="Q17" i="4"/>
  <c r="P17" i="4"/>
  <c r="O17" i="4"/>
  <c r="N17" i="4"/>
  <c r="M17" i="4"/>
  <c r="L17" i="4"/>
  <c r="Q16" i="4"/>
  <c r="P16" i="4"/>
  <c r="O16" i="4"/>
  <c r="N16" i="4"/>
  <c r="M16" i="4"/>
  <c r="L16" i="4"/>
  <c r="Q15" i="4"/>
  <c r="P15" i="4"/>
  <c r="O15" i="4"/>
  <c r="N15" i="4"/>
  <c r="M15" i="4"/>
  <c r="L15" i="4"/>
  <c r="Q14" i="4"/>
  <c r="P14" i="4"/>
  <c r="O14" i="4"/>
  <c r="N14" i="4"/>
  <c r="M14" i="4"/>
  <c r="L14" i="4"/>
  <c r="Q13" i="4"/>
  <c r="P13" i="4"/>
  <c r="O13" i="4"/>
  <c r="N13" i="4"/>
  <c r="M13" i="4"/>
  <c r="L13" i="4"/>
  <c r="Q12" i="4"/>
  <c r="P12" i="4"/>
  <c r="O12" i="4"/>
  <c r="N12" i="4"/>
  <c r="M12" i="4"/>
  <c r="L12" i="4"/>
  <c r="Q11" i="4"/>
  <c r="P11" i="4"/>
  <c r="O11" i="4"/>
  <c r="N11" i="4"/>
  <c r="M11" i="4"/>
  <c r="L11" i="4"/>
  <c r="Q10" i="4"/>
  <c r="P10" i="4"/>
  <c r="O10" i="4"/>
  <c r="N10" i="4"/>
  <c r="M10" i="4"/>
  <c r="J19" i="4"/>
  <c r="I19" i="4"/>
  <c r="J16" i="4"/>
  <c r="I16" i="4"/>
  <c r="J18" i="4"/>
  <c r="I18" i="4"/>
  <c r="J17" i="4"/>
  <c r="I17" i="4"/>
  <c r="J13" i="4"/>
  <c r="I13" i="4"/>
  <c r="J15" i="4"/>
  <c r="I15" i="4"/>
  <c r="J14" i="4"/>
  <c r="I14" i="4"/>
  <c r="J12" i="4"/>
  <c r="I12" i="4"/>
  <c r="J11" i="4"/>
  <c r="I11" i="4"/>
  <c r="L10" i="4"/>
  <c r="J10" i="4"/>
  <c r="I10" i="4"/>
  <c r="W9" i="2" l="1"/>
  <c r="W28" i="2"/>
  <c r="W21" i="2"/>
  <c r="W6" i="2"/>
  <c r="S7" i="2"/>
  <c r="S39" i="2"/>
  <c r="S3" i="2"/>
  <c r="T3" i="2" s="1"/>
  <c r="AC20" i="2"/>
  <c r="Z21" i="4"/>
  <c r="Z23" i="4"/>
  <c r="Z22" i="4"/>
  <c r="Z20" i="4"/>
  <c r="AA20" i="4"/>
  <c r="AA22" i="4"/>
  <c r="AA21" i="4"/>
  <c r="I87" i="2"/>
  <c r="I79" i="2"/>
  <c r="I84" i="2"/>
  <c r="I78" i="2"/>
  <c r="I66" i="2"/>
  <c r="I72" i="2"/>
  <c r="I64" i="2"/>
  <c r="I63" i="2"/>
  <c r="I56" i="2"/>
  <c r="I51" i="2"/>
  <c r="I53" i="2"/>
  <c r="I46" i="2"/>
  <c r="I34" i="2"/>
  <c r="I43" i="2"/>
  <c r="I35" i="2"/>
  <c r="I30" i="2"/>
  <c r="I26" i="2"/>
  <c r="I15" i="2"/>
  <c r="I11" i="2"/>
  <c r="I19" i="2"/>
  <c r="I21" i="2"/>
  <c r="I4" i="2"/>
  <c r="I3" i="2"/>
  <c r="I92" i="2"/>
  <c r="I86" i="2"/>
  <c r="I88" i="2"/>
  <c r="I65" i="2"/>
  <c r="I70" i="2"/>
  <c r="I80" i="2"/>
  <c r="I60" i="2"/>
  <c r="I47" i="2"/>
  <c r="I57" i="2"/>
  <c r="I62" i="2"/>
  <c r="I52" i="2"/>
  <c r="I48" i="2"/>
  <c r="I45" i="2"/>
  <c r="I44" i="2"/>
  <c r="I37" i="2"/>
  <c r="I24" i="2"/>
  <c r="I25" i="2"/>
  <c r="I28" i="2"/>
  <c r="I18" i="2"/>
  <c r="I12" i="2"/>
  <c r="I7" i="2"/>
  <c r="I6" i="2"/>
  <c r="I5" i="2"/>
  <c r="I91" i="2"/>
  <c r="I83" i="2"/>
  <c r="I76" i="2"/>
  <c r="I68" i="2"/>
  <c r="I82" i="2"/>
  <c r="I31" i="2"/>
  <c r="I36" i="2"/>
  <c r="I29" i="2"/>
  <c r="I27" i="2"/>
  <c r="I22" i="2"/>
  <c r="I13" i="2"/>
  <c r="I81" i="2"/>
  <c r="I67" i="2"/>
  <c r="I90" i="2"/>
  <c r="I73" i="2"/>
  <c r="I61" i="2"/>
  <c r="I49" i="2"/>
  <c r="I41" i="2"/>
  <c r="I39" i="2"/>
  <c r="I10" i="2"/>
  <c r="I17" i="2"/>
  <c r="I8" i="2"/>
  <c r="I89" i="2"/>
  <c r="I85" i="2"/>
  <c r="I74" i="2"/>
  <c r="I77" i="2"/>
  <c r="I69" i="2"/>
  <c r="I54" i="2"/>
  <c r="I75" i="2"/>
  <c r="I71" i="2"/>
  <c r="I59" i="2"/>
  <c r="I42" i="2"/>
  <c r="I50" i="2"/>
  <c r="I40" i="2"/>
  <c r="I58" i="2"/>
  <c r="I55" i="2"/>
  <c r="I33" i="2"/>
  <c r="I38" i="2"/>
  <c r="I23" i="2"/>
  <c r="I32" i="2"/>
  <c r="I16" i="2"/>
  <c r="I20" i="2"/>
  <c r="I9" i="2"/>
  <c r="I14" i="2"/>
  <c r="AC19" i="1"/>
  <c r="AH10" i="1"/>
  <c r="K24" i="4"/>
  <c r="AC18" i="1"/>
  <c r="K26" i="4"/>
  <c r="E21" i="4"/>
  <c r="AC20" i="1"/>
  <c r="J57" i="2"/>
  <c r="R47" i="2"/>
  <c r="R28" i="2"/>
  <c r="R5" i="2"/>
  <c r="T65" i="2"/>
  <c r="K11" i="4"/>
  <c r="T38" i="2"/>
  <c r="K12" i="4"/>
  <c r="K15" i="4"/>
  <c r="K17" i="4"/>
  <c r="AC29" i="2"/>
  <c r="AC4" i="2"/>
  <c r="AC25" i="2"/>
  <c r="AC7" i="1"/>
  <c r="K13" i="4"/>
  <c r="K18" i="4"/>
  <c r="K19" i="4"/>
  <c r="E10" i="4"/>
  <c r="E13" i="4"/>
  <c r="E18" i="4"/>
  <c r="E14" i="4"/>
  <c r="E17" i="4"/>
  <c r="E15" i="4"/>
  <c r="E4" i="4"/>
  <c r="E6" i="4"/>
  <c r="E11" i="4"/>
  <c r="E12" i="4"/>
  <c r="G75" i="2"/>
  <c r="H32" i="2"/>
  <c r="K22" i="4"/>
  <c r="K14" i="4"/>
  <c r="K16" i="4"/>
  <c r="E2" i="4"/>
  <c r="E20" i="4"/>
  <c r="E16" i="4"/>
  <c r="E5" i="4"/>
  <c r="E19" i="4"/>
  <c r="E3" i="4"/>
  <c r="E7" i="4"/>
  <c r="E9" i="4"/>
  <c r="E8" i="4"/>
  <c r="H90" i="2"/>
  <c r="K3" i="4"/>
  <c r="K4" i="4"/>
  <c r="K10" i="4"/>
  <c r="K2" i="4"/>
  <c r="K6" i="4"/>
  <c r="K23" i="4"/>
  <c r="K25" i="4"/>
  <c r="K7" i="4"/>
  <c r="K5" i="4"/>
  <c r="AJ9" i="1"/>
  <c r="AJ8" i="1"/>
  <c r="AC6" i="1"/>
  <c r="W2" i="2"/>
  <c r="AC21" i="1"/>
  <c r="AC5" i="1"/>
  <c r="AC3" i="1"/>
  <c r="AC4" i="1"/>
  <c r="AF84" i="2"/>
  <c r="W38" i="2"/>
  <c r="W5" i="2"/>
  <c r="W14" i="2"/>
  <c r="W13" i="2"/>
  <c r="W30" i="2"/>
  <c r="Z44" i="2"/>
  <c r="AC12" i="1"/>
  <c r="R36" i="2"/>
  <c r="AC53" i="2"/>
  <c r="Z38" i="2"/>
  <c r="Z18" i="2"/>
  <c r="H69" i="2"/>
  <c r="H59" i="2"/>
  <c r="G40" i="2"/>
  <c r="G9" i="2"/>
  <c r="J18" i="2"/>
  <c r="J71" i="2"/>
  <c r="R59" i="2"/>
  <c r="W17" i="2"/>
  <c r="AJ4" i="1"/>
  <c r="AC39" i="2"/>
  <c r="G60" i="2"/>
  <c r="J48" i="2"/>
  <c r="J45" i="2"/>
  <c r="J72" i="2"/>
  <c r="AH4" i="1"/>
  <c r="AC71" i="2"/>
  <c r="AC60" i="2"/>
  <c r="AC31" i="2"/>
  <c r="W11" i="2"/>
  <c r="W80" i="2"/>
  <c r="H74" i="2"/>
  <c r="H75" i="2"/>
  <c r="G59" i="2"/>
  <c r="H58" i="2"/>
  <c r="G33" i="2"/>
  <c r="G16" i="2"/>
  <c r="G20" i="2"/>
  <c r="G14" i="2"/>
  <c r="J86" i="2"/>
  <c r="J70" i="2"/>
  <c r="J80" i="2"/>
  <c r="J52" i="2"/>
  <c r="J25" i="2"/>
  <c r="T19" i="2"/>
  <c r="W16" i="2"/>
  <c r="W7" i="2"/>
  <c r="W52" i="2"/>
  <c r="G87" i="2"/>
  <c r="J66" i="2"/>
  <c r="J19" i="2"/>
  <c r="J73" i="2"/>
  <c r="AH16" i="1"/>
  <c r="AJ5" i="1"/>
  <c r="AF40" i="2"/>
  <c r="AF24" i="2"/>
  <c r="AF23" i="2"/>
  <c r="AF26" i="2"/>
  <c r="AF52" i="2"/>
  <c r="AF42" i="2"/>
  <c r="AF69" i="2"/>
  <c r="AF15" i="2"/>
  <c r="AF72" i="2"/>
  <c r="AF34" i="2"/>
  <c r="AF58" i="2"/>
  <c r="AF48" i="2"/>
  <c r="AF88" i="2"/>
  <c r="AF68" i="2"/>
  <c r="AF82" i="2"/>
  <c r="AF22" i="2"/>
  <c r="AC17" i="2"/>
  <c r="W31" i="2"/>
  <c r="H77" i="2"/>
  <c r="H54" i="2"/>
  <c r="J24" i="2"/>
  <c r="J6" i="2"/>
  <c r="R92" i="2"/>
  <c r="R88" i="2"/>
  <c r="R80" i="2"/>
  <c r="R57" i="2"/>
  <c r="R48" i="2"/>
  <c r="R45" i="2"/>
  <c r="R24" i="2"/>
  <c r="R25" i="2"/>
  <c r="R11" i="2"/>
  <c r="T80" i="2"/>
  <c r="T60" i="2"/>
  <c r="T47" i="2"/>
  <c r="T57" i="2"/>
  <c r="T62" i="2"/>
  <c r="T45" i="2"/>
  <c r="T11" i="2"/>
  <c r="T5" i="2"/>
  <c r="AJ18" i="1"/>
  <c r="AJ7" i="1"/>
  <c r="AJ16" i="1"/>
  <c r="H16" i="2"/>
  <c r="J79" i="2"/>
  <c r="H33" i="2"/>
  <c r="AC74" i="2"/>
  <c r="J56" i="2"/>
  <c r="J21" i="2"/>
  <c r="H60" i="2"/>
  <c r="H28" i="2"/>
  <c r="H6" i="2"/>
  <c r="J4" i="2"/>
  <c r="T29" i="2"/>
  <c r="AC16" i="2"/>
  <c r="AC47" i="2"/>
  <c r="AC49" i="2"/>
  <c r="AC92" i="2"/>
  <c r="AC7" i="2"/>
  <c r="AC45" i="2"/>
  <c r="AC32" i="2"/>
  <c r="T89" i="2"/>
  <c r="AJ20" i="1"/>
  <c r="AJ15" i="1"/>
  <c r="AJ11" i="1"/>
  <c r="AJ12" i="1"/>
  <c r="AF64" i="2"/>
  <c r="Z41" i="2"/>
  <c r="G92" i="2"/>
  <c r="J46" i="2"/>
  <c r="J26" i="2"/>
  <c r="T41" i="2"/>
  <c r="AC37" i="2"/>
  <c r="AC83" i="2"/>
  <c r="AC22" i="2"/>
  <c r="Z59" i="2"/>
  <c r="AF16" i="2"/>
  <c r="AF46" i="2"/>
  <c r="AF67" i="2"/>
  <c r="AF12" i="2"/>
  <c r="AC28" i="2"/>
  <c r="AC73" i="2"/>
  <c r="AC41" i="2"/>
  <c r="AC77" i="2"/>
  <c r="Z8" i="2"/>
  <c r="Z89" i="2"/>
  <c r="Z11" i="2"/>
  <c r="W62" i="2"/>
  <c r="W32" i="2"/>
  <c r="W63" i="2"/>
  <c r="W84" i="2"/>
  <c r="G74" i="2"/>
  <c r="G77" i="2"/>
  <c r="G69" i="2"/>
  <c r="G71" i="2"/>
  <c r="G42" i="2"/>
  <c r="H50" i="2"/>
  <c r="H40" i="2"/>
  <c r="G55" i="2"/>
  <c r="H23" i="2"/>
  <c r="G32" i="2"/>
  <c r="J92" i="2"/>
  <c r="R86" i="2"/>
  <c r="J88" i="2"/>
  <c r="J65" i="2"/>
  <c r="R70" i="2"/>
  <c r="J60" i="2"/>
  <c r="J47" i="2"/>
  <c r="J62" i="2"/>
  <c r="T48" i="2"/>
  <c r="J44" i="2"/>
  <c r="J37" i="2"/>
  <c r="T25" i="2"/>
  <c r="J28" i="2"/>
  <c r="J12" i="2"/>
  <c r="J7" i="2"/>
  <c r="T6" i="2"/>
  <c r="J5" i="2"/>
  <c r="AH20" i="1"/>
  <c r="AH15" i="1"/>
  <c r="AH11" i="1"/>
  <c r="AH12" i="1"/>
  <c r="AH9" i="1"/>
  <c r="AF80" i="2"/>
  <c r="AF86" i="2"/>
  <c r="AF77" i="2"/>
  <c r="AF79" i="2"/>
  <c r="AF74" i="2"/>
  <c r="AC89" i="2"/>
  <c r="AC38" i="2"/>
  <c r="AC9" i="2"/>
  <c r="AC18" i="2"/>
  <c r="AC87" i="2"/>
  <c r="AC27" i="2"/>
  <c r="AC54" i="2"/>
  <c r="Z57" i="2"/>
  <c r="AJ6" i="1"/>
  <c r="Z16" i="2"/>
  <c r="Z29" i="2"/>
  <c r="Z70" i="2"/>
  <c r="Z37" i="2"/>
  <c r="Z46" i="2"/>
  <c r="Z47" i="2"/>
  <c r="Z25" i="2"/>
  <c r="Z51" i="2"/>
  <c r="Z76" i="2"/>
  <c r="Z43" i="2"/>
  <c r="Z12" i="2"/>
  <c r="Z91" i="2"/>
  <c r="W87" i="2"/>
  <c r="W39" i="2"/>
  <c r="W53" i="2"/>
  <c r="W23" i="2"/>
  <c r="W83" i="2"/>
  <c r="W72" i="2"/>
  <c r="W71" i="2"/>
  <c r="W48" i="2"/>
  <c r="W82" i="2"/>
  <c r="W86" i="2"/>
  <c r="AF50" i="2"/>
  <c r="Z85" i="2"/>
  <c r="H56" i="2"/>
  <c r="H51" i="2"/>
  <c r="H46" i="2"/>
  <c r="H11" i="2"/>
  <c r="H4" i="2"/>
  <c r="H3" i="2"/>
  <c r="H91" i="2"/>
  <c r="G67" i="2"/>
  <c r="H76" i="2"/>
  <c r="G90" i="2"/>
  <c r="G68" i="2"/>
  <c r="H73" i="2"/>
  <c r="H31" i="2"/>
  <c r="H49" i="2"/>
  <c r="G36" i="2"/>
  <c r="G41" i="2"/>
  <c r="J29" i="2"/>
  <c r="G39" i="2"/>
  <c r="G27" i="2"/>
  <c r="G10" i="2"/>
  <c r="G22" i="2"/>
  <c r="G17" i="2"/>
  <c r="G13" i="2"/>
  <c r="G8" i="2"/>
  <c r="J59" i="2"/>
  <c r="J42" i="2"/>
  <c r="J33" i="2"/>
  <c r="R38" i="2"/>
  <c r="J32" i="2"/>
  <c r="J14" i="2"/>
  <c r="W58" i="2"/>
  <c r="AJ2" i="1"/>
  <c r="AC15" i="1"/>
  <c r="AC11" i="1"/>
  <c r="AC13" i="1"/>
  <c r="AH6" i="1"/>
  <c r="AH3" i="1"/>
  <c r="AJ3" i="1"/>
  <c r="AH18" i="1"/>
  <c r="H67" i="2"/>
  <c r="AC65" i="2"/>
  <c r="AJ10" i="1"/>
  <c r="AH17" i="1"/>
  <c r="AH8" i="1"/>
  <c r="AH13" i="1"/>
  <c r="H68" i="2"/>
  <c r="R37" i="2"/>
  <c r="T52" i="2"/>
  <c r="R44" i="2"/>
  <c r="T88" i="2"/>
  <c r="R20" i="2"/>
  <c r="H92" i="2"/>
  <c r="H71" i="2"/>
  <c r="H42" i="2"/>
  <c r="G6" i="2"/>
  <c r="AC21" i="2"/>
  <c r="AC82" i="2"/>
  <c r="Z50" i="2"/>
  <c r="AH19" i="1"/>
  <c r="AH14" i="1"/>
  <c r="AJ19" i="1"/>
  <c r="H2" i="2"/>
  <c r="G2" i="2"/>
  <c r="T9" i="2"/>
  <c r="H41" i="2"/>
  <c r="H29" i="2"/>
  <c r="J69" i="2"/>
  <c r="J23" i="2"/>
  <c r="G76" i="2"/>
  <c r="G51" i="2"/>
  <c r="H39" i="2"/>
  <c r="J55" i="2"/>
  <c r="J31" i="2"/>
  <c r="J74" i="2"/>
  <c r="H10" i="2"/>
  <c r="H8" i="2"/>
  <c r="J77" i="2"/>
  <c r="AC6" i="2"/>
  <c r="AC36" i="2"/>
  <c r="AC62" i="2"/>
  <c r="AC30" i="2"/>
  <c r="W42" i="2"/>
  <c r="H62" i="2"/>
  <c r="G62" i="2"/>
  <c r="G64" i="2"/>
  <c r="G81" i="2"/>
  <c r="H36" i="2"/>
  <c r="J89" i="2"/>
  <c r="G89" i="2"/>
  <c r="J54" i="2"/>
  <c r="G54" i="2"/>
  <c r="J75" i="2"/>
  <c r="J40" i="2"/>
  <c r="J58" i="2"/>
  <c r="H38" i="2"/>
  <c r="J38" i="2"/>
  <c r="J16" i="2"/>
  <c r="J20" i="2"/>
  <c r="H9" i="2"/>
  <c r="J9" i="2"/>
  <c r="H14" i="2"/>
  <c r="AH5" i="1"/>
  <c r="H17" i="2"/>
  <c r="AF57" i="2"/>
  <c r="AF29" i="2"/>
  <c r="AF70" i="2"/>
  <c r="AF37" i="2"/>
  <c r="AF47" i="2"/>
  <c r="AF4" i="2"/>
  <c r="AF25" i="2"/>
  <c r="AF51" i="2"/>
  <c r="AF8" i="2"/>
  <c r="AF49" i="2"/>
  <c r="AF90" i="2"/>
  <c r="AF10" i="2"/>
  <c r="AF76" i="2"/>
  <c r="Z33" i="2"/>
  <c r="Z39" i="2"/>
  <c r="Z54" i="2"/>
  <c r="W24" i="2"/>
  <c r="AC35" i="2"/>
  <c r="R46" i="2"/>
  <c r="AC10" i="1"/>
  <c r="AC14" i="1"/>
  <c r="AH2" i="1"/>
  <c r="AH7" i="1"/>
  <c r="AJ14" i="1"/>
  <c r="AF89" i="2"/>
  <c r="AF11" i="2"/>
  <c r="AF33" i="2"/>
  <c r="AF38" i="2"/>
  <c r="AF56" i="2"/>
  <c r="AF55" i="2"/>
  <c r="AF9" i="2"/>
  <c r="AF18" i="2"/>
  <c r="AF87" i="2"/>
  <c r="AF39" i="2"/>
  <c r="AF53" i="2"/>
  <c r="AF19" i="2"/>
  <c r="AC40" i="2"/>
  <c r="AC24" i="2"/>
  <c r="AC34" i="2"/>
  <c r="AC48" i="2"/>
  <c r="AC88" i="2"/>
  <c r="AC86" i="2"/>
  <c r="AC52" i="2"/>
  <c r="AC56" i="2"/>
  <c r="AC72" i="2"/>
  <c r="Z61" i="2"/>
  <c r="Z73" i="2"/>
  <c r="Z32" i="2"/>
  <c r="Z83" i="2"/>
  <c r="Z60" i="2"/>
  <c r="Z71" i="2"/>
  <c r="Z63" i="2"/>
  <c r="Z17" i="2"/>
  <c r="Z30" i="2"/>
  <c r="Z2" i="2"/>
  <c r="Z36" i="2"/>
  <c r="Z31" i="2"/>
  <c r="Z82" i="2"/>
  <c r="W57" i="2"/>
  <c r="W70" i="2"/>
  <c r="W37" i="2"/>
  <c r="W4" i="2"/>
  <c r="W8" i="2"/>
  <c r="W49" i="2"/>
  <c r="W12" i="2"/>
  <c r="W92" i="2"/>
  <c r="W3" i="2"/>
  <c r="W45" i="2"/>
  <c r="W26" i="2"/>
  <c r="W56" i="2"/>
  <c r="W77" i="2"/>
  <c r="AF35" i="2"/>
  <c r="AC50" i="2"/>
  <c r="W35" i="2"/>
  <c r="W43" i="2"/>
  <c r="AC59" i="2"/>
  <c r="G63" i="2"/>
  <c r="H63" i="2"/>
  <c r="H81" i="2"/>
  <c r="G73" i="2"/>
  <c r="H82" i="2"/>
  <c r="H61" i="2"/>
  <c r="AC26" i="2"/>
  <c r="AC68" i="2"/>
  <c r="AC80" i="2"/>
  <c r="W51" i="2"/>
  <c r="W59" i="2"/>
  <c r="AF45" i="2"/>
  <c r="AF62" i="2"/>
  <c r="AF32" i="2"/>
  <c r="AF60" i="2"/>
  <c r="AF71" i="2"/>
  <c r="AF63" i="2"/>
  <c r="AF20" i="2"/>
  <c r="AF6" i="2"/>
  <c r="AF2" i="2"/>
  <c r="AF81" i="2"/>
  <c r="AC57" i="2"/>
  <c r="AC67" i="2"/>
  <c r="AC79" i="2"/>
  <c r="Z40" i="2"/>
  <c r="Z23" i="2"/>
  <c r="Z52" i="2"/>
  <c r="Z69" i="2"/>
  <c r="Z72" i="2"/>
  <c r="Z58" i="2"/>
  <c r="Z88" i="2"/>
  <c r="Z80" i="2"/>
  <c r="Z77" i="2"/>
  <c r="Z79" i="2"/>
  <c r="Z74" i="2"/>
  <c r="T7" i="2"/>
  <c r="T28" i="2"/>
  <c r="T70" i="2"/>
  <c r="R62" i="2"/>
  <c r="R65" i="2"/>
  <c r="H13" i="2"/>
  <c r="H20" i="2"/>
  <c r="G58" i="2"/>
  <c r="G23" i="2"/>
  <c r="H55" i="2"/>
  <c r="G70" i="2"/>
  <c r="H70" i="2"/>
  <c r="G80" i="2"/>
  <c r="H80" i="2"/>
  <c r="G91" i="2"/>
  <c r="G83" i="2"/>
  <c r="H83" i="2"/>
  <c r="G82" i="2"/>
  <c r="G61" i="2"/>
  <c r="G31" i="2"/>
  <c r="G49" i="2"/>
  <c r="G29" i="2"/>
  <c r="H27" i="2"/>
  <c r="H22" i="2"/>
  <c r="G85" i="2"/>
  <c r="J85" i="2"/>
  <c r="G50" i="2"/>
  <c r="J50" i="2"/>
  <c r="G38" i="2"/>
  <c r="AF61" i="2"/>
  <c r="AF21" i="2"/>
  <c r="AF73" i="2"/>
  <c r="AF83" i="2"/>
  <c r="AF41" i="2"/>
  <c r="AF44" i="2"/>
  <c r="AF17" i="2"/>
  <c r="AF75" i="2"/>
  <c r="AF30" i="2"/>
  <c r="AF36" i="2"/>
  <c r="AF31" i="2"/>
  <c r="AC46" i="2"/>
  <c r="AC51" i="2"/>
  <c r="AC8" i="2"/>
  <c r="AC12" i="2"/>
  <c r="Z24" i="2"/>
  <c r="Z26" i="2"/>
  <c r="Z42" i="2"/>
  <c r="Z15" i="2"/>
  <c r="Z34" i="2"/>
  <c r="Z48" i="2"/>
  <c r="Z68" i="2"/>
  <c r="Z22" i="2"/>
  <c r="Z86" i="2"/>
  <c r="Z84" i="2"/>
  <c r="W89" i="2"/>
  <c r="W64" i="2"/>
  <c r="W76" i="2"/>
  <c r="AF85" i="2"/>
  <c r="AF78" i="2"/>
  <c r="AF5" i="2"/>
  <c r="AF27" i="2"/>
  <c r="AF66" i="2"/>
  <c r="AF14" i="2"/>
  <c r="AF54" i="2"/>
  <c r="AF65" i="2"/>
  <c r="AF28" i="2"/>
  <c r="AF13" i="2"/>
  <c r="AC75" i="2"/>
  <c r="AC81" i="2"/>
  <c r="AC42" i="2"/>
  <c r="AC58" i="2"/>
  <c r="Z45" i="2"/>
  <c r="Z21" i="2"/>
  <c r="Z62" i="2"/>
  <c r="Z20" i="2"/>
  <c r="Z75" i="2"/>
  <c r="Z6" i="2"/>
  <c r="Z81" i="2"/>
  <c r="W88" i="2"/>
  <c r="W74" i="2"/>
  <c r="W78" i="2"/>
  <c r="W47" i="2"/>
  <c r="W90" i="2"/>
  <c r="W54" i="2"/>
  <c r="W50" i="2"/>
  <c r="G72" i="2"/>
  <c r="H15" i="2"/>
  <c r="J91" i="2"/>
  <c r="J76" i="2"/>
  <c r="J90" i="2"/>
  <c r="J68" i="2"/>
  <c r="AJ17" i="1"/>
  <c r="AJ13" i="1"/>
  <c r="T12" i="2"/>
  <c r="AC84" i="2"/>
  <c r="AC2" i="2"/>
  <c r="W22" i="2"/>
  <c r="W18" i="2"/>
  <c r="W34" i="2"/>
  <c r="W19" i="2"/>
  <c r="AF43" i="2"/>
  <c r="AF92" i="2"/>
  <c r="AF91" i="2"/>
  <c r="AF3" i="2"/>
  <c r="AF7" i="2"/>
  <c r="AC11" i="2"/>
  <c r="AC78" i="2"/>
  <c r="AC66" i="2"/>
  <c r="AC13" i="2"/>
  <c r="AC61" i="2"/>
  <c r="AC23" i="2"/>
  <c r="AC33" i="2"/>
  <c r="AC69" i="2"/>
  <c r="AC55" i="2"/>
  <c r="AC44" i="2"/>
  <c r="AC63" i="2"/>
  <c r="AC14" i="2"/>
  <c r="AC19" i="2"/>
  <c r="Z4" i="2"/>
  <c r="Z49" i="2"/>
  <c r="Z90" i="2"/>
  <c r="Z3" i="2"/>
  <c r="Z78" i="2"/>
  <c r="Z5" i="2"/>
  <c r="Z56" i="2"/>
  <c r="Z55" i="2"/>
  <c r="Z9" i="2"/>
  <c r="Z87" i="2"/>
  <c r="Z27" i="2"/>
  <c r="Z64" i="2"/>
  <c r="Z53" i="2"/>
  <c r="Z66" i="2"/>
  <c r="Z14" i="2"/>
  <c r="Z65" i="2"/>
  <c r="Z28" i="2"/>
  <c r="Z19" i="2"/>
  <c r="Z13" i="2"/>
  <c r="W61" i="2"/>
  <c r="W60" i="2"/>
  <c r="W41" i="2"/>
  <c r="W44" i="2"/>
  <c r="W75" i="2"/>
  <c r="W36" i="2"/>
  <c r="W81" i="2"/>
  <c r="W40" i="2"/>
  <c r="W29" i="2"/>
  <c r="W33" i="2"/>
  <c r="W69" i="2"/>
  <c r="W15" i="2"/>
  <c r="W25" i="2"/>
  <c r="W67" i="2"/>
  <c r="W27" i="2"/>
  <c r="W68" i="2"/>
  <c r="W10" i="2"/>
  <c r="W66" i="2"/>
  <c r="W65" i="2"/>
  <c r="Z35" i="2"/>
  <c r="AC85" i="2"/>
  <c r="W85" i="2"/>
  <c r="H89" i="2"/>
  <c r="H86" i="2"/>
  <c r="G86" i="2"/>
  <c r="G88" i="2"/>
  <c r="H88" i="2"/>
  <c r="H65" i="2"/>
  <c r="G65" i="2"/>
  <c r="G47" i="2"/>
  <c r="H47" i="2"/>
  <c r="G57" i="2"/>
  <c r="H57" i="2"/>
  <c r="G52" i="2"/>
  <c r="H52" i="2"/>
  <c r="G48" i="2"/>
  <c r="H48" i="2"/>
  <c r="G45" i="2"/>
  <c r="H45" i="2"/>
  <c r="H44" i="2"/>
  <c r="G44" i="2"/>
  <c r="G37" i="2"/>
  <c r="H37" i="2"/>
  <c r="H24" i="2"/>
  <c r="G24" i="2"/>
  <c r="G25" i="2"/>
  <c r="H25" i="2"/>
  <c r="G18" i="2"/>
  <c r="H18" i="2"/>
  <c r="H12" i="2"/>
  <c r="G12" i="2"/>
  <c r="G7" i="2"/>
  <c r="G5" i="2"/>
  <c r="H5" i="2"/>
  <c r="H87" i="2"/>
  <c r="J87" i="2"/>
  <c r="AC43" i="2"/>
  <c r="AC3" i="2"/>
  <c r="AC70" i="2"/>
  <c r="G28" i="2"/>
  <c r="AC76" i="2"/>
  <c r="AC90" i="2"/>
  <c r="H7" i="2"/>
  <c r="J51" i="2"/>
  <c r="G43" i="2"/>
  <c r="J43" i="2"/>
  <c r="J83" i="2"/>
  <c r="J2" i="2"/>
  <c r="I2" i="2"/>
  <c r="T39" i="2"/>
  <c r="W20" i="2"/>
  <c r="G66" i="2"/>
  <c r="G30" i="2"/>
  <c r="H30" i="2"/>
  <c r="J8" i="2"/>
  <c r="R17" i="2"/>
  <c r="H26" i="2"/>
  <c r="J15" i="2"/>
  <c r="G4" i="2"/>
  <c r="J61" i="2"/>
  <c r="G21" i="2"/>
  <c r="H53" i="2"/>
  <c r="J27" i="2"/>
  <c r="J10" i="2"/>
  <c r="J17" i="2"/>
  <c r="AC64" i="2"/>
  <c r="G78" i="2"/>
  <c r="H21" i="2"/>
  <c r="J81" i="2"/>
  <c r="J36" i="2"/>
  <c r="T22" i="2"/>
  <c r="T8" i="2"/>
  <c r="G79" i="2"/>
  <c r="J82" i="2"/>
  <c r="G26" i="2"/>
  <c r="H19" i="2"/>
  <c r="J39" i="2"/>
  <c r="G56" i="2"/>
  <c r="G11" i="2"/>
  <c r="J30" i="2"/>
  <c r="J41" i="2"/>
  <c r="W73" i="2"/>
  <c r="H79" i="2"/>
  <c r="J34" i="2"/>
  <c r="G15" i="2"/>
  <c r="J53" i="2"/>
  <c r="H78" i="2"/>
  <c r="J49" i="2"/>
  <c r="J63" i="2"/>
  <c r="J13" i="2"/>
  <c r="AF59" i="2"/>
  <c r="G84" i="2"/>
  <c r="H84" i="2"/>
  <c r="H64" i="2"/>
  <c r="J64" i="2"/>
  <c r="H35" i="2"/>
  <c r="J35" i="2"/>
  <c r="G35" i="2"/>
  <c r="J3" i="2"/>
  <c r="G3" i="2"/>
  <c r="J67" i="2"/>
  <c r="AC91" i="2"/>
  <c r="H43" i="2"/>
  <c r="H34" i="2"/>
  <c r="H72" i="2"/>
  <c r="J84" i="2"/>
  <c r="J22" i="2"/>
  <c r="G34" i="2"/>
  <c r="G46" i="2"/>
  <c r="G19" i="2"/>
  <c r="J11" i="2"/>
  <c r="H66" i="2"/>
  <c r="G53" i="2"/>
  <c r="J78" i="2"/>
  <c r="W55" i="2"/>
  <c r="Z67" i="2"/>
  <c r="Z10" i="2"/>
  <c r="Z92" i="2"/>
  <c r="Z7" i="2"/>
  <c r="H85" i="2"/>
  <c r="T304" i="1"/>
  <c r="T1144" i="1"/>
  <c r="T2727" i="1"/>
  <c r="T2548" i="1"/>
  <c r="T2979" i="1"/>
  <c r="T3011" i="1"/>
  <c r="T77" i="1"/>
  <c r="T2037" i="1"/>
  <c r="T114" i="1"/>
  <c r="T976" i="1"/>
  <c r="T2329" i="1"/>
  <c r="T3738" i="1"/>
  <c r="T803" i="1"/>
  <c r="T835" i="1"/>
  <c r="T308" i="1"/>
  <c r="T709" i="1"/>
  <c r="T2970" i="1"/>
  <c r="T105" i="1"/>
  <c r="T3761" i="1"/>
  <c r="T1117" i="1"/>
  <c r="T2740" i="1"/>
  <c r="T2050" i="1"/>
  <c r="T830" i="1"/>
  <c r="T1461" i="1"/>
  <c r="T3456" i="1"/>
  <c r="T1572" i="1"/>
  <c r="T1991" i="1"/>
  <c r="T3154" i="1"/>
  <c r="T1814" i="1"/>
  <c r="T462" i="1"/>
  <c r="T2778" i="1"/>
  <c r="T312" i="1"/>
  <c r="T707" i="1"/>
  <c r="T2542" i="1"/>
  <c r="T2983" i="1"/>
  <c r="T59" i="1"/>
  <c r="T2031" i="1"/>
  <c r="T118" i="1"/>
  <c r="T990" i="1"/>
  <c r="T3732" i="1"/>
  <c r="T807" i="1"/>
  <c r="T1300" i="1"/>
  <c r="T695" i="1"/>
  <c r="T2986" i="1"/>
  <c r="T991" i="1"/>
  <c r="T313" i="1"/>
  <c r="T2543" i="1"/>
  <c r="T2324" i="1"/>
  <c r="T1448" i="1"/>
  <c r="T3464" i="1"/>
  <c r="T3703" i="1"/>
  <c r="T1766" i="1"/>
  <c r="T1818" i="1"/>
  <c r="T2760" i="1"/>
  <c r="T2580" i="1"/>
  <c r="T908" i="1"/>
  <c r="T940" i="1"/>
  <c r="T570" i="1"/>
  <c r="T3425" i="1"/>
  <c r="T2938" i="1"/>
  <c r="T3601" i="1"/>
  <c r="T3778" i="1"/>
  <c r="T2425" i="1"/>
  <c r="T1123" i="1"/>
  <c r="T2534" i="1"/>
  <c r="T2989" i="1"/>
  <c r="T79" i="1"/>
  <c r="T110" i="1"/>
  <c r="T2317" i="1"/>
  <c r="T3750" i="1"/>
  <c r="T841" i="1"/>
  <c r="T702" i="1"/>
  <c r="T2020" i="1"/>
  <c r="T289" i="1"/>
  <c r="T2974" i="1"/>
  <c r="T844" i="1"/>
  <c r="T273" i="1"/>
  <c r="T3716" i="1"/>
  <c r="T3178" i="1"/>
  <c r="T468" i="1"/>
  <c r="T2584" i="1"/>
  <c r="T922" i="1"/>
  <c r="T564" i="1"/>
  <c r="T3429" i="1"/>
  <c r="T2952" i="1"/>
  <c r="T2407" i="1"/>
  <c r="T2429" i="1"/>
  <c r="T2242" i="1"/>
  <c r="T2678" i="1"/>
  <c r="T206" i="1"/>
  <c r="T3553" i="1"/>
  <c r="T3325" i="1"/>
  <c r="T3357" i="1"/>
  <c r="T1037" i="1"/>
  <c r="T1286" i="1"/>
  <c r="T3218" i="1"/>
  <c r="T1521" i="1"/>
  <c r="T25" i="1"/>
  <c r="T525" i="1"/>
  <c r="T2126" i="1"/>
  <c r="T3940" i="1"/>
  <c r="T1843" i="1"/>
  <c r="T3635" i="1"/>
  <c r="T3667" i="1"/>
  <c r="T3091" i="1"/>
  <c r="T3854" i="1"/>
  <c r="T1414" i="1"/>
  <c r="T1653" i="1"/>
  <c r="T3024" i="1"/>
  <c r="T3056" i="1"/>
  <c r="T2220" i="1"/>
  <c r="T2511" i="1"/>
  <c r="T2076" i="1"/>
  <c r="T1356" i="1"/>
  <c r="T762" i="1"/>
  <c r="T3106" i="1"/>
  <c r="T3279" i="1"/>
  <c r="T3311" i="1"/>
  <c r="T316" i="1"/>
  <c r="T2553" i="1"/>
  <c r="T979" i="1"/>
  <c r="T1336" i="1"/>
  <c r="T3455" i="1"/>
  <c r="T3693" i="1"/>
  <c r="T1753" i="1"/>
  <c r="T1815" i="1"/>
  <c r="T917" i="1"/>
  <c r="T2706" i="1"/>
  <c r="T2981" i="1"/>
  <c r="T2017" i="1"/>
  <c r="T972" i="1"/>
  <c r="T3744" i="1"/>
  <c r="T1304" i="1"/>
  <c r="T2563" i="1"/>
  <c r="T834" i="1"/>
  <c r="T58" i="1"/>
  <c r="T1464" i="1"/>
  <c r="T3700" i="1"/>
  <c r="T1797" i="1"/>
  <c r="T2784" i="1"/>
  <c r="T918" i="1"/>
  <c r="T572" i="1"/>
  <c r="T2934" i="1"/>
  <c r="T3621" i="1"/>
  <c r="T3804" i="1"/>
  <c r="T2260" i="1"/>
  <c r="T202" i="1"/>
  <c r="T3559" i="1"/>
  <c r="T3343" i="1"/>
  <c r="T1033" i="1"/>
  <c r="T3192" i="1"/>
  <c r="T1507" i="1"/>
  <c r="T21" i="1"/>
  <c r="T531" i="1"/>
  <c r="T3926" i="1"/>
  <c r="T1839" i="1"/>
  <c r="T3641" i="1"/>
  <c r="T3077" i="1"/>
  <c r="T3850" i="1"/>
  <c r="T1420" i="1"/>
  <c r="T1671" i="1"/>
  <c r="T3052" i="1"/>
  <c r="T2226" i="1"/>
  <c r="T2062" i="1"/>
  <c r="T1352" i="1"/>
  <c r="T768" i="1"/>
  <c r="T3124" i="1"/>
  <c r="T3307" i="1"/>
  <c r="T1118" i="1"/>
  <c r="T2042" i="1"/>
  <c r="T1329" i="1"/>
  <c r="T3469" i="1"/>
  <c r="T1993" i="1"/>
  <c r="T1803" i="1"/>
  <c r="T941" i="1"/>
  <c r="T3602" i="1"/>
  <c r="T2269" i="1"/>
  <c r="T3352" i="1"/>
  <c r="T1516" i="1"/>
  <c r="T3935" i="1"/>
  <c r="T3086" i="1"/>
  <c r="T3923" i="1"/>
  <c r="T2071" i="1"/>
  <c r="T3133" i="1"/>
  <c r="T1125" i="1"/>
  <c r="T2972" i="1"/>
  <c r="T3749" i="1"/>
  <c r="T2551" i="1"/>
  <c r="T1459" i="1"/>
  <c r="T1547" i="1"/>
  <c r="T1740" i="1"/>
  <c r="T461" i="1"/>
  <c r="T3414" i="1"/>
  <c r="T963" i="1"/>
  <c r="T254" i="1"/>
  <c r="T1988" i="1"/>
  <c r="T2783" i="1"/>
  <c r="T2943" i="1"/>
  <c r="T2691" i="1"/>
  <c r="T1271" i="1"/>
  <c r="T2125" i="1"/>
  <c r="T3835" i="1"/>
  <c r="T2205" i="1"/>
  <c r="T1475" i="1"/>
  <c r="T2005" i="1"/>
  <c r="T549" i="1"/>
  <c r="T1334" i="1"/>
  <c r="T3706" i="1"/>
  <c r="T2765" i="1"/>
  <c r="T2428" i="1"/>
  <c r="T1269" i="1"/>
  <c r="T1844" i="1"/>
  <c r="T3033" i="1"/>
  <c r="T1373" i="1"/>
  <c r="T3232" i="1"/>
  <c r="T2280" i="1"/>
  <c r="T169" i="1"/>
  <c r="T419" i="1"/>
  <c r="T2364" i="1"/>
  <c r="T1714" i="1"/>
  <c r="T1904" i="1"/>
  <c r="T1959" i="1"/>
  <c r="T1617" i="1"/>
  <c r="T2816" i="1"/>
  <c r="T646" i="1"/>
  <c r="T862" i="1"/>
  <c r="T3382" i="1"/>
  <c r="T1054" i="1"/>
  <c r="T2626" i="1"/>
  <c r="T2984" i="1"/>
  <c r="T3477" i="1"/>
  <c r="T3177" i="1"/>
  <c r="T3598" i="1"/>
  <c r="T227" i="1"/>
  <c r="T22" i="1"/>
  <c r="T3837" i="1"/>
  <c r="T2500" i="1"/>
  <c r="T3131" i="1"/>
  <c r="T3257" i="1"/>
  <c r="T2305" i="1"/>
  <c r="T406" i="1"/>
  <c r="T598" i="1"/>
  <c r="T2389" i="1"/>
  <c r="T3887" i="1"/>
  <c r="T2919" i="1"/>
  <c r="T2653" i="1"/>
  <c r="T1228" i="1"/>
  <c r="T342" i="1"/>
  <c r="T671" i="1"/>
  <c r="T320" i="1"/>
  <c r="T712" i="1"/>
  <c r="T2540" i="1"/>
  <c r="T2987" i="1"/>
  <c r="T61" i="1"/>
  <c r="T2029" i="1"/>
  <c r="T122" i="1"/>
  <c r="T992" i="1"/>
  <c r="T3730" i="1"/>
  <c r="T811" i="1"/>
  <c r="T1302" i="1"/>
  <c r="T1148" i="1"/>
  <c r="T3002" i="1"/>
  <c r="T2320" i="1"/>
  <c r="T303" i="1"/>
  <c r="T2561" i="1"/>
  <c r="T2338" i="1"/>
  <c r="T1445" i="1"/>
  <c r="T3472" i="1"/>
  <c r="T3708" i="1"/>
  <c r="T1763" i="1"/>
  <c r="T1822" i="1"/>
  <c r="T2762" i="1"/>
  <c r="T291" i="1"/>
  <c r="T2714" i="1"/>
  <c r="T2562" i="1"/>
  <c r="T49" i="1"/>
  <c r="T2041" i="1"/>
  <c r="T970" i="1"/>
  <c r="T2343" i="1"/>
  <c r="T817" i="1"/>
  <c r="T322" i="1"/>
  <c r="T2547" i="1"/>
  <c r="T3737" i="1"/>
  <c r="T710" i="1"/>
  <c r="T123" i="1"/>
  <c r="T1469" i="1"/>
  <c r="T1559" i="1"/>
  <c r="T1742" i="1"/>
  <c r="T444" i="1"/>
  <c r="T2782" i="1"/>
  <c r="T2604" i="1"/>
  <c r="T948" i="1"/>
  <c r="T3409" i="1"/>
  <c r="T2930" i="1"/>
  <c r="T3609" i="1"/>
  <c r="T2420" i="1"/>
  <c r="T323" i="1"/>
  <c r="T2546" i="1"/>
  <c r="T51" i="1"/>
  <c r="T2049" i="1"/>
  <c r="T2331" i="1"/>
  <c r="T813" i="1"/>
  <c r="T1134" i="1"/>
  <c r="T129" i="1"/>
  <c r="T705" i="1"/>
  <c r="T3733" i="1"/>
  <c r="T3475" i="1"/>
  <c r="T1750" i="1"/>
  <c r="T452" i="1"/>
  <c r="T2594" i="1"/>
  <c r="T944" i="1"/>
  <c r="T3419" i="1"/>
  <c r="T3595" i="1"/>
  <c r="T2418" i="1"/>
  <c r="T3810" i="1"/>
  <c r="T2686" i="1"/>
  <c r="T222" i="1"/>
  <c r="T3577" i="1"/>
  <c r="T1013" i="1"/>
  <c r="T1270" i="1"/>
  <c r="T3210" i="1"/>
  <c r="T1529" i="1"/>
  <c r="T509" i="1"/>
  <c r="T2118" i="1"/>
  <c r="T3948" i="1"/>
  <c r="T1859" i="1"/>
  <c r="T3659" i="1"/>
  <c r="T3830" i="1"/>
  <c r="T1398" i="1"/>
  <c r="T1645" i="1"/>
  <c r="T3032" i="1"/>
  <c r="T2204" i="1"/>
  <c r="T2503" i="1"/>
  <c r="T2084" i="1"/>
  <c r="T1372" i="1"/>
  <c r="T786" i="1"/>
  <c r="T3287" i="1"/>
  <c r="T2881" i="1"/>
  <c r="T2725" i="1"/>
  <c r="T800" i="1"/>
  <c r="T1478" i="1"/>
  <c r="T1571" i="1"/>
  <c r="T3153" i="1"/>
  <c r="T2779" i="1"/>
  <c r="T1147" i="1"/>
  <c r="T2999" i="1"/>
  <c r="T102" i="1"/>
  <c r="T2349" i="1"/>
  <c r="T326" i="1"/>
  <c r="T113" i="1"/>
  <c r="T2529" i="1"/>
  <c r="T257" i="1"/>
  <c r="T1755" i="1"/>
  <c r="T2764" i="1"/>
  <c r="T930" i="1"/>
  <c r="T3423" i="1"/>
  <c r="T3607" i="1"/>
  <c r="T3809" i="1"/>
  <c r="T2684" i="1"/>
  <c r="T3549" i="1"/>
  <c r="T3353" i="1"/>
  <c r="T1272" i="1"/>
  <c r="T1495" i="1"/>
  <c r="T31" i="1"/>
  <c r="T2122" i="1"/>
  <c r="T3958" i="1"/>
  <c r="T3653" i="1"/>
  <c r="T3828" i="1"/>
  <c r="T1410" i="1"/>
  <c r="T3924" i="1"/>
  <c r="T2206" i="1"/>
  <c r="T2517" i="1"/>
  <c r="T1362" i="1"/>
  <c r="T3102" i="1"/>
  <c r="T3297" i="1"/>
  <c r="T711" i="1"/>
  <c r="T3757" i="1"/>
  <c r="T266" i="1"/>
  <c r="T1746" i="1"/>
  <c r="T2787" i="1"/>
  <c r="T2939" i="1"/>
  <c r="T201" i="1"/>
  <c r="T1281" i="1"/>
  <c r="T2121" i="1"/>
  <c r="T3849" i="1"/>
  <c r="T2215" i="1"/>
  <c r="T3101" i="1"/>
  <c r="T693" i="1"/>
  <c r="T103" i="1"/>
  <c r="T2704" i="1"/>
  <c r="T253" i="1"/>
  <c r="T1973" i="1"/>
  <c r="T1809" i="1"/>
  <c r="T1006" i="1"/>
  <c r="T1335" i="1"/>
  <c r="T3699" i="1"/>
  <c r="T2595" i="1"/>
  <c r="T3791" i="1"/>
  <c r="T1018" i="1"/>
  <c r="T3953" i="1"/>
  <c r="T1652" i="1"/>
  <c r="T1324" i="1"/>
  <c r="T3164" i="1"/>
  <c r="T2998" i="1"/>
  <c r="T1568" i="1"/>
  <c r="T927" i="1"/>
  <c r="T3546" i="1"/>
  <c r="T532" i="1"/>
  <c r="T2203" i="1"/>
  <c r="T3292" i="1"/>
  <c r="T2465" i="1"/>
  <c r="T397" i="1"/>
  <c r="T605" i="1"/>
  <c r="T1698" i="1"/>
  <c r="T1920" i="1"/>
  <c r="T2660" i="1"/>
  <c r="T635" i="1"/>
  <c r="T662" i="1"/>
  <c r="T894" i="1"/>
  <c r="T3523" i="1"/>
  <c r="T2161" i="1"/>
  <c r="T1328" i="1"/>
  <c r="T1759" i="1"/>
  <c r="T3777" i="1"/>
  <c r="T1261" i="1"/>
  <c r="T3068" i="1"/>
  <c r="T2069" i="1"/>
  <c r="T2898" i="1"/>
  <c r="T2289" i="1"/>
  <c r="T1166" i="1"/>
  <c r="T630" i="1"/>
  <c r="T3871" i="1"/>
  <c r="T1938" i="1"/>
  <c r="T1610" i="1"/>
  <c r="T2825" i="1"/>
  <c r="T487" i="1"/>
  <c r="T2855" i="1"/>
  <c r="T3516" i="1"/>
  <c r="T1095" i="1"/>
  <c r="T2332" i="1"/>
  <c r="T3811" i="1"/>
  <c r="T1136" i="1"/>
  <c r="T2977" i="1"/>
  <c r="T2043" i="1"/>
  <c r="T2339" i="1"/>
  <c r="T1298" i="1"/>
  <c r="T84" i="1"/>
  <c r="T2712" i="1"/>
  <c r="T1453" i="1"/>
  <c r="T2002" i="1"/>
  <c r="T472" i="1"/>
  <c r="T914" i="1"/>
  <c r="T3413" i="1"/>
  <c r="T3599" i="1"/>
  <c r="T3802" i="1"/>
  <c r="T2676" i="1"/>
  <c r="T3543" i="1"/>
  <c r="T3339" i="1"/>
  <c r="T1264" i="1"/>
  <c r="T3220" i="1"/>
  <c r="T19" i="1"/>
  <c r="T2114" i="1"/>
  <c r="T3952" i="1"/>
  <c r="T3639" i="1"/>
  <c r="T3089" i="1"/>
  <c r="T1404" i="1"/>
  <c r="T1667" i="1"/>
  <c r="T2198" i="1"/>
  <c r="T2513" i="1"/>
  <c r="T1350" i="1"/>
  <c r="T782" i="1"/>
  <c r="T3291" i="1"/>
  <c r="T1111" i="1"/>
  <c r="T969" i="1"/>
  <c r="T251" i="1"/>
  <c r="T1979" i="1"/>
  <c r="T471" i="1"/>
  <c r="T2923" i="1"/>
  <c r="T2261" i="1"/>
  <c r="T1040" i="1"/>
  <c r="T536" i="1"/>
  <c r="T3078" i="1"/>
  <c r="T2191" i="1"/>
  <c r="T773" i="1"/>
  <c r="T1119" i="1"/>
  <c r="T2034" i="1"/>
  <c r="T1146" i="1"/>
  <c r="T1450" i="1"/>
  <c r="T3702" i="1"/>
  <c r="T1800" i="1"/>
  <c r="T577" i="1"/>
  <c r="T822" i="1"/>
  <c r="T1576" i="1"/>
  <c r="T2769" i="1"/>
  <c r="T3624" i="1"/>
  <c r="T3342" i="1"/>
  <c r="T2111" i="1"/>
  <c r="T1413" i="1"/>
  <c r="T846" i="1"/>
  <c r="T1998" i="1"/>
  <c r="T2709" i="1"/>
  <c r="T3482" i="1"/>
  <c r="T469" i="1"/>
  <c r="T207" i="1"/>
  <c r="T518" i="1"/>
  <c r="T1642" i="1"/>
  <c r="T3119" i="1"/>
  <c r="T2457" i="1"/>
  <c r="T164" i="1"/>
  <c r="T428" i="1"/>
  <c r="T1690" i="1"/>
  <c r="T1899" i="1"/>
  <c r="T2647" i="1"/>
  <c r="T1243" i="1"/>
  <c r="T376" i="1"/>
  <c r="T881" i="1"/>
  <c r="T3515" i="1"/>
  <c r="T2625" i="1"/>
  <c r="T840" i="1"/>
  <c r="T1741" i="1"/>
  <c r="T2953" i="1"/>
  <c r="T1020" i="1"/>
  <c r="T1850" i="1"/>
  <c r="T2227" i="1"/>
  <c r="T2886" i="1"/>
  <c r="T2281" i="1"/>
  <c r="T403" i="1"/>
  <c r="T619" i="1"/>
  <c r="T1715" i="1"/>
  <c r="T2916" i="1"/>
  <c r="T1599" i="1"/>
  <c r="T2817" i="1"/>
  <c r="T668" i="1"/>
  <c r="T2860" i="1"/>
  <c r="T1055" i="1"/>
  <c r="T2167" i="1"/>
  <c r="T2263" i="1"/>
  <c r="T1811" i="1"/>
  <c r="T3340" i="1"/>
  <c r="T2003" i="1"/>
  <c r="T3672" i="1"/>
  <c r="T3121" i="1"/>
  <c r="T2300" i="1"/>
  <c r="T429" i="1"/>
  <c r="T3882" i="1"/>
  <c r="T1796" i="1"/>
  <c r="T1391" i="1"/>
  <c r="T2874" i="1"/>
  <c r="T142" i="1"/>
  <c r="T610" i="1"/>
  <c r="T2249" i="1"/>
  <c r="T3308" i="1"/>
  <c r="T612" i="1"/>
  <c r="T1941" i="1"/>
  <c r="T1245" i="1"/>
  <c r="T488" i="1"/>
  <c r="T3517" i="1"/>
  <c r="T1995" i="1"/>
  <c r="T3636" i="1"/>
  <c r="T2478" i="1"/>
  <c r="T1711" i="1"/>
  <c r="T1597" i="1"/>
  <c r="T361" i="1"/>
  <c r="T2858" i="1"/>
  <c r="T2620" i="1"/>
  <c r="T1658" i="1"/>
  <c r="T160" i="1"/>
  <c r="T1895" i="1"/>
  <c r="T1619" i="1"/>
  <c r="T648" i="1"/>
  <c r="T3384" i="1"/>
  <c r="T742" i="1"/>
  <c r="T1925" i="1"/>
  <c r="T1573" i="1"/>
  <c r="T1223" i="1"/>
  <c r="T1660" i="1"/>
  <c r="T2820" i="1"/>
  <c r="T394" i="1"/>
  <c r="T3527" i="1"/>
  <c r="T2536" i="1"/>
  <c r="T67" i="1"/>
  <c r="T974" i="1"/>
  <c r="T805" i="1"/>
  <c r="T2710" i="1"/>
  <c r="T842" i="1"/>
  <c r="T2342" i="1"/>
  <c r="T1548" i="1"/>
  <c r="T1812" i="1"/>
  <c r="T2586" i="1"/>
  <c r="T556" i="1"/>
  <c r="T2936" i="1"/>
  <c r="T3784" i="1"/>
  <c r="T2246" i="1"/>
  <c r="T204" i="1"/>
  <c r="T3575" i="1"/>
  <c r="T1019" i="1"/>
  <c r="T3196" i="1"/>
  <c r="T1523" i="1"/>
  <c r="T519" i="1"/>
  <c r="T3928" i="1"/>
  <c r="T1855" i="1"/>
  <c r="T3671" i="1"/>
  <c r="T3852" i="1"/>
  <c r="T1643" i="1"/>
  <c r="T3038" i="1"/>
  <c r="T2489" i="1"/>
  <c r="T2078" i="1"/>
  <c r="T756" i="1"/>
  <c r="T3126" i="1"/>
  <c r="T2877" i="1"/>
  <c r="T328" i="1"/>
  <c r="T2027" i="1"/>
  <c r="T837" i="1"/>
  <c r="T700" i="1"/>
  <c r="T1970" i="1"/>
  <c r="T906" i="1"/>
  <c r="T2958" i="1"/>
  <c r="T2264" i="1"/>
  <c r="T3335" i="1"/>
  <c r="T3212" i="1"/>
  <c r="T537" i="1"/>
  <c r="T1873" i="1"/>
  <c r="T1396" i="1"/>
  <c r="T2190" i="1"/>
  <c r="T2096" i="1"/>
  <c r="T3283" i="1"/>
  <c r="T3004" i="1"/>
  <c r="T262" i="1"/>
  <c r="T1764" i="1"/>
  <c r="T563" i="1"/>
  <c r="T2681" i="1"/>
  <c r="T1492" i="1"/>
  <c r="T3638" i="1"/>
  <c r="T2199" i="1"/>
  <c r="T3290" i="1"/>
  <c r="T2559" i="1"/>
  <c r="T694" i="1"/>
  <c r="T267" i="1"/>
  <c r="T1768" i="1"/>
  <c r="T3428" i="1"/>
  <c r="T1479" i="1"/>
  <c r="T3169" i="1"/>
  <c r="T2413" i="1"/>
  <c r="T3199" i="1"/>
  <c r="T3076" i="1"/>
  <c r="T1307" i="1"/>
  <c r="T441" i="1"/>
  <c r="T1458" i="1"/>
  <c r="T2785" i="1"/>
  <c r="T1028" i="1"/>
  <c r="T3855" i="1"/>
  <c r="T3123" i="1"/>
  <c r="T2288" i="1"/>
  <c r="T1181" i="1"/>
  <c r="T1693" i="1"/>
  <c r="T1924" i="1"/>
  <c r="T1214" i="1"/>
  <c r="T649" i="1"/>
  <c r="T2865" i="1"/>
  <c r="T1089" i="1"/>
  <c r="T1312" i="1"/>
  <c r="T1793" i="1"/>
  <c r="T203" i="1"/>
  <c r="T1864" i="1"/>
  <c r="T1349" i="1"/>
  <c r="T2455" i="1"/>
  <c r="T411" i="1"/>
  <c r="T2378" i="1"/>
  <c r="T1902" i="1"/>
  <c r="T1602" i="1"/>
  <c r="T350" i="1"/>
  <c r="T879" i="1"/>
  <c r="T1060" i="1"/>
  <c r="T1565" i="1"/>
  <c r="T1555" i="1"/>
  <c r="T3350" i="1"/>
  <c r="T3568" i="1"/>
  <c r="T2073" i="1"/>
  <c r="T2311" i="1"/>
  <c r="T2368" i="1"/>
  <c r="T1944" i="1"/>
  <c r="T1419" i="1"/>
  <c r="T1120" i="1"/>
  <c r="T2033" i="1"/>
  <c r="T845" i="1"/>
  <c r="T2707" i="1"/>
  <c r="T1983" i="1"/>
  <c r="T910" i="1"/>
  <c r="T3597" i="1"/>
  <c r="T2268" i="1"/>
  <c r="T3337" i="1"/>
  <c r="T3216" i="1"/>
  <c r="T2108" i="1"/>
  <c r="T3637" i="1"/>
  <c r="T1402" i="1"/>
  <c r="T2192" i="1"/>
  <c r="T1346" i="1"/>
  <c r="T3289" i="1"/>
  <c r="T101" i="1"/>
  <c r="T269" i="1"/>
  <c r="T3156" i="1"/>
  <c r="T3410" i="1"/>
  <c r="T2689" i="1"/>
  <c r="T1500" i="1"/>
  <c r="T3654" i="1"/>
  <c r="T2207" i="1"/>
  <c r="T3298" i="1"/>
  <c r="T2982" i="1"/>
  <c r="T2715" i="1"/>
  <c r="T3452" i="1"/>
  <c r="T3176" i="1"/>
  <c r="T3432" i="1"/>
  <c r="T242" i="1"/>
  <c r="T1782" i="1"/>
  <c r="T3787" i="1"/>
  <c r="T3203" i="1"/>
  <c r="T3839" i="1"/>
  <c r="T1439" i="1"/>
  <c r="T473" i="1"/>
  <c r="T240" i="1"/>
  <c r="T2593" i="1"/>
  <c r="T1038" i="1"/>
  <c r="T1397" i="1"/>
  <c r="T3278" i="1"/>
  <c r="T2291" i="1"/>
  <c r="T422" i="1"/>
  <c r="T1701" i="1"/>
  <c r="T1932" i="1"/>
  <c r="T1227" i="1"/>
  <c r="T654" i="1"/>
  <c r="T3374" i="1"/>
  <c r="T1097" i="1"/>
  <c r="T1320" i="1"/>
  <c r="T445" i="1"/>
  <c r="T3334" i="1"/>
  <c r="T3082" i="1"/>
  <c r="T1377" i="1"/>
  <c r="T2466" i="1"/>
  <c r="T414" i="1"/>
  <c r="T2381" i="1"/>
  <c r="T1910" i="1"/>
  <c r="T1607" i="1"/>
  <c r="T355" i="1"/>
  <c r="T892" i="1"/>
  <c r="T1068" i="1"/>
  <c r="T1745" i="1"/>
  <c r="T2550" i="1"/>
  <c r="T2745" i="1"/>
  <c r="T1820" i="1"/>
  <c r="T3788" i="1"/>
  <c r="T1027" i="1"/>
  <c r="T3934" i="1"/>
  <c r="T1651" i="1"/>
  <c r="T764" i="1"/>
  <c r="T824" i="1"/>
  <c r="T447" i="1"/>
  <c r="T3328" i="1"/>
  <c r="T1393" i="1"/>
  <c r="T330" i="1"/>
  <c r="T2326" i="1"/>
  <c r="T1112" i="1"/>
  <c r="T2743" i="1"/>
  <c r="T2971" i="1"/>
  <c r="T69" i="1"/>
  <c r="T98" i="1"/>
  <c r="T984" i="1"/>
  <c r="T3746" i="1"/>
  <c r="T827" i="1"/>
  <c r="T1130" i="1"/>
  <c r="T68" i="1"/>
  <c r="T826" i="1"/>
  <c r="T2716" i="1"/>
  <c r="T3751" i="1"/>
  <c r="T249" i="1"/>
  <c r="T3692" i="1"/>
  <c r="T3170" i="1"/>
  <c r="T454" i="1"/>
  <c r="T2794" i="1"/>
  <c r="T2735" i="1"/>
  <c r="T2993" i="1"/>
  <c r="T2019" i="1"/>
  <c r="T980" i="1"/>
  <c r="T3752" i="1"/>
  <c r="T294" i="1"/>
  <c r="T60" i="1"/>
  <c r="T1301" i="1"/>
  <c r="T2018" i="1"/>
  <c r="T244" i="1"/>
  <c r="T1978" i="1"/>
  <c r="T1805" i="1"/>
  <c r="T2792" i="1"/>
  <c r="T924" i="1"/>
  <c r="T578" i="1"/>
  <c r="T2946" i="1"/>
  <c r="T3625" i="1"/>
  <c r="T296" i="1"/>
  <c r="T2560" i="1"/>
  <c r="T2023" i="1"/>
  <c r="T982" i="1"/>
  <c r="T825" i="1"/>
  <c r="T2555" i="1"/>
  <c r="T327" i="1"/>
  <c r="T1333" i="1"/>
  <c r="T3687" i="1"/>
  <c r="T440" i="1"/>
  <c r="T2606" i="1"/>
  <c r="T574" i="1"/>
  <c r="T2942" i="1"/>
  <c r="T3794" i="1"/>
  <c r="T2258" i="1"/>
  <c r="T214" i="1"/>
  <c r="T3333" i="1"/>
  <c r="T1029" i="1"/>
  <c r="T3202" i="1"/>
  <c r="T9" i="1"/>
  <c r="T533" i="1"/>
  <c r="T3932" i="1"/>
  <c r="T1867" i="1"/>
  <c r="T3075" i="1"/>
  <c r="T1390" i="1"/>
  <c r="T1661" i="1"/>
  <c r="T3048" i="1"/>
  <c r="T2495" i="1"/>
  <c r="T2092" i="1"/>
  <c r="T770" i="1"/>
  <c r="T3130" i="1"/>
  <c r="T2889" i="1"/>
  <c r="T62" i="1"/>
  <c r="T1460" i="1"/>
  <c r="T3714" i="1"/>
  <c r="T1792" i="1"/>
  <c r="T1115" i="1"/>
  <c r="T55" i="1"/>
  <c r="T988" i="1"/>
  <c r="T833" i="1"/>
  <c r="T2344" i="1"/>
  <c r="T812" i="1"/>
  <c r="T1986" i="1"/>
  <c r="T2578" i="1"/>
  <c r="T558" i="1"/>
  <c r="T3591" i="1"/>
  <c r="T2238" i="1"/>
  <c r="T212" i="1"/>
  <c r="T3331" i="1"/>
  <c r="T1282" i="1"/>
  <c r="T1527" i="1"/>
  <c r="T2112" i="1"/>
  <c r="T1849" i="1"/>
  <c r="T3673" i="1"/>
  <c r="T1400" i="1"/>
  <c r="T3030" i="1"/>
  <c r="T2497" i="1"/>
  <c r="T2094" i="1"/>
  <c r="T3112" i="1"/>
  <c r="T2883" i="1"/>
  <c r="T965" i="1"/>
  <c r="T1553" i="1"/>
  <c r="T3174" i="1"/>
  <c r="T3426" i="1"/>
  <c r="T3548" i="1"/>
  <c r="T20" i="1"/>
  <c r="T3662" i="1"/>
  <c r="T2506" i="1"/>
  <c r="T1005" i="1"/>
  <c r="T2024" i="1"/>
  <c r="T2026" i="1"/>
  <c r="T3466" i="1"/>
  <c r="T1790" i="1"/>
  <c r="T1142" i="1"/>
  <c r="T3479" i="1"/>
  <c r="T1801" i="1"/>
  <c r="T2241" i="1"/>
  <c r="T6" i="1"/>
  <c r="T1399" i="1"/>
  <c r="T264" i="1"/>
  <c r="T907" i="1"/>
  <c r="T3465" i="1"/>
  <c r="T3424" i="1"/>
  <c r="T3207" i="1"/>
  <c r="T1407" i="1"/>
  <c r="T2882" i="1"/>
  <c r="T2312" i="1"/>
  <c r="T1198" i="1"/>
  <c r="T3878" i="1"/>
  <c r="T1945" i="1"/>
  <c r="T1235" i="1"/>
  <c r="T381" i="1"/>
  <c r="T3398" i="1"/>
  <c r="T730" i="1"/>
  <c r="T1470" i="1"/>
  <c r="T2607" i="1"/>
  <c r="T1010" i="1"/>
  <c r="T1403" i="1"/>
  <c r="T783" i="1"/>
  <c r="T2474" i="1"/>
  <c r="T1182" i="1"/>
  <c r="T1691" i="1"/>
  <c r="T1913" i="1"/>
  <c r="T1212" i="1"/>
  <c r="T374" i="1"/>
  <c r="T887" i="1"/>
  <c r="T3532" i="1"/>
  <c r="T2154" i="1"/>
  <c r="T2951" i="1"/>
  <c r="T715" i="1"/>
  <c r="T63" i="1"/>
  <c r="T994" i="1"/>
  <c r="T1113" i="1"/>
  <c r="T818" i="1"/>
  <c r="T1309" i="1"/>
  <c r="T3146" i="1"/>
  <c r="T2582" i="1"/>
  <c r="T568" i="1"/>
  <c r="T3619" i="1"/>
  <c r="T2244" i="1"/>
  <c r="T216" i="1"/>
  <c r="T3355" i="1"/>
  <c r="T3190" i="1"/>
  <c r="T5" i="1"/>
  <c r="T2128" i="1"/>
  <c r="T1853" i="1"/>
  <c r="T3073" i="1"/>
  <c r="T1418" i="1"/>
  <c r="T3036" i="1"/>
  <c r="T2499" i="1"/>
  <c r="T1366" i="1"/>
  <c r="T3120" i="1"/>
  <c r="T2887" i="1"/>
  <c r="T814" i="1"/>
  <c r="T1557" i="1"/>
  <c r="T1799" i="1"/>
  <c r="T3594" i="1"/>
  <c r="T3564" i="1"/>
  <c r="T28" i="1"/>
  <c r="T3857" i="1"/>
  <c r="T2063" i="1"/>
  <c r="T292" i="1"/>
  <c r="T117" i="1"/>
  <c r="T99" i="1"/>
  <c r="T3485" i="1"/>
  <c r="T457" i="1"/>
  <c r="T2729" i="1"/>
  <c r="T3486" i="1"/>
  <c r="T2599" i="1"/>
  <c r="T2677" i="1"/>
  <c r="T24" i="1"/>
  <c r="T1670" i="1"/>
  <c r="T271" i="1"/>
  <c r="T945" i="1"/>
  <c r="T3697" i="1"/>
  <c r="T3616" i="1"/>
  <c r="T2" i="1"/>
  <c r="T2219" i="1"/>
  <c r="T2900" i="1"/>
  <c r="T145" i="1"/>
  <c r="T613" i="1"/>
  <c r="T3881" i="1"/>
  <c r="T1954" i="1"/>
  <c r="T2811" i="1"/>
  <c r="T486" i="1"/>
  <c r="T3401" i="1"/>
  <c r="T2164" i="1"/>
  <c r="T3468" i="1"/>
  <c r="T935" i="1"/>
  <c r="T1498" i="1"/>
  <c r="T1662" i="1"/>
  <c r="T3127" i="1"/>
  <c r="T2302" i="1"/>
  <c r="T420" i="1"/>
  <c r="T1696" i="1"/>
  <c r="T1943" i="1"/>
  <c r="T1225" i="1"/>
  <c r="T647" i="1"/>
  <c r="T3383" i="1"/>
  <c r="T729" i="1"/>
  <c r="T2941" i="1"/>
  <c r="T561" i="1"/>
  <c r="T2131" i="1"/>
  <c r="T2127" i="1"/>
  <c r="T2893" i="1"/>
  <c r="T401" i="1"/>
  <c r="T1702" i="1"/>
  <c r="T3614" i="1"/>
  <c r="T2067" i="1"/>
  <c r="T2285" i="1"/>
  <c r="T2369" i="1"/>
  <c r="T1423" i="1"/>
  <c r="T1164" i="1"/>
  <c r="T2638" i="1"/>
  <c r="T359" i="1"/>
  <c r="T3392" i="1"/>
  <c r="T3807" i="1"/>
  <c r="T771" i="1"/>
  <c r="T2361" i="1"/>
  <c r="T1215" i="1"/>
  <c r="T490" i="1"/>
  <c r="T1066" i="1"/>
  <c r="T2508" i="1"/>
  <c r="T628" i="1"/>
  <c r="T2662" i="1"/>
  <c r="T675" i="1"/>
  <c r="T1056" i="1"/>
  <c r="T421" i="1"/>
  <c r="T3266" i="1"/>
  <c r="T3402" i="1"/>
  <c r="T2632" i="1"/>
  <c r="T2915" i="1"/>
  <c r="T1139" i="1"/>
  <c r="T3009" i="1"/>
  <c r="T2319" i="1"/>
  <c r="T287" i="1"/>
  <c r="T2328" i="1"/>
  <c r="T1317" i="1"/>
  <c r="T1734" i="1"/>
  <c r="T2788" i="1"/>
  <c r="T576" i="1"/>
  <c r="T3603" i="1"/>
  <c r="T2440" i="1"/>
  <c r="T218" i="1"/>
  <c r="T3345" i="1"/>
  <c r="T1280" i="1"/>
  <c r="T7" i="1"/>
  <c r="T2116" i="1"/>
  <c r="T1841" i="1"/>
  <c r="T3079" i="1"/>
  <c r="T1408" i="1"/>
  <c r="T3026" i="1"/>
  <c r="T2501" i="1"/>
  <c r="T1354" i="1"/>
  <c r="T3110" i="1"/>
  <c r="T285" i="1"/>
  <c r="T2568" i="1"/>
  <c r="T3756" i="1"/>
  <c r="T2046" i="1"/>
  <c r="T458" i="1"/>
  <c r="T2924" i="1"/>
  <c r="T194" i="1"/>
  <c r="T1039" i="1"/>
  <c r="T507" i="1"/>
  <c r="T3661" i="1"/>
  <c r="T1663" i="1"/>
  <c r="T2066" i="1"/>
  <c r="T3313" i="1"/>
  <c r="T1303" i="1"/>
  <c r="T1997" i="1"/>
  <c r="T2931" i="1"/>
  <c r="T3336" i="1"/>
  <c r="T3951" i="1"/>
  <c r="T2514" i="1"/>
  <c r="T1132" i="1"/>
  <c r="T806" i="1"/>
  <c r="T3481" i="1"/>
  <c r="T2773" i="1"/>
  <c r="T1310" i="1"/>
  <c r="T2793" i="1"/>
  <c r="T219" i="1"/>
  <c r="T1856" i="1"/>
  <c r="T246" i="1"/>
  <c r="T2734" i="1"/>
  <c r="T1783" i="1"/>
  <c r="T3193" i="1"/>
  <c r="T2496" i="1"/>
  <c r="T2460" i="1"/>
  <c r="T597" i="1"/>
  <c r="T3897" i="1"/>
  <c r="T1604" i="1"/>
  <c r="T673" i="1"/>
  <c r="T3518" i="1"/>
  <c r="T2718" i="1"/>
  <c r="T923" i="1"/>
  <c r="T1526" i="1"/>
  <c r="T2504" i="1"/>
  <c r="T2286" i="1"/>
  <c r="T426" i="1"/>
  <c r="T3895" i="1"/>
  <c r="T1217" i="1"/>
  <c r="T379" i="1"/>
  <c r="T3513" i="1"/>
  <c r="T2929" i="1"/>
  <c r="T2949" i="1"/>
  <c r="T2781" i="1"/>
  <c r="T3135" i="1"/>
  <c r="T1172" i="1"/>
  <c r="T1908" i="1"/>
  <c r="T2225" i="1"/>
  <c r="T2969" i="1"/>
  <c r="T3758" i="1"/>
  <c r="T109" i="1"/>
  <c r="T464" i="1"/>
  <c r="T2926" i="1"/>
  <c r="T196" i="1"/>
  <c r="T1041" i="1"/>
  <c r="T513" i="1"/>
  <c r="T3665" i="1"/>
  <c r="T1665" i="1"/>
  <c r="T2070" i="1"/>
  <c r="T2869" i="1"/>
  <c r="T1311" i="1"/>
  <c r="T2004" i="1"/>
  <c r="T2947" i="1"/>
  <c r="T3360" i="1"/>
  <c r="T3959" i="1"/>
  <c r="T2522" i="1"/>
  <c r="T1138" i="1"/>
  <c r="T306" i="1"/>
  <c r="T1561" i="1"/>
  <c r="T2777" i="1"/>
  <c r="T1316" i="1"/>
  <c r="T2575" i="1"/>
  <c r="T3566" i="1"/>
  <c r="T1874" i="1"/>
  <c r="T256" i="1"/>
  <c r="T2533" i="1"/>
  <c r="T1798" i="1"/>
  <c r="T16" i="1"/>
  <c r="T2524" i="1"/>
  <c r="T2468" i="1"/>
  <c r="T600" i="1"/>
  <c r="T3905" i="1"/>
  <c r="T1609" i="1"/>
  <c r="T676" i="1"/>
  <c r="T3526" i="1"/>
  <c r="T70" i="1"/>
  <c r="T553" i="1"/>
  <c r="T8" i="1"/>
  <c r="T2518" i="1"/>
  <c r="T2294" i="1"/>
  <c r="T603" i="1"/>
  <c r="T3900" i="1"/>
  <c r="T1220" i="1"/>
  <c r="T674" i="1"/>
  <c r="T3524" i="1"/>
  <c r="T2419" i="1"/>
  <c r="T986" i="1"/>
  <c r="T1575" i="1"/>
  <c r="T2254" i="1"/>
  <c r="T3" i="1"/>
  <c r="T3858" i="1"/>
  <c r="T3132" i="1"/>
  <c r="T1574" i="1"/>
  <c r="T2253" i="1"/>
  <c r="T3043" i="1"/>
  <c r="T131" i="1"/>
  <c r="T1754" i="1"/>
  <c r="T1454" i="1"/>
  <c r="T3606" i="1"/>
  <c r="T3072" i="1"/>
  <c r="T1819" i="1"/>
  <c r="T449" i="1"/>
  <c r="T3831" i="1"/>
  <c r="T2283" i="1"/>
  <c r="T1685" i="1"/>
  <c r="T1211" i="1"/>
  <c r="T2857" i="1"/>
  <c r="T2330" i="1"/>
  <c r="T199" i="1"/>
  <c r="T2097" i="1"/>
  <c r="T398" i="1"/>
  <c r="T1894" i="1"/>
  <c r="T347" i="1"/>
  <c r="T1052" i="1"/>
  <c r="T2991" i="1"/>
  <c r="T97" i="1"/>
  <c r="T2768" i="1"/>
  <c r="T2431" i="1"/>
  <c r="T1268" i="1"/>
  <c r="T3960" i="1"/>
  <c r="T3918" i="1"/>
  <c r="T788" i="1"/>
  <c r="T1332" i="1"/>
  <c r="T2795" i="1"/>
  <c r="T1016" i="1"/>
  <c r="T1640" i="1"/>
  <c r="T687" i="1"/>
  <c r="T1327" i="1"/>
  <c r="T2587" i="1"/>
  <c r="T3718" i="1"/>
  <c r="T3570" i="1"/>
  <c r="T321" i="1"/>
  <c r="T66" i="1"/>
  <c r="T2439" i="1"/>
  <c r="T2075" i="1"/>
  <c r="T392" i="1"/>
  <c r="T1891" i="1"/>
  <c r="T2840" i="1"/>
  <c r="T3531" i="1"/>
  <c r="T3701" i="1"/>
  <c r="T32" i="1"/>
  <c r="T2903" i="1"/>
  <c r="T606" i="1"/>
  <c r="T2634" i="1"/>
  <c r="T484" i="1"/>
  <c r="T2159" i="1"/>
  <c r="T2591" i="1"/>
  <c r="T3463" i="1"/>
  <c r="T2526" i="1"/>
  <c r="T396" i="1"/>
  <c r="T1887" i="1"/>
  <c r="T3674" i="1"/>
  <c r="T2470" i="1"/>
  <c r="T599" i="1"/>
  <c r="T2119" i="1"/>
  <c r="T176" i="1"/>
  <c r="T1934" i="1"/>
  <c r="T2837" i="1"/>
  <c r="T3376" i="1"/>
  <c r="T3453" i="1"/>
  <c r="T2229" i="1"/>
  <c r="T602" i="1"/>
  <c r="T1592" i="1"/>
  <c r="T669" i="1"/>
  <c r="T3405" i="1"/>
  <c r="T3829" i="1"/>
  <c r="T1194" i="1"/>
  <c r="T2646" i="1"/>
  <c r="T643" i="1"/>
  <c r="T3520" i="1"/>
  <c r="T2282" i="1"/>
  <c r="T2160" i="1"/>
  <c r="T861" i="1"/>
  <c r="T1917" i="1"/>
  <c r="T2314" i="1"/>
  <c r="T346" i="1"/>
  <c r="T516" i="1"/>
  <c r="T1911" i="1"/>
  <c r="T1939" i="1"/>
  <c r="T1085" i="1"/>
  <c r="T3734" i="1"/>
  <c r="T252" i="1"/>
  <c r="T3427" i="1"/>
  <c r="T3555" i="1"/>
  <c r="T29" i="1"/>
  <c r="T3832" i="1"/>
  <c r="T2523" i="1"/>
  <c r="T1149" i="1"/>
  <c r="T1976" i="1"/>
  <c r="T3793" i="1"/>
  <c r="T3943" i="1"/>
  <c r="T765" i="1"/>
  <c r="T3763" i="1"/>
  <c r="T1987" i="1"/>
  <c r="T2350" i="1"/>
  <c r="T3440" i="1"/>
  <c r="T1842" i="1"/>
  <c r="T1989" i="1"/>
  <c r="T3148" i="1"/>
  <c r="T1848" i="1"/>
  <c r="T2452" i="1"/>
  <c r="T2372" i="1"/>
  <c r="T1596" i="1"/>
  <c r="T873" i="1"/>
  <c r="T708" i="1"/>
  <c r="T2417" i="1"/>
  <c r="T2213" i="1"/>
  <c r="T159" i="1"/>
  <c r="T3892" i="1"/>
  <c r="T2814" i="1"/>
  <c r="T3508" i="1"/>
  <c r="T56" i="1"/>
  <c r="T1026" i="1"/>
  <c r="T1866" i="1"/>
  <c r="T2453" i="1"/>
  <c r="T2379" i="1"/>
  <c r="T2945" i="1"/>
  <c r="T3284" i="1"/>
  <c r="T402" i="1"/>
  <c r="T1708" i="1"/>
  <c r="T2901" i="1"/>
  <c r="T3869" i="1"/>
  <c r="T1622" i="1"/>
  <c r="T499" i="1"/>
  <c r="T1128" i="1"/>
  <c r="T2556" i="1"/>
  <c r="T53" i="1"/>
  <c r="T106" i="1"/>
  <c r="T2337" i="1"/>
  <c r="T819" i="1"/>
  <c r="T2713" i="1"/>
  <c r="T967" i="1"/>
  <c r="T714" i="1"/>
  <c r="T1314" i="1"/>
  <c r="T1540" i="1"/>
  <c r="T1747" i="1"/>
  <c r="T470" i="1"/>
  <c r="T1131" i="1"/>
  <c r="T2973" i="1"/>
  <c r="T96" i="1"/>
  <c r="T2333" i="1"/>
  <c r="T839" i="1"/>
  <c r="T2036" i="1"/>
  <c r="T2721" i="1"/>
  <c r="T1325" i="1"/>
  <c r="T1999" i="1"/>
  <c r="T466" i="1"/>
  <c r="T916" i="1"/>
  <c r="T3417" i="1"/>
  <c r="T3593" i="1"/>
  <c r="T3800" i="1"/>
  <c r="T2975" i="1"/>
  <c r="T124" i="1"/>
  <c r="T3766" i="1"/>
  <c r="T3010" i="1"/>
  <c r="T72" i="1"/>
  <c r="T1551" i="1"/>
  <c r="T2766" i="1"/>
  <c r="T934" i="1"/>
  <c r="T2932" i="1"/>
  <c r="T3806" i="1"/>
  <c r="T190" i="1"/>
  <c r="T3569" i="1"/>
  <c r="T1262" i="1"/>
  <c r="T1505" i="1"/>
  <c r="T517" i="1"/>
  <c r="T3956" i="1"/>
  <c r="T3651" i="1"/>
  <c r="T3846" i="1"/>
  <c r="T1669" i="1"/>
  <c r="T2212" i="1"/>
  <c r="T2068" i="1"/>
  <c r="T778" i="1"/>
  <c r="T3303" i="1"/>
  <c r="T2990" i="1"/>
  <c r="T255" i="1"/>
  <c r="T1732" i="1"/>
  <c r="T299" i="1"/>
  <c r="T73" i="1"/>
  <c r="T3760" i="1"/>
  <c r="T76" i="1"/>
  <c r="T1322" i="1"/>
  <c r="T442" i="1"/>
  <c r="T946" i="1"/>
  <c r="T3780" i="1"/>
  <c r="T2674" i="1"/>
  <c r="T3581" i="1"/>
  <c r="T3204" i="1"/>
  <c r="T511" i="1"/>
  <c r="T3946" i="1"/>
  <c r="T3087" i="1"/>
  <c r="T1649" i="1"/>
  <c r="T2216" i="1"/>
  <c r="T1374" i="1"/>
  <c r="T3285" i="1"/>
  <c r="T2980" i="1"/>
  <c r="T1578" i="1"/>
  <c r="T2605" i="1"/>
  <c r="T3813" i="1"/>
  <c r="T520" i="1"/>
  <c r="T1648" i="1"/>
  <c r="T3306" i="1"/>
  <c r="T2334" i="1"/>
  <c r="T1323" i="1"/>
  <c r="T3152" i="1"/>
  <c r="T2565" i="1"/>
  <c r="T1756" i="1"/>
  <c r="T3620" i="1"/>
  <c r="T510" i="1"/>
  <c r="T64" i="1"/>
  <c r="T467" i="1"/>
  <c r="T1748" i="1"/>
  <c r="T197" i="1"/>
  <c r="T3845" i="1"/>
  <c r="T3248" i="1"/>
  <c r="T413" i="1"/>
  <c r="T1682" i="1"/>
  <c r="T2644" i="1"/>
  <c r="T349" i="1"/>
  <c r="T2862" i="1"/>
  <c r="T2177" i="1"/>
  <c r="T3709" i="1"/>
  <c r="T189" i="1"/>
  <c r="T3029" i="1"/>
  <c r="T3241" i="1"/>
  <c r="T178" i="1"/>
  <c r="T1707" i="1"/>
  <c r="T2637" i="1"/>
  <c r="T358" i="1"/>
  <c r="T3375" i="1"/>
  <c r="T1079" i="1"/>
  <c r="T575" i="1"/>
  <c r="T2528" i="1"/>
  <c r="T112" i="1"/>
  <c r="T823" i="1"/>
  <c r="T1126" i="1"/>
  <c r="T1543" i="1"/>
  <c r="T2776" i="1"/>
  <c r="T3431" i="1"/>
  <c r="T3790" i="1"/>
  <c r="T200" i="1"/>
  <c r="T1017" i="1"/>
  <c r="T1503" i="1"/>
  <c r="T529" i="1"/>
  <c r="T1865" i="1"/>
  <c r="T3848" i="1"/>
  <c r="T3022" i="1"/>
  <c r="T2525" i="1"/>
  <c r="T766" i="1"/>
  <c r="T2875" i="1"/>
  <c r="T1318" i="1"/>
  <c r="T1749" i="1"/>
  <c r="T579" i="1"/>
  <c r="T3344" i="1"/>
  <c r="T1846" i="1"/>
  <c r="T2490" i="1"/>
  <c r="T706" i="1"/>
  <c r="T295" i="1"/>
  <c r="T3457" i="1"/>
  <c r="T2583" i="1"/>
  <c r="T1447" i="1"/>
  <c r="T3175" i="1"/>
  <c r="T3552" i="1"/>
  <c r="T3648" i="1"/>
  <c r="T1465" i="1"/>
  <c r="T2030" i="1"/>
  <c r="T1791" i="1"/>
  <c r="T1259" i="1"/>
  <c r="T2061" i="1"/>
  <c r="T2476" i="1"/>
  <c r="T1184" i="1"/>
  <c r="T3902" i="1"/>
  <c r="T1612" i="1"/>
  <c r="T665" i="1"/>
  <c r="T2867" i="1"/>
  <c r="T2537" i="1"/>
  <c r="T2761" i="1"/>
  <c r="T18" i="1"/>
  <c r="T2083" i="1"/>
  <c r="T2463" i="1"/>
  <c r="T595" i="1"/>
  <c r="T1886" i="1"/>
  <c r="T1618" i="1"/>
  <c r="T492" i="1"/>
  <c r="T3521" i="1"/>
  <c r="T1787" i="1"/>
  <c r="T3600" i="1"/>
  <c r="T2239" i="1"/>
  <c r="T1357" i="1"/>
  <c r="T1177" i="1"/>
  <c r="T2914" i="1"/>
  <c r="T3917" i="1"/>
  <c r="T174" i="1"/>
  <c r="T1719" i="1"/>
  <c r="T144" i="1"/>
  <c r="T1595" i="1"/>
  <c r="T872" i="1"/>
  <c r="T2155" i="1"/>
  <c r="T2902" i="1"/>
  <c r="T1942" i="1"/>
  <c r="T658" i="1"/>
  <c r="T2157" i="1"/>
  <c r="T2472" i="1"/>
  <c r="T2630" i="1"/>
  <c r="T864" i="1"/>
  <c r="T2179" i="1"/>
  <c r="T3511" i="1"/>
  <c r="T2165" i="1"/>
  <c r="T1058" i="1"/>
  <c r="T315" i="1"/>
  <c r="T2025" i="1"/>
  <c r="T3748" i="1"/>
  <c r="T2044" i="1"/>
  <c r="T1472" i="1"/>
  <c r="T450" i="1"/>
  <c r="T938" i="1"/>
  <c r="T3623" i="1"/>
  <c r="T2680" i="1"/>
  <c r="T3329" i="1"/>
  <c r="T3208" i="1"/>
  <c r="T505" i="1"/>
  <c r="T3954" i="1"/>
  <c r="T3824" i="1"/>
  <c r="T1657" i="1"/>
  <c r="T2214" i="1"/>
  <c r="T1368" i="1"/>
  <c r="T3293" i="1"/>
  <c r="T2722" i="1"/>
  <c r="T1141" i="1"/>
  <c r="T3459" i="1"/>
  <c r="T580" i="1"/>
  <c r="T220" i="1"/>
  <c r="T1511" i="1"/>
  <c r="T1845" i="1"/>
  <c r="T3028" i="1"/>
  <c r="T774" i="1"/>
  <c r="T993" i="1"/>
  <c r="T1788" i="1"/>
  <c r="T3801" i="1"/>
  <c r="T2113" i="1"/>
  <c r="T2095" i="1"/>
  <c r="T2038" i="1"/>
  <c r="T1473" i="1"/>
  <c r="T915" i="1"/>
  <c r="T3686" i="1"/>
  <c r="T2255" i="1"/>
  <c r="T1634" i="1"/>
  <c r="T1738" i="1"/>
  <c r="T1974" i="1"/>
  <c r="T522" i="1"/>
  <c r="T2892" i="1"/>
  <c r="T408" i="1"/>
  <c r="T1907" i="1"/>
  <c r="T2824" i="1"/>
  <c r="T3393" i="1"/>
  <c r="T259" i="1"/>
  <c r="T3795" i="1"/>
  <c r="T3039" i="1"/>
  <c r="T2313" i="1"/>
  <c r="T1688" i="1"/>
  <c r="T2645" i="1"/>
  <c r="T500" i="1"/>
  <c r="T740" i="1"/>
  <c r="T453" i="1"/>
  <c r="T530" i="1"/>
  <c r="T2464" i="1"/>
  <c r="T3893" i="1"/>
  <c r="T1379" i="1"/>
  <c r="T962" i="1"/>
  <c r="T3753" i="1"/>
  <c r="T2576" i="1"/>
  <c r="T3798" i="1"/>
  <c r="T1015" i="1"/>
  <c r="T2138" i="1"/>
  <c r="T3844" i="1"/>
  <c r="T2509" i="1"/>
  <c r="T329" i="1"/>
  <c r="T1542" i="1"/>
  <c r="T925" i="1"/>
  <c r="T1273" i="1"/>
  <c r="T1417" i="1"/>
  <c r="T311" i="1"/>
  <c r="T2016" i="1"/>
  <c r="T2001" i="1"/>
  <c r="T977" i="1"/>
  <c r="T583" i="1"/>
  <c r="T506" i="1"/>
  <c r="T2022" i="1"/>
  <c r="T1319" i="1"/>
  <c r="T3805" i="1"/>
  <c r="T3057" i="1"/>
  <c r="T148" i="1"/>
  <c r="T2388" i="1"/>
  <c r="T2655" i="1"/>
  <c r="T865" i="1"/>
  <c r="T2153" i="1"/>
  <c r="T3151" i="1"/>
  <c r="T3945" i="1"/>
  <c r="T2895" i="1"/>
  <c r="T1187" i="1"/>
  <c r="T1930" i="1"/>
  <c r="T2830" i="1"/>
  <c r="T3399" i="1"/>
  <c r="T3554" i="1"/>
  <c r="T298" i="1"/>
  <c r="T2944" i="1"/>
  <c r="T527" i="1"/>
  <c r="T2493" i="1"/>
  <c r="T248" i="1"/>
  <c r="T3205" i="1"/>
  <c r="T3282" i="1"/>
  <c r="T3688" i="1"/>
  <c r="T1569" i="1"/>
  <c r="T1285" i="1"/>
  <c r="T1549" i="1"/>
  <c r="T3785" i="1"/>
  <c r="T779" i="1"/>
  <c r="T616" i="1"/>
  <c r="T2819" i="1"/>
  <c r="T1081" i="1"/>
  <c r="T3438" i="1"/>
  <c r="T3304" i="1"/>
  <c r="T2370" i="1"/>
  <c r="T1236" i="1"/>
  <c r="T2623" i="1"/>
  <c r="T3728" i="1"/>
  <c r="T1739" i="1"/>
  <c r="T2682" i="1"/>
  <c r="T27" i="1"/>
  <c r="T1412" i="1"/>
  <c r="T3299" i="1"/>
  <c r="T1972" i="1"/>
  <c r="T193" i="1"/>
  <c r="T2223" i="1"/>
  <c r="T3759" i="1"/>
  <c r="T1780" i="1"/>
  <c r="T1807" i="1"/>
  <c r="T3939" i="1"/>
  <c r="T2579" i="1"/>
  <c r="T1279" i="1"/>
  <c r="T3259" i="1"/>
  <c r="T1706" i="1"/>
  <c r="T657" i="1"/>
  <c r="T1129" i="1"/>
  <c r="T3348" i="1"/>
  <c r="T2471" i="1"/>
  <c r="T3879" i="1"/>
  <c r="T366" i="1"/>
  <c r="T459" i="1"/>
  <c r="T3330" i="1"/>
  <c r="T3843" i="1"/>
  <c r="T423" i="1"/>
  <c r="T567" i="1"/>
  <c r="T3242" i="1"/>
  <c r="T2374" i="1"/>
  <c r="T3294" i="1"/>
  <c r="T1884" i="1"/>
  <c r="T375" i="1"/>
  <c r="T1075" i="1"/>
  <c r="T1852" i="1"/>
  <c r="T1700" i="1"/>
  <c r="T2812" i="1"/>
  <c r="T3498" i="1"/>
  <c r="T763" i="1"/>
  <c r="T3888" i="1"/>
  <c r="T2834" i="1"/>
  <c r="T1072" i="1"/>
  <c r="T2831" i="1"/>
  <c r="T1616" i="1"/>
  <c r="T634" i="1"/>
  <c r="T369" i="1"/>
  <c r="T2158" i="1"/>
  <c r="T2815" i="1"/>
  <c r="T607" i="1"/>
  <c r="T104" i="1"/>
  <c r="T1758" i="1"/>
  <c r="T2433" i="1"/>
  <c r="T1501" i="1"/>
  <c r="T1416" i="1"/>
  <c r="T3104" i="1"/>
  <c r="T3476" i="1"/>
  <c r="T217" i="1"/>
  <c r="T1656" i="1"/>
  <c r="T82" i="1"/>
  <c r="T1795" i="1"/>
  <c r="T2000" i="1"/>
  <c r="T1520" i="1"/>
  <c r="T913" i="1"/>
  <c r="T2687" i="1"/>
  <c r="T2878" i="1"/>
  <c r="T1717" i="1"/>
  <c r="T344" i="1"/>
  <c r="T2624" i="1"/>
  <c r="T3358" i="1"/>
  <c r="T3238" i="1"/>
  <c r="T1683" i="1"/>
  <c r="T371" i="1"/>
  <c r="T2162" i="1"/>
  <c r="T2441" i="1"/>
  <c r="T1654" i="1"/>
  <c r="T412" i="1"/>
  <c r="T1321" i="1"/>
  <c r="T3253" i="1"/>
  <c r="T615" i="1"/>
  <c r="T2077" i="1"/>
  <c r="T1890" i="1"/>
  <c r="T343" i="1"/>
  <c r="T3528" i="1"/>
  <c r="T195" i="1"/>
  <c r="T2891" i="1"/>
  <c r="T3901" i="1"/>
  <c r="T1231" i="1"/>
  <c r="T869" i="1"/>
  <c r="T735" i="1"/>
  <c r="T777" i="1"/>
  <c r="T1694" i="1"/>
  <c r="T1216" i="1"/>
  <c r="T3395" i="1"/>
  <c r="T415" i="1"/>
  <c r="T2775" i="1"/>
  <c r="T2940" i="1"/>
  <c r="T2080" i="1"/>
  <c r="T1854" i="1"/>
  <c r="T1441" i="1"/>
  <c r="T1821" i="1"/>
  <c r="T1620" i="1"/>
  <c r="T2065" i="1"/>
  <c r="T3529" i="1"/>
  <c r="T981" i="1"/>
  <c r="T168" i="1"/>
  <c r="T3664" i="1"/>
  <c r="T594" i="1"/>
  <c r="T165" i="1"/>
  <c r="T2821" i="1"/>
  <c r="T2171" i="1"/>
  <c r="T427" i="1"/>
  <c r="T653" i="1"/>
  <c r="T3668" i="1"/>
  <c r="T2641" i="1"/>
  <c r="T3504" i="1"/>
  <c r="T3875" i="1"/>
  <c r="T493" i="1"/>
  <c r="T2742" i="1"/>
  <c r="T3930" i="1"/>
  <c r="T1823" i="1"/>
  <c r="T995" i="1"/>
  <c r="T1666" i="1"/>
  <c r="T156" i="1"/>
  <c r="T3484" i="1"/>
  <c r="T1935" i="1"/>
  <c r="T3422" i="1"/>
  <c r="T759" i="1"/>
  <c r="T1919" i="1"/>
  <c r="T2290" i="1"/>
  <c r="T3088" i="1"/>
  <c r="T2922" i="1"/>
  <c r="T3403" i="1"/>
  <c r="T2516" i="1"/>
  <c r="T1613" i="1"/>
  <c r="T1077" i="1"/>
  <c r="T617" i="1"/>
  <c r="T664" i="1"/>
  <c r="T618" i="1"/>
  <c r="T3381" i="1"/>
  <c r="T2377" i="1"/>
  <c r="T2590" i="1"/>
  <c r="T3044" i="1"/>
  <c r="T3189" i="1"/>
  <c r="T559" i="1"/>
  <c r="T1443" i="1"/>
  <c r="T1915" i="1"/>
  <c r="T3955" i="1"/>
  <c r="T868" i="1"/>
  <c r="T1518" i="1"/>
  <c r="T2284" i="1"/>
  <c r="T3576" i="1"/>
  <c r="T1167" i="1"/>
  <c r="T3260" i="1"/>
  <c r="T1229" i="1"/>
  <c r="T734" i="1"/>
  <c r="T155" i="1"/>
  <c r="T345" i="1"/>
  <c r="T931" i="1"/>
  <c r="T1916" i="1"/>
  <c r="T2864" i="1"/>
  <c r="T877" i="1"/>
  <c r="T3234" i="1"/>
  <c r="T3370" i="1"/>
  <c r="T3747" i="1"/>
  <c r="T3069" i="1"/>
  <c r="T2955" i="1"/>
  <c r="T1570" i="1"/>
  <c r="T1541" i="1"/>
  <c r="T608" i="1"/>
  <c r="T3408" i="1"/>
  <c r="T1233" i="1"/>
  <c r="T2685" i="1"/>
  <c r="T2904" i="1"/>
  <c r="T245" i="1"/>
  <c r="T158" i="1"/>
  <c r="T1353" i="1"/>
  <c r="T1590" i="1"/>
  <c r="T2866" i="1"/>
  <c r="T3250" i="1"/>
  <c r="T1242" i="1"/>
  <c r="T738" i="1"/>
  <c r="T3874" i="1"/>
  <c r="T859" i="1"/>
  <c r="T2664" i="1"/>
  <c r="T1135" i="1"/>
  <c r="T1234" i="1"/>
  <c r="T696" i="1"/>
  <c r="T2564" i="1"/>
  <c r="T85" i="1"/>
  <c r="T130" i="1"/>
  <c r="T2345" i="1"/>
  <c r="T843" i="1"/>
  <c r="T2731" i="1"/>
  <c r="T3729" i="1"/>
  <c r="T3006" i="1"/>
  <c r="T1330" i="1"/>
  <c r="T1556" i="1"/>
  <c r="T1786" i="1"/>
  <c r="T2770" i="1"/>
  <c r="T688" i="1"/>
  <c r="T3005" i="1"/>
  <c r="T108" i="1"/>
  <c r="T3742" i="1"/>
  <c r="T1127" i="1"/>
  <c r="T121" i="1"/>
  <c r="T2992" i="1"/>
  <c r="T268" i="1"/>
  <c r="T3162" i="1"/>
  <c r="T2772" i="1"/>
  <c r="T932" i="1"/>
  <c r="T3433" i="1"/>
  <c r="T3617" i="1"/>
  <c r="T691" i="1"/>
  <c r="T3001" i="1"/>
  <c r="T966" i="1"/>
  <c r="T1306" i="1"/>
  <c r="T2336" i="1"/>
  <c r="T127" i="1"/>
  <c r="T1994" i="1"/>
  <c r="T2780" i="1"/>
  <c r="T552" i="1"/>
  <c r="T3605" i="1"/>
  <c r="T2435" i="1"/>
  <c r="T198" i="1"/>
  <c r="T3341" i="1"/>
  <c r="T1278" i="1"/>
  <c r="T1513" i="1"/>
  <c r="T2110" i="1"/>
  <c r="T1835" i="1"/>
  <c r="T3067" i="1"/>
  <c r="T1406" i="1"/>
  <c r="T3920" i="1"/>
  <c r="T2228" i="1"/>
  <c r="T1348" i="1"/>
  <c r="T3114" i="1"/>
  <c r="T2873" i="1"/>
  <c r="T115" i="1"/>
  <c r="T3473" i="1"/>
  <c r="T3171" i="1"/>
  <c r="T2746" i="1"/>
  <c r="T2039" i="1"/>
  <c r="T815" i="1"/>
  <c r="T317" i="1"/>
  <c r="T3467" i="1"/>
  <c r="T460" i="1"/>
  <c r="T3411" i="1"/>
  <c r="T3786" i="1"/>
  <c r="T192" i="1"/>
  <c r="T1011" i="1"/>
  <c r="T3214" i="1"/>
  <c r="T521" i="1"/>
  <c r="T1861" i="1"/>
  <c r="T3840" i="1"/>
  <c r="T1659" i="1"/>
  <c r="T2507" i="1"/>
  <c r="T758" i="1"/>
  <c r="T2871" i="1"/>
  <c r="T838" i="1"/>
  <c r="T3710" i="1"/>
  <c r="T571" i="1"/>
  <c r="T3580" i="1"/>
  <c r="T1838" i="1"/>
  <c r="T3051" i="1"/>
  <c r="T318" i="1"/>
  <c r="T820" i="1"/>
  <c r="T272" i="1"/>
  <c r="T2791" i="1"/>
  <c r="T808" i="1"/>
  <c r="T3163" i="1"/>
  <c r="T223" i="1"/>
  <c r="T1860" i="1"/>
  <c r="T2340" i="1"/>
  <c r="T703" i="1"/>
  <c r="T3158" i="1"/>
  <c r="T1014" i="1"/>
  <c r="T2510" i="1"/>
  <c r="T3264" i="1"/>
  <c r="T1173" i="1"/>
  <c r="T3894" i="1"/>
  <c r="T1601" i="1"/>
  <c r="T365" i="1"/>
  <c r="T3507" i="1"/>
  <c r="T689" i="1"/>
  <c r="T451" i="1"/>
  <c r="T1522" i="1"/>
  <c r="T2195" i="1"/>
  <c r="T2458" i="1"/>
  <c r="T1191" i="1"/>
  <c r="T3903" i="1"/>
  <c r="T1594" i="1"/>
  <c r="T655" i="1"/>
  <c r="T3391" i="1"/>
  <c r="T736" i="1"/>
  <c r="T3322" i="1"/>
  <c r="T2554" i="1"/>
  <c r="T964" i="1"/>
  <c r="T713" i="1"/>
  <c r="T54" i="1"/>
  <c r="T3695" i="1"/>
  <c r="T2600" i="1"/>
  <c r="T2928" i="1"/>
  <c r="T2438" i="1"/>
  <c r="T3557" i="1"/>
  <c r="T1031" i="1"/>
  <c r="T1519" i="1"/>
  <c r="T2140" i="1"/>
  <c r="T3655" i="1"/>
  <c r="T1392" i="1"/>
  <c r="T3050" i="1"/>
  <c r="T2074" i="1"/>
  <c r="T3108" i="1"/>
  <c r="T717" i="1"/>
  <c r="T1463" i="1"/>
  <c r="T3160" i="1"/>
  <c r="T3783" i="1"/>
  <c r="T3197" i="1"/>
  <c r="T3646" i="1"/>
  <c r="T1359" i="1"/>
  <c r="T2739" i="1"/>
  <c r="T2541" i="1"/>
  <c r="T1982" i="1"/>
  <c r="T929" i="1"/>
  <c r="T247" i="1"/>
  <c r="T3416" i="1"/>
  <c r="T1267" i="1"/>
  <c r="T3090" i="1"/>
  <c r="T3704" i="1"/>
  <c r="T1326" i="1"/>
  <c r="T551" i="1"/>
  <c r="T3963" i="1"/>
  <c r="T1369" i="1"/>
  <c r="T2299" i="1"/>
  <c r="T632" i="1"/>
  <c r="T1923" i="1"/>
  <c r="T1222" i="1"/>
  <c r="T857" i="1"/>
  <c r="T1073" i="1"/>
  <c r="T1452" i="1"/>
  <c r="T3781" i="1"/>
  <c r="T3941" i="1"/>
  <c r="T755" i="1"/>
  <c r="T151" i="1"/>
  <c r="T2365" i="1"/>
  <c r="T1905" i="1"/>
  <c r="T633" i="1"/>
  <c r="T863" i="1"/>
  <c r="T1076" i="1"/>
  <c r="T1263" i="1"/>
  <c r="T2675" i="1"/>
  <c r="T3195" i="1"/>
  <c r="T3252" i="1"/>
  <c r="T625" i="1"/>
  <c r="T1949" i="1"/>
  <c r="T767" i="1"/>
  <c r="T418" i="1"/>
  <c r="T526" i="1"/>
  <c r="T1689" i="1"/>
  <c r="T1213" i="1"/>
  <c r="T2856" i="1"/>
  <c r="T1012" i="1"/>
  <c r="T166" i="1"/>
  <c r="T2640" i="1"/>
  <c r="T874" i="1"/>
  <c r="T1761" i="1"/>
  <c r="T1180" i="1"/>
  <c r="T1237" i="1"/>
  <c r="T896" i="1"/>
  <c r="T1415" i="1"/>
  <c r="T1684" i="1"/>
  <c r="T2462" i="1"/>
  <c r="T1277" i="1"/>
  <c r="T2719" i="1"/>
  <c r="T2047" i="1"/>
  <c r="T831" i="1"/>
  <c r="T1150" i="1"/>
  <c r="T3451" i="1"/>
  <c r="T2758" i="1"/>
  <c r="T3415" i="1"/>
  <c r="T3796" i="1"/>
  <c r="T2692" i="1"/>
  <c r="T3359" i="1"/>
  <c r="T1493" i="1"/>
  <c r="T535" i="1"/>
  <c r="T1869" i="1"/>
  <c r="T3836" i="1"/>
  <c r="T3916" i="1"/>
  <c r="T2515" i="1"/>
  <c r="T772" i="1"/>
  <c r="T3309" i="1"/>
  <c r="T3013" i="1"/>
  <c r="T2994" i="1"/>
  <c r="T3173" i="1"/>
  <c r="T2409" i="1"/>
  <c r="T3565" i="1"/>
  <c r="T13" i="1"/>
  <c r="T3081" i="1"/>
  <c r="T2218" i="1"/>
  <c r="T3116" i="1"/>
  <c r="T1446" i="1"/>
  <c r="T2763" i="1"/>
  <c r="T225" i="1"/>
  <c r="T3825" i="1"/>
  <c r="T781" i="1"/>
  <c r="T2348" i="1"/>
  <c r="T3712" i="1"/>
  <c r="T1110" i="1"/>
  <c r="T1737" i="1"/>
  <c r="T3356" i="1"/>
  <c r="T3041" i="1"/>
  <c r="T939" i="1"/>
  <c r="T3412" i="1"/>
  <c r="T1858" i="1"/>
  <c r="T3243" i="1"/>
  <c r="T624" i="1"/>
  <c r="T1953" i="1"/>
  <c r="T352" i="1"/>
  <c r="T1062" i="1"/>
  <c r="T1554" i="1"/>
  <c r="T1030" i="1"/>
  <c r="T3113" i="1"/>
  <c r="T167" i="1"/>
  <c r="T1720" i="1"/>
  <c r="T1241" i="1"/>
  <c r="T2863" i="1"/>
  <c r="T2175" i="1"/>
  <c r="T2243" i="1"/>
  <c r="T3074" i="1"/>
  <c r="T465" i="1"/>
  <c r="T2888" i="1"/>
  <c r="T2335" i="1"/>
  <c r="T1440" i="1"/>
  <c r="T950" i="1"/>
  <c r="T2240" i="1"/>
  <c r="T3188" i="1"/>
  <c r="T3950" i="1"/>
  <c r="T1635" i="1"/>
  <c r="T1376" i="1"/>
  <c r="T2744" i="1"/>
  <c r="T3707" i="1"/>
  <c r="T2406" i="1"/>
  <c r="T36" i="1"/>
  <c r="T2711" i="1"/>
  <c r="T2021" i="1"/>
  <c r="T3754" i="1"/>
  <c r="T2539" i="1"/>
  <c r="T86" i="1"/>
  <c r="T1975" i="1"/>
  <c r="T2786" i="1"/>
  <c r="T71" i="1"/>
  <c r="T3764" i="1"/>
  <c r="T810" i="1"/>
  <c r="T3483" i="1"/>
  <c r="T2588" i="1"/>
  <c r="T3441" i="1"/>
  <c r="T2703" i="1"/>
  <c r="T2347" i="1"/>
  <c r="T802" i="1"/>
  <c r="T3149" i="1"/>
  <c r="T584" i="1"/>
  <c r="T2250" i="1"/>
  <c r="T3349" i="1"/>
  <c r="T17" i="1"/>
  <c r="T1851" i="1"/>
  <c r="T1422" i="1"/>
  <c r="T2519" i="1"/>
  <c r="T3122" i="1"/>
  <c r="T828" i="1"/>
  <c r="T463" i="1"/>
  <c r="T120" i="1"/>
  <c r="T2702" i="1"/>
  <c r="T2592" i="1"/>
  <c r="T2423" i="1"/>
  <c r="T1023" i="1"/>
  <c r="T2132" i="1"/>
  <c r="T1388" i="1"/>
  <c r="T2072" i="1"/>
  <c r="T297" i="1"/>
  <c r="T1767" i="1"/>
  <c r="T1032" i="1"/>
  <c r="T1351" i="1"/>
  <c r="T1121" i="1"/>
  <c r="T911" i="1"/>
  <c r="T569" i="1"/>
  <c r="T3666" i="1"/>
  <c r="T3755" i="1"/>
  <c r="T30" i="1"/>
  <c r="T2296" i="1"/>
  <c r="T1888" i="1"/>
  <c r="T494" i="1"/>
  <c r="T2346" i="1"/>
  <c r="T3931" i="1"/>
  <c r="T146" i="1"/>
  <c r="T1897" i="1"/>
  <c r="T503" i="1"/>
  <c r="T2170" i="1"/>
  <c r="T3007" i="1"/>
  <c r="T2531" i="1"/>
  <c r="T1794" i="1"/>
  <c r="T2950" i="1"/>
  <c r="T3573" i="1"/>
  <c r="T35" i="1"/>
  <c r="T3669" i="1"/>
  <c r="T2210" i="1"/>
  <c r="T3277" i="1"/>
  <c r="T3462" i="1"/>
  <c r="T2430" i="1"/>
  <c r="T1425" i="1"/>
  <c r="T2569" i="1"/>
  <c r="T1730" i="1"/>
  <c r="T1981" i="1"/>
  <c r="T1502" i="1"/>
  <c r="T3172" i="1"/>
  <c r="T2424" i="1"/>
  <c r="T3310" i="1"/>
  <c r="T2383" i="1"/>
  <c r="T2835" i="1"/>
  <c r="T1094" i="1"/>
  <c r="T2679" i="1"/>
  <c r="T3233" i="1"/>
  <c r="T2386" i="1"/>
  <c r="T2838" i="1"/>
  <c r="T2627" i="1"/>
  <c r="T3219" i="1"/>
  <c r="T2469" i="1"/>
  <c r="T3354" i="1"/>
  <c r="T424" i="1"/>
  <c r="T3891" i="1"/>
  <c r="T1064" i="1"/>
  <c r="T1186" i="1"/>
  <c r="T3394" i="1"/>
  <c r="T1705" i="1"/>
  <c r="T3509" i="1"/>
  <c r="T1931" i="1"/>
  <c r="T639" i="1"/>
  <c r="T116" i="1"/>
  <c r="T2736" i="1"/>
  <c r="T2602" i="1"/>
  <c r="T3808" i="1"/>
  <c r="T1035" i="1"/>
  <c r="T2130" i="1"/>
  <c r="T1394" i="1"/>
  <c r="T2064" i="1"/>
  <c r="T1137" i="1"/>
  <c r="T3745" i="1"/>
  <c r="T2427" i="1"/>
  <c r="T2136" i="1"/>
  <c r="T2505" i="1"/>
  <c r="T3487" i="1"/>
  <c r="T1265" i="1"/>
  <c r="T286" i="1"/>
  <c r="T1996" i="1"/>
  <c r="T919" i="1"/>
  <c r="T2723" i="1"/>
  <c r="T3789" i="1"/>
  <c r="T2315" i="1"/>
  <c r="T2652" i="1"/>
  <c r="T743" i="1"/>
  <c r="T2135" i="1"/>
  <c r="T1179" i="1"/>
  <c r="T2822" i="1"/>
  <c r="T3544" i="1"/>
  <c r="T3925" i="1"/>
  <c r="T1697" i="1"/>
  <c r="T57" i="1"/>
  <c r="T1789" i="1"/>
  <c r="T3567" i="1"/>
  <c r="T3085" i="1"/>
  <c r="T3118" i="1"/>
  <c r="T2771" i="1"/>
  <c r="T3833" i="1"/>
  <c r="T2733" i="1"/>
  <c r="T239" i="1"/>
  <c r="T697" i="1"/>
  <c r="T2957" i="1"/>
  <c r="T1638" i="1"/>
  <c r="T302" i="1"/>
  <c r="T221" i="1"/>
  <c r="T2897" i="1"/>
  <c r="T629" i="1"/>
  <c r="T638" i="1"/>
  <c r="T3499" i="1"/>
  <c r="T3691" i="1"/>
  <c r="T1389" i="1"/>
  <c r="T143" i="1"/>
  <c r="T3876" i="1"/>
  <c r="T652" i="1"/>
  <c r="T2628" i="1"/>
  <c r="T821" i="1"/>
  <c r="T210" i="1"/>
  <c r="T3071" i="1"/>
  <c r="T3000" i="1"/>
  <c r="T528" i="1"/>
  <c r="T1133" i="1"/>
  <c r="T3012" i="1"/>
  <c r="T538" i="1"/>
  <c r="T1451" i="1"/>
  <c r="T2492" i="1"/>
  <c r="T3889" i="1"/>
  <c r="T497" i="1"/>
  <c r="T1784" i="1"/>
  <c r="T3265" i="1"/>
  <c r="T1946" i="1"/>
  <c r="T3388" i="1"/>
  <c r="T301" i="1"/>
  <c r="T3421" i="1"/>
  <c r="T1499" i="1"/>
  <c r="T2202" i="1"/>
  <c r="T111" i="1"/>
  <c r="T2421" i="1"/>
  <c r="T1375" i="1"/>
  <c r="T3461" i="1"/>
  <c r="T274" i="1"/>
  <c r="T3853" i="1"/>
  <c r="T1765" i="1"/>
  <c r="T3296" i="1"/>
  <c r="T1940" i="1"/>
  <c r="T3385" i="1"/>
  <c r="T3622" i="1"/>
  <c r="T154" i="1"/>
  <c r="T1615" i="1"/>
  <c r="T1071" i="1"/>
  <c r="T534" i="1"/>
  <c r="T3263" i="1"/>
  <c r="T1933" i="1"/>
  <c r="T2306" i="1"/>
  <c r="T3799" i="1"/>
  <c r="T1710" i="1"/>
  <c r="T483" i="1"/>
  <c r="T2257" i="1"/>
  <c r="T399" i="1"/>
  <c r="T356" i="1"/>
  <c r="T2168" i="1"/>
  <c r="T2387" i="1"/>
  <c r="T491" i="1"/>
  <c r="T1455" i="1"/>
  <c r="T3904" i="1"/>
  <c r="T2861" i="1"/>
  <c r="T891" i="1"/>
  <c r="T2109" i="1"/>
  <c r="T1605" i="1"/>
  <c r="T975" i="1"/>
  <c r="T3613" i="1"/>
  <c r="T2124" i="1"/>
  <c r="T2208" i="1"/>
  <c r="T1442" i="1"/>
  <c r="T1024" i="1"/>
  <c r="T2884" i="1"/>
  <c r="T3471" i="1"/>
  <c r="T1817" i="1"/>
  <c r="T701" i="1"/>
  <c r="T557" i="1"/>
  <c r="T2307" i="1"/>
  <c r="T1948" i="1"/>
  <c r="T1057" i="1"/>
  <c r="T514" i="1"/>
  <c r="T1174" i="1"/>
  <c r="T1623" i="1"/>
  <c r="T3436" i="1"/>
  <c r="T3685" i="1"/>
  <c r="T2316" i="1"/>
  <c r="T1494" i="1"/>
  <c r="T147" i="1"/>
  <c r="T3658" i="1"/>
  <c r="T1947" i="1"/>
  <c r="T888" i="1"/>
  <c r="T2603" i="1"/>
  <c r="T2298" i="1"/>
  <c r="T2635" i="1"/>
  <c r="T377" i="1"/>
  <c r="T2173" i="1"/>
  <c r="T393" i="1"/>
  <c r="T2657" i="1"/>
  <c r="T1083" i="1"/>
  <c r="T1361" i="1"/>
  <c r="T1567" i="1"/>
  <c r="T2976" i="1"/>
  <c r="T1108" i="1"/>
  <c r="T3155" i="1"/>
  <c r="T2849" i="1"/>
  <c r="T1889" i="1"/>
  <c r="T3562" i="1"/>
  <c r="T620" i="1"/>
  <c r="T2459" i="1"/>
  <c r="T3280" i="1"/>
  <c r="T672" i="1"/>
  <c r="T1650" i="1"/>
  <c r="T2807" i="1"/>
  <c r="T3244" i="1"/>
  <c r="T367" i="1"/>
  <c r="T1090" i="1"/>
  <c r="T3245" i="1"/>
  <c r="T2416" i="1"/>
  <c r="T804" i="1"/>
  <c r="T443" i="1"/>
  <c r="T2410" i="1"/>
  <c r="T3502" i="1"/>
  <c r="T660" i="1"/>
  <c r="T581" i="1"/>
  <c r="T2395" i="1"/>
  <c r="T407" i="1"/>
  <c r="T1185" i="1"/>
  <c r="T504" i="1"/>
  <c r="T2309" i="1"/>
  <c r="T485" i="1"/>
  <c r="T2292" i="1"/>
  <c r="T2859" i="1"/>
  <c r="T1347" i="1"/>
  <c r="T3522" i="1"/>
  <c r="T2252" i="1"/>
  <c r="T1474" i="1"/>
  <c r="T243" i="1"/>
  <c r="T3550" i="1"/>
  <c r="T1078" i="1"/>
  <c r="T2661" i="1"/>
  <c r="T2422" i="1"/>
  <c r="T1686" i="1"/>
  <c r="T2301" i="1"/>
  <c r="T1189" i="1"/>
  <c r="T867" i="1"/>
  <c r="T785" i="1"/>
  <c r="T501" i="1"/>
  <c r="T2303" i="1"/>
  <c r="T378" i="1"/>
  <c r="T3288" i="1"/>
  <c r="T2621" i="1"/>
  <c r="T978" i="1"/>
  <c r="T2491" i="1"/>
  <c r="T2079" i="1"/>
  <c r="T524" i="1"/>
  <c r="T2636" i="1"/>
  <c r="T2297" i="1"/>
  <c r="T3145" i="1"/>
  <c r="T152" i="1"/>
  <c r="T1365" i="1"/>
  <c r="T1287" i="1"/>
  <c r="T2810" i="1"/>
  <c r="T3326" i="1"/>
  <c r="T2651" i="1"/>
  <c r="T2133" i="1"/>
  <c r="T1221" i="1"/>
  <c r="T3080" i="1"/>
  <c r="T2366" i="1"/>
  <c r="T1067" i="1"/>
  <c r="T560" i="1"/>
  <c r="T107" i="1"/>
  <c r="T3690" i="1"/>
  <c r="T1704" i="1"/>
  <c r="T609" i="1"/>
  <c r="T3258" i="1"/>
  <c r="T667" i="1"/>
  <c r="T642" i="1"/>
  <c r="T362" i="1"/>
  <c r="T1069" i="1"/>
  <c r="T2995" i="1"/>
  <c r="T968" i="1"/>
  <c r="T290" i="1"/>
  <c r="T1008" i="1"/>
  <c r="T1477" i="1"/>
  <c r="T1802" i="1"/>
  <c r="T2530" i="1"/>
  <c r="T716" i="1"/>
  <c r="T3765" i="1"/>
  <c r="T1781" i="1"/>
  <c r="T554" i="1"/>
  <c r="T65" i="1"/>
  <c r="T319" i="1"/>
  <c r="T2796" i="1"/>
  <c r="T3545" i="1"/>
  <c r="T2134" i="1"/>
  <c r="T3040" i="1"/>
  <c r="T1124" i="1"/>
  <c r="T2544" i="1"/>
  <c r="T1564" i="1"/>
  <c r="T1517" i="1"/>
  <c r="T3042" i="1"/>
  <c r="T1449" i="1"/>
  <c r="T1870" i="1"/>
  <c r="T3698" i="1"/>
  <c r="T3324" i="1"/>
  <c r="T1808" i="1"/>
  <c r="T621" i="1"/>
  <c r="T1070" i="1"/>
  <c r="T1363" i="1"/>
  <c r="T1244" i="1"/>
  <c r="T2318" i="1"/>
  <c r="T989" i="1"/>
  <c r="T2256" i="1"/>
  <c r="T3938" i="1"/>
  <c r="T2088" i="1"/>
  <c r="T2581" i="1"/>
  <c r="T3125" i="1"/>
  <c r="T300" i="1"/>
  <c r="T2201" i="1"/>
  <c r="T3642" i="1"/>
  <c r="T1937" i="1"/>
  <c r="T3827" i="1"/>
  <c r="T2629" i="1"/>
  <c r="T1471" i="1"/>
  <c r="T2384" i="1"/>
  <c r="T2091" i="1"/>
  <c r="T34" i="1"/>
  <c r="T1496" i="1"/>
  <c r="T2818" i="1"/>
  <c r="T1695" i="1"/>
  <c r="T1116" i="1"/>
  <c r="T3435" i="1"/>
  <c r="T1509" i="1"/>
  <c r="T3054" i="1"/>
  <c r="T126" i="1"/>
  <c r="T1009" i="1"/>
  <c r="T310" i="1"/>
  <c r="T1401" i="1"/>
  <c r="T74" i="1"/>
  <c r="T836" i="1"/>
  <c r="T2375" i="1"/>
  <c r="T2890" i="1"/>
  <c r="T3396" i="1"/>
  <c r="T173" i="1"/>
  <c r="T52" i="1"/>
  <c r="T15" i="1"/>
  <c r="T1467" i="1"/>
  <c r="T1367" i="1"/>
  <c r="T1813" i="1"/>
  <c r="T1022" i="1"/>
  <c r="T1984" i="1"/>
  <c r="T1868" i="1"/>
  <c r="T1912" i="1"/>
  <c r="T2180" i="1"/>
  <c r="T3286" i="1"/>
  <c r="T2658" i="1"/>
  <c r="T1007" i="1"/>
  <c r="T3200" i="1"/>
  <c r="T555" i="1"/>
  <c r="T2759" i="1"/>
  <c r="T832" i="1"/>
  <c r="T161" i="1"/>
  <c r="T2169" i="1"/>
  <c r="T1196" i="1"/>
  <c r="T699" i="1"/>
  <c r="T3551" i="1"/>
  <c r="T1358" i="1"/>
  <c r="T2137" i="1"/>
  <c r="T2927" i="1"/>
  <c r="T1980" i="1"/>
  <c r="T1190" i="1"/>
  <c r="T1444" i="1"/>
  <c r="T2394" i="1"/>
  <c r="T3470" i="1"/>
  <c r="T2363" i="1"/>
  <c r="T1178" i="1"/>
  <c r="T1611" i="1"/>
  <c r="T3111" i="1"/>
  <c r="T2853" i="1"/>
  <c r="T1614" i="1"/>
  <c r="T2850" i="1"/>
  <c r="T2659" i="1"/>
  <c r="T2643" i="1"/>
  <c r="T2997" i="1"/>
  <c r="T3351" i="1"/>
  <c r="T3301" i="1"/>
  <c r="T3070" i="1"/>
  <c r="T314" i="1"/>
  <c r="T987" i="1"/>
  <c r="T1193" i="1"/>
  <c r="T1733" i="1"/>
  <c r="T1921" i="1"/>
  <c r="T937" i="1"/>
  <c r="T1718" i="1"/>
  <c r="T2385" i="1"/>
  <c r="T640" i="1"/>
  <c r="T3660" i="1"/>
  <c r="T2823" i="1"/>
  <c r="T3921" i="1"/>
  <c r="T659" i="1"/>
  <c r="T380" i="1"/>
  <c r="T2245" i="1"/>
  <c r="T2473" i="1"/>
  <c r="T2434" i="1"/>
  <c r="T1752" i="1"/>
  <c r="T1926" i="1"/>
  <c r="T1893" i="1"/>
  <c r="T3880" i="1"/>
  <c r="T3161" i="1"/>
  <c r="T1647" i="1"/>
  <c r="T191" i="1"/>
  <c r="T3300" i="1"/>
  <c r="T2480" i="1"/>
  <c r="T3872" i="1"/>
  <c r="T1224" i="1"/>
  <c r="T1936" i="1"/>
  <c r="T1598" i="1"/>
  <c r="T75" i="1"/>
  <c r="T3035" i="1"/>
  <c r="T1168" i="1"/>
  <c r="T261" i="1"/>
  <c r="T2211" i="1"/>
  <c r="T2633" i="1"/>
  <c r="T1950" i="1"/>
  <c r="T1603" i="1"/>
  <c r="T1053" i="1"/>
  <c r="T208" i="1"/>
  <c r="T2527" i="1"/>
  <c r="T2156" i="1"/>
  <c r="T1504" i="1"/>
  <c r="T1192" i="1"/>
  <c r="T2851" i="1"/>
  <c r="T885" i="1"/>
  <c r="T3400" i="1"/>
  <c r="T2870" i="1"/>
  <c r="T2532" i="1"/>
  <c r="T2045" i="1"/>
  <c r="T3762" i="1"/>
  <c r="T2028" i="1"/>
  <c r="T971" i="1"/>
  <c r="T1731" i="1"/>
  <c r="T331" i="1"/>
  <c r="T81" i="1"/>
  <c r="T829" i="1"/>
  <c r="T1140" i="1"/>
  <c r="T3684" i="1"/>
  <c r="T2596" i="1"/>
  <c r="T2954" i="1"/>
  <c r="T2730" i="1"/>
  <c r="T3736" i="1"/>
  <c r="T2726" i="1"/>
  <c r="T1810" i="1"/>
  <c r="T3439" i="1"/>
  <c r="T2266" i="1"/>
  <c r="T1021" i="1"/>
  <c r="T33" i="1"/>
  <c r="T3643" i="1"/>
  <c r="T1637" i="1"/>
  <c r="T2060" i="1"/>
  <c r="T3295" i="1"/>
  <c r="T1315" i="1"/>
  <c r="T2589" i="1"/>
  <c r="T2327" i="1"/>
  <c r="T985" i="1"/>
  <c r="T2608" i="1"/>
  <c r="T2248" i="1"/>
  <c r="T1260" i="1"/>
  <c r="T3936" i="1"/>
  <c r="T1639" i="1"/>
  <c r="T2082" i="1"/>
  <c r="T2737" i="1"/>
  <c r="T455" i="1"/>
  <c r="T3213" i="1"/>
  <c r="T757" i="1"/>
  <c r="T3731" i="1"/>
  <c r="T947" i="1"/>
  <c r="T3430" i="1"/>
  <c r="T3037" i="1"/>
  <c r="T1468" i="1"/>
  <c r="T1872" i="1"/>
  <c r="T153" i="1"/>
  <c r="T1929" i="1"/>
  <c r="T878" i="1"/>
  <c r="T1562" i="1"/>
  <c r="T1836" i="1"/>
  <c r="T162" i="1"/>
  <c r="T2921" i="1"/>
  <c r="T871" i="1"/>
  <c r="T1985" i="1"/>
  <c r="T87" i="1"/>
  <c r="T983" i="1"/>
  <c r="T448" i="1"/>
  <c r="T2414" i="1"/>
  <c r="T3327" i="1"/>
  <c r="T515" i="1"/>
  <c r="T3834" i="1"/>
  <c r="T2224" i="1"/>
  <c r="T3305" i="1"/>
  <c r="T3696" i="1"/>
  <c r="T209" i="1"/>
  <c r="T1672" i="1"/>
  <c r="T3739" i="1"/>
  <c r="T3166" i="1"/>
  <c r="T1762" i="1"/>
  <c r="T3957" i="1"/>
  <c r="T2789" i="1"/>
  <c r="T3560" i="1"/>
  <c r="T3251" i="1"/>
  <c r="T1709" i="1"/>
  <c r="T357" i="1"/>
  <c r="T309" i="1"/>
  <c r="T213" i="1"/>
  <c r="T3254" i="1"/>
  <c r="T3884" i="1"/>
  <c r="T363" i="1"/>
  <c r="T270" i="1"/>
  <c r="T3008" i="1"/>
  <c r="T157" i="1"/>
  <c r="T3937" i="1"/>
  <c r="T1687" i="1"/>
  <c r="T1898" i="1"/>
  <c r="T1096" i="1"/>
  <c r="T1900" i="1"/>
  <c r="T3519" i="1"/>
  <c r="T1922" i="1"/>
  <c r="T1088" i="1"/>
  <c r="T666" i="1"/>
  <c r="T498" i="1"/>
  <c r="T2341" i="1"/>
  <c r="T2032" i="1"/>
  <c r="T920" i="1"/>
  <c r="T2262" i="1"/>
  <c r="T1266" i="1"/>
  <c r="T3942" i="1"/>
  <c r="T1424" i="1"/>
  <c r="T2090" i="1"/>
  <c r="T2705" i="1"/>
  <c r="T1437" i="1"/>
  <c r="T3812" i="1"/>
  <c r="T3944" i="1"/>
  <c r="T1370" i="1"/>
  <c r="T3689" i="1"/>
  <c r="T12" i="1"/>
  <c r="T2708" i="1"/>
  <c r="T1804" i="1"/>
  <c r="T2925" i="1"/>
  <c r="T1566" i="1"/>
  <c r="T211" i="1"/>
  <c r="T172" i="1"/>
  <c r="T1246" i="1"/>
  <c r="T2172" i="1"/>
  <c r="T3851" i="1"/>
  <c r="T622" i="1"/>
  <c r="T644" i="1"/>
  <c r="T1305" i="1"/>
  <c r="T3236" i="1"/>
  <c r="T2267" i="1"/>
  <c r="T698" i="1"/>
  <c r="T582" i="1"/>
  <c r="T1515" i="1"/>
  <c r="T3034" i="1"/>
  <c r="T3743" i="1"/>
  <c r="T2437" i="1"/>
  <c r="T3027" i="1"/>
  <c r="T2048" i="1"/>
  <c r="T3717" i="1"/>
  <c r="T1544" i="1"/>
  <c r="T2259" i="1"/>
  <c r="T3055" i="1"/>
  <c r="T1577" i="1"/>
  <c r="T2115" i="1"/>
  <c r="T3256" i="1"/>
  <c r="T3873" i="1"/>
  <c r="T2827" i="1"/>
  <c r="T1065" i="1"/>
  <c r="T3612" i="1"/>
  <c r="T3053" i="1"/>
  <c r="T175" i="1"/>
  <c r="T1957" i="1"/>
  <c r="T860" i="1"/>
  <c r="T2178" i="1"/>
  <c r="T816" i="1"/>
  <c r="T3323" i="1"/>
  <c r="T3046" i="1"/>
  <c r="T1760" i="1"/>
  <c r="T1862" i="1"/>
  <c r="T263" i="1"/>
  <c r="T3150" i="1"/>
  <c r="T3023" i="1"/>
  <c r="T3715" i="1"/>
  <c r="T3240" i="1"/>
  <c r="T2918" i="1"/>
  <c r="T3510" i="1"/>
  <c r="T1512" i="1"/>
  <c r="T2310" i="1"/>
  <c r="T1591" i="1"/>
  <c r="T3478" i="1"/>
  <c r="T2557" i="1"/>
  <c r="T3611" i="1"/>
  <c r="T2120" i="1"/>
  <c r="T2521" i="1"/>
  <c r="T3458" i="1"/>
  <c r="T1524" i="1"/>
  <c r="T2876" i="1"/>
  <c r="T1977" i="1"/>
  <c r="T3420" i="1"/>
  <c r="T1457" i="1"/>
  <c r="T921" i="1"/>
  <c r="T2304" i="1"/>
  <c r="T2663" i="1"/>
  <c r="T733" i="1"/>
  <c r="T3092" i="1"/>
  <c r="T1163" i="1"/>
  <c r="T641" i="1"/>
  <c r="T3332" i="1"/>
  <c r="T215" i="1"/>
  <c r="T2295" i="1"/>
  <c r="T3211" i="1"/>
  <c r="T391" i="1"/>
  <c r="T3045" i="1"/>
  <c r="T2649" i="1"/>
  <c r="T883" i="1"/>
  <c r="T3215" i="1"/>
  <c r="T1906" i="1"/>
  <c r="T858" i="1"/>
  <c r="T3558" i="1"/>
  <c r="T2920" i="1"/>
  <c r="T880" i="1"/>
  <c r="T3896" i="1"/>
  <c r="T1074" i="1"/>
  <c r="T744" i="1"/>
  <c r="T3525" i="1"/>
  <c r="T741" i="1"/>
  <c r="T704" i="1"/>
  <c r="T2988" i="1"/>
  <c r="T2688" i="1"/>
  <c r="T3962" i="1"/>
  <c r="T1360" i="1"/>
  <c r="T1785" i="1"/>
  <c r="T4" i="1"/>
  <c r="T718" i="1"/>
  <c r="T2601" i="1"/>
  <c r="T2436" i="1"/>
  <c r="T238" i="1"/>
  <c r="T1283" i="1"/>
  <c r="T405" i="1"/>
  <c r="T1238" i="1"/>
  <c r="T1462" i="1"/>
  <c r="T3847" i="1"/>
  <c r="T611" i="1"/>
  <c r="T495" i="1"/>
  <c r="T1736" i="1"/>
  <c r="T3346" i="1"/>
  <c r="T1197" i="1"/>
  <c r="T1636" i="1"/>
  <c r="T1183" i="1"/>
  <c r="T2287" i="1"/>
  <c r="T2654" i="1"/>
  <c r="T3387" i="1"/>
  <c r="T1514" i="1"/>
  <c r="T410" i="1"/>
  <c r="T1608" i="1"/>
  <c r="T3373" i="1"/>
  <c r="T3201" i="1"/>
  <c r="T596" i="1"/>
  <c r="T637" i="1"/>
  <c r="T150" i="1"/>
  <c r="T364" i="1"/>
  <c r="T3579" i="1"/>
  <c r="T1735" i="1"/>
  <c r="T1744" i="1"/>
  <c r="T3656" i="1"/>
  <c r="T973" i="1"/>
  <c r="T2833" i="1"/>
  <c r="T14" i="1"/>
  <c r="T3898" i="1"/>
  <c r="T163" i="1"/>
  <c r="T2392" i="1"/>
  <c r="T3371" i="1"/>
  <c r="T3261" i="1"/>
  <c r="T890" i="1"/>
  <c r="T1169" i="1"/>
  <c r="T875" i="1"/>
  <c r="T645" i="1"/>
  <c r="T348" i="1"/>
  <c r="T1025" i="1"/>
  <c r="T3572" i="1"/>
  <c r="T1550" i="1"/>
  <c r="T2193" i="1"/>
  <c r="T1275" i="1"/>
  <c r="T731" i="1"/>
  <c r="T3640" i="1"/>
  <c r="T2247" i="1"/>
  <c r="T626" i="1"/>
  <c r="T3885" i="1"/>
  <c r="T1091" i="1"/>
  <c r="T2382" i="1"/>
  <c r="T3378" i="1"/>
  <c r="T1909" i="1"/>
  <c r="T1051" i="1"/>
  <c r="T1958" i="1"/>
  <c r="T893" i="1"/>
  <c r="T3198" i="1"/>
  <c r="T949" i="1"/>
  <c r="T1769" i="1"/>
  <c r="T775" i="1"/>
  <c r="T3159" i="1"/>
  <c r="T1114" i="1"/>
  <c r="T3084" i="1"/>
  <c r="T1928" i="1"/>
  <c r="T631" i="1"/>
  <c r="T3899" i="1"/>
  <c r="T3501" i="1"/>
  <c r="T2393" i="1"/>
  <c r="T3389" i="1"/>
  <c r="T2376" i="1"/>
  <c r="T2648" i="1"/>
  <c r="T3890" i="1"/>
  <c r="T2879" i="1"/>
  <c r="T489" i="1"/>
  <c r="T3933" i="1"/>
  <c r="T2308" i="1"/>
  <c r="T1405" i="1"/>
  <c r="T3103" i="1"/>
  <c r="T650" i="1"/>
  <c r="T128" i="1"/>
  <c r="T3782" i="1"/>
  <c r="T1456" i="1"/>
  <c r="T3615" i="1"/>
  <c r="T3194" i="1"/>
  <c r="T3083" i="1"/>
  <c r="T1364" i="1"/>
  <c r="T1546" i="1"/>
  <c r="T1145" i="1"/>
  <c r="T3437" i="1"/>
  <c r="T224" i="1"/>
  <c r="T1871" i="1"/>
  <c r="T780" i="1"/>
  <c r="T3779" i="1"/>
  <c r="T2720" i="1"/>
  <c r="T1466" i="1"/>
  <c r="T1558" i="1"/>
  <c r="T2089" i="1"/>
  <c r="T1219" i="1"/>
  <c r="T565" i="1"/>
  <c r="T614" i="1"/>
  <c r="T3500" i="1"/>
  <c r="T3740" i="1"/>
  <c r="T936" i="1"/>
  <c r="T1276" i="1"/>
  <c r="T1641" i="1"/>
  <c r="T2567" i="1"/>
  <c r="T1508" i="1"/>
  <c r="T1308" i="1"/>
  <c r="T2935" i="1"/>
  <c r="T1476" i="1"/>
  <c r="T400" i="1"/>
  <c r="T2854" i="1"/>
  <c r="T1579" i="1"/>
  <c r="T170" i="1"/>
  <c r="T884" i="1"/>
  <c r="T1644" i="1"/>
  <c r="T3237" i="1"/>
  <c r="T2826" i="1"/>
  <c r="T1247" i="1"/>
  <c r="T1239" i="1"/>
  <c r="T2558" i="1"/>
  <c r="T3711" i="1"/>
  <c r="T3547" i="1"/>
  <c r="T3645" i="1"/>
  <c r="T784" i="1"/>
  <c r="T2790" i="1"/>
  <c r="T3842" i="1"/>
  <c r="T909" i="1"/>
  <c r="T78" i="1"/>
  <c r="T10" i="1"/>
  <c r="T3047" i="1"/>
  <c r="T502" i="1"/>
  <c r="T1751" i="1"/>
  <c r="T1927" i="1"/>
  <c r="T1528" i="1"/>
  <c r="T2117" i="1"/>
  <c r="T2411" i="1"/>
  <c r="T2222" i="1"/>
  <c r="T3556" i="1"/>
  <c r="T3735" i="1"/>
  <c r="T3705" i="1"/>
  <c r="T3713" i="1"/>
  <c r="T177" i="1"/>
  <c r="T360" i="1"/>
  <c r="T2265" i="1"/>
  <c r="T627" i="1"/>
  <c r="T3372" i="1"/>
  <c r="T2598" i="1"/>
  <c r="T2086" i="1"/>
  <c r="T2087" i="1"/>
  <c r="T2609" i="1"/>
  <c r="T3574" i="1"/>
  <c r="T2639" i="1"/>
  <c r="T1840" i="1"/>
  <c r="T663" i="1"/>
  <c r="T236" i="1"/>
  <c r="T3647" i="1"/>
  <c r="T3167" i="1"/>
  <c r="T2996" i="1"/>
  <c r="T3797" i="1"/>
  <c r="T3949" i="1"/>
  <c r="T1230" i="1"/>
  <c r="T2209" i="1"/>
  <c r="T895" i="1"/>
  <c r="T3947" i="1"/>
  <c r="T2520" i="1"/>
  <c r="T2477" i="1"/>
  <c r="T3512" i="1"/>
  <c r="T1955" i="1"/>
  <c r="T3255" i="1"/>
  <c r="T3379" i="1"/>
  <c r="T3650" i="1"/>
  <c r="T1170" i="1"/>
  <c r="T2774" i="1"/>
  <c r="T3649" i="1"/>
  <c r="T2597" i="1"/>
  <c r="T50" i="1"/>
  <c r="T3338" i="1"/>
  <c r="T1421" i="1"/>
  <c r="T670" i="1"/>
  <c r="T787" i="1"/>
  <c r="T2852" i="1"/>
  <c r="T1371" i="1"/>
  <c r="T2081" i="1"/>
  <c r="T409" i="1"/>
  <c r="T1080" i="1"/>
  <c r="T623" i="1"/>
  <c r="T3503" i="1"/>
  <c r="T1901" i="1"/>
  <c r="T3397" i="1"/>
  <c r="T523" i="1"/>
  <c r="T3592" i="1"/>
  <c r="T2683" i="1"/>
  <c r="T2512" i="1"/>
  <c r="T1692" i="1"/>
  <c r="T1059" i="1"/>
  <c r="T3530" i="1"/>
  <c r="T732" i="1"/>
  <c r="T2538" i="1"/>
  <c r="T3841" i="1"/>
  <c r="T3886" i="1"/>
  <c r="T1438" i="1"/>
  <c r="T1646" i="1"/>
  <c r="T2933" i="1"/>
  <c r="T1331" i="1"/>
  <c r="T2163" i="1"/>
  <c r="T3302" i="1"/>
  <c r="T1857" i="1"/>
  <c r="T1036" i="1"/>
  <c r="T3262" i="1"/>
  <c r="T3107" i="1"/>
  <c r="T3596" i="1"/>
  <c r="T3604" i="1"/>
  <c r="T1082" i="1"/>
  <c r="T2174" i="1"/>
  <c r="T1218" i="1"/>
  <c r="T1560" i="1"/>
  <c r="T26" i="1"/>
  <c r="T3380" i="1"/>
  <c r="T3877" i="1"/>
  <c r="T2371" i="1"/>
  <c r="T1175" i="1"/>
  <c r="T404" i="1"/>
  <c r="T1195" i="1"/>
  <c r="T288" i="1"/>
  <c r="T3003" i="1"/>
  <c r="T2321" i="1"/>
  <c r="T1109" i="1"/>
  <c r="T690" i="1"/>
  <c r="T265" i="1"/>
  <c r="T446" i="1"/>
  <c r="T2552" i="1"/>
  <c r="T2323" i="1"/>
  <c r="T2728" i="1"/>
  <c r="T1299" i="1"/>
  <c r="T456" i="1"/>
  <c r="T562" i="1"/>
  <c r="T3792" i="1"/>
  <c r="T2035" i="1"/>
  <c r="T2724" i="1"/>
  <c r="T241" i="1"/>
  <c r="T912" i="1"/>
  <c r="T2412" i="1"/>
  <c r="T3561" i="1"/>
  <c r="T1497" i="1"/>
  <c r="T2142" i="1"/>
  <c r="T3838" i="1"/>
  <c r="T2196" i="1"/>
  <c r="T754" i="1"/>
  <c r="T692" i="1"/>
  <c r="T1990" i="1"/>
  <c r="T2566" i="1"/>
  <c r="T2717" i="1"/>
  <c r="T3165" i="1"/>
  <c r="T2948" i="1"/>
  <c r="T3571" i="1"/>
  <c r="T11" i="1"/>
  <c r="T3663" i="1"/>
  <c r="T2194" i="1"/>
  <c r="T3134" i="1"/>
  <c r="T237" i="1"/>
  <c r="T2426" i="1"/>
  <c r="T1409" i="1"/>
  <c r="T2545" i="1"/>
  <c r="T1992" i="1"/>
  <c r="T1563" i="1"/>
  <c r="T3217" i="1"/>
  <c r="T1971" i="1"/>
  <c r="T2415" i="1"/>
  <c r="T3105" i="1"/>
  <c r="T2380" i="1"/>
  <c r="T2832" i="1"/>
  <c r="T1086" i="1"/>
  <c r="T2251" i="1"/>
  <c r="T2872" i="1"/>
  <c r="T2373" i="1"/>
  <c r="T2809" i="1"/>
  <c r="T1063" i="1"/>
  <c r="T307" i="1"/>
  <c r="T801" i="1"/>
  <c r="T260" i="1"/>
  <c r="T550" i="1"/>
  <c r="T2690" i="1"/>
  <c r="T3206" i="1"/>
  <c r="T1837" i="1"/>
  <c r="T1655" i="1"/>
  <c r="T1378" i="1"/>
  <c r="T48" i="1"/>
  <c r="T933" i="1"/>
  <c r="T3927" i="1"/>
  <c r="T2868" i="1"/>
  <c r="T258" i="1"/>
  <c r="T2040" i="1"/>
  <c r="T2432" i="1"/>
  <c r="T80" i="1"/>
  <c r="T1757" i="1"/>
  <c r="T3859" i="1"/>
  <c r="T1165" i="1"/>
  <c r="T1593" i="1"/>
  <c r="T3377" i="1"/>
  <c r="T3168" i="1"/>
  <c r="T3404" i="1"/>
  <c r="T2454" i="1"/>
  <c r="T2828" i="1"/>
  <c r="T866" i="1"/>
  <c r="T2956" i="1"/>
  <c r="T2200" i="1"/>
  <c r="T1284" i="1"/>
  <c r="T1664" i="1"/>
  <c r="T1552" i="1"/>
  <c r="T3608" i="1"/>
  <c r="T3961" i="1"/>
  <c r="T226" i="1"/>
  <c r="T2129" i="1"/>
  <c r="T1743" i="1"/>
  <c r="T761" i="1"/>
  <c r="T3450" i="1"/>
  <c r="T636" i="1"/>
  <c r="T1863" i="1"/>
  <c r="T573" i="1"/>
  <c r="T1176" i="1"/>
  <c r="T1712" i="1"/>
  <c r="T3347" i="1"/>
  <c r="T3670" i="1"/>
  <c r="T250" i="1"/>
  <c r="T2767" i="1"/>
  <c r="T2408" i="1"/>
  <c r="T1703" i="1"/>
  <c r="T2467" i="1"/>
  <c r="T1248" i="1"/>
  <c r="T3506" i="1"/>
  <c r="T928" i="1"/>
  <c r="T3434" i="1"/>
  <c r="T1395" i="1"/>
  <c r="T3390" i="1"/>
  <c r="T1084" i="1"/>
  <c r="T2475" i="1"/>
  <c r="T745" i="1"/>
  <c r="T1061" i="1"/>
  <c r="T882" i="1"/>
  <c r="T3652" i="1"/>
  <c r="T3247" i="1"/>
  <c r="T3191" i="1"/>
  <c r="T2085" i="1"/>
  <c r="T324" i="1"/>
  <c r="T3209" i="1"/>
  <c r="T354" i="1"/>
  <c r="T2813" i="1"/>
  <c r="T3128" i="1"/>
  <c r="T2362" i="1"/>
  <c r="T1668" i="1"/>
  <c r="T2494" i="1"/>
  <c r="T2176" i="1"/>
  <c r="T3235" i="1"/>
  <c r="T1885" i="1"/>
  <c r="T2622" i="1"/>
  <c r="T3049" i="1"/>
  <c r="T3694" i="1"/>
  <c r="T2456" i="1"/>
  <c r="T2896" i="1"/>
  <c r="T2985" i="1"/>
  <c r="T3563" i="1"/>
  <c r="T3281" i="1"/>
  <c r="T1426" i="1"/>
  <c r="T3741" i="1"/>
  <c r="T1355" i="1"/>
  <c r="T3246" i="1"/>
  <c r="T604" i="1"/>
  <c r="T1847" i="1"/>
  <c r="T3109" i="1"/>
  <c r="T2143" i="1"/>
  <c r="T416" i="1"/>
  <c r="T1034" i="1"/>
  <c r="T1092" i="1"/>
  <c r="T2885" i="1"/>
  <c r="T205" i="1"/>
  <c r="T373" i="1"/>
  <c r="T876" i="1"/>
  <c r="T3826" i="1"/>
  <c r="T2741" i="1"/>
  <c r="T1411" i="1"/>
  <c r="T769" i="1"/>
  <c r="T3312" i="1"/>
  <c r="T601" i="1"/>
  <c r="T1226" i="1"/>
  <c r="T739" i="1"/>
  <c r="T353" i="1"/>
  <c r="T1274" i="1"/>
  <c r="T2498" i="1"/>
  <c r="T3474" i="1"/>
  <c r="T2577" i="1"/>
  <c r="T2141" i="1"/>
  <c r="T3578" i="1"/>
  <c r="T2502" i="1"/>
  <c r="T2461" i="1"/>
  <c r="T809" i="1"/>
  <c r="T2391" i="1"/>
  <c r="T3115" i="1"/>
  <c r="T2656" i="1"/>
  <c r="T3883" i="1"/>
  <c r="T325" i="1"/>
  <c r="T417" i="1"/>
  <c r="T2123" i="1"/>
  <c r="T661" i="1"/>
  <c r="T2535" i="1"/>
  <c r="T3590" i="1"/>
  <c r="T370" i="1"/>
  <c r="T2829" i="1"/>
  <c r="T1525" i="1"/>
  <c r="T3919" i="1"/>
  <c r="T2390" i="1"/>
  <c r="T1956" i="1"/>
  <c r="T1171" i="1"/>
  <c r="T2217" i="1"/>
  <c r="T656" i="1"/>
  <c r="T351" i="1"/>
  <c r="T2978" i="1"/>
  <c r="T23" i="1"/>
  <c r="T2325" i="1"/>
  <c r="T2732" i="1"/>
  <c r="T3460" i="1"/>
  <c r="T3870" i="1"/>
  <c r="T1951" i="1"/>
  <c r="T2738" i="1"/>
  <c r="T776" i="1"/>
  <c r="T1313" i="1"/>
  <c r="T3147" i="1"/>
  <c r="T2631" i="1"/>
  <c r="T3249" i="1"/>
  <c r="T83" i="1"/>
  <c r="T3610" i="1"/>
  <c r="T1122" i="1"/>
  <c r="T1545" i="1"/>
  <c r="T100" i="1"/>
  <c r="T1143" i="1"/>
  <c r="T2322" i="1"/>
  <c r="T2367" i="1"/>
  <c r="T1918" i="1"/>
  <c r="T1713" i="1"/>
  <c r="T1240" i="1"/>
  <c r="T1093" i="1"/>
  <c r="T2293" i="1"/>
  <c r="T3386" i="1"/>
  <c r="T3922" i="1"/>
  <c r="T1337" i="1"/>
  <c r="T2093" i="1"/>
  <c r="T2479" i="1"/>
  <c r="T2880" i="1"/>
  <c r="T2360" i="1"/>
  <c r="T1914" i="1"/>
  <c r="T1952" i="1"/>
  <c r="T3856" i="1"/>
  <c r="T395" i="1"/>
  <c r="T1510" i="1"/>
  <c r="T746" i="1"/>
  <c r="T1816" i="1"/>
  <c r="T2808" i="1"/>
  <c r="T2894" i="1"/>
  <c r="T2839" i="1"/>
  <c r="T1600" i="1"/>
  <c r="T119" i="1"/>
  <c r="T1188" i="1"/>
  <c r="T3929" i="1"/>
  <c r="T1716" i="1"/>
  <c r="T512" i="1"/>
  <c r="T3803" i="1"/>
  <c r="T2917" i="1"/>
  <c r="T2650" i="1"/>
  <c r="T1892" i="1"/>
  <c r="T2197" i="1"/>
  <c r="T677" i="1"/>
  <c r="T3157" i="1"/>
  <c r="T3657" i="1"/>
  <c r="T942" i="1"/>
  <c r="T3618" i="1"/>
  <c r="T2139" i="1"/>
  <c r="T886" i="1"/>
  <c r="T1087" i="1"/>
  <c r="T3480" i="1"/>
  <c r="T1806" i="1"/>
  <c r="T943" i="1"/>
  <c r="T2937" i="1"/>
  <c r="T889" i="1"/>
  <c r="T1699" i="1"/>
  <c r="T566" i="1"/>
  <c r="T2549" i="1"/>
  <c r="T508" i="1"/>
  <c r="T3025" i="1"/>
  <c r="T926" i="1"/>
  <c r="T3418" i="1"/>
  <c r="T1506" i="1"/>
  <c r="T870" i="1"/>
  <c r="T3505" i="1"/>
  <c r="T3129" i="1"/>
  <c r="T737" i="1"/>
  <c r="T149" i="1"/>
  <c r="T171" i="1"/>
  <c r="T305" i="1"/>
  <c r="T125" i="1"/>
  <c r="T3454" i="1"/>
  <c r="T1896" i="1"/>
  <c r="T2642" i="1"/>
  <c r="T1903" i="1"/>
  <c r="T651" i="1"/>
  <c r="T372" i="1"/>
  <c r="T496" i="1"/>
  <c r="T3117" i="1"/>
  <c r="T1779" i="1"/>
  <c r="T1606" i="1"/>
  <c r="T1232" i="1"/>
  <c r="T760" i="1"/>
  <c r="T425" i="1"/>
  <c r="T3239" i="1"/>
  <c r="T2221" i="1"/>
  <c r="T293" i="1"/>
  <c r="T368" i="1"/>
  <c r="T2899" i="1"/>
  <c r="T1210" i="1"/>
  <c r="T1621" i="1"/>
  <c r="T2585" i="1"/>
  <c r="T3031" i="1"/>
  <c r="T2166" i="1"/>
  <c r="T728" i="1"/>
  <c r="T3644" i="1"/>
  <c r="T2836" i="1"/>
  <c r="T3514" i="1"/>
  <c r="U3514" i="1" l="1"/>
  <c r="U2836" i="1"/>
  <c r="U3644" i="1"/>
  <c r="U728" i="1"/>
  <c r="U2166" i="1"/>
  <c r="U3031" i="1"/>
  <c r="U2585" i="1"/>
  <c r="U1621" i="1"/>
  <c r="U1210" i="1"/>
  <c r="U2899" i="1"/>
  <c r="U368" i="1"/>
  <c r="U293" i="1"/>
  <c r="U2221" i="1"/>
  <c r="U3239" i="1"/>
  <c r="U425" i="1"/>
  <c r="U760" i="1"/>
  <c r="U1232" i="1"/>
  <c r="U1606" i="1"/>
  <c r="U1779" i="1"/>
  <c r="U3117" i="1"/>
  <c r="U496" i="1"/>
  <c r="U372" i="1"/>
  <c r="U651" i="1"/>
  <c r="U1903" i="1"/>
  <c r="U2642" i="1"/>
  <c r="U1896" i="1"/>
  <c r="U3454" i="1"/>
  <c r="U125" i="1"/>
  <c r="U305" i="1"/>
  <c r="U171" i="1"/>
  <c r="U149" i="1"/>
  <c r="U737" i="1"/>
  <c r="U3129" i="1"/>
  <c r="U3505" i="1"/>
  <c r="U870" i="1"/>
  <c r="U1506" i="1"/>
  <c r="U3418" i="1"/>
  <c r="U926" i="1"/>
  <c r="U3025" i="1"/>
  <c r="U508" i="1"/>
  <c r="U2549" i="1"/>
  <c r="U566" i="1"/>
  <c r="U1699" i="1"/>
  <c r="U889" i="1"/>
  <c r="U2937" i="1"/>
  <c r="U943" i="1"/>
  <c r="U1806" i="1"/>
  <c r="U3480" i="1"/>
  <c r="U1087" i="1"/>
  <c r="U886" i="1"/>
  <c r="U2139" i="1"/>
  <c r="U3618" i="1"/>
  <c r="U942" i="1"/>
  <c r="U3657" i="1"/>
  <c r="U3157" i="1"/>
  <c r="U677" i="1"/>
  <c r="U2197" i="1"/>
  <c r="U1892" i="1"/>
  <c r="U2650" i="1"/>
  <c r="U2917" i="1"/>
  <c r="U3803" i="1"/>
  <c r="U512" i="1"/>
  <c r="U1716" i="1"/>
  <c r="U3929" i="1"/>
  <c r="U1188" i="1"/>
  <c r="U119" i="1"/>
  <c r="U1600" i="1"/>
  <c r="U2839" i="1"/>
  <c r="U2894" i="1"/>
  <c r="U2808" i="1"/>
  <c r="U1816" i="1"/>
  <c r="U746" i="1"/>
  <c r="U1510" i="1"/>
  <c r="U395" i="1"/>
  <c r="U3856" i="1"/>
  <c r="U1952" i="1"/>
  <c r="U1914" i="1"/>
  <c r="U2360" i="1"/>
  <c r="U2880" i="1"/>
  <c r="U2479" i="1"/>
  <c r="U2093" i="1"/>
  <c r="U1337" i="1"/>
  <c r="U3922" i="1"/>
  <c r="U3386" i="1"/>
  <c r="U2293" i="1"/>
  <c r="U1093" i="1"/>
  <c r="U1240" i="1"/>
  <c r="U1713" i="1"/>
  <c r="U1918" i="1"/>
  <c r="U2367" i="1"/>
  <c r="U2322" i="1"/>
  <c r="U1143" i="1"/>
  <c r="U100" i="1"/>
  <c r="U1545" i="1"/>
  <c r="U1122" i="1"/>
  <c r="U3610" i="1"/>
  <c r="U83" i="1"/>
  <c r="U3249" i="1"/>
  <c r="U2631" i="1"/>
  <c r="V2666" i="1" s="1"/>
  <c r="U3147" i="1"/>
  <c r="U1313" i="1"/>
  <c r="U776" i="1"/>
  <c r="U2738" i="1"/>
  <c r="U1951" i="1"/>
  <c r="U3870" i="1"/>
  <c r="U3460" i="1"/>
  <c r="U2732" i="1"/>
  <c r="U2325" i="1"/>
  <c r="U23" i="1"/>
  <c r="U2978" i="1"/>
  <c r="U351" i="1"/>
  <c r="U656" i="1"/>
  <c r="AS15" i="1"/>
  <c r="U2217" i="1"/>
  <c r="U1171" i="1"/>
  <c r="U1956" i="1"/>
  <c r="U2390" i="1"/>
  <c r="U3919" i="1"/>
  <c r="U1525" i="1"/>
  <c r="U2829" i="1"/>
  <c r="U370" i="1"/>
  <c r="U3590" i="1"/>
  <c r="U2535" i="1"/>
  <c r="U661" i="1"/>
  <c r="U2123" i="1"/>
  <c r="U417" i="1"/>
  <c r="U325" i="1"/>
  <c r="U3883" i="1"/>
  <c r="U2656" i="1"/>
  <c r="U3115" i="1"/>
  <c r="U2391" i="1"/>
  <c r="U809" i="1"/>
  <c r="U2461" i="1"/>
  <c r="U2502" i="1"/>
  <c r="U3578" i="1"/>
  <c r="U2141" i="1"/>
  <c r="U2577" i="1"/>
  <c r="U3474" i="1"/>
  <c r="U2498" i="1"/>
  <c r="U1274" i="1"/>
  <c r="U353" i="1"/>
  <c r="U739" i="1"/>
  <c r="U1226" i="1"/>
  <c r="U601" i="1"/>
  <c r="U3312" i="1"/>
  <c r="U769" i="1"/>
  <c r="U1411" i="1"/>
  <c r="U2741" i="1"/>
  <c r="U3826" i="1"/>
  <c r="U876" i="1"/>
  <c r="U373" i="1"/>
  <c r="U205" i="1"/>
  <c r="U2885" i="1"/>
  <c r="U1092" i="1"/>
  <c r="U1034" i="1"/>
  <c r="U416" i="1"/>
  <c r="U2143" i="1"/>
  <c r="U3109" i="1"/>
  <c r="U1847" i="1"/>
  <c r="U604" i="1"/>
  <c r="U3246" i="1"/>
  <c r="U1355" i="1"/>
  <c r="U3741" i="1"/>
  <c r="U1426" i="1"/>
  <c r="U3281" i="1"/>
  <c r="U3563" i="1"/>
  <c r="U2985" i="1"/>
  <c r="U2896" i="1"/>
  <c r="U2456" i="1"/>
  <c r="U3694" i="1"/>
  <c r="U3049" i="1"/>
  <c r="U2622" i="1"/>
  <c r="U1885" i="1"/>
  <c r="U3235" i="1"/>
  <c r="U2176" i="1"/>
  <c r="U2494" i="1"/>
  <c r="U1668" i="1"/>
  <c r="U2362" i="1"/>
  <c r="U3128" i="1"/>
  <c r="U2813" i="1"/>
  <c r="U354" i="1"/>
  <c r="U3209" i="1"/>
  <c r="U324" i="1"/>
  <c r="U2085" i="1"/>
  <c r="U3191" i="1"/>
  <c r="U3247" i="1"/>
  <c r="U3652" i="1"/>
  <c r="U882" i="1"/>
  <c r="U1061" i="1"/>
  <c r="U745" i="1"/>
  <c r="U2475" i="1"/>
  <c r="U1084" i="1"/>
  <c r="U3390" i="1"/>
  <c r="U1395" i="1"/>
  <c r="U3434" i="1"/>
  <c r="U928" i="1"/>
  <c r="U3506" i="1"/>
  <c r="U1248" i="1"/>
  <c r="U2467" i="1"/>
  <c r="U1703" i="1"/>
  <c r="U2408" i="1"/>
  <c r="U2767" i="1"/>
  <c r="U250" i="1"/>
  <c r="U3670" i="1"/>
  <c r="U3347" i="1"/>
  <c r="U1712" i="1"/>
  <c r="U1176" i="1"/>
  <c r="U573" i="1"/>
  <c r="U1863" i="1"/>
  <c r="U636" i="1"/>
  <c r="U3450" i="1"/>
  <c r="U761" i="1"/>
  <c r="U1743" i="1"/>
  <c r="U2129" i="1"/>
  <c r="U226" i="1"/>
  <c r="U3961" i="1"/>
  <c r="U3608" i="1"/>
  <c r="U1552" i="1"/>
  <c r="U1664" i="1"/>
  <c r="U1284" i="1"/>
  <c r="U2200" i="1"/>
  <c r="U2956" i="1"/>
  <c r="U866" i="1"/>
  <c r="U2828" i="1"/>
  <c r="U2454" i="1"/>
  <c r="U3404" i="1"/>
  <c r="U3168" i="1"/>
  <c r="U3377" i="1"/>
  <c r="U1593" i="1"/>
  <c r="U1165" i="1"/>
  <c r="U3859" i="1"/>
  <c r="U1757" i="1"/>
  <c r="U80" i="1"/>
  <c r="U2432" i="1"/>
  <c r="U2040" i="1"/>
  <c r="U258" i="1"/>
  <c r="U2868" i="1"/>
  <c r="U3927" i="1"/>
  <c r="U933" i="1"/>
  <c r="U48" i="1"/>
  <c r="U1378" i="1"/>
  <c r="U1655" i="1"/>
  <c r="U1837" i="1"/>
  <c r="U3206" i="1"/>
  <c r="U2690" i="1"/>
  <c r="U550" i="1"/>
  <c r="U260" i="1"/>
  <c r="U801" i="1"/>
  <c r="U307" i="1"/>
  <c r="U1063" i="1"/>
  <c r="U2809" i="1"/>
  <c r="V2825" i="1" s="1"/>
  <c r="U2373" i="1"/>
  <c r="U2872" i="1"/>
  <c r="U2251" i="1"/>
  <c r="U1086" i="1"/>
  <c r="U2832" i="1"/>
  <c r="U2380" i="1"/>
  <c r="U3105" i="1"/>
  <c r="U2415" i="1"/>
  <c r="U1971" i="1"/>
  <c r="U3217" i="1"/>
  <c r="U1563" i="1"/>
  <c r="U1992" i="1"/>
  <c r="U2545" i="1"/>
  <c r="U1409" i="1"/>
  <c r="U2426" i="1"/>
  <c r="U237" i="1"/>
  <c r="U3134" i="1"/>
  <c r="U2194" i="1"/>
  <c r="U3663" i="1"/>
  <c r="U11" i="1"/>
  <c r="U3571" i="1"/>
  <c r="U2948" i="1"/>
  <c r="U3165" i="1"/>
  <c r="U2717" i="1"/>
  <c r="U2566" i="1"/>
  <c r="U1990" i="1"/>
  <c r="U692" i="1"/>
  <c r="U754" i="1"/>
  <c r="U2196" i="1"/>
  <c r="U3838" i="1"/>
  <c r="U2142" i="1"/>
  <c r="U1497" i="1"/>
  <c r="U3561" i="1"/>
  <c r="U2412" i="1"/>
  <c r="U912" i="1"/>
  <c r="U241" i="1"/>
  <c r="U2724" i="1"/>
  <c r="U2035" i="1"/>
  <c r="U3792" i="1"/>
  <c r="U562" i="1"/>
  <c r="U456" i="1"/>
  <c r="U1299" i="1"/>
  <c r="U2728" i="1"/>
  <c r="U2323" i="1"/>
  <c r="U2552" i="1"/>
  <c r="U446" i="1"/>
  <c r="U265" i="1"/>
  <c r="U690" i="1"/>
  <c r="U1109" i="1"/>
  <c r="U2321" i="1"/>
  <c r="U3003" i="1"/>
  <c r="U288" i="1"/>
  <c r="U1195" i="1"/>
  <c r="U404" i="1"/>
  <c r="U1175" i="1"/>
  <c r="U2371" i="1"/>
  <c r="U3877" i="1"/>
  <c r="U3380" i="1"/>
  <c r="U26" i="1"/>
  <c r="U1560" i="1"/>
  <c r="U1218" i="1"/>
  <c r="U2174" i="1"/>
  <c r="U1082" i="1"/>
  <c r="U3604" i="1"/>
  <c r="U3596" i="1"/>
  <c r="U3107" i="1"/>
  <c r="U3262" i="1"/>
  <c r="U1036" i="1"/>
  <c r="U1857" i="1"/>
  <c r="U3302" i="1"/>
  <c r="U2163" i="1"/>
  <c r="U1331" i="1"/>
  <c r="U2933" i="1"/>
  <c r="U1646" i="1"/>
  <c r="U1438" i="1"/>
  <c r="U3886" i="1"/>
  <c r="U3841" i="1"/>
  <c r="U2538" i="1"/>
  <c r="U732" i="1"/>
  <c r="U3530" i="1"/>
  <c r="U1059" i="1"/>
  <c r="U1692" i="1"/>
  <c r="U2512" i="1"/>
  <c r="U2683" i="1"/>
  <c r="V2686" i="1" s="1"/>
  <c r="U3592" i="1"/>
  <c r="U523" i="1"/>
  <c r="U3397" i="1"/>
  <c r="U1901" i="1"/>
  <c r="U3503" i="1"/>
  <c r="U623" i="1"/>
  <c r="U1080" i="1"/>
  <c r="U409" i="1"/>
  <c r="U2081" i="1"/>
  <c r="U1371" i="1"/>
  <c r="U2852" i="1"/>
  <c r="U787" i="1"/>
  <c r="U670" i="1"/>
  <c r="U1421" i="1"/>
  <c r="U3338" i="1"/>
  <c r="U50" i="1"/>
  <c r="U2597" i="1"/>
  <c r="U3649" i="1"/>
  <c r="U2774" i="1"/>
  <c r="U1170" i="1"/>
  <c r="U3650" i="1"/>
  <c r="U3379" i="1"/>
  <c r="U3255" i="1"/>
  <c r="U1955" i="1"/>
  <c r="U3512" i="1"/>
  <c r="U2477" i="1"/>
  <c r="U2520" i="1"/>
  <c r="U3947" i="1"/>
  <c r="U895" i="1"/>
  <c r="U2209" i="1"/>
  <c r="U1230" i="1"/>
  <c r="U3949" i="1"/>
  <c r="U3797" i="1"/>
  <c r="U2996" i="1"/>
  <c r="U3167" i="1"/>
  <c r="U3647" i="1"/>
  <c r="U236" i="1"/>
  <c r="U663" i="1"/>
  <c r="U1840" i="1"/>
  <c r="U2639" i="1"/>
  <c r="U3574" i="1"/>
  <c r="U2609" i="1"/>
  <c r="U2087" i="1"/>
  <c r="U2086" i="1"/>
  <c r="U2598" i="1"/>
  <c r="U3372" i="1"/>
  <c r="U627" i="1"/>
  <c r="U2265" i="1"/>
  <c r="U360" i="1"/>
  <c r="U177" i="1"/>
  <c r="U3713" i="1"/>
  <c r="U3705" i="1"/>
  <c r="U3735" i="1"/>
  <c r="U3556" i="1"/>
  <c r="U2222" i="1"/>
  <c r="U2411" i="1"/>
  <c r="U2117" i="1"/>
  <c r="U1528" i="1"/>
  <c r="U1927" i="1"/>
  <c r="U1751" i="1"/>
  <c r="U502" i="1"/>
  <c r="AS17" i="1"/>
  <c r="U3047" i="1"/>
  <c r="U10" i="1"/>
  <c r="U78" i="1"/>
  <c r="U909" i="1"/>
  <c r="U3842" i="1"/>
  <c r="U2790" i="1"/>
  <c r="U784" i="1"/>
  <c r="U3645" i="1"/>
  <c r="U3547" i="1"/>
  <c r="U3711" i="1"/>
  <c r="U2558" i="1"/>
  <c r="U1239" i="1"/>
  <c r="U1247" i="1"/>
  <c r="U2826" i="1"/>
  <c r="U3237" i="1"/>
  <c r="U1644" i="1"/>
  <c r="U884" i="1"/>
  <c r="U170" i="1"/>
  <c r="U1579" i="1"/>
  <c r="U2854" i="1"/>
  <c r="U400" i="1"/>
  <c r="U1476" i="1"/>
  <c r="U2935" i="1"/>
  <c r="U1308" i="1"/>
  <c r="U1508" i="1"/>
  <c r="U2567" i="1"/>
  <c r="U1641" i="1"/>
  <c r="U1276" i="1"/>
  <c r="U936" i="1"/>
  <c r="U3740" i="1"/>
  <c r="U3500" i="1"/>
  <c r="U614" i="1"/>
  <c r="U565" i="1"/>
  <c r="U1219" i="1"/>
  <c r="U2089" i="1"/>
  <c r="U1558" i="1"/>
  <c r="U1466" i="1"/>
  <c r="U2720" i="1"/>
  <c r="U3779" i="1"/>
  <c r="U780" i="1"/>
  <c r="U1871" i="1"/>
  <c r="U224" i="1"/>
  <c r="U3437" i="1"/>
  <c r="U1145" i="1"/>
  <c r="U1546" i="1"/>
  <c r="U1364" i="1"/>
  <c r="U3083" i="1"/>
  <c r="U3194" i="1"/>
  <c r="U3615" i="1"/>
  <c r="U1456" i="1"/>
  <c r="U3782" i="1"/>
  <c r="U128" i="1"/>
  <c r="U650" i="1"/>
  <c r="U3103" i="1"/>
  <c r="V3123" i="1" s="1"/>
  <c r="U1405" i="1"/>
  <c r="U2308" i="1"/>
  <c r="U3933" i="1"/>
  <c r="U489" i="1"/>
  <c r="U2879" i="1"/>
  <c r="U3890" i="1"/>
  <c r="U2648" i="1"/>
  <c r="U2376" i="1"/>
  <c r="U3389" i="1"/>
  <c r="U2393" i="1"/>
  <c r="U3501" i="1"/>
  <c r="U3899" i="1"/>
  <c r="U631" i="1"/>
  <c r="U1928" i="1"/>
  <c r="U3084" i="1"/>
  <c r="U1114" i="1"/>
  <c r="V1117" i="1" s="1"/>
  <c r="U3159" i="1"/>
  <c r="U775" i="1"/>
  <c r="U1769" i="1"/>
  <c r="U949" i="1"/>
  <c r="U3198" i="1"/>
  <c r="U893" i="1"/>
  <c r="U1958" i="1"/>
  <c r="U1051" i="1"/>
  <c r="U1909" i="1"/>
  <c r="U3378" i="1"/>
  <c r="U2382" i="1"/>
  <c r="AS18" i="1"/>
  <c r="U1091" i="1"/>
  <c r="U3885" i="1"/>
  <c r="U626" i="1"/>
  <c r="U2247" i="1"/>
  <c r="U3640" i="1"/>
  <c r="U731" i="1"/>
  <c r="U1275" i="1"/>
  <c r="U2193" i="1"/>
  <c r="V2230" i="1" s="1"/>
  <c r="U1550" i="1"/>
  <c r="U3572" i="1"/>
  <c r="U1025" i="1"/>
  <c r="U348" i="1"/>
  <c r="U645" i="1"/>
  <c r="U875" i="1"/>
  <c r="U1169" i="1"/>
  <c r="U890" i="1"/>
  <c r="U3261" i="1"/>
  <c r="U3371" i="1"/>
  <c r="U2392" i="1"/>
  <c r="U163" i="1"/>
  <c r="U3898" i="1"/>
  <c r="U14" i="1"/>
  <c r="U2833" i="1"/>
  <c r="U973" i="1"/>
  <c r="U3656" i="1"/>
  <c r="U1744" i="1"/>
  <c r="U1735" i="1"/>
  <c r="U3579" i="1"/>
  <c r="U364" i="1"/>
  <c r="U150" i="1"/>
  <c r="U637" i="1"/>
  <c r="U596" i="1"/>
  <c r="U3201" i="1"/>
  <c r="U3373" i="1"/>
  <c r="U1608" i="1"/>
  <c r="U410" i="1"/>
  <c r="U1514" i="1"/>
  <c r="U3387" i="1"/>
  <c r="U2654" i="1"/>
  <c r="U2287" i="1"/>
  <c r="U1183" i="1"/>
  <c r="U1636" i="1"/>
  <c r="U1197" i="1"/>
  <c r="U3346" i="1"/>
  <c r="U1736" i="1"/>
  <c r="U495" i="1"/>
  <c r="U611" i="1"/>
  <c r="U3847" i="1"/>
  <c r="U1462" i="1"/>
  <c r="U1238" i="1"/>
  <c r="U405" i="1"/>
  <c r="U1283" i="1"/>
  <c r="U238" i="1"/>
  <c r="U2436" i="1"/>
  <c r="U2601" i="1"/>
  <c r="U718" i="1"/>
  <c r="U4" i="1"/>
  <c r="U1785" i="1"/>
  <c r="U1360" i="1"/>
  <c r="U3962" i="1"/>
  <c r="U2688" i="1"/>
  <c r="U2988" i="1"/>
  <c r="U704" i="1"/>
  <c r="U741" i="1"/>
  <c r="U3525" i="1"/>
  <c r="U744" i="1"/>
  <c r="U1074" i="1"/>
  <c r="U3896" i="1"/>
  <c r="U880" i="1"/>
  <c r="U2920" i="1"/>
  <c r="U3558" i="1"/>
  <c r="U858" i="1"/>
  <c r="V857" i="1" s="1"/>
  <c r="U1906" i="1"/>
  <c r="U3215" i="1"/>
  <c r="U883" i="1"/>
  <c r="U2649" i="1"/>
  <c r="U3045" i="1"/>
  <c r="U391" i="1"/>
  <c r="U3211" i="1"/>
  <c r="U2295" i="1"/>
  <c r="U215" i="1"/>
  <c r="U3332" i="1"/>
  <c r="U641" i="1"/>
  <c r="U1163" i="1"/>
  <c r="V1168" i="1" s="1"/>
  <c r="U3092" i="1"/>
  <c r="U733" i="1"/>
  <c r="U2663" i="1"/>
  <c r="U2304" i="1"/>
  <c r="U921" i="1"/>
  <c r="U1457" i="1"/>
  <c r="U3420" i="1"/>
  <c r="U1977" i="1"/>
  <c r="U2876" i="1"/>
  <c r="U1524" i="1"/>
  <c r="U3458" i="1"/>
  <c r="U2521" i="1"/>
  <c r="U2120" i="1"/>
  <c r="U3611" i="1"/>
  <c r="U2557" i="1"/>
  <c r="U3478" i="1"/>
  <c r="U1591" i="1"/>
  <c r="U2310" i="1"/>
  <c r="U1512" i="1"/>
  <c r="U3510" i="1"/>
  <c r="U2918" i="1"/>
  <c r="U3240" i="1"/>
  <c r="U3715" i="1"/>
  <c r="U3023" i="1"/>
  <c r="V3055" i="1" s="1"/>
  <c r="U3150" i="1"/>
  <c r="U263" i="1"/>
  <c r="U1862" i="1"/>
  <c r="U1760" i="1"/>
  <c r="U3046" i="1"/>
  <c r="U3323" i="1"/>
  <c r="U816" i="1"/>
  <c r="U2178" i="1"/>
  <c r="U860" i="1"/>
  <c r="U1957" i="1"/>
  <c r="U175" i="1"/>
  <c r="U3053" i="1"/>
  <c r="U3612" i="1"/>
  <c r="U1065" i="1"/>
  <c r="U2827" i="1"/>
  <c r="U3873" i="1"/>
  <c r="U3256" i="1"/>
  <c r="U2115" i="1"/>
  <c r="U1577" i="1"/>
  <c r="U3055" i="1"/>
  <c r="U2259" i="1"/>
  <c r="U1544" i="1"/>
  <c r="U3717" i="1"/>
  <c r="U2048" i="1"/>
  <c r="U3027" i="1"/>
  <c r="U2437" i="1"/>
  <c r="U3743" i="1"/>
  <c r="U3034" i="1"/>
  <c r="U1515" i="1"/>
  <c r="U582" i="1"/>
  <c r="U698" i="1"/>
  <c r="U2267" i="1"/>
  <c r="U3236" i="1"/>
  <c r="U1305" i="1"/>
  <c r="U644" i="1"/>
  <c r="U622" i="1"/>
  <c r="U3851" i="1"/>
  <c r="U2172" i="1"/>
  <c r="U1246" i="1"/>
  <c r="U172" i="1"/>
  <c r="U211" i="1"/>
  <c r="U1566" i="1"/>
  <c r="U2925" i="1"/>
  <c r="U1804" i="1"/>
  <c r="U2708" i="1"/>
  <c r="U12" i="1"/>
  <c r="U3689" i="1"/>
  <c r="U1370" i="1"/>
  <c r="U3944" i="1"/>
  <c r="U3812" i="1"/>
  <c r="U1437" i="1"/>
  <c r="U2705" i="1"/>
  <c r="AS5" i="1"/>
  <c r="U2090" i="1"/>
  <c r="U1424" i="1"/>
  <c r="U3942" i="1"/>
  <c r="U1266" i="1"/>
  <c r="U2262" i="1"/>
  <c r="U920" i="1"/>
  <c r="U2032" i="1"/>
  <c r="U2341" i="1"/>
  <c r="U498" i="1"/>
  <c r="U666" i="1"/>
  <c r="U1088" i="1"/>
  <c r="U1922" i="1"/>
  <c r="U3519" i="1"/>
  <c r="U1900" i="1"/>
  <c r="U1096" i="1"/>
  <c r="U1898" i="1"/>
  <c r="U1687" i="1"/>
  <c r="U3937" i="1"/>
  <c r="U157" i="1"/>
  <c r="U3008" i="1"/>
  <c r="U270" i="1"/>
  <c r="U363" i="1"/>
  <c r="U3884" i="1"/>
  <c r="U3254" i="1"/>
  <c r="U213" i="1"/>
  <c r="U309" i="1"/>
  <c r="U357" i="1"/>
  <c r="U1709" i="1"/>
  <c r="U3251" i="1"/>
  <c r="U3560" i="1"/>
  <c r="U2789" i="1"/>
  <c r="U3957" i="1"/>
  <c r="U1762" i="1"/>
  <c r="U3166" i="1"/>
  <c r="U3739" i="1"/>
  <c r="U1672" i="1"/>
  <c r="U209" i="1"/>
  <c r="U3696" i="1"/>
  <c r="U3305" i="1"/>
  <c r="U2224" i="1"/>
  <c r="U3834" i="1"/>
  <c r="U515" i="1"/>
  <c r="U3327" i="1"/>
  <c r="U2414" i="1"/>
  <c r="U448" i="1"/>
  <c r="U983" i="1"/>
  <c r="U87" i="1"/>
  <c r="U1985" i="1"/>
  <c r="U871" i="1"/>
  <c r="U2921" i="1"/>
  <c r="U162" i="1"/>
  <c r="U1836" i="1"/>
  <c r="U1562" i="1"/>
  <c r="U878" i="1"/>
  <c r="U1929" i="1"/>
  <c r="U153" i="1"/>
  <c r="U1872" i="1"/>
  <c r="U1468" i="1"/>
  <c r="U3037" i="1"/>
  <c r="U3430" i="1"/>
  <c r="U947" i="1"/>
  <c r="U3731" i="1"/>
  <c r="U757" i="1"/>
  <c r="U3213" i="1"/>
  <c r="U455" i="1"/>
  <c r="U2737" i="1"/>
  <c r="U2082" i="1"/>
  <c r="U1639" i="1"/>
  <c r="U3936" i="1"/>
  <c r="U1260" i="1"/>
  <c r="U2248" i="1"/>
  <c r="U2608" i="1"/>
  <c r="U985" i="1"/>
  <c r="U2327" i="1"/>
  <c r="U2589" i="1"/>
  <c r="U1315" i="1"/>
  <c r="U3295" i="1"/>
  <c r="U2060" i="1"/>
  <c r="U1637" i="1"/>
  <c r="U3643" i="1"/>
  <c r="U33" i="1"/>
  <c r="U1021" i="1"/>
  <c r="U2266" i="1"/>
  <c r="U3439" i="1"/>
  <c r="U1810" i="1"/>
  <c r="U2726" i="1"/>
  <c r="U3736" i="1"/>
  <c r="U2730" i="1"/>
  <c r="U2954" i="1"/>
  <c r="U2596" i="1"/>
  <c r="U3684" i="1"/>
  <c r="U1140" i="1"/>
  <c r="U829" i="1"/>
  <c r="U81" i="1"/>
  <c r="U331" i="1"/>
  <c r="U1731" i="1"/>
  <c r="U971" i="1"/>
  <c r="U2028" i="1"/>
  <c r="U3762" i="1"/>
  <c r="U2045" i="1"/>
  <c r="U2532" i="1"/>
  <c r="U2870" i="1"/>
  <c r="U3400" i="1"/>
  <c r="U885" i="1"/>
  <c r="U2851" i="1"/>
  <c r="U1192" i="1"/>
  <c r="U1504" i="1"/>
  <c r="U2156" i="1"/>
  <c r="U2527" i="1"/>
  <c r="U208" i="1"/>
  <c r="U1053" i="1"/>
  <c r="U1603" i="1"/>
  <c r="U1950" i="1"/>
  <c r="U2633" i="1"/>
  <c r="U2211" i="1"/>
  <c r="U261" i="1"/>
  <c r="U1168" i="1"/>
  <c r="U3035" i="1"/>
  <c r="U75" i="1"/>
  <c r="U1598" i="1"/>
  <c r="U1936" i="1"/>
  <c r="U1224" i="1"/>
  <c r="U3872" i="1"/>
  <c r="U2480" i="1"/>
  <c r="U3300" i="1"/>
  <c r="U191" i="1"/>
  <c r="U1647" i="1"/>
  <c r="U3161" i="1"/>
  <c r="U3880" i="1"/>
  <c r="U1893" i="1"/>
  <c r="U1926" i="1"/>
  <c r="V1960" i="1" s="1"/>
  <c r="U1752" i="1"/>
  <c r="U2434" i="1"/>
  <c r="U2473" i="1"/>
  <c r="U2245" i="1"/>
  <c r="U380" i="1"/>
  <c r="U659" i="1"/>
  <c r="U3921" i="1"/>
  <c r="U2823" i="1"/>
  <c r="U3660" i="1"/>
  <c r="U640" i="1"/>
  <c r="U2385" i="1"/>
  <c r="U1718" i="1"/>
  <c r="U937" i="1"/>
  <c r="U1921" i="1"/>
  <c r="U1733" i="1"/>
  <c r="U1193" i="1"/>
  <c r="U987" i="1"/>
  <c r="U314" i="1"/>
  <c r="U3070" i="1"/>
  <c r="U3301" i="1"/>
  <c r="U3351" i="1"/>
  <c r="U2997" i="1"/>
  <c r="U2643" i="1"/>
  <c r="U2659" i="1"/>
  <c r="U2850" i="1"/>
  <c r="U1614" i="1"/>
  <c r="U2853" i="1"/>
  <c r="U3111" i="1"/>
  <c r="U1611" i="1"/>
  <c r="U1178" i="1"/>
  <c r="U2363" i="1"/>
  <c r="U3470" i="1"/>
  <c r="U2394" i="1"/>
  <c r="U1444" i="1"/>
  <c r="U1190" i="1"/>
  <c r="U1980" i="1"/>
  <c r="U2927" i="1"/>
  <c r="U2137" i="1"/>
  <c r="U1358" i="1"/>
  <c r="U3551" i="1"/>
  <c r="U699" i="1"/>
  <c r="U1196" i="1"/>
  <c r="U2169" i="1"/>
  <c r="U161" i="1"/>
  <c r="U832" i="1"/>
  <c r="U2759" i="1"/>
  <c r="U555" i="1"/>
  <c r="U3200" i="1"/>
  <c r="U1007" i="1"/>
  <c r="U2658" i="1"/>
  <c r="U3286" i="1"/>
  <c r="U2180" i="1"/>
  <c r="U1912" i="1"/>
  <c r="U1868" i="1"/>
  <c r="U1984" i="1"/>
  <c r="U1022" i="1"/>
  <c r="U1813" i="1"/>
  <c r="U1367" i="1"/>
  <c r="U1467" i="1"/>
  <c r="U15" i="1"/>
  <c r="U52" i="1"/>
  <c r="U173" i="1"/>
  <c r="U3396" i="1"/>
  <c r="U2890" i="1"/>
  <c r="U2375" i="1"/>
  <c r="U836" i="1"/>
  <c r="U74" i="1"/>
  <c r="U1401" i="1"/>
  <c r="U310" i="1"/>
  <c r="U1009" i="1"/>
  <c r="U126" i="1"/>
  <c r="U3054" i="1"/>
  <c r="U1509" i="1"/>
  <c r="U3435" i="1"/>
  <c r="U1116" i="1"/>
  <c r="AS2" i="1"/>
  <c r="U1695" i="1"/>
  <c r="U2818" i="1"/>
  <c r="U1496" i="1"/>
  <c r="U34" i="1"/>
  <c r="U2091" i="1"/>
  <c r="U2384" i="1"/>
  <c r="U1471" i="1"/>
  <c r="U2629" i="1"/>
  <c r="U3827" i="1"/>
  <c r="U1937" i="1"/>
  <c r="U3642" i="1"/>
  <c r="U2201" i="1"/>
  <c r="U300" i="1"/>
  <c r="U3125" i="1"/>
  <c r="U2581" i="1"/>
  <c r="U2088" i="1"/>
  <c r="U3938" i="1"/>
  <c r="U2256" i="1"/>
  <c r="U989" i="1"/>
  <c r="U2318" i="1"/>
  <c r="V2337" i="1" s="1"/>
  <c r="U1244" i="1"/>
  <c r="U1363" i="1"/>
  <c r="U1070" i="1"/>
  <c r="U621" i="1"/>
  <c r="U1808" i="1"/>
  <c r="U3324" i="1"/>
  <c r="U3698" i="1"/>
  <c r="U1870" i="1"/>
  <c r="U1449" i="1"/>
  <c r="U3042" i="1"/>
  <c r="U1517" i="1"/>
  <c r="U1564" i="1"/>
  <c r="U2544" i="1"/>
  <c r="U1124" i="1"/>
  <c r="U3040" i="1"/>
  <c r="U2134" i="1"/>
  <c r="U3545" i="1"/>
  <c r="U2796" i="1"/>
  <c r="U319" i="1"/>
  <c r="U65" i="1"/>
  <c r="U554" i="1"/>
  <c r="U1781" i="1"/>
  <c r="U3765" i="1"/>
  <c r="U716" i="1"/>
  <c r="U2530" i="1"/>
  <c r="U1802" i="1"/>
  <c r="U1477" i="1"/>
  <c r="U1008" i="1"/>
  <c r="U290" i="1"/>
  <c r="U968" i="1"/>
  <c r="U2995" i="1"/>
  <c r="U1069" i="1"/>
  <c r="U362" i="1"/>
  <c r="U642" i="1"/>
  <c r="U667" i="1"/>
  <c r="U3258" i="1"/>
  <c r="U609" i="1"/>
  <c r="U1704" i="1"/>
  <c r="U3690" i="1"/>
  <c r="U107" i="1"/>
  <c r="U560" i="1"/>
  <c r="U1067" i="1"/>
  <c r="U2366" i="1"/>
  <c r="U3080" i="1"/>
  <c r="U1221" i="1"/>
  <c r="U2133" i="1"/>
  <c r="U2651" i="1"/>
  <c r="U3326" i="1"/>
  <c r="V3340" i="1" s="1"/>
  <c r="U2810" i="1"/>
  <c r="U1287" i="1"/>
  <c r="U1365" i="1"/>
  <c r="U152" i="1"/>
  <c r="U3145" i="1"/>
  <c r="U2297" i="1"/>
  <c r="U2636" i="1"/>
  <c r="U524" i="1"/>
  <c r="U2079" i="1"/>
  <c r="U2491" i="1"/>
  <c r="U978" i="1"/>
  <c r="U2621" i="1"/>
  <c r="U3288" i="1"/>
  <c r="U378" i="1"/>
  <c r="U2303" i="1"/>
  <c r="U501" i="1"/>
  <c r="U785" i="1"/>
  <c r="U867" i="1"/>
  <c r="U1189" i="1"/>
  <c r="U2301" i="1"/>
  <c r="U1686" i="1"/>
  <c r="U2422" i="1"/>
  <c r="U2661" i="1"/>
  <c r="U1078" i="1"/>
  <c r="U3550" i="1"/>
  <c r="U243" i="1"/>
  <c r="U1474" i="1"/>
  <c r="U2252" i="1"/>
  <c r="U3522" i="1"/>
  <c r="U1347" i="1"/>
  <c r="U2859" i="1"/>
  <c r="U2292" i="1"/>
  <c r="U485" i="1"/>
  <c r="U2309" i="1"/>
  <c r="AS20" i="1"/>
  <c r="U504" i="1"/>
  <c r="U1185" i="1"/>
  <c r="U407" i="1"/>
  <c r="U2395" i="1"/>
  <c r="U581" i="1"/>
  <c r="U660" i="1"/>
  <c r="U3502" i="1"/>
  <c r="U2410" i="1"/>
  <c r="U443" i="1"/>
  <c r="U804" i="1"/>
  <c r="U2416" i="1"/>
  <c r="U3245" i="1"/>
  <c r="U1090" i="1"/>
  <c r="U367" i="1"/>
  <c r="U3244" i="1"/>
  <c r="U2807" i="1"/>
  <c r="U1650" i="1"/>
  <c r="U672" i="1"/>
  <c r="U3280" i="1"/>
  <c r="U2459" i="1"/>
  <c r="U620" i="1"/>
  <c r="U3562" i="1"/>
  <c r="U1889" i="1"/>
  <c r="U2849" i="1"/>
  <c r="U3155" i="1"/>
  <c r="U1108" i="1"/>
  <c r="U2976" i="1"/>
  <c r="AS13" i="1"/>
  <c r="U1567" i="1"/>
  <c r="U1361" i="1"/>
  <c r="U1083" i="1"/>
  <c r="U2657" i="1"/>
  <c r="U393" i="1"/>
  <c r="U2173" i="1"/>
  <c r="U377" i="1"/>
  <c r="U2635" i="1"/>
  <c r="U2298" i="1"/>
  <c r="U2603" i="1"/>
  <c r="U888" i="1"/>
  <c r="U1947" i="1"/>
  <c r="U3658" i="1"/>
  <c r="U147" i="1"/>
  <c r="U1494" i="1"/>
  <c r="U2316" i="1"/>
  <c r="U3685" i="1"/>
  <c r="U3436" i="1"/>
  <c r="U1623" i="1"/>
  <c r="U1174" i="1"/>
  <c r="U514" i="1"/>
  <c r="U1057" i="1"/>
  <c r="U1948" i="1"/>
  <c r="U2307" i="1"/>
  <c r="U557" i="1"/>
  <c r="U701" i="1"/>
  <c r="U1817" i="1"/>
  <c r="U3471" i="1"/>
  <c r="U2884" i="1"/>
  <c r="U1024" i="1"/>
  <c r="U1442" i="1"/>
  <c r="U2208" i="1"/>
  <c r="U2124" i="1"/>
  <c r="U3613" i="1"/>
  <c r="U975" i="1"/>
  <c r="U1605" i="1"/>
  <c r="U2109" i="1"/>
  <c r="V2144" i="1" s="1"/>
  <c r="U891" i="1"/>
  <c r="U2861" i="1"/>
  <c r="U3904" i="1"/>
  <c r="U1455" i="1"/>
  <c r="U491" i="1"/>
  <c r="U2387" i="1"/>
  <c r="U2168" i="1"/>
  <c r="U356" i="1"/>
  <c r="U399" i="1"/>
  <c r="U2257" i="1"/>
  <c r="U483" i="1"/>
  <c r="U1710" i="1"/>
  <c r="U3799" i="1"/>
  <c r="U2306" i="1"/>
  <c r="U1933" i="1"/>
  <c r="U3263" i="1"/>
  <c r="U534" i="1"/>
  <c r="U1071" i="1"/>
  <c r="U1615" i="1"/>
  <c r="U154" i="1"/>
  <c r="U3622" i="1"/>
  <c r="U3385" i="1"/>
  <c r="U1940" i="1"/>
  <c r="U3296" i="1"/>
  <c r="U1765" i="1"/>
  <c r="U3853" i="1"/>
  <c r="U274" i="1"/>
  <c r="U3461" i="1"/>
  <c r="U1375" i="1"/>
  <c r="U2421" i="1"/>
  <c r="U111" i="1"/>
  <c r="U2202" i="1"/>
  <c r="U1499" i="1"/>
  <c r="U3421" i="1"/>
  <c r="U301" i="1"/>
  <c r="U3388" i="1"/>
  <c r="U1946" i="1"/>
  <c r="U3265" i="1"/>
  <c r="U1784" i="1"/>
  <c r="U497" i="1"/>
  <c r="U3889" i="1"/>
  <c r="U2492" i="1"/>
  <c r="U1451" i="1"/>
  <c r="U538" i="1"/>
  <c r="U3012" i="1"/>
  <c r="U1133" i="1"/>
  <c r="U528" i="1"/>
  <c r="U3000" i="1"/>
  <c r="U3071" i="1"/>
  <c r="U210" i="1"/>
  <c r="U821" i="1"/>
  <c r="U2628" i="1"/>
  <c r="U652" i="1"/>
  <c r="U3876" i="1"/>
  <c r="U143" i="1"/>
  <c r="U1389" i="1"/>
  <c r="U3691" i="1"/>
  <c r="U3499" i="1"/>
  <c r="U638" i="1"/>
  <c r="U629" i="1"/>
  <c r="U2897" i="1"/>
  <c r="U221" i="1"/>
  <c r="U302" i="1"/>
  <c r="U1638" i="1"/>
  <c r="U2957" i="1"/>
  <c r="U697" i="1"/>
  <c r="U239" i="1"/>
  <c r="U2733" i="1"/>
  <c r="U3833" i="1"/>
  <c r="U2771" i="1"/>
  <c r="U3118" i="1"/>
  <c r="U3085" i="1"/>
  <c r="U3567" i="1"/>
  <c r="U1789" i="1"/>
  <c r="U57" i="1"/>
  <c r="U1697" i="1"/>
  <c r="U3925" i="1"/>
  <c r="U3544" i="1"/>
  <c r="U2822" i="1"/>
  <c r="U1179" i="1"/>
  <c r="U2135" i="1"/>
  <c r="U743" i="1"/>
  <c r="U2652" i="1"/>
  <c r="U2315" i="1"/>
  <c r="U3789" i="1"/>
  <c r="U2723" i="1"/>
  <c r="U919" i="1"/>
  <c r="U1996" i="1"/>
  <c r="U286" i="1"/>
  <c r="AS4" i="1"/>
  <c r="U1265" i="1"/>
  <c r="U3487" i="1"/>
  <c r="U2505" i="1"/>
  <c r="U2136" i="1"/>
  <c r="U2427" i="1"/>
  <c r="U3745" i="1"/>
  <c r="U1137" i="1"/>
  <c r="U2064" i="1"/>
  <c r="U1394" i="1"/>
  <c r="U2130" i="1"/>
  <c r="U1035" i="1"/>
  <c r="U3808" i="1"/>
  <c r="U2602" i="1"/>
  <c r="U2736" i="1"/>
  <c r="U116" i="1"/>
  <c r="U639" i="1"/>
  <c r="U1931" i="1"/>
  <c r="U3509" i="1"/>
  <c r="U1705" i="1"/>
  <c r="U3394" i="1"/>
  <c r="U1186" i="1"/>
  <c r="U1064" i="1"/>
  <c r="U3891" i="1"/>
  <c r="U424" i="1"/>
  <c r="U3354" i="1"/>
  <c r="U2469" i="1"/>
  <c r="U3219" i="1"/>
  <c r="U2627" i="1"/>
  <c r="U2838" i="1"/>
  <c r="U2386" i="1"/>
  <c r="U3233" i="1"/>
  <c r="U2679" i="1"/>
  <c r="U1094" i="1"/>
  <c r="U2835" i="1"/>
  <c r="U2383" i="1"/>
  <c r="U3310" i="1"/>
  <c r="U2424" i="1"/>
  <c r="U3172" i="1"/>
  <c r="U1502" i="1"/>
  <c r="U1981" i="1"/>
  <c r="U1730" i="1"/>
  <c r="U2569" i="1"/>
  <c r="U1425" i="1"/>
  <c r="U2430" i="1"/>
  <c r="U3462" i="1"/>
  <c r="U3277" i="1"/>
  <c r="U2210" i="1"/>
  <c r="U3669" i="1"/>
  <c r="U35" i="1"/>
  <c r="U3573" i="1"/>
  <c r="U2950" i="1"/>
  <c r="U1794" i="1"/>
  <c r="U2531" i="1"/>
  <c r="U3007" i="1"/>
  <c r="U2170" i="1"/>
  <c r="U503" i="1"/>
  <c r="U1897" i="1"/>
  <c r="U146" i="1"/>
  <c r="U3931" i="1"/>
  <c r="U2346" i="1"/>
  <c r="U494" i="1"/>
  <c r="U1888" i="1"/>
  <c r="U2296" i="1"/>
  <c r="U30" i="1"/>
  <c r="U3755" i="1"/>
  <c r="U3666" i="1"/>
  <c r="U569" i="1"/>
  <c r="U911" i="1"/>
  <c r="U1121" i="1"/>
  <c r="U1351" i="1"/>
  <c r="U1032" i="1"/>
  <c r="U1767" i="1"/>
  <c r="U297" i="1"/>
  <c r="U2072" i="1"/>
  <c r="U1388" i="1"/>
  <c r="U2132" i="1"/>
  <c r="U1023" i="1"/>
  <c r="U2423" i="1"/>
  <c r="U2592" i="1"/>
  <c r="U2702" i="1"/>
  <c r="U120" i="1"/>
  <c r="U463" i="1"/>
  <c r="U828" i="1"/>
  <c r="U3122" i="1"/>
  <c r="U2519" i="1"/>
  <c r="U1422" i="1"/>
  <c r="U1851" i="1"/>
  <c r="U17" i="1"/>
  <c r="U3349" i="1"/>
  <c r="U2250" i="1"/>
  <c r="U584" i="1"/>
  <c r="U3149" i="1"/>
  <c r="U802" i="1"/>
  <c r="U2347" i="1"/>
  <c r="U2703" i="1"/>
  <c r="U3441" i="1"/>
  <c r="U2588" i="1"/>
  <c r="U3483" i="1"/>
  <c r="U810" i="1"/>
  <c r="U3764" i="1"/>
  <c r="U71" i="1"/>
  <c r="U2786" i="1"/>
  <c r="U1975" i="1"/>
  <c r="U86" i="1"/>
  <c r="U2539" i="1"/>
  <c r="U3754" i="1"/>
  <c r="U2021" i="1"/>
  <c r="U2711" i="1"/>
  <c r="U36" i="1"/>
  <c r="U2406" i="1"/>
  <c r="V2436" i="1" s="1"/>
  <c r="U3707" i="1"/>
  <c r="U2744" i="1"/>
  <c r="U1376" i="1"/>
  <c r="U1635" i="1"/>
  <c r="U3950" i="1"/>
  <c r="U3188" i="1"/>
  <c r="U2240" i="1"/>
  <c r="U950" i="1"/>
  <c r="U1440" i="1"/>
  <c r="AT11" i="1" s="1"/>
  <c r="AU11" i="1" s="1"/>
  <c r="AS11" i="1"/>
  <c r="U2335" i="1"/>
  <c r="U2888" i="1"/>
  <c r="U465" i="1"/>
  <c r="U3074" i="1"/>
  <c r="U2243" i="1"/>
  <c r="U2175" i="1"/>
  <c r="U2863" i="1"/>
  <c r="U1241" i="1"/>
  <c r="U1720" i="1"/>
  <c r="U167" i="1"/>
  <c r="U3113" i="1"/>
  <c r="U1030" i="1"/>
  <c r="U1554" i="1"/>
  <c r="U1062" i="1"/>
  <c r="U352" i="1"/>
  <c r="U1953" i="1"/>
  <c r="U624" i="1"/>
  <c r="U3243" i="1"/>
  <c r="U1858" i="1"/>
  <c r="U3412" i="1"/>
  <c r="U939" i="1"/>
  <c r="U3041" i="1"/>
  <c r="U3356" i="1"/>
  <c r="U1737" i="1"/>
  <c r="U1110" i="1"/>
  <c r="U3712" i="1"/>
  <c r="U2348" i="1"/>
  <c r="U781" i="1"/>
  <c r="U3825" i="1"/>
  <c r="U225" i="1"/>
  <c r="U2763" i="1"/>
  <c r="U1446" i="1"/>
  <c r="U3116" i="1"/>
  <c r="U2218" i="1"/>
  <c r="U3081" i="1"/>
  <c r="U13" i="1"/>
  <c r="U3565" i="1"/>
  <c r="U2409" i="1"/>
  <c r="U3173" i="1"/>
  <c r="U2994" i="1"/>
  <c r="U3013" i="1"/>
  <c r="U3309" i="1"/>
  <c r="U772" i="1"/>
  <c r="U2515" i="1"/>
  <c r="U3916" i="1"/>
  <c r="U3836" i="1"/>
  <c r="U1869" i="1"/>
  <c r="U535" i="1"/>
  <c r="U1493" i="1"/>
  <c r="U3359" i="1"/>
  <c r="U2692" i="1"/>
  <c r="U3796" i="1"/>
  <c r="U3415" i="1"/>
  <c r="U2758" i="1"/>
  <c r="V2784" i="1" s="1"/>
  <c r="U3451" i="1"/>
  <c r="U1150" i="1"/>
  <c r="U831" i="1"/>
  <c r="U2047" i="1"/>
  <c r="U2719" i="1"/>
  <c r="U1277" i="1"/>
  <c r="U2462" i="1"/>
  <c r="U1684" i="1"/>
  <c r="V1712" i="1" s="1"/>
  <c r="U1415" i="1"/>
  <c r="U896" i="1"/>
  <c r="U1237" i="1"/>
  <c r="U1180" i="1"/>
  <c r="U1761" i="1"/>
  <c r="U874" i="1"/>
  <c r="U2640" i="1"/>
  <c r="U166" i="1"/>
  <c r="U1012" i="1"/>
  <c r="U2856" i="1"/>
  <c r="U1213" i="1"/>
  <c r="U1689" i="1"/>
  <c r="U526" i="1"/>
  <c r="U418" i="1"/>
  <c r="U767" i="1"/>
  <c r="U1949" i="1"/>
  <c r="U625" i="1"/>
  <c r="U3252" i="1"/>
  <c r="U3195" i="1"/>
  <c r="U2675" i="1"/>
  <c r="U1263" i="1"/>
  <c r="U1076" i="1"/>
  <c r="U863" i="1"/>
  <c r="U633" i="1"/>
  <c r="U1905" i="1"/>
  <c r="U2365" i="1"/>
  <c r="U151" i="1"/>
  <c r="U755" i="1"/>
  <c r="U3941" i="1"/>
  <c r="U3781" i="1"/>
  <c r="U1452" i="1"/>
  <c r="U1073" i="1"/>
  <c r="U857" i="1"/>
  <c r="U1222" i="1"/>
  <c r="U1923" i="1"/>
  <c r="U632" i="1"/>
  <c r="U2299" i="1"/>
  <c r="U1369" i="1"/>
  <c r="U3963" i="1"/>
  <c r="U551" i="1"/>
  <c r="V552" i="1" s="1"/>
  <c r="U1326" i="1"/>
  <c r="U3704" i="1"/>
  <c r="U3090" i="1"/>
  <c r="U1267" i="1"/>
  <c r="U3416" i="1"/>
  <c r="U247" i="1"/>
  <c r="U929" i="1"/>
  <c r="U1982" i="1"/>
  <c r="U2541" i="1"/>
  <c r="U2739" i="1"/>
  <c r="U1359" i="1"/>
  <c r="U3646" i="1"/>
  <c r="U3197" i="1"/>
  <c r="U3783" i="1"/>
  <c r="U3160" i="1"/>
  <c r="U1463" i="1"/>
  <c r="U717" i="1"/>
  <c r="U3108" i="1"/>
  <c r="U2074" i="1"/>
  <c r="U3050" i="1"/>
  <c r="U1392" i="1"/>
  <c r="U3655" i="1"/>
  <c r="U2140" i="1"/>
  <c r="U1519" i="1"/>
  <c r="U1031" i="1"/>
  <c r="U3557" i="1"/>
  <c r="U2438" i="1"/>
  <c r="U2928" i="1"/>
  <c r="U2600" i="1"/>
  <c r="U3695" i="1"/>
  <c r="U54" i="1"/>
  <c r="U713" i="1"/>
  <c r="U964" i="1"/>
  <c r="U2554" i="1"/>
  <c r="U3322" i="1"/>
  <c r="U736" i="1"/>
  <c r="U3391" i="1"/>
  <c r="U655" i="1"/>
  <c r="U1594" i="1"/>
  <c r="U3903" i="1"/>
  <c r="U1191" i="1"/>
  <c r="U2458" i="1"/>
  <c r="U2195" i="1"/>
  <c r="U1522" i="1"/>
  <c r="U451" i="1"/>
  <c r="U689" i="1"/>
  <c r="U3507" i="1"/>
  <c r="U365" i="1"/>
  <c r="U1601" i="1"/>
  <c r="U3894" i="1"/>
  <c r="U1173" i="1"/>
  <c r="U3264" i="1"/>
  <c r="U2510" i="1"/>
  <c r="U1014" i="1"/>
  <c r="U3158" i="1"/>
  <c r="U703" i="1"/>
  <c r="U2340" i="1"/>
  <c r="U1860" i="1"/>
  <c r="U223" i="1"/>
  <c r="U3163" i="1"/>
  <c r="U808" i="1"/>
  <c r="U2791" i="1"/>
  <c r="U272" i="1"/>
  <c r="U820" i="1"/>
  <c r="V800" i="1" s="1"/>
  <c r="U318" i="1"/>
  <c r="U3051" i="1"/>
  <c r="U1838" i="1"/>
  <c r="U3580" i="1"/>
  <c r="U571" i="1"/>
  <c r="U3710" i="1"/>
  <c r="U838" i="1"/>
  <c r="U2871" i="1"/>
  <c r="U758" i="1"/>
  <c r="U2507" i="1"/>
  <c r="U1659" i="1"/>
  <c r="U3840" i="1"/>
  <c r="U1861" i="1"/>
  <c r="U521" i="1"/>
  <c r="U3214" i="1"/>
  <c r="U1011" i="1"/>
  <c r="U192" i="1"/>
  <c r="U3786" i="1"/>
  <c r="U3411" i="1"/>
  <c r="U460" i="1"/>
  <c r="U3467" i="1"/>
  <c r="U317" i="1"/>
  <c r="U815" i="1"/>
  <c r="U2039" i="1"/>
  <c r="U2746" i="1"/>
  <c r="U3171" i="1"/>
  <c r="U3473" i="1"/>
  <c r="U115" i="1"/>
  <c r="U2873" i="1"/>
  <c r="U3114" i="1"/>
  <c r="U1348" i="1"/>
  <c r="U2228" i="1"/>
  <c r="U3920" i="1"/>
  <c r="U1406" i="1"/>
  <c r="U3067" i="1"/>
  <c r="U1835" i="1"/>
  <c r="U2110" i="1"/>
  <c r="U1513" i="1"/>
  <c r="U1278" i="1"/>
  <c r="U3341" i="1"/>
  <c r="U198" i="1"/>
  <c r="U2435" i="1"/>
  <c r="U3605" i="1"/>
  <c r="U552" i="1"/>
  <c r="U2780" i="1"/>
  <c r="U1994" i="1"/>
  <c r="U127" i="1"/>
  <c r="U2336" i="1"/>
  <c r="AS6" i="1"/>
  <c r="U1306" i="1"/>
  <c r="U966" i="1"/>
  <c r="U3001" i="1"/>
  <c r="U691" i="1"/>
  <c r="U3617" i="1"/>
  <c r="U3433" i="1"/>
  <c r="U932" i="1"/>
  <c r="U2772" i="1"/>
  <c r="U3162" i="1"/>
  <c r="U268" i="1"/>
  <c r="U2992" i="1"/>
  <c r="U121" i="1"/>
  <c r="U1127" i="1"/>
  <c r="U3742" i="1"/>
  <c r="U108" i="1"/>
  <c r="U3005" i="1"/>
  <c r="U688" i="1"/>
  <c r="U2770" i="1"/>
  <c r="U1786" i="1"/>
  <c r="U1556" i="1"/>
  <c r="U1330" i="1"/>
  <c r="U3006" i="1"/>
  <c r="U3729" i="1"/>
  <c r="U2731" i="1"/>
  <c r="U843" i="1"/>
  <c r="U2345" i="1"/>
  <c r="U130" i="1"/>
  <c r="U85" i="1"/>
  <c r="U2564" i="1"/>
  <c r="U696" i="1"/>
  <c r="U1234" i="1"/>
  <c r="U1135" i="1"/>
  <c r="U2664" i="1"/>
  <c r="U859" i="1"/>
  <c r="U3874" i="1"/>
  <c r="U738" i="1"/>
  <c r="U1242" i="1"/>
  <c r="U3250" i="1"/>
  <c r="U2866" i="1"/>
  <c r="U1590" i="1"/>
  <c r="U1353" i="1"/>
  <c r="U158" i="1"/>
  <c r="U245" i="1"/>
  <c r="U2904" i="1"/>
  <c r="U2685" i="1"/>
  <c r="U1233" i="1"/>
  <c r="U3408" i="1"/>
  <c r="U608" i="1"/>
  <c r="U1541" i="1"/>
  <c r="U1570" i="1"/>
  <c r="U2955" i="1"/>
  <c r="U3069" i="1"/>
  <c r="U3747" i="1"/>
  <c r="U3370" i="1"/>
  <c r="U3234" i="1"/>
  <c r="V3266" i="1" s="1"/>
  <c r="U877" i="1"/>
  <c r="U2864" i="1"/>
  <c r="U1916" i="1"/>
  <c r="U931" i="1"/>
  <c r="U345" i="1"/>
  <c r="U155" i="1"/>
  <c r="U734" i="1"/>
  <c r="U1229" i="1"/>
  <c r="U3260" i="1"/>
  <c r="U1167" i="1"/>
  <c r="U3576" i="1"/>
  <c r="U2284" i="1"/>
  <c r="U1518" i="1"/>
  <c r="U868" i="1"/>
  <c r="U3955" i="1"/>
  <c r="U1915" i="1"/>
  <c r="U1443" i="1"/>
  <c r="U559" i="1"/>
  <c r="U3189" i="1"/>
  <c r="U3044" i="1"/>
  <c r="U2590" i="1"/>
  <c r="U2377" i="1"/>
  <c r="U3381" i="1"/>
  <c r="U618" i="1"/>
  <c r="U664" i="1"/>
  <c r="U617" i="1"/>
  <c r="U1077" i="1"/>
  <c r="U1613" i="1"/>
  <c r="U2516" i="1"/>
  <c r="U3403" i="1"/>
  <c r="U2922" i="1"/>
  <c r="U3088" i="1"/>
  <c r="U2290" i="1"/>
  <c r="U1919" i="1"/>
  <c r="U759" i="1"/>
  <c r="U3422" i="1"/>
  <c r="U1935" i="1"/>
  <c r="U3484" i="1"/>
  <c r="U156" i="1"/>
  <c r="U1666" i="1"/>
  <c r="U995" i="1"/>
  <c r="U1823" i="1"/>
  <c r="U3930" i="1"/>
  <c r="U2742" i="1"/>
  <c r="U493" i="1"/>
  <c r="U3875" i="1"/>
  <c r="U3504" i="1"/>
  <c r="U2641" i="1"/>
  <c r="U3668" i="1"/>
  <c r="U653" i="1"/>
  <c r="U427" i="1"/>
  <c r="U2171" i="1"/>
  <c r="U2821" i="1"/>
  <c r="U165" i="1"/>
  <c r="U594" i="1"/>
  <c r="U3664" i="1"/>
  <c r="U168" i="1"/>
  <c r="U981" i="1"/>
  <c r="U3529" i="1"/>
  <c r="U2065" i="1"/>
  <c r="U1620" i="1"/>
  <c r="U1821" i="1"/>
  <c r="U1441" i="1"/>
  <c r="U1854" i="1"/>
  <c r="U2080" i="1"/>
  <c r="U2940" i="1"/>
  <c r="U2775" i="1"/>
  <c r="U415" i="1"/>
  <c r="U3395" i="1"/>
  <c r="U1216" i="1"/>
  <c r="U1694" i="1"/>
  <c r="U777" i="1"/>
  <c r="U735" i="1"/>
  <c r="U869" i="1"/>
  <c r="U1231" i="1"/>
  <c r="U3901" i="1"/>
  <c r="U2891" i="1"/>
  <c r="U195" i="1"/>
  <c r="U3528" i="1"/>
  <c r="U343" i="1"/>
  <c r="V357" i="1" s="1"/>
  <c r="U1890" i="1"/>
  <c r="U2077" i="1"/>
  <c r="U615" i="1"/>
  <c r="U3253" i="1"/>
  <c r="U1321" i="1"/>
  <c r="U412" i="1"/>
  <c r="U1654" i="1"/>
  <c r="U2441" i="1"/>
  <c r="U2162" i="1"/>
  <c r="U371" i="1"/>
  <c r="U1683" i="1"/>
  <c r="U3238" i="1"/>
  <c r="U3358" i="1"/>
  <c r="U2624" i="1"/>
  <c r="U344" i="1"/>
  <c r="U1717" i="1"/>
  <c r="U2878" i="1"/>
  <c r="U2687" i="1"/>
  <c r="U913" i="1"/>
  <c r="U1520" i="1"/>
  <c r="U2000" i="1"/>
  <c r="U1795" i="1"/>
  <c r="U82" i="1"/>
  <c r="U1656" i="1"/>
  <c r="U217" i="1"/>
  <c r="U3476" i="1"/>
  <c r="U3104" i="1"/>
  <c r="U1416" i="1"/>
  <c r="U1501" i="1"/>
  <c r="U2433" i="1"/>
  <c r="U1758" i="1"/>
  <c r="U104" i="1"/>
  <c r="U607" i="1"/>
  <c r="U2815" i="1"/>
  <c r="U2158" i="1"/>
  <c r="U369" i="1"/>
  <c r="U634" i="1"/>
  <c r="U1616" i="1"/>
  <c r="U2831" i="1"/>
  <c r="U1072" i="1"/>
  <c r="U2834" i="1"/>
  <c r="U3888" i="1"/>
  <c r="U763" i="1"/>
  <c r="U3498" i="1"/>
  <c r="V3505" i="1" s="1"/>
  <c r="U2812" i="1"/>
  <c r="U1700" i="1"/>
  <c r="U1852" i="1"/>
  <c r="U1075" i="1"/>
  <c r="U375" i="1"/>
  <c r="U1884" i="1"/>
  <c r="U3294" i="1"/>
  <c r="U2374" i="1"/>
  <c r="U3242" i="1"/>
  <c r="U567" i="1"/>
  <c r="U423" i="1"/>
  <c r="U3843" i="1"/>
  <c r="U3330" i="1"/>
  <c r="U459" i="1"/>
  <c r="U366" i="1"/>
  <c r="U3879" i="1"/>
  <c r="U2471" i="1"/>
  <c r="U3348" i="1"/>
  <c r="U1129" i="1"/>
  <c r="U657" i="1"/>
  <c r="U1706" i="1"/>
  <c r="U3259" i="1"/>
  <c r="U1279" i="1"/>
  <c r="U2579" i="1"/>
  <c r="U3939" i="1"/>
  <c r="U1807" i="1"/>
  <c r="U1780" i="1"/>
  <c r="U3759" i="1"/>
  <c r="U2223" i="1"/>
  <c r="U193" i="1"/>
  <c r="U1972" i="1"/>
  <c r="U3299" i="1"/>
  <c r="U1412" i="1"/>
  <c r="U27" i="1"/>
  <c r="U2682" i="1"/>
  <c r="U1739" i="1"/>
  <c r="U3728" i="1"/>
  <c r="U2623" i="1"/>
  <c r="U1236" i="1"/>
  <c r="U2370" i="1"/>
  <c r="U3304" i="1"/>
  <c r="U3438" i="1"/>
  <c r="U1081" i="1"/>
  <c r="U2819" i="1"/>
  <c r="U616" i="1"/>
  <c r="U779" i="1"/>
  <c r="U3785" i="1"/>
  <c r="U1549" i="1"/>
  <c r="U1285" i="1"/>
  <c r="U1569" i="1"/>
  <c r="U3688" i="1"/>
  <c r="U3282" i="1"/>
  <c r="U3205" i="1"/>
  <c r="U248" i="1"/>
  <c r="U2493" i="1"/>
  <c r="U527" i="1"/>
  <c r="U2944" i="1"/>
  <c r="U298" i="1"/>
  <c r="U3554" i="1"/>
  <c r="U3399" i="1"/>
  <c r="U2830" i="1"/>
  <c r="U1930" i="1"/>
  <c r="U1187" i="1"/>
  <c r="U2895" i="1"/>
  <c r="U3945" i="1"/>
  <c r="U3151" i="1"/>
  <c r="U2153" i="1"/>
  <c r="U865" i="1"/>
  <c r="U2655" i="1"/>
  <c r="U2388" i="1"/>
  <c r="U148" i="1"/>
  <c r="U3057" i="1"/>
  <c r="U3805" i="1"/>
  <c r="U1319" i="1"/>
  <c r="U2022" i="1"/>
  <c r="U506" i="1"/>
  <c r="V520" i="1" s="1"/>
  <c r="U583" i="1"/>
  <c r="U977" i="1"/>
  <c r="U2001" i="1"/>
  <c r="U2016" i="1"/>
  <c r="V2028" i="1" s="1"/>
  <c r="U311" i="1"/>
  <c r="U1417" i="1"/>
  <c r="U1273" i="1"/>
  <c r="U925" i="1"/>
  <c r="U1542" i="1"/>
  <c r="U329" i="1"/>
  <c r="U2509" i="1"/>
  <c r="U3844" i="1"/>
  <c r="U2138" i="1"/>
  <c r="U1015" i="1"/>
  <c r="U3798" i="1"/>
  <c r="U2576" i="1"/>
  <c r="V2610" i="1" s="1"/>
  <c r="U3753" i="1"/>
  <c r="U962" i="1"/>
  <c r="U1379" i="1"/>
  <c r="U3893" i="1"/>
  <c r="U2464" i="1"/>
  <c r="U530" i="1"/>
  <c r="U453" i="1"/>
  <c r="U740" i="1"/>
  <c r="U500" i="1"/>
  <c r="U2645" i="1"/>
  <c r="U1688" i="1"/>
  <c r="U2313" i="1"/>
  <c r="U3039" i="1"/>
  <c r="U3795" i="1"/>
  <c r="U259" i="1"/>
  <c r="U3393" i="1"/>
  <c r="U2824" i="1"/>
  <c r="U1907" i="1"/>
  <c r="U408" i="1"/>
  <c r="U2892" i="1"/>
  <c r="U522" i="1"/>
  <c r="U1974" i="1"/>
  <c r="U1738" i="1"/>
  <c r="U1634" i="1"/>
  <c r="V1648" i="1" s="1"/>
  <c r="U2255" i="1"/>
  <c r="U3686" i="1"/>
  <c r="U915" i="1"/>
  <c r="U1473" i="1"/>
  <c r="U2038" i="1"/>
  <c r="U2095" i="1"/>
  <c r="U2113" i="1"/>
  <c r="U3801" i="1"/>
  <c r="U1788" i="1"/>
  <c r="U993" i="1"/>
  <c r="U774" i="1"/>
  <c r="U3028" i="1"/>
  <c r="U1845" i="1"/>
  <c r="U1511" i="1"/>
  <c r="U220" i="1"/>
  <c r="U580" i="1"/>
  <c r="U3459" i="1"/>
  <c r="U1141" i="1"/>
  <c r="U2722" i="1"/>
  <c r="U3293" i="1"/>
  <c r="U1368" i="1"/>
  <c r="U2214" i="1"/>
  <c r="U1657" i="1"/>
  <c r="U3824" i="1"/>
  <c r="U3954" i="1"/>
  <c r="U505" i="1"/>
  <c r="U3208" i="1"/>
  <c r="U3329" i="1"/>
  <c r="U2680" i="1"/>
  <c r="U3623" i="1"/>
  <c r="U938" i="1"/>
  <c r="U450" i="1"/>
  <c r="U1472" i="1"/>
  <c r="U2044" i="1"/>
  <c r="U3748" i="1"/>
  <c r="U2025" i="1"/>
  <c r="U315" i="1"/>
  <c r="U1058" i="1"/>
  <c r="U2165" i="1"/>
  <c r="U3511" i="1"/>
  <c r="U2179" i="1"/>
  <c r="U864" i="1"/>
  <c r="U2630" i="1"/>
  <c r="U2472" i="1"/>
  <c r="U2157" i="1"/>
  <c r="U658" i="1"/>
  <c r="U1942" i="1"/>
  <c r="U2902" i="1"/>
  <c r="U2155" i="1"/>
  <c r="U872" i="1"/>
  <c r="U1595" i="1"/>
  <c r="U144" i="1"/>
  <c r="V154" i="1" s="1"/>
  <c r="U1719" i="1"/>
  <c r="U174" i="1"/>
  <c r="U3917" i="1"/>
  <c r="U2914" i="1"/>
  <c r="U1177" i="1"/>
  <c r="U1357" i="1"/>
  <c r="U2239" i="1"/>
  <c r="U3600" i="1"/>
  <c r="U1787" i="1"/>
  <c r="U3521" i="1"/>
  <c r="U492" i="1"/>
  <c r="U1618" i="1"/>
  <c r="U1886" i="1"/>
  <c r="U595" i="1"/>
  <c r="U2463" i="1"/>
  <c r="U2083" i="1"/>
  <c r="U18" i="1"/>
  <c r="U2761" i="1"/>
  <c r="U2537" i="1"/>
  <c r="U2867" i="1"/>
  <c r="U665" i="1"/>
  <c r="U1612" i="1"/>
  <c r="U3902" i="1"/>
  <c r="U1184" i="1"/>
  <c r="U2476" i="1"/>
  <c r="U2061" i="1"/>
  <c r="U1259" i="1"/>
  <c r="U1791" i="1"/>
  <c r="U2030" i="1"/>
  <c r="U1465" i="1"/>
  <c r="U3648" i="1"/>
  <c r="U3552" i="1"/>
  <c r="U3175" i="1"/>
  <c r="U1447" i="1"/>
  <c r="U2583" i="1"/>
  <c r="U3457" i="1"/>
  <c r="U295" i="1"/>
  <c r="U706" i="1"/>
  <c r="U2490" i="1"/>
  <c r="U1846" i="1"/>
  <c r="U3344" i="1"/>
  <c r="U579" i="1"/>
  <c r="U1749" i="1"/>
  <c r="U1318" i="1"/>
  <c r="U2875" i="1"/>
  <c r="U766" i="1"/>
  <c r="U2525" i="1"/>
  <c r="U3022" i="1"/>
  <c r="U3848" i="1"/>
  <c r="U1865" i="1"/>
  <c r="U529" i="1"/>
  <c r="U1503" i="1"/>
  <c r="U1017" i="1"/>
  <c r="U200" i="1"/>
  <c r="U3790" i="1"/>
  <c r="U3431" i="1"/>
  <c r="U2776" i="1"/>
  <c r="U1543" i="1"/>
  <c r="U1126" i="1"/>
  <c r="U823" i="1"/>
  <c r="U112" i="1"/>
  <c r="U2528" i="1"/>
  <c r="U575" i="1"/>
  <c r="U1079" i="1"/>
  <c r="U3375" i="1"/>
  <c r="U358" i="1"/>
  <c r="U2637" i="1"/>
  <c r="U1707" i="1"/>
  <c r="U178" i="1"/>
  <c r="U3241" i="1"/>
  <c r="U3029" i="1"/>
  <c r="U189" i="1"/>
  <c r="V202" i="1" s="1"/>
  <c r="U3709" i="1"/>
  <c r="U2177" i="1"/>
  <c r="U2862" i="1"/>
  <c r="U349" i="1"/>
  <c r="U2644" i="1"/>
  <c r="U1682" i="1"/>
  <c r="U413" i="1"/>
  <c r="U3248" i="1"/>
  <c r="U3845" i="1"/>
  <c r="U197" i="1"/>
  <c r="U1748" i="1"/>
  <c r="U467" i="1"/>
  <c r="U64" i="1"/>
  <c r="U510" i="1"/>
  <c r="U3620" i="1"/>
  <c r="U1756" i="1"/>
  <c r="V1730" i="1" s="1"/>
  <c r="U2565" i="1"/>
  <c r="U3152" i="1"/>
  <c r="U1323" i="1"/>
  <c r="U2334" i="1"/>
  <c r="U3306" i="1"/>
  <c r="U1648" i="1"/>
  <c r="U520" i="1"/>
  <c r="U3813" i="1"/>
  <c r="U2605" i="1"/>
  <c r="U1578" i="1"/>
  <c r="U2980" i="1"/>
  <c r="U3285" i="1"/>
  <c r="U1374" i="1"/>
  <c r="U2216" i="1"/>
  <c r="U1649" i="1"/>
  <c r="U3087" i="1"/>
  <c r="U3946" i="1"/>
  <c r="U511" i="1"/>
  <c r="U3204" i="1"/>
  <c r="U3581" i="1"/>
  <c r="U2674" i="1"/>
  <c r="U3780" i="1"/>
  <c r="U946" i="1"/>
  <c r="U442" i="1"/>
  <c r="U1322" i="1"/>
  <c r="U76" i="1"/>
  <c r="U3760" i="1"/>
  <c r="U73" i="1"/>
  <c r="U299" i="1"/>
  <c r="U1732" i="1"/>
  <c r="U255" i="1"/>
  <c r="U2990" i="1"/>
  <c r="U3303" i="1"/>
  <c r="U778" i="1"/>
  <c r="U2068" i="1"/>
  <c r="U2212" i="1"/>
  <c r="U1669" i="1"/>
  <c r="U3846" i="1"/>
  <c r="U3651" i="1"/>
  <c r="U3956" i="1"/>
  <c r="U517" i="1"/>
  <c r="U1505" i="1"/>
  <c r="U1262" i="1"/>
  <c r="U3569" i="1"/>
  <c r="U190" i="1"/>
  <c r="U3806" i="1"/>
  <c r="U2932" i="1"/>
  <c r="U934" i="1"/>
  <c r="U2766" i="1"/>
  <c r="U1551" i="1"/>
  <c r="U72" i="1"/>
  <c r="U3010" i="1"/>
  <c r="U3766" i="1"/>
  <c r="U124" i="1"/>
  <c r="U2975" i="1"/>
  <c r="U3800" i="1"/>
  <c r="U3593" i="1"/>
  <c r="U3417" i="1"/>
  <c r="U916" i="1"/>
  <c r="U466" i="1"/>
  <c r="U1999" i="1"/>
  <c r="U1325" i="1"/>
  <c r="U2721" i="1"/>
  <c r="U2036" i="1"/>
  <c r="U839" i="1"/>
  <c r="U2333" i="1"/>
  <c r="U96" i="1"/>
  <c r="U2973" i="1"/>
  <c r="U1131" i="1"/>
  <c r="U470" i="1"/>
  <c r="U1747" i="1"/>
  <c r="U1540" i="1"/>
  <c r="V1565" i="1" s="1"/>
  <c r="U1314" i="1"/>
  <c r="U714" i="1"/>
  <c r="U967" i="1"/>
  <c r="U2713" i="1"/>
  <c r="U819" i="1"/>
  <c r="U2337" i="1"/>
  <c r="U106" i="1"/>
  <c r="U53" i="1"/>
  <c r="U2556" i="1"/>
  <c r="U1128" i="1"/>
  <c r="U499" i="1"/>
  <c r="U1622" i="1"/>
  <c r="AT19" i="1" s="1"/>
  <c r="AU19" i="1" s="1"/>
  <c r="U3869" i="1"/>
  <c r="U2901" i="1"/>
  <c r="U1708" i="1"/>
  <c r="U402" i="1"/>
  <c r="U3284" i="1"/>
  <c r="U2945" i="1"/>
  <c r="U2379" i="1"/>
  <c r="U2453" i="1"/>
  <c r="V2481" i="1" s="1"/>
  <c r="U1866" i="1"/>
  <c r="U1026" i="1"/>
  <c r="U56" i="1"/>
  <c r="U3508" i="1"/>
  <c r="U2814" i="1"/>
  <c r="U3892" i="1"/>
  <c r="U159" i="1"/>
  <c r="U2213" i="1"/>
  <c r="U2417" i="1"/>
  <c r="U708" i="1"/>
  <c r="U873" i="1"/>
  <c r="U1596" i="1"/>
  <c r="U2372" i="1"/>
  <c r="U2452" i="1"/>
  <c r="U1848" i="1"/>
  <c r="U3148" i="1"/>
  <c r="U1989" i="1"/>
  <c r="U1842" i="1"/>
  <c r="U3440" i="1"/>
  <c r="U2350" i="1"/>
  <c r="U1987" i="1"/>
  <c r="U3763" i="1"/>
  <c r="U765" i="1"/>
  <c r="U3943" i="1"/>
  <c r="U3793" i="1"/>
  <c r="U1976" i="1"/>
  <c r="U1149" i="1"/>
  <c r="U2523" i="1"/>
  <c r="U3832" i="1"/>
  <c r="U29" i="1"/>
  <c r="U3555" i="1"/>
  <c r="U3427" i="1"/>
  <c r="U252" i="1"/>
  <c r="U3734" i="1"/>
  <c r="U1085" i="1"/>
  <c r="U1939" i="1"/>
  <c r="U1911" i="1"/>
  <c r="U516" i="1"/>
  <c r="U346" i="1"/>
  <c r="U2314" i="1"/>
  <c r="U1917" i="1"/>
  <c r="U861" i="1"/>
  <c r="U2160" i="1"/>
  <c r="U2282" i="1"/>
  <c r="V2297" i="1" s="1"/>
  <c r="U3520" i="1"/>
  <c r="U643" i="1"/>
  <c r="U2646" i="1"/>
  <c r="U1194" i="1"/>
  <c r="U3829" i="1"/>
  <c r="U3405" i="1"/>
  <c r="U669" i="1"/>
  <c r="U1592" i="1"/>
  <c r="V1607" i="1" s="1"/>
  <c r="U602" i="1"/>
  <c r="U2229" i="1"/>
  <c r="U3453" i="1"/>
  <c r="U3376" i="1"/>
  <c r="U2837" i="1"/>
  <c r="U1934" i="1"/>
  <c r="U176" i="1"/>
  <c r="U2119" i="1"/>
  <c r="U599" i="1"/>
  <c r="U2470" i="1"/>
  <c r="U3674" i="1"/>
  <c r="U1887" i="1"/>
  <c r="U396" i="1"/>
  <c r="U2526" i="1"/>
  <c r="U3463" i="1"/>
  <c r="U2591" i="1"/>
  <c r="U2159" i="1"/>
  <c r="U484" i="1"/>
  <c r="U2634" i="1"/>
  <c r="U606" i="1"/>
  <c r="U2903" i="1"/>
  <c r="U32" i="1"/>
  <c r="U3701" i="1"/>
  <c r="U3531" i="1"/>
  <c r="U2840" i="1"/>
  <c r="U1891" i="1"/>
  <c r="U392" i="1"/>
  <c r="U2075" i="1"/>
  <c r="U2439" i="1"/>
  <c r="U66" i="1"/>
  <c r="U321" i="1"/>
  <c r="U3570" i="1"/>
  <c r="U3718" i="1"/>
  <c r="U2587" i="1"/>
  <c r="U1327" i="1"/>
  <c r="U687" i="1"/>
  <c r="V698" i="1" s="1"/>
  <c r="U1640" i="1"/>
  <c r="U1016" i="1"/>
  <c r="U2795" i="1"/>
  <c r="U1332" i="1"/>
  <c r="U788" i="1"/>
  <c r="U3918" i="1"/>
  <c r="U3960" i="1"/>
  <c r="U1268" i="1"/>
  <c r="U2431" i="1"/>
  <c r="U2768" i="1"/>
  <c r="U97" i="1"/>
  <c r="U2991" i="1"/>
  <c r="U1052" i="1"/>
  <c r="U347" i="1"/>
  <c r="U1894" i="1"/>
  <c r="U398" i="1"/>
  <c r="U2097" i="1"/>
  <c r="U199" i="1"/>
  <c r="U2330" i="1"/>
  <c r="U2857" i="1"/>
  <c r="U1211" i="1"/>
  <c r="U1685" i="1"/>
  <c r="U2283" i="1"/>
  <c r="U3831" i="1"/>
  <c r="U449" i="1"/>
  <c r="U1819" i="1"/>
  <c r="U3072" i="1"/>
  <c r="U3606" i="1"/>
  <c r="U1454" i="1"/>
  <c r="U1754" i="1"/>
  <c r="U131" i="1"/>
  <c r="U3043" i="1"/>
  <c r="U2253" i="1"/>
  <c r="U1574" i="1"/>
  <c r="U3132" i="1"/>
  <c r="U3858" i="1"/>
  <c r="U3" i="1"/>
  <c r="U2254" i="1"/>
  <c r="U1575" i="1"/>
  <c r="U986" i="1"/>
  <c r="U2419" i="1"/>
  <c r="U3524" i="1"/>
  <c r="U674" i="1"/>
  <c r="U1220" i="1"/>
  <c r="U3900" i="1"/>
  <c r="U603" i="1"/>
  <c r="U2294" i="1"/>
  <c r="U2518" i="1"/>
  <c r="U8" i="1"/>
  <c r="U553" i="1"/>
  <c r="U70" i="1"/>
  <c r="U3526" i="1"/>
  <c r="U676" i="1"/>
  <c r="U1609" i="1"/>
  <c r="U3905" i="1"/>
  <c r="U600" i="1"/>
  <c r="U2468" i="1"/>
  <c r="U2524" i="1"/>
  <c r="U16" i="1"/>
  <c r="U1798" i="1"/>
  <c r="U2533" i="1"/>
  <c r="U256" i="1"/>
  <c r="U1874" i="1"/>
  <c r="U3566" i="1"/>
  <c r="U2575" i="1"/>
  <c r="U1316" i="1"/>
  <c r="U2777" i="1"/>
  <c r="U1561" i="1"/>
  <c r="U306" i="1"/>
  <c r="U1138" i="1"/>
  <c r="U2522" i="1"/>
  <c r="U3959" i="1"/>
  <c r="U3360" i="1"/>
  <c r="U2947" i="1"/>
  <c r="U2004" i="1"/>
  <c r="U1311" i="1"/>
  <c r="U2869" i="1"/>
  <c r="U2070" i="1"/>
  <c r="U1665" i="1"/>
  <c r="U3665" i="1"/>
  <c r="U513" i="1"/>
  <c r="U1041" i="1"/>
  <c r="U196" i="1"/>
  <c r="U2926" i="1"/>
  <c r="V2960" i="1" s="1"/>
  <c r="U464" i="1"/>
  <c r="U109" i="1"/>
  <c r="U3758" i="1"/>
  <c r="U2969" i="1"/>
  <c r="U2225" i="1"/>
  <c r="U1908" i="1"/>
  <c r="U1172" i="1"/>
  <c r="U3135" i="1"/>
  <c r="U2781" i="1"/>
  <c r="U2949" i="1"/>
  <c r="U2929" i="1"/>
  <c r="U3513" i="1"/>
  <c r="U379" i="1"/>
  <c r="U1217" i="1"/>
  <c r="U3895" i="1"/>
  <c r="U426" i="1"/>
  <c r="U2286" i="1"/>
  <c r="U2504" i="1"/>
  <c r="U1526" i="1"/>
  <c r="U923" i="1"/>
  <c r="U2718" i="1"/>
  <c r="U3518" i="1"/>
  <c r="U673" i="1"/>
  <c r="U1604" i="1"/>
  <c r="U3897" i="1"/>
  <c r="U597" i="1"/>
  <c r="U2460" i="1"/>
  <c r="U2496" i="1"/>
  <c r="U3193" i="1"/>
  <c r="U1783" i="1"/>
  <c r="AS10" i="1"/>
  <c r="U2734" i="1"/>
  <c r="U246" i="1"/>
  <c r="U1856" i="1"/>
  <c r="U219" i="1"/>
  <c r="U2793" i="1"/>
  <c r="U1310" i="1"/>
  <c r="U2773" i="1"/>
  <c r="U3481" i="1"/>
  <c r="U806" i="1"/>
  <c r="U1132" i="1"/>
  <c r="U2514" i="1"/>
  <c r="U3951" i="1"/>
  <c r="U3336" i="1"/>
  <c r="U2931" i="1"/>
  <c r="U1997" i="1"/>
  <c r="U1303" i="1"/>
  <c r="U3313" i="1"/>
  <c r="U2066" i="1"/>
  <c r="U1663" i="1"/>
  <c r="U3661" i="1"/>
  <c r="U507" i="1"/>
  <c r="U1039" i="1"/>
  <c r="U194" i="1"/>
  <c r="U2924" i="1"/>
  <c r="U458" i="1"/>
  <c r="U2046" i="1"/>
  <c r="U3756" i="1"/>
  <c r="U2568" i="1"/>
  <c r="U285" i="1"/>
  <c r="U3110" i="1"/>
  <c r="U1354" i="1"/>
  <c r="U2501" i="1"/>
  <c r="U3026" i="1"/>
  <c r="V3042" i="1" s="1"/>
  <c r="U1408" i="1"/>
  <c r="U3079" i="1"/>
  <c r="U1841" i="1"/>
  <c r="U2116" i="1"/>
  <c r="V2120" i="1" s="1"/>
  <c r="U7" i="1"/>
  <c r="U1280" i="1"/>
  <c r="U3345" i="1"/>
  <c r="U218" i="1"/>
  <c r="U2440" i="1"/>
  <c r="U3603" i="1"/>
  <c r="U576" i="1"/>
  <c r="U2788" i="1"/>
  <c r="U1734" i="1"/>
  <c r="U1317" i="1"/>
  <c r="U2328" i="1"/>
  <c r="U287" i="1"/>
  <c r="U2319" i="1"/>
  <c r="U3009" i="1"/>
  <c r="U1139" i="1"/>
  <c r="U2915" i="1"/>
  <c r="V2915" i="1" s="1"/>
  <c r="U2632" i="1"/>
  <c r="U3402" i="1"/>
  <c r="U3266" i="1"/>
  <c r="U421" i="1"/>
  <c r="U1056" i="1"/>
  <c r="U675" i="1"/>
  <c r="U2662" i="1"/>
  <c r="U628" i="1"/>
  <c r="U2508" i="1"/>
  <c r="U1066" i="1"/>
  <c r="U490" i="1"/>
  <c r="U1215" i="1"/>
  <c r="U2361" i="1"/>
  <c r="U771" i="1"/>
  <c r="U3807" i="1"/>
  <c r="U3392" i="1"/>
  <c r="U359" i="1"/>
  <c r="U2638" i="1"/>
  <c r="U1164" i="1"/>
  <c r="U1423" i="1"/>
  <c r="U2369" i="1"/>
  <c r="U2285" i="1"/>
  <c r="U2067" i="1"/>
  <c r="U3614" i="1"/>
  <c r="U1702" i="1"/>
  <c r="U401" i="1"/>
  <c r="U2893" i="1"/>
  <c r="U2127" i="1"/>
  <c r="U2131" i="1"/>
  <c r="U561" i="1"/>
  <c r="U2941" i="1"/>
  <c r="U729" i="1"/>
  <c r="V746" i="1" s="1"/>
  <c r="U3383" i="1"/>
  <c r="U647" i="1"/>
  <c r="U1225" i="1"/>
  <c r="U1943" i="1"/>
  <c r="U1696" i="1"/>
  <c r="U420" i="1"/>
  <c r="U2302" i="1"/>
  <c r="U3127" i="1"/>
  <c r="U1662" i="1"/>
  <c r="U1498" i="1"/>
  <c r="U935" i="1"/>
  <c r="U3468" i="1"/>
  <c r="U2164" i="1"/>
  <c r="U3401" i="1"/>
  <c r="U486" i="1"/>
  <c r="U2811" i="1"/>
  <c r="U1954" i="1"/>
  <c r="U3881" i="1"/>
  <c r="U613" i="1"/>
  <c r="U145" i="1"/>
  <c r="V143" i="1" s="1"/>
  <c r="U2900" i="1"/>
  <c r="U2219" i="1"/>
  <c r="U2" i="1"/>
  <c r="U3616" i="1"/>
  <c r="U3697" i="1"/>
  <c r="U945" i="1"/>
  <c r="U271" i="1"/>
  <c r="U1670" i="1"/>
  <c r="U24" i="1"/>
  <c r="U2677" i="1"/>
  <c r="U2599" i="1"/>
  <c r="U3486" i="1"/>
  <c r="U2729" i="1"/>
  <c r="U457" i="1"/>
  <c r="U3485" i="1"/>
  <c r="U99" i="1"/>
  <c r="U117" i="1"/>
  <c r="U292" i="1"/>
  <c r="U2063" i="1"/>
  <c r="U3857" i="1"/>
  <c r="U28" i="1"/>
  <c r="U3564" i="1"/>
  <c r="U3594" i="1"/>
  <c r="U1799" i="1"/>
  <c r="U1557" i="1"/>
  <c r="U814" i="1"/>
  <c r="U2887" i="1"/>
  <c r="U3120" i="1"/>
  <c r="U1366" i="1"/>
  <c r="U2499" i="1"/>
  <c r="U3036" i="1"/>
  <c r="U1418" i="1"/>
  <c r="U3073" i="1"/>
  <c r="U1853" i="1"/>
  <c r="U2128" i="1"/>
  <c r="U5" i="1"/>
  <c r="V15" i="1" s="1"/>
  <c r="U3190" i="1"/>
  <c r="U3355" i="1"/>
  <c r="U216" i="1"/>
  <c r="U2244" i="1"/>
  <c r="U3619" i="1"/>
  <c r="U568" i="1"/>
  <c r="U2582" i="1"/>
  <c r="U3146" i="1"/>
  <c r="U1309" i="1"/>
  <c r="U818" i="1"/>
  <c r="U1113" i="1"/>
  <c r="U994" i="1"/>
  <c r="U63" i="1"/>
  <c r="U715" i="1"/>
  <c r="U2951" i="1"/>
  <c r="U2154" i="1"/>
  <c r="U3532" i="1"/>
  <c r="U887" i="1"/>
  <c r="U374" i="1"/>
  <c r="U1212" i="1"/>
  <c r="U1913" i="1"/>
  <c r="U1691" i="1"/>
  <c r="U1182" i="1"/>
  <c r="U2474" i="1"/>
  <c r="U783" i="1"/>
  <c r="U1403" i="1"/>
  <c r="U1010" i="1"/>
  <c r="U2607" i="1"/>
  <c r="U1470" i="1"/>
  <c r="U730" i="1"/>
  <c r="U3398" i="1"/>
  <c r="U381" i="1"/>
  <c r="U1235" i="1"/>
  <c r="U1945" i="1"/>
  <c r="U3878" i="1"/>
  <c r="U1198" i="1"/>
  <c r="U2312" i="1"/>
  <c r="U2882" i="1"/>
  <c r="U1407" i="1"/>
  <c r="U3207" i="1"/>
  <c r="U3424" i="1"/>
  <c r="U3465" i="1"/>
  <c r="U907" i="1"/>
  <c r="AS9" i="1"/>
  <c r="U264" i="1"/>
  <c r="U1399" i="1"/>
  <c r="U6" i="1"/>
  <c r="U2241" i="1"/>
  <c r="V2256" i="1" s="1"/>
  <c r="U1801" i="1"/>
  <c r="U3479" i="1"/>
  <c r="U1142" i="1"/>
  <c r="U1790" i="1"/>
  <c r="U3466" i="1"/>
  <c r="U2026" i="1"/>
  <c r="U2024" i="1"/>
  <c r="U1005" i="1"/>
  <c r="V1011" i="1" s="1"/>
  <c r="U2506" i="1"/>
  <c r="U3662" i="1"/>
  <c r="U20" i="1"/>
  <c r="U3548" i="1"/>
  <c r="U3426" i="1"/>
  <c r="U3174" i="1"/>
  <c r="U1553" i="1"/>
  <c r="U965" i="1"/>
  <c r="U2883" i="1"/>
  <c r="U3112" i="1"/>
  <c r="U2094" i="1"/>
  <c r="U2497" i="1"/>
  <c r="U3030" i="1"/>
  <c r="U1400" i="1"/>
  <c r="U3673" i="1"/>
  <c r="U1849" i="1"/>
  <c r="U2112" i="1"/>
  <c r="U1527" i="1"/>
  <c r="U1282" i="1"/>
  <c r="U3331" i="1"/>
  <c r="U212" i="1"/>
  <c r="U2238" i="1"/>
  <c r="U3591" i="1"/>
  <c r="U558" i="1"/>
  <c r="U2578" i="1"/>
  <c r="U1986" i="1"/>
  <c r="U812" i="1"/>
  <c r="U2344" i="1"/>
  <c r="U833" i="1"/>
  <c r="U988" i="1"/>
  <c r="U55" i="1"/>
  <c r="U1115" i="1"/>
  <c r="U1792" i="1"/>
  <c r="U3714" i="1"/>
  <c r="U1460" i="1"/>
  <c r="U62" i="1"/>
  <c r="U2889" i="1"/>
  <c r="U3130" i="1"/>
  <c r="U770" i="1"/>
  <c r="U2092" i="1"/>
  <c r="U2495" i="1"/>
  <c r="U3048" i="1"/>
  <c r="U1661" i="1"/>
  <c r="U1390" i="1"/>
  <c r="U3075" i="1"/>
  <c r="U1867" i="1"/>
  <c r="U3932" i="1"/>
  <c r="U533" i="1"/>
  <c r="U9" i="1"/>
  <c r="U3202" i="1"/>
  <c r="U1029" i="1"/>
  <c r="U3333" i="1"/>
  <c r="U214" i="1"/>
  <c r="U2258" i="1"/>
  <c r="U3794" i="1"/>
  <c r="U2942" i="1"/>
  <c r="U574" i="1"/>
  <c r="U2606" i="1"/>
  <c r="U440" i="1"/>
  <c r="U3687" i="1"/>
  <c r="U1333" i="1"/>
  <c r="U327" i="1"/>
  <c r="U2555" i="1"/>
  <c r="U825" i="1"/>
  <c r="U982" i="1"/>
  <c r="U2023" i="1"/>
  <c r="U2560" i="1"/>
  <c r="U296" i="1"/>
  <c r="U3625" i="1"/>
  <c r="U2946" i="1"/>
  <c r="U578" i="1"/>
  <c r="U924" i="1"/>
  <c r="U2792" i="1"/>
  <c r="U1805" i="1"/>
  <c r="U1978" i="1"/>
  <c r="AS8" i="1"/>
  <c r="U244" i="1"/>
  <c r="U2018" i="1"/>
  <c r="U1301" i="1"/>
  <c r="U60" i="1"/>
  <c r="U294" i="1"/>
  <c r="U3752" i="1"/>
  <c r="U980" i="1"/>
  <c r="U2019" i="1"/>
  <c r="U2993" i="1"/>
  <c r="U2735" i="1"/>
  <c r="U2794" i="1"/>
  <c r="U454" i="1"/>
  <c r="U3170" i="1"/>
  <c r="U3692" i="1"/>
  <c r="U249" i="1"/>
  <c r="U3751" i="1"/>
  <c r="U2716" i="1"/>
  <c r="U826" i="1"/>
  <c r="U68" i="1"/>
  <c r="U1130" i="1"/>
  <c r="U827" i="1"/>
  <c r="U3746" i="1"/>
  <c r="U984" i="1"/>
  <c r="U98" i="1"/>
  <c r="V121" i="1" s="1"/>
  <c r="U69" i="1"/>
  <c r="U2971" i="1"/>
  <c r="U2743" i="1"/>
  <c r="U1112" i="1"/>
  <c r="U2326" i="1"/>
  <c r="U330" i="1"/>
  <c r="U1393" i="1"/>
  <c r="U3328" i="1"/>
  <c r="V3337" i="1" s="1"/>
  <c r="U447" i="1"/>
  <c r="U824" i="1"/>
  <c r="U764" i="1"/>
  <c r="U1651" i="1"/>
  <c r="U3934" i="1"/>
  <c r="U1027" i="1"/>
  <c r="U3788" i="1"/>
  <c r="U1820" i="1"/>
  <c r="U2745" i="1"/>
  <c r="U2550" i="1"/>
  <c r="U1745" i="1"/>
  <c r="U1068" i="1"/>
  <c r="U892" i="1"/>
  <c r="U355" i="1"/>
  <c r="U1607" i="1"/>
  <c r="U1910" i="1"/>
  <c r="U2381" i="1"/>
  <c r="U414" i="1"/>
  <c r="U2466" i="1"/>
  <c r="U1377" i="1"/>
  <c r="U3082" i="1"/>
  <c r="U3334" i="1"/>
  <c r="U445" i="1"/>
  <c r="U1320" i="1"/>
  <c r="V1313" i="1" s="1"/>
  <c r="U1097" i="1"/>
  <c r="U3374" i="1"/>
  <c r="U654" i="1"/>
  <c r="U1227" i="1"/>
  <c r="U1932" i="1"/>
  <c r="U1701" i="1"/>
  <c r="U422" i="1"/>
  <c r="U2291" i="1"/>
  <c r="U3278" i="1"/>
  <c r="U1397" i="1"/>
  <c r="U1038" i="1"/>
  <c r="U2593" i="1"/>
  <c r="U240" i="1"/>
  <c r="U473" i="1"/>
  <c r="U1439" i="1"/>
  <c r="U3839" i="1"/>
  <c r="U3203" i="1"/>
  <c r="U3787" i="1"/>
  <c r="U1782" i="1"/>
  <c r="U242" i="1"/>
  <c r="V274" i="1" s="1"/>
  <c r="U3432" i="1"/>
  <c r="U3176" i="1"/>
  <c r="U3452" i="1"/>
  <c r="U2715" i="1"/>
  <c r="U2982" i="1"/>
  <c r="U3298" i="1"/>
  <c r="U2207" i="1"/>
  <c r="U3654" i="1"/>
  <c r="U1500" i="1"/>
  <c r="U2689" i="1"/>
  <c r="U3410" i="1"/>
  <c r="U3156" i="1"/>
  <c r="U269" i="1"/>
  <c r="U101" i="1"/>
  <c r="AS14" i="1"/>
  <c r="U3289" i="1"/>
  <c r="U1346" i="1"/>
  <c r="U2192" i="1"/>
  <c r="U1402" i="1"/>
  <c r="U3637" i="1"/>
  <c r="U2108" i="1"/>
  <c r="U3216" i="1"/>
  <c r="U3337" i="1"/>
  <c r="U2268" i="1"/>
  <c r="U3597" i="1"/>
  <c r="U910" i="1"/>
  <c r="U1983" i="1"/>
  <c r="U2707" i="1"/>
  <c r="V2709" i="1" s="1"/>
  <c r="U845" i="1"/>
  <c r="U2033" i="1"/>
  <c r="U1120" i="1"/>
  <c r="U1419" i="1"/>
  <c r="U1944" i="1"/>
  <c r="U2368" i="1"/>
  <c r="U2311" i="1"/>
  <c r="U2073" i="1"/>
  <c r="U3568" i="1"/>
  <c r="U3350" i="1"/>
  <c r="U1555" i="1"/>
  <c r="U1565" i="1"/>
  <c r="U1060" i="1"/>
  <c r="U879" i="1"/>
  <c r="U350" i="1"/>
  <c r="U1602" i="1"/>
  <c r="U1902" i="1"/>
  <c r="U2378" i="1"/>
  <c r="U411" i="1"/>
  <c r="U2455" i="1"/>
  <c r="V2453" i="1" s="1"/>
  <c r="U1349" i="1"/>
  <c r="U1864" i="1"/>
  <c r="U203" i="1"/>
  <c r="U1793" i="1"/>
  <c r="U1312" i="1"/>
  <c r="U1089" i="1"/>
  <c r="U2865" i="1"/>
  <c r="U649" i="1"/>
  <c r="V652" i="1" s="1"/>
  <c r="U1214" i="1"/>
  <c r="U1924" i="1"/>
  <c r="U1693" i="1"/>
  <c r="U1181" i="1"/>
  <c r="U2288" i="1"/>
  <c r="U3123" i="1"/>
  <c r="U3855" i="1"/>
  <c r="U1028" i="1"/>
  <c r="U2785" i="1"/>
  <c r="U1458" i="1"/>
  <c r="U441" i="1"/>
  <c r="U1307" i="1"/>
  <c r="U3076" i="1"/>
  <c r="U3199" i="1"/>
  <c r="U2413" i="1"/>
  <c r="U3169" i="1"/>
  <c r="U1479" i="1"/>
  <c r="U3428" i="1"/>
  <c r="U1768" i="1"/>
  <c r="U267" i="1"/>
  <c r="U694" i="1"/>
  <c r="U2559" i="1"/>
  <c r="U3290" i="1"/>
  <c r="U2199" i="1"/>
  <c r="U3638" i="1"/>
  <c r="U1492" i="1"/>
  <c r="U2681" i="1"/>
  <c r="U563" i="1"/>
  <c r="U1764" i="1"/>
  <c r="U262" i="1"/>
  <c r="U3004" i="1"/>
  <c r="U3283" i="1"/>
  <c r="U2096" i="1"/>
  <c r="U2190" i="1"/>
  <c r="U1396" i="1"/>
  <c r="U1873" i="1"/>
  <c r="U537" i="1"/>
  <c r="U3212" i="1"/>
  <c r="U3335" i="1"/>
  <c r="U2264" i="1"/>
  <c r="U2958" i="1"/>
  <c r="U906" i="1"/>
  <c r="U1970" i="1"/>
  <c r="U700" i="1"/>
  <c r="U837" i="1"/>
  <c r="U2027" i="1"/>
  <c r="U328" i="1"/>
  <c r="U2877" i="1"/>
  <c r="U3126" i="1"/>
  <c r="U756" i="1"/>
  <c r="U2078" i="1"/>
  <c r="U2489" i="1"/>
  <c r="U3038" i="1"/>
  <c r="U1643" i="1"/>
  <c r="U3852" i="1"/>
  <c r="U3671" i="1"/>
  <c r="U1855" i="1"/>
  <c r="U3928" i="1"/>
  <c r="U519" i="1"/>
  <c r="U1523" i="1"/>
  <c r="U3196" i="1"/>
  <c r="U1019" i="1"/>
  <c r="U3575" i="1"/>
  <c r="U204" i="1"/>
  <c r="U2246" i="1"/>
  <c r="U3784" i="1"/>
  <c r="U2936" i="1"/>
  <c r="U556" i="1"/>
  <c r="U2586" i="1"/>
  <c r="U1812" i="1"/>
  <c r="U1548" i="1"/>
  <c r="U2342" i="1"/>
  <c r="U842" i="1"/>
  <c r="U2710" i="1"/>
  <c r="U805" i="1"/>
  <c r="U974" i="1"/>
  <c r="U67" i="1"/>
  <c r="U2536" i="1"/>
  <c r="AS12" i="1"/>
  <c r="U3527" i="1"/>
  <c r="U394" i="1"/>
  <c r="U2820" i="1"/>
  <c r="U1660" i="1"/>
  <c r="U1223" i="1"/>
  <c r="U1573" i="1"/>
  <c r="U1925" i="1"/>
  <c r="U742" i="1"/>
  <c r="U3384" i="1"/>
  <c r="U648" i="1"/>
  <c r="AS19" i="1"/>
  <c r="U1619" i="1"/>
  <c r="U1895" i="1"/>
  <c r="U160" i="1"/>
  <c r="U1658" i="1"/>
  <c r="U2620" i="1"/>
  <c r="U2858" i="1"/>
  <c r="U361" i="1"/>
  <c r="U1597" i="1"/>
  <c r="U1711" i="1"/>
  <c r="U2478" i="1"/>
  <c r="U3636" i="1"/>
  <c r="U1995" i="1"/>
  <c r="U3517" i="1"/>
  <c r="U488" i="1"/>
  <c r="U1245" i="1"/>
  <c r="U1941" i="1"/>
  <c r="U612" i="1"/>
  <c r="U3308" i="1"/>
  <c r="U2249" i="1"/>
  <c r="U610" i="1"/>
  <c r="U142" i="1"/>
  <c r="U2874" i="1"/>
  <c r="U1391" i="1"/>
  <c r="U1796" i="1"/>
  <c r="U3882" i="1"/>
  <c r="U429" i="1"/>
  <c r="U2300" i="1"/>
  <c r="U3121" i="1"/>
  <c r="U3672" i="1"/>
  <c r="U2003" i="1"/>
  <c r="U3340" i="1"/>
  <c r="U1811" i="1"/>
  <c r="U2263" i="1"/>
  <c r="U2167" i="1"/>
  <c r="U1055" i="1"/>
  <c r="U2860" i="1"/>
  <c r="U668" i="1"/>
  <c r="U2817" i="1"/>
  <c r="U1599" i="1"/>
  <c r="U2916" i="1"/>
  <c r="U1715" i="1"/>
  <c r="U619" i="1"/>
  <c r="U403" i="1"/>
  <c r="U2281" i="1"/>
  <c r="U2886" i="1"/>
  <c r="U2227" i="1"/>
  <c r="U1850" i="1"/>
  <c r="U1020" i="1"/>
  <c r="U2953" i="1"/>
  <c r="U1741" i="1"/>
  <c r="U840" i="1"/>
  <c r="U2625" i="1"/>
  <c r="U3515" i="1"/>
  <c r="U881" i="1"/>
  <c r="U376" i="1"/>
  <c r="U1243" i="1"/>
  <c r="U2647" i="1"/>
  <c r="U1899" i="1"/>
  <c r="U1690" i="1"/>
  <c r="U428" i="1"/>
  <c r="U164" i="1"/>
  <c r="U2457" i="1"/>
  <c r="U3119" i="1"/>
  <c r="U1642" i="1"/>
  <c r="U518" i="1"/>
  <c r="U207" i="1"/>
  <c r="U469" i="1"/>
  <c r="U3482" i="1"/>
  <c r="U2709" i="1"/>
  <c r="U1998" i="1"/>
  <c r="U846" i="1"/>
  <c r="U1413" i="1"/>
  <c r="U2111" i="1"/>
  <c r="U3342" i="1"/>
  <c r="U3624" i="1"/>
  <c r="U2769" i="1"/>
  <c r="U1576" i="1"/>
  <c r="U822" i="1"/>
  <c r="V824" i="1" s="1"/>
  <c r="U577" i="1"/>
  <c r="U1800" i="1"/>
  <c r="U3702" i="1"/>
  <c r="U1450" i="1"/>
  <c r="U1146" i="1"/>
  <c r="U2034" i="1"/>
  <c r="U1119" i="1"/>
  <c r="U773" i="1"/>
  <c r="U2191" i="1"/>
  <c r="U3078" i="1"/>
  <c r="U536" i="1"/>
  <c r="U1040" i="1"/>
  <c r="U2261" i="1"/>
  <c r="U2923" i="1"/>
  <c r="U471" i="1"/>
  <c r="U1979" i="1"/>
  <c r="V1985" i="1" s="1"/>
  <c r="U251" i="1"/>
  <c r="U969" i="1"/>
  <c r="U1111" i="1"/>
  <c r="U3291" i="1"/>
  <c r="U782" i="1"/>
  <c r="U1350" i="1"/>
  <c r="U2513" i="1"/>
  <c r="U2198" i="1"/>
  <c r="U1667" i="1"/>
  <c r="U1404" i="1"/>
  <c r="U3089" i="1"/>
  <c r="U3639" i="1"/>
  <c r="U3952" i="1"/>
  <c r="U2114" i="1"/>
  <c r="U19" i="1"/>
  <c r="U3220" i="1"/>
  <c r="U1264" i="1"/>
  <c r="U3339" i="1"/>
  <c r="U3543" i="1"/>
  <c r="U2676" i="1"/>
  <c r="U3802" i="1"/>
  <c r="U3599" i="1"/>
  <c r="U3413" i="1"/>
  <c r="U914" i="1"/>
  <c r="V923" i="1" s="1"/>
  <c r="U472" i="1"/>
  <c r="U2002" i="1"/>
  <c r="U1453" i="1"/>
  <c r="U2712" i="1"/>
  <c r="U84" i="1"/>
  <c r="U1298" i="1"/>
  <c r="U2339" i="1"/>
  <c r="U2043" i="1"/>
  <c r="U2977" i="1"/>
  <c r="U1136" i="1"/>
  <c r="U3811" i="1"/>
  <c r="U2332" i="1"/>
  <c r="U1095" i="1"/>
  <c r="U3516" i="1"/>
  <c r="U2855" i="1"/>
  <c r="U487" i="1"/>
  <c r="V494" i="1" s="1"/>
  <c r="U2825" i="1"/>
  <c r="U1610" i="1"/>
  <c r="U1938" i="1"/>
  <c r="U3871" i="1"/>
  <c r="U630" i="1"/>
  <c r="U1166" i="1"/>
  <c r="U2289" i="1"/>
  <c r="U2898" i="1"/>
  <c r="U2069" i="1"/>
  <c r="U3068" i="1"/>
  <c r="U1261" i="1"/>
  <c r="U3777" i="1"/>
  <c r="V3797" i="1" s="1"/>
  <c r="U1759" i="1"/>
  <c r="U1328" i="1"/>
  <c r="U2161" i="1"/>
  <c r="U3523" i="1"/>
  <c r="U894" i="1"/>
  <c r="U662" i="1"/>
  <c r="U635" i="1"/>
  <c r="U2660" i="1"/>
  <c r="U1920" i="1"/>
  <c r="U1698" i="1"/>
  <c r="U605" i="1"/>
  <c r="U397" i="1"/>
  <c r="U2465" i="1"/>
  <c r="U3292" i="1"/>
  <c r="U2203" i="1"/>
  <c r="U532" i="1"/>
  <c r="U3546" i="1"/>
  <c r="U927" i="1"/>
  <c r="U1568" i="1"/>
  <c r="U2998" i="1"/>
  <c r="U3164" i="1"/>
  <c r="U1324" i="1"/>
  <c r="U1652" i="1"/>
  <c r="U3953" i="1"/>
  <c r="U1018" i="1"/>
  <c r="U3791" i="1"/>
  <c r="U2595" i="1"/>
  <c r="U3699" i="1"/>
  <c r="U1335" i="1"/>
  <c r="U1006" i="1"/>
  <c r="U1809" i="1"/>
  <c r="U1973" i="1"/>
  <c r="U253" i="1"/>
  <c r="U2704" i="1"/>
  <c r="U103" i="1"/>
  <c r="U693" i="1"/>
  <c r="U3101" i="1"/>
  <c r="U2215" i="1"/>
  <c r="U3849" i="1"/>
  <c r="U2121" i="1"/>
  <c r="U1281" i="1"/>
  <c r="U201" i="1"/>
  <c r="U2939" i="1"/>
  <c r="U2787" i="1"/>
  <c r="U1746" i="1"/>
  <c r="U266" i="1"/>
  <c r="U3757" i="1"/>
  <c r="U711" i="1"/>
  <c r="U3297" i="1"/>
  <c r="U3102" i="1"/>
  <c r="U1362" i="1"/>
  <c r="U2517" i="1"/>
  <c r="U2206" i="1"/>
  <c r="U3924" i="1"/>
  <c r="U1410" i="1"/>
  <c r="U3828" i="1"/>
  <c r="U3653" i="1"/>
  <c r="U3958" i="1"/>
  <c r="U2122" i="1"/>
  <c r="U31" i="1"/>
  <c r="V3" i="1" s="1"/>
  <c r="U1495" i="1"/>
  <c r="U1272" i="1"/>
  <c r="U3353" i="1"/>
  <c r="U3549" i="1"/>
  <c r="U2684" i="1"/>
  <c r="U3809" i="1"/>
  <c r="U3607" i="1"/>
  <c r="U3423" i="1"/>
  <c r="U930" i="1"/>
  <c r="U2764" i="1"/>
  <c r="U1755" i="1"/>
  <c r="U257" i="1"/>
  <c r="U2529" i="1"/>
  <c r="U113" i="1"/>
  <c r="U326" i="1"/>
  <c r="U2349" i="1"/>
  <c r="U102" i="1"/>
  <c r="U2999" i="1"/>
  <c r="U1147" i="1"/>
  <c r="U2779" i="1"/>
  <c r="U3153" i="1"/>
  <c r="U1571" i="1"/>
  <c r="U1478" i="1"/>
  <c r="AS16" i="1"/>
  <c r="U800" i="1"/>
  <c r="U2725" i="1"/>
  <c r="U2881" i="1"/>
  <c r="U3287" i="1"/>
  <c r="U786" i="1"/>
  <c r="U1372" i="1"/>
  <c r="U2084" i="1"/>
  <c r="U2503" i="1"/>
  <c r="U2204" i="1"/>
  <c r="U3032" i="1"/>
  <c r="U1645" i="1"/>
  <c r="U1398" i="1"/>
  <c r="U3830" i="1"/>
  <c r="U3659" i="1"/>
  <c r="U1859" i="1"/>
  <c r="U3948" i="1"/>
  <c r="U2118" i="1"/>
  <c r="U509" i="1"/>
  <c r="U1529" i="1"/>
  <c r="U3210" i="1"/>
  <c r="U1270" i="1"/>
  <c r="U1013" i="1"/>
  <c r="U3577" i="1"/>
  <c r="U222" i="1"/>
  <c r="U2686" i="1"/>
  <c r="U3810" i="1"/>
  <c r="U2418" i="1"/>
  <c r="U3595" i="1"/>
  <c r="V3626" i="1" s="1"/>
  <c r="U3419" i="1"/>
  <c r="U944" i="1"/>
  <c r="U2594" i="1"/>
  <c r="U452" i="1"/>
  <c r="U1750" i="1"/>
  <c r="U3475" i="1"/>
  <c r="U3733" i="1"/>
  <c r="U705" i="1"/>
  <c r="U129" i="1"/>
  <c r="U1134" i="1"/>
  <c r="U813" i="1"/>
  <c r="U2331" i="1"/>
  <c r="U2049" i="1"/>
  <c r="AS3" i="1"/>
  <c r="U51" i="1"/>
  <c r="U2546" i="1"/>
  <c r="U323" i="1"/>
  <c r="U2420" i="1"/>
  <c r="U3609" i="1"/>
  <c r="U2930" i="1"/>
  <c r="U3409" i="1"/>
  <c r="U948" i="1"/>
  <c r="U2604" i="1"/>
  <c r="U2782" i="1"/>
  <c r="U444" i="1"/>
  <c r="U1742" i="1"/>
  <c r="U1559" i="1"/>
  <c r="U1469" i="1"/>
  <c r="V1453" i="1" s="1"/>
  <c r="U123" i="1"/>
  <c r="U710" i="1"/>
  <c r="U3737" i="1"/>
  <c r="U2547" i="1"/>
  <c r="V2562" i="1" s="1"/>
  <c r="U322" i="1"/>
  <c r="U817" i="1"/>
  <c r="U2343" i="1"/>
  <c r="U970" i="1"/>
  <c r="U2041" i="1"/>
  <c r="U49" i="1"/>
  <c r="U2562" i="1"/>
  <c r="U2714" i="1"/>
  <c r="U291" i="1"/>
  <c r="U2762" i="1"/>
  <c r="U1822" i="1"/>
  <c r="U1763" i="1"/>
  <c r="U3708" i="1"/>
  <c r="U3472" i="1"/>
  <c r="U1445" i="1"/>
  <c r="U2338" i="1"/>
  <c r="U2561" i="1"/>
  <c r="U303" i="1"/>
  <c r="U2320" i="1"/>
  <c r="U3002" i="1"/>
  <c r="U1148" i="1"/>
  <c r="U1302" i="1"/>
  <c r="U811" i="1"/>
  <c r="U3730" i="1"/>
  <c r="V3738" i="1" s="1"/>
  <c r="U992" i="1"/>
  <c r="U122" i="1"/>
  <c r="U2029" i="1"/>
  <c r="U61" i="1"/>
  <c r="U2987" i="1"/>
  <c r="U2540" i="1"/>
  <c r="U712" i="1"/>
  <c r="U320" i="1"/>
  <c r="U671" i="1"/>
  <c r="U342" i="1"/>
  <c r="U1228" i="1"/>
  <c r="U2653" i="1"/>
  <c r="U2919" i="1"/>
  <c r="U3887" i="1"/>
  <c r="U2389" i="1"/>
  <c r="U598" i="1"/>
  <c r="U406" i="1"/>
  <c r="U2305" i="1"/>
  <c r="U3257" i="1"/>
  <c r="U3131" i="1"/>
  <c r="U2500" i="1"/>
  <c r="U3837" i="1"/>
  <c r="U22" i="1"/>
  <c r="U227" i="1"/>
  <c r="U3598" i="1"/>
  <c r="U3177" i="1"/>
  <c r="U3477" i="1"/>
  <c r="U2984" i="1"/>
  <c r="U2626" i="1"/>
  <c r="U1054" i="1"/>
  <c r="U3382" i="1"/>
  <c r="U862" i="1"/>
  <c r="U646" i="1"/>
  <c r="U2816" i="1"/>
  <c r="U1617" i="1"/>
  <c r="U1959" i="1"/>
  <c r="U1904" i="1"/>
  <c r="U1714" i="1"/>
  <c r="U2364" i="1"/>
  <c r="U419" i="1"/>
  <c r="U169" i="1"/>
  <c r="U2280" i="1"/>
  <c r="U3232" i="1"/>
  <c r="U1373" i="1"/>
  <c r="V1352" i="1" s="1"/>
  <c r="U3033" i="1"/>
  <c r="U1844" i="1"/>
  <c r="U1269" i="1"/>
  <c r="U2428" i="1"/>
  <c r="U2765" i="1"/>
  <c r="U3706" i="1"/>
  <c r="U1334" i="1"/>
  <c r="U549" i="1"/>
  <c r="U2005" i="1"/>
  <c r="U1475" i="1"/>
  <c r="U2205" i="1"/>
  <c r="U3835" i="1"/>
  <c r="U2125" i="1"/>
  <c r="U1271" i="1"/>
  <c r="U2691" i="1"/>
  <c r="U2943" i="1"/>
  <c r="U2783" i="1"/>
  <c r="U1988" i="1"/>
  <c r="U254" i="1"/>
  <c r="U963" i="1"/>
  <c r="U3414" i="1"/>
  <c r="U461" i="1"/>
  <c r="U1740" i="1"/>
  <c r="U1547" i="1"/>
  <c r="V1540" i="1" s="1"/>
  <c r="U1459" i="1"/>
  <c r="U2551" i="1"/>
  <c r="U3749" i="1"/>
  <c r="U2972" i="1"/>
  <c r="U1125" i="1"/>
  <c r="U3133" i="1"/>
  <c r="U2071" i="1"/>
  <c r="U3923" i="1"/>
  <c r="V3918" i="1" s="1"/>
  <c r="U3086" i="1"/>
  <c r="U3935" i="1"/>
  <c r="U1516" i="1"/>
  <c r="U3352" i="1"/>
  <c r="U2269" i="1"/>
  <c r="U3602" i="1"/>
  <c r="U941" i="1"/>
  <c r="U1803" i="1"/>
  <c r="U1993" i="1"/>
  <c r="U3469" i="1"/>
  <c r="U1329" i="1"/>
  <c r="U2042" i="1"/>
  <c r="U1118" i="1"/>
  <c r="U3307" i="1"/>
  <c r="U3124" i="1"/>
  <c r="U768" i="1"/>
  <c r="U1352" i="1"/>
  <c r="U2062" i="1"/>
  <c r="U2226" i="1"/>
  <c r="U3052" i="1"/>
  <c r="V3052" i="1" s="1"/>
  <c r="U1671" i="1"/>
  <c r="U1420" i="1"/>
  <c r="U3850" i="1"/>
  <c r="U3077" i="1"/>
  <c r="U3641" i="1"/>
  <c r="U1839" i="1"/>
  <c r="U3926" i="1"/>
  <c r="U531" i="1"/>
  <c r="U21" i="1"/>
  <c r="U1507" i="1"/>
  <c r="U3192" i="1"/>
  <c r="U1033" i="1"/>
  <c r="U3343" i="1"/>
  <c r="U3559" i="1"/>
  <c r="U202" i="1"/>
  <c r="U2260" i="1"/>
  <c r="U3804" i="1"/>
  <c r="U3621" i="1"/>
  <c r="AS7" i="1"/>
  <c r="U2934" i="1"/>
  <c r="AT7" i="1" s="1"/>
  <c r="AU7" i="1" s="1"/>
  <c r="U572" i="1"/>
  <c r="U918" i="1"/>
  <c r="U2784" i="1"/>
  <c r="U1797" i="1"/>
  <c r="U3700" i="1"/>
  <c r="U1464" i="1"/>
  <c r="U58" i="1"/>
  <c r="U834" i="1"/>
  <c r="U2563" i="1"/>
  <c r="U1304" i="1"/>
  <c r="U3744" i="1"/>
  <c r="U972" i="1"/>
  <c r="U2017" i="1"/>
  <c r="U2981" i="1"/>
  <c r="U2706" i="1"/>
  <c r="U917" i="1"/>
  <c r="U1815" i="1"/>
  <c r="U1753" i="1"/>
  <c r="U3693" i="1"/>
  <c r="U3455" i="1"/>
  <c r="U1336" i="1"/>
  <c r="U979" i="1"/>
  <c r="U2553" i="1"/>
  <c r="U316" i="1"/>
  <c r="U3311" i="1"/>
  <c r="U3279" i="1"/>
  <c r="U3106" i="1"/>
  <c r="U762" i="1"/>
  <c r="U1356" i="1"/>
  <c r="U2076" i="1"/>
  <c r="U2511" i="1"/>
  <c r="U2220" i="1"/>
  <c r="U3056" i="1"/>
  <c r="U3024" i="1"/>
  <c r="U1653" i="1"/>
  <c r="U1414" i="1"/>
  <c r="U3854" i="1"/>
  <c r="U3091" i="1"/>
  <c r="U3667" i="1"/>
  <c r="U3635" i="1"/>
  <c r="V3675" i="1" s="1"/>
  <c r="U1843" i="1"/>
  <c r="U3940" i="1"/>
  <c r="U2126" i="1"/>
  <c r="U525" i="1"/>
  <c r="U25" i="1"/>
  <c r="U1521" i="1"/>
  <c r="U3218" i="1"/>
  <c r="U1286" i="1"/>
  <c r="U1037" i="1"/>
  <c r="U3357" i="1"/>
  <c r="U3325" i="1"/>
  <c r="U3553" i="1"/>
  <c r="U206" i="1"/>
  <c r="U2678" i="1"/>
  <c r="U2242" i="1"/>
  <c r="U2429" i="1"/>
  <c r="U2407" i="1"/>
  <c r="U2952" i="1"/>
  <c r="U3429" i="1"/>
  <c r="U564" i="1"/>
  <c r="U922" i="1"/>
  <c r="U2584" i="1"/>
  <c r="U468" i="1"/>
  <c r="U3178" i="1"/>
  <c r="U3716" i="1"/>
  <c r="U273" i="1"/>
  <c r="U844" i="1"/>
  <c r="U2974" i="1"/>
  <c r="U289" i="1"/>
  <c r="U2020" i="1"/>
  <c r="U702" i="1"/>
  <c r="U841" i="1"/>
  <c r="U3750" i="1"/>
  <c r="U2317" i="1"/>
  <c r="U110" i="1"/>
  <c r="U79" i="1"/>
  <c r="U2989" i="1"/>
  <c r="U2534" i="1"/>
  <c r="U1123" i="1"/>
  <c r="U2425" i="1"/>
  <c r="U3778" i="1"/>
  <c r="U3601" i="1"/>
  <c r="U2938" i="1"/>
  <c r="U3425" i="1"/>
  <c r="U570" i="1"/>
  <c r="U940" i="1"/>
  <c r="U908" i="1"/>
  <c r="U2580" i="1"/>
  <c r="U2760" i="1"/>
  <c r="U1818" i="1"/>
  <c r="U1766" i="1"/>
  <c r="U3703" i="1"/>
  <c r="U3464" i="1"/>
  <c r="U1448" i="1"/>
  <c r="U2324" i="1"/>
  <c r="U2543" i="1"/>
  <c r="U313" i="1"/>
  <c r="U991" i="1"/>
  <c r="U2986" i="1"/>
  <c r="U695" i="1"/>
  <c r="U1300" i="1"/>
  <c r="U807" i="1"/>
  <c r="U3732" i="1"/>
  <c r="U990" i="1"/>
  <c r="U118" i="1"/>
  <c r="U2031" i="1"/>
  <c r="U59" i="1"/>
  <c r="U2983" i="1"/>
  <c r="U2542" i="1"/>
  <c r="U707" i="1"/>
  <c r="U312" i="1"/>
  <c r="U2778" i="1"/>
  <c r="U462" i="1"/>
  <c r="U1814" i="1"/>
  <c r="U3154" i="1"/>
  <c r="U1991" i="1"/>
  <c r="U1572" i="1"/>
  <c r="U3456" i="1"/>
  <c r="U1461" i="1"/>
  <c r="U830" i="1"/>
  <c r="AT16" i="1" s="1"/>
  <c r="AU16" i="1" s="1"/>
  <c r="U2050" i="1"/>
  <c r="U2740" i="1"/>
  <c r="U1117" i="1"/>
  <c r="U3761" i="1"/>
  <c r="U105" i="1"/>
  <c r="U2970" i="1"/>
  <c r="U709" i="1"/>
  <c r="U308" i="1"/>
  <c r="U835" i="1"/>
  <c r="U803" i="1"/>
  <c r="U3738" i="1"/>
  <c r="U2329" i="1"/>
  <c r="U976" i="1"/>
  <c r="U114" i="1"/>
  <c r="U2037" i="1"/>
  <c r="U77" i="1"/>
  <c r="U3011" i="1"/>
  <c r="U2979" i="1"/>
  <c r="U2548" i="1"/>
  <c r="U2727" i="1"/>
  <c r="U1144" i="1"/>
  <c r="U304" i="1"/>
  <c r="Q91" i="2"/>
  <c r="R91" i="2" s="1"/>
  <c r="Q87" i="2"/>
  <c r="R87" i="2" s="1"/>
  <c r="Q85" i="2"/>
  <c r="R85" i="2" s="1"/>
  <c r="Q72" i="2"/>
  <c r="R72" i="2" s="1"/>
  <c r="Q64" i="2"/>
  <c r="R64" i="2" s="1"/>
  <c r="Q73" i="2"/>
  <c r="R73" i="2" s="1"/>
  <c r="AQ18" i="1"/>
  <c r="Q71" i="2"/>
  <c r="R71" i="2" s="1"/>
  <c r="Q67" i="2"/>
  <c r="R67" i="2" s="1"/>
  <c r="Q61" i="2"/>
  <c r="R61" i="2" s="1"/>
  <c r="Q29" i="2"/>
  <c r="R29" i="2" s="1"/>
  <c r="Q50" i="2"/>
  <c r="R50" i="2" s="1"/>
  <c r="Q82" i="2"/>
  <c r="R82" i="2" s="1"/>
  <c r="Q27" i="2"/>
  <c r="R27" i="2" s="1"/>
  <c r="Q31" i="2"/>
  <c r="R31" i="2" s="1"/>
  <c r="Q32" i="2"/>
  <c r="R32" i="2" s="1"/>
  <c r="AQ16" i="1"/>
  <c r="Q12" i="2"/>
  <c r="R12" i="2" s="1"/>
  <c r="Q10" i="2"/>
  <c r="R10" i="2" s="1"/>
  <c r="Q22" i="2"/>
  <c r="R22" i="2" s="1"/>
  <c r="Q19" i="2"/>
  <c r="R19" i="2" s="1"/>
  <c r="AQ9" i="1"/>
  <c r="Q30" i="2"/>
  <c r="R30" i="2" s="1"/>
  <c r="Q14" i="2"/>
  <c r="R14" i="2" s="1"/>
  <c r="AQ10" i="1"/>
  <c r="Q39" i="2"/>
  <c r="R39" i="2" s="1"/>
  <c r="AQ12" i="1"/>
  <c r="Q9" i="2"/>
  <c r="R9" i="2" s="1"/>
  <c r="Q18" i="2"/>
  <c r="R18" i="2" s="1"/>
  <c r="Q7" i="2"/>
  <c r="R7" i="2" s="1"/>
  <c r="Q8" i="2"/>
  <c r="R8" i="2" s="1"/>
  <c r="Q16" i="2"/>
  <c r="R16" i="2" s="1"/>
  <c r="Q13" i="2"/>
  <c r="R13" i="2" s="1"/>
  <c r="AQ5" i="1"/>
  <c r="Q4" i="2"/>
  <c r="R4" i="2" s="1"/>
  <c r="AQ4" i="1"/>
  <c r="Q6" i="2"/>
  <c r="R6" i="2" s="1"/>
  <c r="Q78" i="2"/>
  <c r="R78" i="2" s="1"/>
  <c r="Q77" i="2"/>
  <c r="R77" i="2" s="1"/>
  <c r="Q76" i="2"/>
  <c r="R76" i="2" s="1"/>
  <c r="Q56" i="2"/>
  <c r="R56" i="2" s="1"/>
  <c r="Q83" i="2"/>
  <c r="R83" i="2" s="1"/>
  <c r="Q84" i="2"/>
  <c r="R84" i="2" s="1"/>
  <c r="Q68" i="2"/>
  <c r="R68" i="2" s="1"/>
  <c r="Q63" i="2"/>
  <c r="R63" i="2" s="1"/>
  <c r="Q51" i="2"/>
  <c r="R51" i="2" s="1"/>
  <c r="Q69" i="2"/>
  <c r="R69" i="2" s="1"/>
  <c r="Q60" i="2"/>
  <c r="R60" i="2" s="1"/>
  <c r="Q89" i="2"/>
  <c r="R89" i="2" s="1"/>
  <c r="Q52" i="2"/>
  <c r="R52" i="2" s="1"/>
  <c r="Q74" i="2"/>
  <c r="R74" i="2" s="1"/>
  <c r="Q66" i="2"/>
  <c r="R66" i="2" s="1"/>
  <c r="Q81" i="2"/>
  <c r="R81" i="2" s="1"/>
  <c r="Q75" i="2"/>
  <c r="R75" i="2" s="1"/>
  <c r="Q54" i="2"/>
  <c r="R54" i="2" s="1"/>
  <c r="Q41" i="2"/>
  <c r="R41" i="2" s="1"/>
  <c r="Q90" i="2"/>
  <c r="R90" i="2" s="1"/>
  <c r="Q42" i="2"/>
  <c r="R42" i="2" s="1"/>
  <c r="Q53" i="2"/>
  <c r="R53" i="2" s="1"/>
  <c r="Q33" i="2"/>
  <c r="R33" i="2" s="1"/>
  <c r="Q40" i="2"/>
  <c r="R40" i="2" s="1"/>
  <c r="Q49" i="2"/>
  <c r="R49" i="2" s="1"/>
  <c r="Q35" i="2"/>
  <c r="R35" i="2" s="1"/>
  <c r="Q79" i="2"/>
  <c r="R79" i="2" s="1"/>
  <c r="Q55" i="2"/>
  <c r="R55" i="2" s="1"/>
  <c r="Q58" i="2"/>
  <c r="R58" i="2" s="1"/>
  <c r="Q43" i="2"/>
  <c r="R43" i="2" s="1"/>
  <c r="Q26" i="2"/>
  <c r="R26" i="2" s="1"/>
  <c r="Q23" i="2"/>
  <c r="R23" i="2" s="1"/>
  <c r="Q34" i="2"/>
  <c r="R34" i="2" s="1"/>
  <c r="Q15" i="2"/>
  <c r="R15" i="2" s="1"/>
  <c r="Q2" i="2"/>
  <c r="R2" i="2" s="1"/>
  <c r="S91" i="2"/>
  <c r="T91" i="2" s="1"/>
  <c r="S87" i="2"/>
  <c r="T87" i="2" s="1"/>
  <c r="S72" i="2"/>
  <c r="T72" i="2" s="1"/>
  <c r="S85" i="2"/>
  <c r="T85" i="2" s="1"/>
  <c r="S64" i="2"/>
  <c r="T64" i="2" s="1"/>
  <c r="S73" i="2"/>
  <c r="T73" i="2" s="1"/>
  <c r="AR18" i="1"/>
  <c r="S71" i="2"/>
  <c r="T71" i="2" s="1"/>
  <c r="S36" i="2"/>
  <c r="T36" i="2" s="1"/>
  <c r="S67" i="2"/>
  <c r="T67" i="2" s="1"/>
  <c r="S61" i="2"/>
  <c r="T61" i="2" s="1"/>
  <c r="S50" i="2"/>
  <c r="T50" i="2" s="1"/>
  <c r="S82" i="2"/>
  <c r="T82" i="2" s="1"/>
  <c r="S27" i="2"/>
  <c r="T27" i="2" s="1"/>
  <c r="S31" i="2"/>
  <c r="T31" i="2" s="1"/>
  <c r="S32" i="2"/>
  <c r="T32" i="2" s="1"/>
  <c r="S10" i="2"/>
  <c r="T10" i="2" s="1"/>
  <c r="AR9" i="1"/>
  <c r="S30" i="2"/>
  <c r="T30" i="2" s="1"/>
  <c r="S14" i="2"/>
  <c r="T14" i="2" s="1"/>
  <c r="S18" i="2"/>
  <c r="T18" i="2" s="1"/>
  <c r="S16" i="2"/>
  <c r="T16" i="2" s="1"/>
  <c r="S13" i="2"/>
  <c r="T13" i="2" s="1"/>
  <c r="S4" i="2"/>
  <c r="T4" i="2" s="1"/>
  <c r="S21" i="2"/>
  <c r="T21" i="2" s="1"/>
  <c r="S78" i="2"/>
  <c r="T78" i="2" s="1"/>
  <c r="S92" i="2"/>
  <c r="T92" i="2" s="1"/>
  <c r="S77" i="2"/>
  <c r="T77" i="2" s="1"/>
  <c r="S76" i="2"/>
  <c r="T76" i="2" s="1"/>
  <c r="S86" i="2"/>
  <c r="T86" i="2" s="1"/>
  <c r="S56" i="2"/>
  <c r="T56" i="2" s="1"/>
  <c r="S83" i="2"/>
  <c r="T83" i="2" s="1"/>
  <c r="S84" i="2"/>
  <c r="T84" i="2" s="1"/>
  <c r="S68" i="2"/>
  <c r="T68" i="2" s="1"/>
  <c r="S63" i="2"/>
  <c r="T63" i="2" s="1"/>
  <c r="S51" i="2"/>
  <c r="T51" i="2" s="1"/>
  <c r="S69" i="2"/>
  <c r="T69" i="2" s="1"/>
  <c r="S74" i="2"/>
  <c r="T74" i="2" s="1"/>
  <c r="S66" i="2"/>
  <c r="T66" i="2" s="1"/>
  <c r="S81" i="2"/>
  <c r="T81" i="2" s="1"/>
  <c r="S75" i="2"/>
  <c r="T75" i="2" s="1"/>
  <c r="S54" i="2"/>
  <c r="T54" i="2" s="1"/>
  <c r="S46" i="2"/>
  <c r="T46" i="2" s="1"/>
  <c r="S44" i="2"/>
  <c r="T44" i="2" s="1"/>
  <c r="S90" i="2"/>
  <c r="T90" i="2" s="1"/>
  <c r="S42" i="2"/>
  <c r="T42" i="2" s="1"/>
  <c r="S53" i="2"/>
  <c r="T53" i="2" s="1"/>
  <c r="S59" i="2"/>
  <c r="T59" i="2" s="1"/>
  <c r="S33" i="2"/>
  <c r="T33" i="2" s="1"/>
  <c r="S40" i="2"/>
  <c r="T40" i="2" s="1"/>
  <c r="S49" i="2"/>
  <c r="T49" i="2" s="1"/>
  <c r="S35" i="2"/>
  <c r="T35" i="2" s="1"/>
  <c r="S79" i="2"/>
  <c r="T79" i="2" s="1"/>
  <c r="S55" i="2"/>
  <c r="T55" i="2" s="1"/>
  <c r="S58" i="2"/>
  <c r="T58" i="2" s="1"/>
  <c r="S37" i="2"/>
  <c r="T37" i="2" s="1"/>
  <c r="S43" i="2"/>
  <c r="T43" i="2" s="1"/>
  <c r="S24" i="2"/>
  <c r="T24" i="2" s="1"/>
  <c r="S26" i="2"/>
  <c r="T26" i="2" s="1"/>
  <c r="S23" i="2"/>
  <c r="T23" i="2" s="1"/>
  <c r="S34" i="2"/>
  <c r="T34" i="2" s="1"/>
  <c r="S15" i="2"/>
  <c r="T15" i="2" s="1"/>
  <c r="S17" i="2"/>
  <c r="T17" i="2" s="1"/>
  <c r="S20" i="2"/>
  <c r="T20" i="2" s="1"/>
  <c r="S2" i="2"/>
  <c r="T2" i="2" s="1"/>
  <c r="AR16" i="1"/>
  <c r="V848" i="1"/>
  <c r="V2570" i="1"/>
  <c r="AT20" i="1"/>
  <c r="AU20" i="1" s="1"/>
  <c r="V679" i="1"/>
  <c r="V2747" i="1"/>
  <c r="V3965" i="1"/>
  <c r="V1825" i="1"/>
  <c r="V2693" i="1"/>
  <c r="V2321" i="1"/>
  <c r="V2346" i="1"/>
  <c r="V2319" i="1"/>
  <c r="V1330" i="1"/>
  <c r="V1300" i="1"/>
  <c r="V1999" i="1"/>
  <c r="V1982" i="1"/>
  <c r="V2765" i="1"/>
  <c r="V2794" i="1"/>
  <c r="V2783" i="1"/>
  <c r="V565" i="1"/>
  <c r="V558" i="1"/>
  <c r="V2241" i="1"/>
  <c r="V2260" i="1"/>
  <c r="V2688" i="1"/>
  <c r="V510" i="1"/>
  <c r="V519" i="1"/>
  <c r="V3924" i="1"/>
  <c r="V2431" i="1"/>
  <c r="V2406" i="1"/>
  <c r="V2597" i="1"/>
  <c r="V2607" i="1"/>
  <c r="V1638" i="1"/>
  <c r="V1642" i="1"/>
  <c r="V1664" i="1"/>
  <c r="V3249" i="1"/>
  <c r="V3263" i="1"/>
  <c r="V2315" i="1"/>
  <c r="V2294" i="1"/>
  <c r="V1696" i="1"/>
  <c r="V1690" i="1"/>
  <c r="V1699" i="1"/>
  <c r="V873" i="1"/>
  <c r="V894" i="1"/>
  <c r="V1179" i="1"/>
  <c r="V1181" i="1"/>
  <c r="V1591" i="1"/>
  <c r="V1592" i="1"/>
  <c r="V1594" i="1"/>
  <c r="V503" i="1"/>
  <c r="V2809" i="1"/>
  <c r="V2837" i="1"/>
  <c r="V3524" i="1"/>
  <c r="V3502" i="1"/>
  <c r="V3107" i="1"/>
  <c r="V3121" i="1"/>
  <c r="V3131" i="1"/>
  <c r="V1017" i="1"/>
  <c r="V1038" i="1"/>
  <c r="V718" i="1"/>
  <c r="V712" i="1"/>
  <c r="V1148" i="1"/>
  <c r="V1147" i="1"/>
  <c r="V1146" i="1"/>
  <c r="V2017" i="1"/>
  <c r="V2043" i="1"/>
  <c r="V1764" i="1"/>
  <c r="V1740" i="1"/>
  <c r="V2546" i="1"/>
  <c r="V2559" i="1"/>
  <c r="V2549" i="1"/>
  <c r="V3035" i="1"/>
  <c r="V3051" i="1"/>
  <c r="V18" i="1"/>
  <c r="V27" i="1"/>
  <c r="V2458" i="1"/>
  <c r="V2475" i="1"/>
  <c r="V3778" i="1"/>
  <c r="V3786" i="1"/>
  <c r="V3806" i="1"/>
  <c r="V3808" i="1"/>
  <c r="V3791" i="1"/>
  <c r="V227" i="1"/>
  <c r="V208" i="1"/>
  <c r="V212" i="1"/>
  <c r="V205" i="1"/>
  <c r="V360" i="1"/>
  <c r="V376" i="1"/>
  <c r="V346" i="1"/>
  <c r="V362" i="1"/>
  <c r="V343" i="1"/>
  <c r="V3324" i="1"/>
  <c r="V3352" i="1"/>
  <c r="V3326" i="1"/>
  <c r="V3342" i="1"/>
  <c r="V3343" i="1"/>
  <c r="V2922" i="1"/>
  <c r="V2918" i="1"/>
  <c r="V159" i="1"/>
  <c r="V177" i="1"/>
  <c r="V176" i="1"/>
  <c r="V153" i="1"/>
  <c r="V655" i="1"/>
  <c r="V671" i="1"/>
  <c r="V654" i="1"/>
  <c r="V649" i="1"/>
  <c r="V738" i="1"/>
  <c r="V732" i="1"/>
  <c r="V734" i="1"/>
  <c r="V105" i="1"/>
  <c r="V130" i="1"/>
  <c r="V100" i="1"/>
  <c r="V112" i="1"/>
  <c r="V99" i="1"/>
  <c r="V3735" i="1"/>
  <c r="V3759" i="1"/>
  <c r="V3748" i="1"/>
  <c r="V3752" i="1"/>
  <c r="V815" i="1"/>
  <c r="V831" i="1"/>
  <c r="V808" i="1"/>
  <c r="V806" i="1"/>
  <c r="V813" i="1"/>
  <c r="V818" i="1"/>
  <c r="V1557" i="1"/>
  <c r="V1579" i="1"/>
  <c r="V1545" i="1"/>
  <c r="V1559" i="1"/>
  <c r="V1563" i="1"/>
  <c r="V907" i="1"/>
  <c r="V916" i="1"/>
  <c r="V940" i="1"/>
  <c r="V913" i="1"/>
  <c r="V945" i="1"/>
  <c r="V933" i="1"/>
  <c r="V2123" i="1"/>
  <c r="V2135" i="1"/>
  <c r="V2113" i="1"/>
  <c r="V2132" i="1"/>
  <c r="V2139" i="1"/>
  <c r="V2134" i="1"/>
  <c r="V2143" i="1"/>
  <c r="V1368" i="1"/>
  <c r="V1379" i="1"/>
  <c r="V1375" i="1"/>
  <c r="V1350" i="1"/>
  <c r="V2725" i="1"/>
  <c r="V2741" i="1"/>
  <c r="V2718" i="1"/>
  <c r="V2734" i="1"/>
  <c r="V2724" i="1"/>
  <c r="V2711" i="1"/>
  <c r="V2704" i="1"/>
  <c r="V2736" i="1"/>
  <c r="V1437" i="1"/>
  <c r="V1469" i="1"/>
  <c r="V1442" i="1"/>
  <c r="V1466" i="1"/>
  <c r="V1460" i="1"/>
  <c r="V1447" i="1"/>
  <c r="V1479" i="1"/>
  <c r="V1443" i="1"/>
  <c r="V242" i="1"/>
  <c r="V258" i="1"/>
  <c r="V259" i="1"/>
  <c r="V255" i="1"/>
  <c r="V257" i="1"/>
  <c r="V256" i="1"/>
  <c r="V253" i="1"/>
  <c r="V264" i="1"/>
  <c r="V3598" i="1"/>
  <c r="V3614" i="1"/>
  <c r="V3625" i="1"/>
  <c r="V3619" i="1"/>
  <c r="V3623" i="1"/>
  <c r="V3616" i="1"/>
  <c r="V3601" i="1"/>
  <c r="V3602" i="1"/>
  <c r="V3605" i="1"/>
  <c r="V3612" i="1"/>
  <c r="V1847" i="1"/>
  <c r="V1838" i="1"/>
  <c r="V1840" i="1"/>
  <c r="V1845" i="1"/>
  <c r="V1862" i="1"/>
  <c r="V1867" i="1"/>
  <c r="V1864" i="1"/>
  <c r="V1835" i="1"/>
  <c r="V1846" i="1"/>
  <c r="V1850" i="1"/>
  <c r="V1863" i="1"/>
  <c r="V1868" i="1"/>
  <c r="V1870" i="1"/>
  <c r="V1872" i="1"/>
  <c r="V1860" i="1"/>
  <c r="V1865" i="1"/>
  <c r="V1853" i="1"/>
  <c r="V1861" i="1"/>
  <c r="V1848" i="1"/>
  <c r="V1851" i="1"/>
  <c r="V3645" i="1"/>
  <c r="V3649" i="1"/>
  <c r="V3660" i="1"/>
  <c r="V3665" i="1"/>
  <c r="V3646" i="1"/>
  <c r="V3653" i="1"/>
  <c r="V3668" i="1"/>
  <c r="V3670" i="1"/>
  <c r="V3654" i="1"/>
  <c r="V3659" i="1"/>
  <c r="V3672" i="1"/>
  <c r="V3635" i="1"/>
  <c r="V3655" i="1"/>
  <c r="V3661" i="1"/>
  <c r="V3639" i="1"/>
  <c r="V3662" i="1"/>
  <c r="V3650" i="1"/>
  <c r="V3667" i="1"/>
  <c r="V3657" i="1"/>
  <c r="V3674" i="1"/>
  <c r="V3067" i="1"/>
  <c r="V3071" i="1"/>
  <c r="V3083" i="1"/>
  <c r="V3087" i="1"/>
  <c r="V3068" i="1"/>
  <c r="V3072" i="1"/>
  <c r="V3084" i="1"/>
  <c r="V3089" i="1"/>
  <c r="V3073" i="1"/>
  <c r="V3078" i="1"/>
  <c r="V3085" i="1"/>
  <c r="V3077" i="1"/>
  <c r="V2065" i="1"/>
  <c r="V2069" i="1"/>
  <c r="V2081" i="1"/>
  <c r="V2084" i="1"/>
  <c r="V2066" i="1"/>
  <c r="V2071" i="1"/>
  <c r="V2086" i="1"/>
  <c r="V2062" i="1"/>
  <c r="V2078" i="1"/>
  <c r="V2087" i="1"/>
  <c r="V2060" i="1"/>
  <c r="V2068" i="1"/>
  <c r="V2063" i="1"/>
  <c r="V2079" i="1"/>
  <c r="V2090" i="1"/>
  <c r="V2094" i="1"/>
  <c r="V2095" i="1"/>
  <c r="V2075" i="1"/>
  <c r="V2080" i="1"/>
  <c r="V2085" i="1"/>
  <c r="V762" i="1"/>
  <c r="V766" i="1"/>
  <c r="V755" i="1"/>
  <c r="V759" i="1"/>
  <c r="V771" i="1"/>
  <c r="V775" i="1"/>
  <c r="V787" i="1"/>
  <c r="V756" i="1"/>
  <c r="V768" i="1"/>
  <c r="V772" i="1"/>
  <c r="V765" i="1"/>
  <c r="V776" i="1"/>
  <c r="V777" i="1"/>
  <c r="V785" i="1"/>
  <c r="V757" i="1"/>
  <c r="V773" i="1"/>
  <c r="V761" i="1"/>
  <c r="AT5" i="1"/>
  <c r="AU5" i="1" s="1"/>
  <c r="AT13" i="1"/>
  <c r="AU13" i="1" s="1"/>
  <c r="V1494" i="1"/>
  <c r="V1498" i="1"/>
  <c r="V1510" i="1"/>
  <c r="V1514" i="1"/>
  <c r="V1526" i="1"/>
  <c r="V1495" i="1"/>
  <c r="V1511" i="1"/>
  <c r="V1516" i="1"/>
  <c r="V1496" i="1"/>
  <c r="V1501" i="1"/>
  <c r="V1517" i="1"/>
  <c r="V1523" i="1"/>
  <c r="V1503" i="1"/>
  <c r="V1508" i="1"/>
  <c r="V1499" i="1"/>
  <c r="V1509" i="1"/>
  <c r="V1513" i="1"/>
  <c r="V1529" i="1"/>
  <c r="V1493" i="1"/>
  <c r="V1515" i="1"/>
  <c r="V2878" i="1"/>
  <c r="V2882" i="1"/>
  <c r="V2894" i="1"/>
  <c r="V2901" i="1"/>
  <c r="V2877" i="1"/>
  <c r="V2883" i="1"/>
  <c r="V2868" i="1"/>
  <c r="V2873" i="1"/>
  <c r="V2889" i="1"/>
  <c r="V2895" i="1"/>
  <c r="V2880" i="1"/>
  <c r="V2885" i="1"/>
  <c r="V2875" i="1"/>
  <c r="V2891" i="1"/>
  <c r="V2892" i="1"/>
  <c r="V2876" i="1"/>
  <c r="V2899" i="1"/>
  <c r="V2887" i="1"/>
  <c r="V2856" i="1"/>
  <c r="V2860" i="1"/>
  <c r="V2853" i="1"/>
  <c r="V2857" i="1"/>
  <c r="V2850" i="1"/>
  <c r="V2854" i="1"/>
  <c r="V2866" i="1"/>
  <c r="V2859" i="1"/>
  <c r="V2851" i="1"/>
  <c r="V2867" i="1"/>
  <c r="V3411" i="1"/>
  <c r="V3413" i="1"/>
  <c r="V3427" i="1"/>
  <c r="V3431" i="1"/>
  <c r="V3437" i="1"/>
  <c r="V3441" i="1"/>
  <c r="V3415" i="1"/>
  <c r="V3419" i="1"/>
  <c r="V3428" i="1"/>
  <c r="V3432" i="1"/>
  <c r="V3434" i="1"/>
  <c r="V3435" i="1"/>
  <c r="V3438" i="1"/>
  <c r="V3420" i="1"/>
  <c r="V3417" i="1"/>
  <c r="V3430" i="1"/>
  <c r="V634" i="1"/>
  <c r="V638" i="1"/>
  <c r="V639" i="1"/>
  <c r="V637" i="1"/>
  <c r="V633" i="1"/>
  <c r="V3148" i="1"/>
  <c r="V3160" i="1"/>
  <c r="V3164" i="1"/>
  <c r="V3176" i="1"/>
  <c r="V3146" i="1"/>
  <c r="V3162" i="1"/>
  <c r="V3167" i="1"/>
  <c r="V3147" i="1"/>
  <c r="V3153" i="1"/>
  <c r="V3169" i="1"/>
  <c r="V3174" i="1"/>
  <c r="V3159" i="1"/>
  <c r="V3165" i="1"/>
  <c r="V3155" i="1"/>
  <c r="V3177" i="1"/>
  <c r="V3166" i="1"/>
  <c r="V3161" i="1"/>
  <c r="V392" i="1"/>
  <c r="V395" i="1"/>
  <c r="V407" i="1"/>
  <c r="V411" i="1"/>
  <c r="V400" i="1"/>
  <c r="V404" i="1"/>
  <c r="V416" i="1"/>
  <c r="V419" i="1"/>
  <c r="V428" i="1"/>
  <c r="V393" i="1"/>
  <c r="V405" i="1"/>
  <c r="V409" i="1"/>
  <c r="V421" i="1"/>
  <c r="V425" i="1"/>
  <c r="V410" i="1"/>
  <c r="V423" i="1"/>
  <c r="V414" i="1"/>
  <c r="V402" i="1"/>
  <c r="V426" i="1"/>
  <c r="V406" i="1"/>
  <c r="V2370" i="1"/>
  <c r="V2374" i="1"/>
  <c r="V2386" i="1"/>
  <c r="V2363" i="1"/>
  <c r="V2375" i="1"/>
  <c r="V2379" i="1"/>
  <c r="V2393" i="1"/>
  <c r="V2360" i="1"/>
  <c r="V2372" i="1"/>
  <c r="V2376" i="1"/>
  <c r="V2388" i="1"/>
  <c r="V2390" i="1"/>
  <c r="V2381" i="1"/>
  <c r="V2369" i="1"/>
  <c r="V2377" i="1"/>
  <c r="V2373" i="1"/>
  <c r="V2361" i="1"/>
  <c r="V2395" i="1"/>
  <c r="V1218" i="1"/>
  <c r="V1222" i="1"/>
  <c r="V1234" i="1"/>
  <c r="V1238" i="1"/>
  <c r="V1215" i="1"/>
  <c r="V1219" i="1"/>
  <c r="V1231" i="1"/>
  <c r="V1235" i="1"/>
  <c r="V1247" i="1"/>
  <c r="V1212" i="1"/>
  <c r="V1224" i="1"/>
  <c r="V1228" i="1"/>
  <c r="V1240" i="1"/>
  <c r="V1244" i="1"/>
  <c r="V1248" i="1"/>
  <c r="V1221" i="1"/>
  <c r="V1225" i="1"/>
  <c r="V1241" i="1"/>
  <c r="V1229" i="1"/>
  <c r="V3371" i="1"/>
  <c r="V3383" i="1"/>
  <c r="V3387" i="1"/>
  <c r="V3399" i="1"/>
  <c r="V3403" i="1"/>
  <c r="V3380" i="1"/>
  <c r="V3384" i="1"/>
  <c r="V3396" i="1"/>
  <c r="V3400" i="1"/>
  <c r="V3374" i="1"/>
  <c r="V3382" i="1"/>
  <c r="V3377" i="1"/>
  <c r="V3385" i="1"/>
  <c r="V3389" i="1"/>
  <c r="V3370" i="1"/>
  <c r="V3394" i="1"/>
  <c r="V3402" i="1"/>
  <c r="V3397" i="1"/>
  <c r="V2970" i="1"/>
  <c r="V2982" i="1"/>
  <c r="V2986" i="1"/>
  <c r="V2998" i="1"/>
  <c r="V3002" i="1"/>
  <c r="V2975" i="1"/>
  <c r="V2983" i="1"/>
  <c r="V2999" i="1"/>
  <c r="V3007" i="1"/>
  <c r="V2991" i="1"/>
  <c r="V3003" i="1"/>
  <c r="V2977" i="1"/>
  <c r="V2985" i="1"/>
  <c r="V3009" i="1"/>
  <c r="V2972" i="1"/>
  <c r="V2996" i="1"/>
  <c r="V3004" i="1"/>
  <c r="V2973" i="1"/>
  <c r="V2981" i="1"/>
  <c r="V3005" i="1"/>
  <c r="V3013" i="1"/>
  <c r="V3008" i="1"/>
  <c r="V3000" i="1"/>
  <c r="V1393" i="1"/>
  <c r="V1397" i="1"/>
  <c r="V1390" i="1"/>
  <c r="V1394" i="1"/>
  <c r="V1409" i="1"/>
  <c r="V1413" i="1"/>
  <c r="V1426" i="1"/>
  <c r="V1420" i="1"/>
  <c r="V1399" i="1"/>
  <c r="V1403" i="1"/>
  <c r="V1414" i="1"/>
  <c r="V1424" i="1"/>
  <c r="V1416" i="1"/>
  <c r="V1422" i="1"/>
  <c r="V1417" i="1"/>
  <c r="V1425" i="1"/>
  <c r="V1412" i="1"/>
  <c r="V1418" i="1"/>
  <c r="V1407" i="1"/>
  <c r="V50" i="1"/>
  <c r="V62" i="1"/>
  <c r="V66" i="1"/>
  <c r="V78" i="1"/>
  <c r="V82" i="1"/>
  <c r="V59" i="1"/>
  <c r="V63" i="1"/>
  <c r="V83" i="1"/>
  <c r="V87" i="1"/>
  <c r="V79" i="1"/>
  <c r="V49" i="1"/>
  <c r="V73" i="1"/>
  <c r="V81" i="1"/>
  <c r="V68" i="1"/>
  <c r="V76" i="1"/>
  <c r="V53" i="1"/>
  <c r="V61" i="1"/>
  <c r="V85" i="1"/>
  <c r="V48" i="1"/>
  <c r="V80" i="1"/>
  <c r="V962" i="1"/>
  <c r="V974" i="1"/>
  <c r="V978" i="1"/>
  <c r="V990" i="1"/>
  <c r="V994" i="1"/>
  <c r="V971" i="1"/>
  <c r="V975" i="1"/>
  <c r="V995" i="1"/>
  <c r="V979" i="1"/>
  <c r="V977" i="1"/>
  <c r="V985" i="1"/>
  <c r="V972" i="1"/>
  <c r="V980" i="1"/>
  <c r="V965" i="1"/>
  <c r="V973" i="1"/>
  <c r="V976" i="1"/>
  <c r="V968" i="1"/>
  <c r="V3689" i="1"/>
  <c r="V3693" i="1"/>
  <c r="V3705" i="1"/>
  <c r="V3709" i="1"/>
  <c r="V3684" i="1"/>
  <c r="V3690" i="1"/>
  <c r="V3706" i="1"/>
  <c r="V3711" i="1"/>
  <c r="V3691" i="1"/>
  <c r="V3696" i="1"/>
  <c r="V3712" i="1"/>
  <c r="V3718" i="1"/>
  <c r="V3703" i="1"/>
  <c r="V3714" i="1"/>
  <c r="V3698" i="1"/>
  <c r="V3708" i="1"/>
  <c r="V3694" i="1"/>
  <c r="V3710" i="1"/>
  <c r="AT8" i="1"/>
  <c r="AU8" i="1" s="1"/>
  <c r="V444" i="1"/>
  <c r="V448" i="1"/>
  <c r="V460" i="1"/>
  <c r="V464" i="1"/>
  <c r="V442" i="1"/>
  <c r="V447" i="1"/>
  <c r="V463" i="1"/>
  <c r="V469" i="1"/>
  <c r="V454" i="1"/>
  <c r="V459" i="1"/>
  <c r="V445" i="1"/>
  <c r="V450" i="1"/>
  <c r="V462" i="1"/>
  <c r="V455" i="1"/>
  <c r="V457" i="1"/>
  <c r="V473" i="1"/>
  <c r="V467" i="1"/>
  <c r="V3188" i="1"/>
  <c r="V3197" i="1"/>
  <c r="V3190" i="1"/>
  <c r="V3196" i="1"/>
  <c r="V3192" i="1"/>
  <c r="V3207" i="1"/>
  <c r="V3214" i="1"/>
  <c r="V3216" i="1"/>
  <c r="V3194" i="1"/>
  <c r="V3204" i="1"/>
  <c r="V3208" i="1"/>
  <c r="V3212" i="1"/>
  <c r="V3205" i="1"/>
  <c r="V3206" i="1"/>
  <c r="V3213" i="1"/>
  <c r="V3217" i="1"/>
  <c r="V3209" i="1"/>
  <c r="V3937" i="1"/>
  <c r="V3926" i="1"/>
  <c r="V3938" i="1"/>
  <c r="V3942" i="1"/>
  <c r="V3955" i="1"/>
  <c r="V3959" i="1"/>
  <c r="V3956" i="1"/>
  <c r="V3927" i="1"/>
  <c r="V3943" i="1"/>
  <c r="V3947" i="1"/>
  <c r="V3928" i="1"/>
  <c r="V3939" i="1"/>
  <c r="V3958" i="1"/>
  <c r="V3932" i="1"/>
  <c r="V3961" i="1"/>
  <c r="V3940" i="1"/>
  <c r="V3954" i="1"/>
  <c r="V3963" i="1"/>
  <c r="V3826" i="1"/>
  <c r="V3830" i="1"/>
  <c r="V3842" i="1"/>
  <c r="V3846" i="1"/>
  <c r="V3852" i="1"/>
  <c r="V3858" i="1"/>
  <c r="V3859" i="1"/>
  <c r="V3829" i="1"/>
  <c r="V3835" i="1"/>
  <c r="V3840" i="1"/>
  <c r="V3853" i="1"/>
  <c r="V3825" i="1"/>
  <c r="V3831" i="1"/>
  <c r="V3836" i="1"/>
  <c r="V3841" i="1"/>
  <c r="V3847" i="1"/>
  <c r="V3849" i="1"/>
  <c r="V3854" i="1"/>
  <c r="V3855" i="1"/>
  <c r="V3827" i="1"/>
  <c r="V3832" i="1"/>
  <c r="V3843" i="1"/>
  <c r="V3828" i="1"/>
  <c r="V3844" i="1"/>
  <c r="V3837" i="1"/>
  <c r="V3850" i="1"/>
  <c r="V3856" i="1"/>
  <c r="V3839" i="1"/>
  <c r="V3851" i="1"/>
  <c r="V3833" i="1"/>
  <c r="V3857" i="1"/>
  <c r="V2192" i="1"/>
  <c r="V2196" i="1"/>
  <c r="V2200" i="1"/>
  <c r="V2204" i="1"/>
  <c r="V2208" i="1"/>
  <c r="V2212" i="1"/>
  <c r="V2216" i="1"/>
  <c r="V2223" i="1"/>
  <c r="V2227" i="1"/>
  <c r="V2193" i="1"/>
  <c r="V2198" i="1"/>
  <c r="V2203" i="1"/>
  <c r="V2209" i="1"/>
  <c r="V2214" i="1"/>
  <c r="V2219" i="1"/>
  <c r="V2220" i="1"/>
  <c r="V2225" i="1"/>
  <c r="V2228" i="1"/>
  <c r="V2194" i="1"/>
  <c r="V2199" i="1"/>
  <c r="V2205" i="1"/>
  <c r="V2210" i="1"/>
  <c r="V2215" i="1"/>
  <c r="V2221" i="1"/>
  <c r="V2226" i="1"/>
  <c r="V2229" i="1"/>
  <c r="V2190" i="1"/>
  <c r="V2201" i="1"/>
  <c r="V2211" i="1"/>
  <c r="V2217" i="1"/>
  <c r="V2222" i="1"/>
  <c r="V2202" i="1"/>
  <c r="V2218" i="1"/>
  <c r="V2195" i="1"/>
  <c r="V2206" i="1"/>
  <c r="V2197" i="1"/>
  <c r="V2213" i="1"/>
  <c r="V2191" i="1"/>
  <c r="V2207" i="1"/>
  <c r="V2224" i="1"/>
  <c r="V2491" i="1"/>
  <c r="V2495" i="1"/>
  <c r="V2499" i="1"/>
  <c r="V2503" i="1"/>
  <c r="V2507" i="1"/>
  <c r="V2492" i="1"/>
  <c r="V2496" i="1"/>
  <c r="V2500" i="1"/>
  <c r="V2504" i="1"/>
  <c r="V2509" i="1"/>
  <c r="V2513" i="1"/>
  <c r="V2520" i="1"/>
  <c r="V2524" i="1"/>
  <c r="V2525" i="1"/>
  <c r="V2526" i="1"/>
  <c r="V2521" i="1"/>
  <c r="V2489" i="1"/>
  <c r="V2493" i="1"/>
  <c r="V2497" i="1"/>
  <c r="V2501" i="1"/>
  <c r="V2505" i="1"/>
  <c r="V2508" i="1"/>
  <c r="V2510" i="1"/>
  <c r="V2514" i="1"/>
  <c r="V2498" i="1"/>
  <c r="V2516" i="1"/>
  <c r="V2519" i="1"/>
  <c r="V2502" i="1"/>
  <c r="V2511" i="1"/>
  <c r="V2522" i="1"/>
  <c r="V2490" i="1"/>
  <c r="V2506" i="1"/>
  <c r="V2512" i="1"/>
  <c r="V2523" i="1"/>
  <c r="V2494" i="1"/>
  <c r="V2515" i="1"/>
  <c r="V2517" i="1"/>
  <c r="V2518" i="1"/>
  <c r="V288" i="1"/>
  <c r="V292" i="1"/>
  <c r="V296" i="1"/>
  <c r="V300" i="1"/>
  <c r="V304" i="1"/>
  <c r="V308" i="1"/>
  <c r="V312" i="1"/>
  <c r="V316" i="1"/>
  <c r="V320" i="1"/>
  <c r="V324" i="1"/>
  <c r="V328" i="1"/>
  <c r="V285" i="1"/>
  <c r="V289" i="1"/>
  <c r="V293" i="1"/>
  <c r="V297" i="1"/>
  <c r="V301" i="1"/>
  <c r="V305" i="1"/>
  <c r="V309" i="1"/>
  <c r="V313" i="1"/>
  <c r="V317" i="1"/>
  <c r="V321" i="1"/>
  <c r="V325" i="1"/>
  <c r="V329" i="1"/>
  <c r="V291" i="1"/>
  <c r="V299" i="1"/>
  <c r="V307" i="1"/>
  <c r="V315" i="1"/>
  <c r="V323" i="1"/>
  <c r="V331" i="1"/>
  <c r="V286" i="1"/>
  <c r="V294" i="1"/>
  <c r="V302" i="1"/>
  <c r="V310" i="1"/>
  <c r="V318" i="1"/>
  <c r="V326" i="1"/>
  <c r="V287" i="1"/>
  <c r="V295" i="1"/>
  <c r="V303" i="1"/>
  <c r="V311" i="1"/>
  <c r="V319" i="1"/>
  <c r="V327" i="1"/>
  <c r="V290" i="1"/>
  <c r="V298" i="1"/>
  <c r="V306" i="1"/>
  <c r="V314" i="1"/>
  <c r="V322" i="1"/>
  <c r="V330" i="1"/>
  <c r="AT14" i="1"/>
  <c r="AU14" i="1" s="1"/>
  <c r="V2924" i="1"/>
  <c r="V2928" i="1"/>
  <c r="V2932" i="1"/>
  <c r="V2936" i="1"/>
  <c r="V2940" i="1"/>
  <c r="V2944" i="1"/>
  <c r="V2948" i="1"/>
  <c r="V2952" i="1"/>
  <c r="V2956" i="1"/>
  <c r="V2929" i="1"/>
  <c r="V2933" i="1"/>
  <c r="V2941" i="1"/>
  <c r="V2945" i="1"/>
  <c r="V2953" i="1"/>
  <c r="V2957" i="1"/>
  <c r="V2925" i="1"/>
  <c r="V2937" i="1"/>
  <c r="V2949" i="1"/>
  <c r="V2927" i="1"/>
  <c r="V2935" i="1"/>
  <c r="V2943" i="1"/>
  <c r="V2951" i="1"/>
  <c r="V2930" i="1"/>
  <c r="V2938" i="1"/>
  <c r="V2946" i="1"/>
  <c r="V2954" i="1"/>
  <c r="V2955" i="1"/>
  <c r="V2942" i="1"/>
  <c r="V2958" i="1"/>
  <c r="V2923" i="1"/>
  <c r="V2931" i="1"/>
  <c r="V2939" i="1"/>
  <c r="V2947" i="1"/>
  <c r="V2934" i="1"/>
  <c r="V2926" i="1"/>
  <c r="V2950" i="1"/>
  <c r="AT4" i="1"/>
  <c r="AU4" i="1" s="1"/>
  <c r="V3451" i="1"/>
  <c r="V3455" i="1"/>
  <c r="V3459" i="1"/>
  <c r="V3463" i="1"/>
  <c r="V3467" i="1"/>
  <c r="V3471" i="1"/>
  <c r="V3475" i="1"/>
  <c r="V3479" i="1"/>
  <c r="V3483" i="1"/>
  <c r="V3487" i="1"/>
  <c r="V3456" i="1"/>
  <c r="V3460" i="1"/>
  <c r="V3468" i="1"/>
  <c r="V3472" i="1"/>
  <c r="V3480" i="1"/>
  <c r="V3484" i="1"/>
  <c r="V3452" i="1"/>
  <c r="V3464" i="1"/>
  <c r="V3476" i="1"/>
  <c r="V3454" i="1"/>
  <c r="V3462" i="1"/>
  <c r="V3470" i="1"/>
  <c r="V3478" i="1"/>
  <c r="V3486" i="1"/>
  <c r="V3457" i="1"/>
  <c r="V3465" i="1"/>
  <c r="V3473" i="1"/>
  <c r="V3481" i="1"/>
  <c r="V3450" i="1"/>
  <c r="V3458" i="1"/>
  <c r="V3466" i="1"/>
  <c r="V3474" i="1"/>
  <c r="V3482" i="1"/>
  <c r="V3453" i="1"/>
  <c r="V3469" i="1"/>
  <c r="V3485" i="1"/>
  <c r="V3461" i="1"/>
  <c r="V3477" i="1"/>
  <c r="AT9" i="1"/>
  <c r="AU9" i="1" s="1"/>
  <c r="V1262" i="1"/>
  <c r="V1266" i="1"/>
  <c r="V1270" i="1"/>
  <c r="V1263" i="1"/>
  <c r="V1268" i="1"/>
  <c r="V1259" i="1"/>
  <c r="V1264" i="1"/>
  <c r="V1269" i="1"/>
  <c r="V1274" i="1"/>
  <c r="V1278" i="1"/>
  <c r="V1281" i="1"/>
  <c r="V1285" i="1"/>
  <c r="V1260" i="1"/>
  <c r="V1265" i="1"/>
  <c r="V1271" i="1"/>
  <c r="V1275" i="1"/>
  <c r="V1279" i="1"/>
  <c r="V1282" i="1"/>
  <c r="V1267" i="1"/>
  <c r="V1277" i="1"/>
  <c r="V1284" i="1"/>
  <c r="V1287" i="1"/>
  <c r="V1272" i="1"/>
  <c r="V1286" i="1"/>
  <c r="V1273" i="1"/>
  <c r="V1280" i="1"/>
  <c r="V1261" i="1"/>
  <c r="V1276" i="1"/>
  <c r="V1283" i="1"/>
  <c r="V3277" i="1"/>
  <c r="V3281" i="1"/>
  <c r="V3285" i="1"/>
  <c r="V3289" i="1"/>
  <c r="V3293" i="1"/>
  <c r="V3297" i="1"/>
  <c r="V3301" i="1"/>
  <c r="V3278" i="1"/>
  <c r="V3282" i="1"/>
  <c r="V3286" i="1"/>
  <c r="V3290" i="1"/>
  <c r="V3294" i="1"/>
  <c r="V3298" i="1"/>
  <c r="V3302" i="1"/>
  <c r="V3307" i="1"/>
  <c r="V3311" i="1"/>
  <c r="V3312" i="1"/>
  <c r="V3279" i="1"/>
  <c r="V3283" i="1"/>
  <c r="V3287" i="1"/>
  <c r="V3291" i="1"/>
  <c r="V3295" i="1"/>
  <c r="V3299" i="1"/>
  <c r="V3303" i="1"/>
  <c r="V3308" i="1"/>
  <c r="V3292" i="1"/>
  <c r="V3310" i="1"/>
  <c r="V3280" i="1"/>
  <c r="V3296" i="1"/>
  <c r="V3305" i="1"/>
  <c r="V3284" i="1"/>
  <c r="V3300" i="1"/>
  <c r="V3306" i="1"/>
  <c r="V3288" i="1"/>
  <c r="V3304" i="1"/>
  <c r="V3309" i="1"/>
  <c r="V3313" i="1"/>
  <c r="V1924" i="1"/>
  <c r="V1928" i="1"/>
  <c r="V1932" i="1"/>
  <c r="V1936" i="1"/>
  <c r="V1940" i="1"/>
  <c r="V1944" i="1"/>
  <c r="V1948" i="1"/>
  <c r="V1952" i="1"/>
  <c r="V1925" i="1"/>
  <c r="V1929" i="1"/>
  <c r="V1933" i="1"/>
  <c r="V1937" i="1"/>
  <c r="V1941" i="1"/>
  <c r="V1945" i="1"/>
  <c r="V1949" i="1"/>
  <c r="V1953" i="1"/>
  <c r="V1955" i="1"/>
  <c r="V1959" i="1"/>
  <c r="V1926" i="1"/>
  <c r="V1930" i="1"/>
  <c r="V1934" i="1"/>
  <c r="V1938" i="1"/>
  <c r="V1942" i="1"/>
  <c r="V1946" i="1"/>
  <c r="V1950" i="1"/>
  <c r="V1956" i="1"/>
  <c r="V1931" i="1"/>
  <c r="V1947" i="1"/>
  <c r="V1954" i="1"/>
  <c r="V1935" i="1"/>
  <c r="V1951" i="1"/>
  <c r="V1957" i="1"/>
  <c r="V1939" i="1"/>
  <c r="V1958" i="1"/>
  <c r="V1943" i="1"/>
  <c r="V1927" i="1"/>
  <c r="AT17" i="1"/>
  <c r="AU17" i="1" s="1"/>
  <c r="V2153" i="1"/>
  <c r="V2157" i="1"/>
  <c r="V2161" i="1"/>
  <c r="V2165" i="1"/>
  <c r="V2169" i="1"/>
  <c r="V2173" i="1"/>
  <c r="V2177" i="1"/>
  <c r="V2180" i="1"/>
  <c r="V2156" i="1"/>
  <c r="V2162" i="1"/>
  <c r="V2167" i="1"/>
  <c r="V2172" i="1"/>
  <c r="V2178" i="1"/>
  <c r="V2158" i="1"/>
  <c r="V2163" i="1"/>
  <c r="V2168" i="1"/>
  <c r="V2174" i="1"/>
  <c r="V2179" i="1"/>
  <c r="V2159" i="1"/>
  <c r="V2170" i="1"/>
  <c r="V2154" i="1"/>
  <c r="V2164" i="1"/>
  <c r="V2175" i="1"/>
  <c r="V2166" i="1"/>
  <c r="V2171" i="1"/>
  <c r="V2155" i="1"/>
  <c r="V2176" i="1"/>
  <c r="V2160" i="1"/>
  <c r="V3543" i="1"/>
  <c r="V3546" i="1"/>
  <c r="V3550" i="1"/>
  <c r="V3557" i="1"/>
  <c r="V3561" i="1"/>
  <c r="V3565" i="1"/>
  <c r="V3566" i="1"/>
  <c r="V3568" i="1"/>
  <c r="V3575" i="1"/>
  <c r="V3579" i="1"/>
  <c r="V3547" i="1"/>
  <c r="V3552" i="1"/>
  <c r="V3555" i="1"/>
  <c r="V3560" i="1"/>
  <c r="V3570" i="1"/>
  <c r="V3576" i="1"/>
  <c r="V3578" i="1"/>
  <c r="V3548" i="1"/>
  <c r="V3553" i="1"/>
  <c r="V3556" i="1"/>
  <c r="V3562" i="1"/>
  <c r="V3571" i="1"/>
  <c r="V3580" i="1"/>
  <c r="V3544" i="1"/>
  <c r="V3558" i="1"/>
  <c r="V3567" i="1"/>
  <c r="V3559" i="1"/>
  <c r="V3569" i="1"/>
  <c r="V3572" i="1"/>
  <c r="V3577" i="1"/>
  <c r="V3549" i="1"/>
  <c r="V3554" i="1"/>
  <c r="V3563" i="1"/>
  <c r="V3573" i="1"/>
  <c r="V3581" i="1"/>
  <c r="V3551" i="1"/>
  <c r="V3564" i="1"/>
  <c r="V3545" i="1"/>
  <c r="V3574" i="1"/>
  <c r="V1781" i="1"/>
  <c r="V1785" i="1"/>
  <c r="V1789" i="1"/>
  <c r="V1793" i="1"/>
  <c r="V1797" i="1"/>
  <c r="V1801" i="1"/>
  <c r="V1805" i="1"/>
  <c r="V1809" i="1"/>
  <c r="V1813" i="1"/>
  <c r="V1817" i="1"/>
  <c r="V1821" i="1"/>
  <c r="V1782" i="1"/>
  <c r="V1790" i="1"/>
  <c r="V1794" i="1"/>
  <c r="V1802" i="1"/>
  <c r="V1806" i="1"/>
  <c r="V1814" i="1"/>
  <c r="V1822" i="1"/>
  <c r="V1786" i="1"/>
  <c r="V1798" i="1"/>
  <c r="V1810" i="1"/>
  <c r="V1818" i="1"/>
  <c r="V1780" i="1"/>
  <c r="V1788" i="1"/>
  <c r="V1796" i="1"/>
  <c r="V1804" i="1"/>
  <c r="V1812" i="1"/>
  <c r="V1820" i="1"/>
  <c r="V1783" i="1"/>
  <c r="V1791" i="1"/>
  <c r="V1799" i="1"/>
  <c r="V1807" i="1"/>
  <c r="V1815" i="1"/>
  <c r="V1823" i="1"/>
  <c r="V1795" i="1"/>
  <c r="V1819" i="1"/>
  <c r="V1784" i="1"/>
  <c r="V1792" i="1"/>
  <c r="V1800" i="1"/>
  <c r="V1808" i="1"/>
  <c r="V1816" i="1"/>
  <c r="V1787" i="1"/>
  <c r="V1811" i="1"/>
  <c r="V1779" i="1"/>
  <c r="V1803" i="1"/>
  <c r="V594" i="1"/>
  <c r="V601" i="1"/>
  <c r="V605" i="1"/>
  <c r="V609" i="1"/>
  <c r="V613" i="1"/>
  <c r="V617" i="1"/>
  <c r="V625" i="1"/>
  <c r="V629" i="1"/>
  <c r="V598" i="1"/>
  <c r="V602" i="1"/>
  <c r="V610" i="1"/>
  <c r="V618" i="1"/>
  <c r="V626" i="1"/>
  <c r="V595" i="1"/>
  <c r="V606" i="1"/>
  <c r="V614" i="1"/>
  <c r="V622" i="1"/>
  <c r="V600" i="1"/>
  <c r="V608" i="1"/>
  <c r="V616" i="1"/>
  <c r="V624" i="1"/>
  <c r="V596" i="1"/>
  <c r="V603" i="1"/>
  <c r="V611" i="1"/>
  <c r="V619" i="1"/>
  <c r="V627" i="1"/>
  <c r="V630" i="1"/>
  <c r="V612" i="1"/>
  <c r="V620" i="1"/>
  <c r="V628" i="1"/>
  <c r="V631" i="1"/>
  <c r="V599" i="1"/>
  <c r="V621" i="1"/>
  <c r="V597" i="1"/>
  <c r="V604" i="1"/>
  <c r="V632" i="1"/>
  <c r="V607" i="1"/>
  <c r="V623" i="1"/>
  <c r="V615" i="1"/>
  <c r="V3869" i="1"/>
  <c r="V3870" i="1"/>
  <c r="V3874" i="1"/>
  <c r="V3878" i="1"/>
  <c r="V3882" i="1"/>
  <c r="V3886" i="1"/>
  <c r="V3890" i="1"/>
  <c r="V3894" i="1"/>
  <c r="V3871" i="1"/>
  <c r="V3875" i="1"/>
  <c r="V3879" i="1"/>
  <c r="V3883" i="1"/>
  <c r="V3887" i="1"/>
  <c r="V3891" i="1"/>
  <c r="V3895" i="1"/>
  <c r="V3900" i="1"/>
  <c r="V3904" i="1"/>
  <c r="V3872" i="1"/>
  <c r="V3876" i="1"/>
  <c r="V3880" i="1"/>
  <c r="V3884" i="1"/>
  <c r="V3888" i="1"/>
  <c r="V3892" i="1"/>
  <c r="V3896" i="1"/>
  <c r="V3897" i="1"/>
  <c r="V3901" i="1"/>
  <c r="V3905" i="1"/>
  <c r="V3873" i="1"/>
  <c r="V3889" i="1"/>
  <c r="V3903" i="1"/>
  <c r="V3877" i="1"/>
  <c r="V3893" i="1"/>
  <c r="V3898" i="1"/>
  <c r="V3881" i="1"/>
  <c r="V3899" i="1"/>
  <c r="V3885" i="1"/>
  <c r="V3902" i="1"/>
  <c r="V1886" i="1"/>
  <c r="V1884" i="1"/>
  <c r="V1887" i="1"/>
  <c r="V1890" i="1"/>
  <c r="V1894" i="1"/>
  <c r="V1898" i="1"/>
  <c r="V1902" i="1"/>
  <c r="V1906" i="1"/>
  <c r="V1910" i="1"/>
  <c r="V1891" i="1"/>
  <c r="V1895" i="1"/>
  <c r="V1899" i="1"/>
  <c r="V1903" i="1"/>
  <c r="V1907" i="1"/>
  <c r="V1911" i="1"/>
  <c r="V1915" i="1"/>
  <c r="V1919" i="1"/>
  <c r="V1923" i="1"/>
  <c r="V1888" i="1"/>
  <c r="V1892" i="1"/>
  <c r="V1896" i="1"/>
  <c r="V1900" i="1"/>
  <c r="V1904" i="1"/>
  <c r="V1908" i="1"/>
  <c r="V1912" i="1"/>
  <c r="V1914" i="1"/>
  <c r="V1916" i="1"/>
  <c r="V1901" i="1"/>
  <c r="V1918" i="1"/>
  <c r="V1922" i="1"/>
  <c r="V1889" i="1"/>
  <c r="V1905" i="1"/>
  <c r="V1920" i="1"/>
  <c r="V1893" i="1"/>
  <c r="V1909" i="1"/>
  <c r="V1921" i="1"/>
  <c r="V1885" i="1"/>
  <c r="V1897" i="1"/>
  <c r="V1913" i="1"/>
  <c r="V1917" i="1"/>
  <c r="V2620" i="1"/>
  <c r="V2622" i="1"/>
  <c r="V2624" i="1"/>
  <c r="V2626" i="1"/>
  <c r="V2623" i="1"/>
  <c r="V2625" i="1"/>
  <c r="V2627" i="1"/>
  <c r="V2628" i="1"/>
  <c r="V2621" i="1"/>
  <c r="V2629" i="1"/>
  <c r="V2631" i="1"/>
  <c r="V2635" i="1"/>
  <c r="V2639" i="1"/>
  <c r="V2643" i="1"/>
  <c r="V2647" i="1"/>
  <c r="V2651" i="1"/>
  <c r="V2655" i="1"/>
  <c r="V2632" i="1"/>
  <c r="V2636" i="1"/>
  <c r="V2640" i="1"/>
  <c r="V2644" i="1"/>
  <c r="V2648" i="1"/>
  <c r="V2652" i="1"/>
  <c r="V2656" i="1"/>
  <c r="V2660" i="1"/>
  <c r="V2633" i="1"/>
  <c r="V2637" i="1"/>
  <c r="V2641" i="1"/>
  <c r="V2645" i="1"/>
  <c r="V2649" i="1"/>
  <c r="V2653" i="1"/>
  <c r="V2657" i="1"/>
  <c r="V2661" i="1"/>
  <c r="V2638" i="1"/>
  <c r="V2654" i="1"/>
  <c r="V2663" i="1"/>
  <c r="V2642" i="1"/>
  <c r="V2658" i="1"/>
  <c r="V2634" i="1"/>
  <c r="V2662" i="1"/>
  <c r="V2664" i="1"/>
  <c r="V2630" i="1"/>
  <c r="V2646" i="1"/>
  <c r="V2659" i="1"/>
  <c r="V2650" i="1"/>
  <c r="V1053" i="1"/>
  <c r="V1057" i="1"/>
  <c r="V1061" i="1"/>
  <c r="V1065" i="1"/>
  <c r="V1069" i="1"/>
  <c r="V1073" i="1"/>
  <c r="V1077" i="1"/>
  <c r="V1081" i="1"/>
  <c r="V1085" i="1"/>
  <c r="V1089" i="1"/>
  <c r="V1093" i="1"/>
  <c r="V1097" i="1"/>
  <c r="V1052" i="1"/>
  <c r="V1058" i="1"/>
  <c r="V1063" i="1"/>
  <c r="V1068" i="1"/>
  <c r="V1074" i="1"/>
  <c r="V1079" i="1"/>
  <c r="V1084" i="1"/>
  <c r="V1090" i="1"/>
  <c r="V1095" i="1"/>
  <c r="V1054" i="1"/>
  <c r="V1059" i="1"/>
  <c r="V1064" i="1"/>
  <c r="V1070" i="1"/>
  <c r="V1075" i="1"/>
  <c r="V1080" i="1"/>
  <c r="V1086" i="1"/>
  <c r="V1091" i="1"/>
  <c r="V1096" i="1"/>
  <c r="V1060" i="1"/>
  <c r="V1066" i="1"/>
  <c r="V1076" i="1"/>
  <c r="V1082" i="1"/>
  <c r="V1092" i="1"/>
  <c r="V1051" i="1"/>
  <c r="V1067" i="1"/>
  <c r="V1083" i="1"/>
  <c r="V1055" i="1"/>
  <c r="V1071" i="1"/>
  <c r="V1087" i="1"/>
  <c r="V1056" i="1"/>
  <c r="V1072" i="1"/>
  <c r="V1088" i="1"/>
  <c r="V1062" i="1"/>
  <c r="V1078" i="1"/>
  <c r="V1094" i="1"/>
  <c r="V3595" i="1" l="1"/>
  <c r="V244" i="1"/>
  <c r="V1448" i="1"/>
  <c r="V1458" i="1"/>
  <c r="V2743" i="1"/>
  <c r="V2742" i="1"/>
  <c r="V1357" i="1"/>
  <c r="V1359" i="1"/>
  <c r="V2138" i="1"/>
  <c r="V914" i="1"/>
  <c r="V936" i="1"/>
  <c r="V1552" i="1"/>
  <c r="V829" i="1"/>
  <c r="V838" i="1"/>
  <c r="V3757" i="1"/>
  <c r="V3755" i="1"/>
  <c r="V103" i="1"/>
  <c r="V653" i="1"/>
  <c r="V175" i="1"/>
  <c r="V156" i="1"/>
  <c r="V3323" i="1"/>
  <c r="V3345" i="1"/>
  <c r="V378" i="1"/>
  <c r="V192" i="1"/>
  <c r="V193" i="1"/>
  <c r="V3787" i="1"/>
  <c r="V2471" i="1"/>
  <c r="V2474" i="1"/>
  <c r="V28" i="1"/>
  <c r="V3045" i="1"/>
  <c r="V2536" i="1"/>
  <c r="V2553" i="1"/>
  <c r="V1755" i="1"/>
  <c r="V1733" i="1"/>
  <c r="V2031" i="1"/>
  <c r="V1134" i="1"/>
  <c r="V699" i="1"/>
  <c r="V1027" i="1"/>
  <c r="V1005" i="1"/>
  <c r="V3122" i="1"/>
  <c r="V3506" i="1"/>
  <c r="V2835" i="1"/>
  <c r="V487" i="1"/>
  <c r="V1613" i="1"/>
  <c r="V1170" i="1"/>
  <c r="V871" i="1"/>
  <c r="V889" i="1"/>
  <c r="V1706" i="1"/>
  <c r="V2285" i="1"/>
  <c r="V3262" i="1"/>
  <c r="V1660" i="1"/>
  <c r="V1659" i="1"/>
  <c r="V2596" i="1"/>
  <c r="V2608" i="1"/>
  <c r="V2438" i="1"/>
  <c r="V522" i="1"/>
  <c r="V2263" i="1"/>
  <c r="V553" i="1"/>
  <c r="V550" i="1"/>
  <c r="V2787" i="1"/>
  <c r="V2000" i="1"/>
  <c r="V1332" i="1"/>
  <c r="V1334" i="1"/>
  <c r="V2344" i="1"/>
  <c r="V1305" i="1"/>
  <c r="V1530" i="1"/>
  <c r="V3221" i="1"/>
  <c r="V2396" i="1"/>
  <c r="V1445" i="1"/>
  <c r="V1249" i="1"/>
  <c r="AT10" i="1"/>
  <c r="AU10" i="1" s="1"/>
  <c r="V1480" i="1"/>
  <c r="V2538" i="1"/>
  <c r="V1288" i="1"/>
  <c r="V3236" i="1"/>
  <c r="V807" i="1"/>
  <c r="V486" i="1"/>
  <c r="V3582" i="1"/>
  <c r="V88" i="1"/>
  <c r="V1770" i="1"/>
  <c r="V38" i="1"/>
  <c r="V647" i="1"/>
  <c r="AT18" i="1"/>
  <c r="AU18" i="1" s="1"/>
  <c r="V2007" i="1"/>
  <c r="V3677" i="1"/>
  <c r="V3678" i="1"/>
  <c r="V3679" i="1"/>
  <c r="V3683" i="1"/>
  <c r="V3682" i="1"/>
  <c r="V3681" i="1"/>
  <c r="V3680" i="1"/>
  <c r="V3637" i="1"/>
  <c r="V3652" i="1"/>
  <c r="V3669" i="1"/>
  <c r="V3658" i="1"/>
  <c r="V3642" i="1"/>
  <c r="V3664" i="1"/>
  <c r="V3638" i="1"/>
  <c r="V3666" i="1"/>
  <c r="V3648" i="1"/>
  <c r="V3644" i="1"/>
  <c r="V3676" i="1"/>
  <c r="V3641" i="1"/>
  <c r="V3656" i="1"/>
  <c r="V3640" i="1"/>
  <c r="V3663" i="1"/>
  <c r="V3647" i="1"/>
  <c r="V3671" i="1"/>
  <c r="V3643" i="1"/>
  <c r="V3673" i="1"/>
  <c r="V3636" i="1"/>
  <c r="V3651" i="1"/>
  <c r="V3916" i="1"/>
  <c r="V3921" i="1"/>
  <c r="V3923" i="1"/>
  <c r="V3920" i="1"/>
  <c r="V3925" i="1"/>
  <c r="V3919" i="1"/>
  <c r="V3917" i="1"/>
  <c r="V3922" i="1"/>
  <c r="V966" i="1"/>
  <c r="V982" i="1"/>
  <c r="V963" i="1"/>
  <c r="V983" i="1"/>
  <c r="V991" i="1"/>
  <c r="V993" i="1"/>
  <c r="V988" i="1"/>
  <c r="V981" i="1"/>
  <c r="V984" i="1"/>
  <c r="V970" i="1"/>
  <c r="V986" i="1"/>
  <c r="V967" i="1"/>
  <c r="V987" i="1"/>
  <c r="V969" i="1"/>
  <c r="V964" i="1"/>
  <c r="V992" i="1"/>
  <c r="V989" i="1"/>
  <c r="V996" i="1"/>
  <c r="V3742" i="1"/>
  <c r="V3758" i="1"/>
  <c r="V3739" i="1"/>
  <c r="V3763" i="1"/>
  <c r="V3729" i="1"/>
  <c r="V3761" i="1"/>
  <c r="V3756" i="1"/>
  <c r="V3733" i="1"/>
  <c r="V3765" i="1"/>
  <c r="V2534" i="1"/>
  <c r="V2550" i="1"/>
  <c r="V2566" i="1"/>
  <c r="V2551" i="1"/>
  <c r="V2527" i="1"/>
  <c r="V2529" i="1"/>
  <c r="V2561" i="1"/>
  <c r="V2548" i="1"/>
  <c r="V2568" i="1"/>
  <c r="V2557" i="1"/>
  <c r="V2552" i="1"/>
  <c r="V3592" i="1"/>
  <c r="V3591" i="1"/>
  <c r="V3607" i="1"/>
  <c r="V3624" i="1"/>
  <c r="V3604" i="1"/>
  <c r="V3613" i="1"/>
  <c r="V3600" i="1"/>
  <c r="V3590" i="1"/>
  <c r="V3610" i="1"/>
  <c r="V3596" i="1"/>
  <c r="V3594" i="1"/>
  <c r="V3611" i="1"/>
  <c r="V3615" i="1"/>
  <c r="V3608" i="1"/>
  <c r="V3621" i="1"/>
  <c r="V3609" i="1"/>
  <c r="V3620" i="1"/>
  <c r="V3617" i="1"/>
  <c r="V3627" i="1"/>
  <c r="V3597" i="1"/>
  <c r="V3603" i="1"/>
  <c r="V3618" i="1"/>
  <c r="V3599" i="1"/>
  <c r="V3606" i="1"/>
  <c r="V3593" i="1"/>
  <c r="V3622" i="1"/>
  <c r="V3817" i="1"/>
  <c r="V3816" i="1"/>
  <c r="V3819" i="1"/>
  <c r="V3815" i="1"/>
  <c r="V3818" i="1"/>
  <c r="V3823" i="1"/>
  <c r="V3821" i="1"/>
  <c r="V3822" i="1"/>
  <c r="V3820" i="1"/>
  <c r="V3779" i="1"/>
  <c r="V3789" i="1"/>
  <c r="V3805" i="1"/>
  <c r="V3813" i="1"/>
  <c r="V3794" i="1"/>
  <c r="V3792" i="1"/>
  <c r="V3799" i="1"/>
  <c r="V3796" i="1"/>
  <c r="V3782" i="1"/>
  <c r="V3780" i="1"/>
  <c r="V3793" i="1"/>
  <c r="V3812" i="1"/>
  <c r="V3785" i="1"/>
  <c r="V3798" i="1"/>
  <c r="V3804" i="1"/>
  <c r="V3807" i="1"/>
  <c r="V3800" i="1"/>
  <c r="V3803" i="1"/>
  <c r="V3814" i="1"/>
  <c r="V3781" i="1"/>
  <c r="V3784" i="1"/>
  <c r="V3801" i="1"/>
  <c r="V3809" i="1"/>
  <c r="V3790" i="1"/>
  <c r="V3783" i="1"/>
  <c r="V3795" i="1"/>
  <c r="V3788" i="1"/>
  <c r="V3811" i="1"/>
  <c r="V498" i="1"/>
  <c r="V495" i="1"/>
  <c r="V491" i="1"/>
  <c r="V483" i="1"/>
  <c r="V497" i="1"/>
  <c r="V952" i="1"/>
  <c r="V915" i="1"/>
  <c r="V931" i="1"/>
  <c r="V947" i="1"/>
  <c r="V928" i="1"/>
  <c r="V912" i="1"/>
  <c r="V910" i="1"/>
  <c r="V942" i="1"/>
  <c r="V929" i="1"/>
  <c r="V949" i="1"/>
  <c r="V930" i="1"/>
  <c r="V941" i="1"/>
  <c r="V951" i="1"/>
  <c r="V919" i="1"/>
  <c r="V935" i="1"/>
  <c r="V908" i="1"/>
  <c r="V932" i="1"/>
  <c r="V924" i="1"/>
  <c r="V918" i="1"/>
  <c r="V950" i="1"/>
  <c r="V937" i="1"/>
  <c r="V906" i="1"/>
  <c r="V938" i="1"/>
  <c r="V909" i="1"/>
  <c r="V911" i="1"/>
  <c r="V927" i="1"/>
  <c r="V943" i="1"/>
  <c r="V920" i="1"/>
  <c r="V944" i="1"/>
  <c r="V948" i="1"/>
  <c r="V934" i="1"/>
  <c r="V921" i="1"/>
  <c r="V925" i="1"/>
  <c r="V922" i="1"/>
  <c r="V917" i="1"/>
  <c r="V1971" i="1"/>
  <c r="V1987" i="1"/>
  <c r="V2003" i="1"/>
  <c r="V1990" i="1"/>
  <c r="V1976" i="1"/>
  <c r="V1997" i="1"/>
  <c r="V1993" i="1"/>
  <c r="V1972" i="1"/>
  <c r="V1989" i="1"/>
  <c r="V678" i="1"/>
  <c r="V643" i="1"/>
  <c r="V659" i="1"/>
  <c r="V677" i="1"/>
  <c r="V656" i="1"/>
  <c r="V672" i="1"/>
  <c r="V662" i="1"/>
  <c r="V657" i="1"/>
  <c r="V650" i="1"/>
  <c r="V675" i="1"/>
  <c r="V2750" i="1"/>
  <c r="V2752" i="1"/>
  <c r="V2757" i="1"/>
  <c r="V2751" i="1"/>
  <c r="V2753" i="1"/>
  <c r="V2749" i="1"/>
  <c r="V2755" i="1"/>
  <c r="V2754" i="1"/>
  <c r="V2756" i="1"/>
  <c r="V2717" i="1"/>
  <c r="V2733" i="1"/>
  <c r="V2706" i="1"/>
  <c r="V2730" i="1"/>
  <c r="V2710" i="1"/>
  <c r="V2708" i="1"/>
  <c r="V2740" i="1"/>
  <c r="V2727" i="1"/>
  <c r="V2723" i="1"/>
  <c r="V2720" i="1"/>
  <c r="V2715" i="1"/>
  <c r="V2705" i="1"/>
  <c r="V2721" i="1"/>
  <c r="V2737" i="1"/>
  <c r="V2714" i="1"/>
  <c r="V2738" i="1"/>
  <c r="V2722" i="1"/>
  <c r="V2716" i="1"/>
  <c r="V2703" i="1"/>
  <c r="V2735" i="1"/>
  <c r="V2739" i="1"/>
  <c r="V2728" i="1"/>
  <c r="V2731" i="1"/>
  <c r="V2748" i="1"/>
  <c r="V2713" i="1"/>
  <c r="V2729" i="1"/>
  <c r="V2745" i="1"/>
  <c r="V2726" i="1"/>
  <c r="V2702" i="1"/>
  <c r="V2746" i="1"/>
  <c r="V2732" i="1"/>
  <c r="V2719" i="1"/>
  <c r="V2707" i="1"/>
  <c r="V2712" i="1"/>
  <c r="V2744" i="1"/>
  <c r="V250" i="1"/>
  <c r="V266" i="1"/>
  <c r="V247" i="1"/>
  <c r="V271" i="1"/>
  <c r="V241" i="1"/>
  <c r="V273" i="1"/>
  <c r="V260" i="1"/>
  <c r="V237" i="1"/>
  <c r="V269" i="1"/>
  <c r="V238" i="1"/>
  <c r="V254" i="1"/>
  <c r="V270" i="1"/>
  <c r="V251" i="1"/>
  <c r="V243" i="1"/>
  <c r="V249" i="1"/>
  <c r="V236" i="1"/>
  <c r="V268" i="1"/>
  <c r="V245" i="1"/>
  <c r="V240" i="1"/>
  <c r="V246" i="1"/>
  <c r="V262" i="1"/>
  <c r="V239" i="1"/>
  <c r="V263" i="1"/>
  <c r="V267" i="1"/>
  <c r="V265" i="1"/>
  <c r="V252" i="1"/>
  <c r="V272" i="1"/>
  <c r="V261" i="1"/>
  <c r="V248" i="1"/>
  <c r="V1338" i="1"/>
  <c r="V1301" i="1"/>
  <c r="V1317" i="1"/>
  <c r="V1333" i="1"/>
  <c r="V1314" i="1"/>
  <c r="V1302" i="1"/>
  <c r="V1304" i="1"/>
  <c r="V1336" i="1"/>
  <c r="V1323" i="1"/>
  <c r="V1308" i="1"/>
  <c r="V1311" i="1"/>
  <c r="V133" i="1"/>
  <c r="V97" i="1"/>
  <c r="V113" i="1"/>
  <c r="V129" i="1"/>
  <c r="V118" i="1"/>
  <c r="V110" i="1"/>
  <c r="V116" i="1"/>
  <c r="V119" i="1"/>
  <c r="V96" i="1"/>
  <c r="V128" i="1"/>
  <c r="V132" i="1"/>
  <c r="V101" i="1"/>
  <c r="V117" i="1"/>
  <c r="V102" i="1"/>
  <c r="V126" i="1"/>
  <c r="V122" i="1"/>
  <c r="V124" i="1"/>
  <c r="V127" i="1"/>
  <c r="V104" i="1"/>
  <c r="V115" i="1"/>
  <c r="V109" i="1"/>
  <c r="V125" i="1"/>
  <c r="V114" i="1"/>
  <c r="V98" i="1"/>
  <c r="V108" i="1"/>
  <c r="V111" i="1"/>
  <c r="V131" i="1"/>
  <c r="V120" i="1"/>
  <c r="V123" i="1"/>
  <c r="V1045" i="1"/>
  <c r="V1044" i="1"/>
  <c r="V1046" i="1"/>
  <c r="V1043" i="1"/>
  <c r="V1050" i="1"/>
  <c r="V1047" i="1"/>
  <c r="V1048" i="1"/>
  <c r="V1049" i="1"/>
  <c r="V1010" i="1"/>
  <c r="V1007" i="1"/>
  <c r="V1025" i="1"/>
  <c r="V1030" i="1"/>
  <c r="V1026" i="1"/>
  <c r="V1028" i="1"/>
  <c r="V1022" i="1"/>
  <c r="V1015" i="1"/>
  <c r="V1040" i="1"/>
  <c r="V1009" i="1"/>
  <c r="V1016" i="1"/>
  <c r="V1029" i="1"/>
  <c r="V1008" i="1"/>
  <c r="V1036" i="1"/>
  <c r="V1034" i="1"/>
  <c r="V1031" i="1"/>
  <c r="V1023" i="1"/>
  <c r="V1012" i="1"/>
  <c r="V1042" i="1"/>
  <c r="V1006" i="1"/>
  <c r="V1013" i="1"/>
  <c r="V1024" i="1"/>
  <c r="V1039" i="1"/>
  <c r="V1021" i="1"/>
  <c r="V1019" i="1"/>
  <c r="V1014" i="1"/>
  <c r="V1037" i="1"/>
  <c r="V1018" i="1"/>
  <c r="V1033" i="1"/>
  <c r="V2239" i="1"/>
  <c r="V2249" i="1"/>
  <c r="V2245" i="1"/>
  <c r="V2264" i="1"/>
  <c r="V2268" i="1"/>
  <c r="V2262" i="1"/>
  <c r="V2250" i="1"/>
  <c r="V2252" i="1"/>
  <c r="V2270" i="1"/>
  <c r="V2242" i="1"/>
  <c r="V2238" i="1"/>
  <c r="V2253" i="1"/>
  <c r="V2266" i="1"/>
  <c r="V2246" i="1"/>
  <c r="V2240" i="1"/>
  <c r="V2255" i="1"/>
  <c r="V2259" i="1"/>
  <c r="V2247" i="1"/>
  <c r="V2244" i="1"/>
  <c r="V2251" i="1"/>
  <c r="V2261" i="1"/>
  <c r="V2267" i="1"/>
  <c r="V2257" i="1"/>
  <c r="V2265" i="1"/>
  <c r="V2269" i="1"/>
  <c r="V1210" i="1"/>
  <c r="V1226" i="1"/>
  <c r="V1242" i="1"/>
  <c r="V1223" i="1"/>
  <c r="V1239" i="1"/>
  <c r="V1216" i="1"/>
  <c r="V1232" i="1"/>
  <c r="V1217" i="1"/>
  <c r="V1237" i="1"/>
  <c r="V1246" i="1"/>
  <c r="V1214" i="1"/>
  <c r="V1230" i="1"/>
  <c r="V1211" i="1"/>
  <c r="V1227" i="1"/>
  <c r="V1243" i="1"/>
  <c r="V1220" i="1"/>
  <c r="V1236" i="1"/>
  <c r="V1233" i="1"/>
  <c r="V1213" i="1"/>
  <c r="V1245" i="1"/>
  <c r="V2181" i="1"/>
  <c r="V2182" i="1"/>
  <c r="V3152" i="1"/>
  <c r="V3168" i="1"/>
  <c r="V3151" i="1"/>
  <c r="V3173" i="1"/>
  <c r="V3158" i="1"/>
  <c r="V3149" i="1"/>
  <c r="V3170" i="1"/>
  <c r="V3145" i="1"/>
  <c r="V3171" i="1"/>
  <c r="V3156" i="1"/>
  <c r="V3172" i="1"/>
  <c r="V3157" i="1"/>
  <c r="V3178" i="1"/>
  <c r="V3163" i="1"/>
  <c r="V3154" i="1"/>
  <c r="V3175" i="1"/>
  <c r="V3150" i="1"/>
  <c r="V6" i="1"/>
  <c r="V2" i="1"/>
  <c r="V19" i="1"/>
  <c r="V32" i="1"/>
  <c r="V12" i="1"/>
  <c r="V33" i="1"/>
  <c r="V35" i="1"/>
  <c r="V20" i="1"/>
  <c r="V17" i="1"/>
  <c r="V744" i="1"/>
  <c r="V735" i="1"/>
  <c r="V729" i="1"/>
  <c r="V740" i="1"/>
  <c r="V737" i="1"/>
  <c r="V335" i="1"/>
  <c r="V334" i="1"/>
  <c r="V339" i="1"/>
  <c r="V336" i="1"/>
  <c r="V340" i="1"/>
  <c r="V337" i="1"/>
  <c r="V341" i="1"/>
  <c r="V338" i="1"/>
  <c r="V332" i="1"/>
  <c r="V333" i="1"/>
  <c r="V2864" i="1"/>
  <c r="V2861" i="1"/>
  <c r="V2858" i="1"/>
  <c r="V2863" i="1"/>
  <c r="V2852" i="1"/>
  <c r="V2849" i="1"/>
  <c r="V2865" i="1"/>
  <c r="V2862" i="1"/>
  <c r="V2855" i="1"/>
  <c r="V720" i="1"/>
  <c r="V722" i="1"/>
  <c r="V721" i="1"/>
  <c r="V723" i="1"/>
  <c r="V724" i="1"/>
  <c r="V726" i="1"/>
  <c r="V727" i="1"/>
  <c r="V725" i="1"/>
  <c r="V719" i="1"/>
  <c r="V687" i="1"/>
  <c r="V694" i="1"/>
  <c r="V710" i="1"/>
  <c r="V691" i="1"/>
  <c r="V703" i="1"/>
  <c r="V689" i="1"/>
  <c r="V708" i="1"/>
  <c r="V709" i="1"/>
  <c r="V688" i="1"/>
  <c r="V697" i="1"/>
  <c r="V714" i="1"/>
  <c r="V695" i="1"/>
  <c r="V707" i="1"/>
  <c r="V700" i="1"/>
  <c r="V716" i="1"/>
  <c r="V717" i="1"/>
  <c r="V693" i="1"/>
  <c r="V706" i="1"/>
  <c r="V692" i="1"/>
  <c r="V702" i="1"/>
  <c r="V715" i="1"/>
  <c r="V713" i="1"/>
  <c r="V696" i="1"/>
  <c r="V704" i="1"/>
  <c r="V3375" i="1"/>
  <c r="V3391" i="1"/>
  <c r="V3372" i="1"/>
  <c r="V3388" i="1"/>
  <c r="V3404" i="1"/>
  <c r="V3390" i="1"/>
  <c r="V3393" i="1"/>
  <c r="V3378" i="1"/>
  <c r="V3381" i="1"/>
  <c r="V3379" i="1"/>
  <c r="V3395" i="1"/>
  <c r="V3376" i="1"/>
  <c r="V3392" i="1"/>
  <c r="V3405" i="1"/>
  <c r="V3398" i="1"/>
  <c r="V3401" i="1"/>
  <c r="V3386" i="1"/>
  <c r="V3373" i="1"/>
  <c r="V1595" i="1"/>
  <c r="V1611" i="1"/>
  <c r="V1590" i="1"/>
  <c r="V1612" i="1"/>
  <c r="V1597" i="1"/>
  <c r="V1618" i="1"/>
  <c r="V1598" i="1"/>
  <c r="V1621" i="1"/>
  <c r="V1616" i="1"/>
  <c r="V2291" i="1"/>
  <c r="V2307" i="1"/>
  <c r="V2286" i="1"/>
  <c r="V2308" i="1"/>
  <c r="V2293" i="1"/>
  <c r="V2314" i="1"/>
  <c r="V2310" i="1"/>
  <c r="V2289" i="1"/>
  <c r="V2280" i="1"/>
  <c r="V2295" i="1"/>
  <c r="V2311" i="1"/>
  <c r="V2292" i="1"/>
  <c r="V2313" i="1"/>
  <c r="V2298" i="1"/>
  <c r="V2284" i="1"/>
  <c r="V2316" i="1"/>
  <c r="V2305" i="1"/>
  <c r="V2296" i="1"/>
  <c r="V2287" i="1"/>
  <c r="V2303" i="1"/>
  <c r="V2281" i="1"/>
  <c r="V2302" i="1"/>
  <c r="V2288" i="1"/>
  <c r="V2309" i="1"/>
  <c r="V2300" i="1"/>
  <c r="V2301" i="1"/>
  <c r="V2306" i="1"/>
  <c r="V2466" i="1"/>
  <c r="V2452" i="1"/>
  <c r="V2473" i="1"/>
  <c r="V2464" i="1"/>
  <c r="V2455" i="1"/>
  <c r="V2472" i="1"/>
  <c r="V2461" i="1"/>
  <c r="V2454" i="1"/>
  <c r="V2470" i="1"/>
  <c r="V2457" i="1"/>
  <c r="V2479" i="1"/>
  <c r="V2469" i="1"/>
  <c r="V2465" i="1"/>
  <c r="V2460" i="1"/>
  <c r="V2477" i="1"/>
  <c r="V2462" i="1"/>
  <c r="V2478" i="1"/>
  <c r="V2468" i="1"/>
  <c r="V2459" i="1"/>
  <c r="V2480" i="1"/>
  <c r="V2456" i="1"/>
  <c r="V2467" i="1"/>
  <c r="V54" i="1"/>
  <c r="V70" i="1"/>
  <c r="V86" i="1"/>
  <c r="V71" i="1"/>
  <c r="V55" i="1"/>
  <c r="V57" i="1"/>
  <c r="V52" i="1"/>
  <c r="V84" i="1"/>
  <c r="V69" i="1"/>
  <c r="V72" i="1"/>
  <c r="V58" i="1"/>
  <c r="V74" i="1"/>
  <c r="V51" i="1"/>
  <c r="V75" i="1"/>
  <c r="V67" i="1"/>
  <c r="V65" i="1"/>
  <c r="V60" i="1"/>
  <c r="V64" i="1"/>
  <c r="V77" i="1"/>
  <c r="V56" i="1"/>
  <c r="V1583" i="1"/>
  <c r="V1582" i="1"/>
  <c r="V1581" i="1"/>
  <c r="V1584" i="1"/>
  <c r="V1585" i="1"/>
  <c r="V1589" i="1"/>
  <c r="V1586" i="1"/>
  <c r="V1587" i="1"/>
  <c r="V1588" i="1"/>
  <c r="V1547" i="1"/>
  <c r="V1571" i="1"/>
  <c r="V1541" i="1"/>
  <c r="V1572" i="1"/>
  <c r="V1578" i="1"/>
  <c r="V1553" i="1"/>
  <c r="V1562" i="1"/>
  <c r="V1543" i="1"/>
  <c r="V1556" i="1"/>
  <c r="V1566" i="1"/>
  <c r="V1580" i="1"/>
  <c r="V1550" i="1"/>
  <c r="V1575" i="1"/>
  <c r="V1551" i="1"/>
  <c r="V1576" i="1"/>
  <c r="V1542" i="1"/>
  <c r="V1555" i="1"/>
  <c r="V1573" i="1"/>
  <c r="V1546" i="1"/>
  <c r="V1561" i="1"/>
  <c r="V1569" i="1"/>
  <c r="V1544" i="1"/>
  <c r="V1564" i="1"/>
  <c r="V1558" i="1"/>
  <c r="V1568" i="1"/>
  <c r="V1570" i="1"/>
  <c r="V1548" i="1"/>
  <c r="V1560" i="1"/>
  <c r="V1577" i="1"/>
  <c r="V1554" i="1"/>
  <c r="V1574" i="1"/>
  <c r="V2974" i="1"/>
  <c r="V2990" i="1"/>
  <c r="V3006" i="1"/>
  <c r="V2987" i="1"/>
  <c r="V2971" i="1"/>
  <c r="V3011" i="1"/>
  <c r="V2993" i="1"/>
  <c r="V2980" i="1"/>
  <c r="V3012" i="1"/>
  <c r="V2989" i="1"/>
  <c r="V2976" i="1"/>
  <c r="V2978" i="1"/>
  <c r="V2994" i="1"/>
  <c r="V3010" i="1"/>
  <c r="V2995" i="1"/>
  <c r="V2979" i="1"/>
  <c r="V2969" i="1"/>
  <c r="V3001" i="1"/>
  <c r="V2988" i="1"/>
  <c r="V2992" i="1"/>
  <c r="V2997" i="1"/>
  <c r="V2984" i="1"/>
  <c r="V3014" i="1"/>
  <c r="V452" i="1"/>
  <c r="V468" i="1"/>
  <c r="V453" i="1"/>
  <c r="V443" i="1"/>
  <c r="V465" i="1"/>
  <c r="V461" i="1"/>
  <c r="V471" i="1"/>
  <c r="V441" i="1"/>
  <c r="V440" i="1"/>
  <c r="V456" i="1"/>
  <c r="V472" i="1"/>
  <c r="V458" i="1"/>
  <c r="V449" i="1"/>
  <c r="V470" i="1"/>
  <c r="V466" i="1"/>
  <c r="V446" i="1"/>
  <c r="V451" i="1"/>
  <c r="V475" i="1"/>
  <c r="V1731" i="1"/>
  <c r="V1744" i="1"/>
  <c r="V1761" i="1"/>
  <c r="V1768" i="1"/>
  <c r="V1735" i="1"/>
  <c r="V1753" i="1"/>
  <c r="V1742" i="1"/>
  <c r="V1750" i="1"/>
  <c r="V1741" i="1"/>
  <c r="V1746" i="1"/>
  <c r="V230" i="1"/>
  <c r="V229" i="1"/>
  <c r="V231" i="1"/>
  <c r="V233" i="1"/>
  <c r="V234" i="1"/>
  <c r="V235" i="1"/>
  <c r="V232" i="1"/>
  <c r="V228" i="1"/>
  <c r="V194" i="1"/>
  <c r="V207" i="1"/>
  <c r="V222" i="1"/>
  <c r="V195" i="1"/>
  <c r="V203" i="1"/>
  <c r="V209" i="1"/>
  <c r="V196" i="1"/>
  <c r="V226" i="1"/>
  <c r="V213" i="1"/>
  <c r="V215" i="1"/>
  <c r="V198" i="1"/>
  <c r="V210" i="1"/>
  <c r="V224" i="1"/>
  <c r="V199" i="1"/>
  <c r="V189" i="1"/>
  <c r="V216" i="1"/>
  <c r="V204" i="1"/>
  <c r="V197" i="1"/>
  <c r="V219" i="1"/>
  <c r="V223" i="1"/>
  <c r="V190" i="1"/>
  <c r="V206" i="1"/>
  <c r="V218" i="1"/>
  <c r="V191" i="1"/>
  <c r="V211" i="1"/>
  <c r="V201" i="1"/>
  <c r="V225" i="1"/>
  <c r="V217" i="1"/>
  <c r="V220" i="1"/>
  <c r="V200" i="1"/>
  <c r="V1502" i="1"/>
  <c r="V1518" i="1"/>
  <c r="V1500" i="1"/>
  <c r="V1521" i="1"/>
  <c r="V1507" i="1"/>
  <c r="V1528" i="1"/>
  <c r="V1519" i="1"/>
  <c r="V1525" i="1"/>
  <c r="V1504" i="1"/>
  <c r="V1506" i="1"/>
  <c r="V1522" i="1"/>
  <c r="V1505" i="1"/>
  <c r="V1527" i="1"/>
  <c r="V1512" i="1"/>
  <c r="V1492" i="1"/>
  <c r="V1524" i="1"/>
  <c r="V1497" i="1"/>
  <c r="V1520" i="1"/>
  <c r="V2916" i="1"/>
  <c r="V2921" i="1"/>
  <c r="V2920" i="1"/>
  <c r="V2914" i="1"/>
  <c r="V2919" i="1"/>
  <c r="V2917" i="1"/>
  <c r="V179" i="1"/>
  <c r="V146" i="1"/>
  <c r="V162" i="1"/>
  <c r="V151" i="1"/>
  <c r="V167" i="1"/>
  <c r="V148" i="1"/>
  <c r="V164" i="1"/>
  <c r="V145" i="1"/>
  <c r="V165" i="1"/>
  <c r="V172" i="1"/>
  <c r="V150" i="1"/>
  <c r="V166" i="1"/>
  <c r="V155" i="1"/>
  <c r="V173" i="1"/>
  <c r="V152" i="1"/>
  <c r="V168" i="1"/>
  <c r="V161" i="1"/>
  <c r="V171" i="1"/>
  <c r="V178" i="1"/>
  <c r="V142" i="1"/>
  <c r="V158" i="1"/>
  <c r="V147" i="1"/>
  <c r="V163" i="1"/>
  <c r="V144" i="1"/>
  <c r="V160" i="1"/>
  <c r="V174" i="1"/>
  <c r="V149" i="1"/>
  <c r="V169" i="1"/>
  <c r="V157" i="1"/>
  <c r="V3862" i="1"/>
  <c r="V3865" i="1"/>
  <c r="V3866" i="1"/>
  <c r="V3867" i="1"/>
  <c r="V3864" i="1"/>
  <c r="V3863" i="1"/>
  <c r="V3868" i="1"/>
  <c r="V3861" i="1"/>
  <c r="V3834" i="1"/>
  <c r="V3848" i="1"/>
  <c r="V3824" i="1"/>
  <c r="V3845" i="1"/>
  <c r="V3860" i="1"/>
  <c r="V3838" i="1"/>
  <c r="V1675" i="1"/>
  <c r="V1676" i="1"/>
  <c r="V1677" i="1"/>
  <c r="V1678" i="1"/>
  <c r="V1679" i="1"/>
  <c r="V1680" i="1"/>
  <c r="V1681" i="1"/>
  <c r="V1673" i="1"/>
  <c r="V1639" i="1"/>
  <c r="V1640" i="1"/>
  <c r="V1641" i="1"/>
  <c r="V1658" i="1"/>
  <c r="V1667" i="1"/>
  <c r="V1650" i="1"/>
  <c r="V1666" i="1"/>
  <c r="V1669" i="1"/>
  <c r="V1653" i="1"/>
  <c r="V1668" i="1"/>
  <c r="V1635" i="1"/>
  <c r="V1644" i="1"/>
  <c r="V1645" i="1"/>
  <c r="V1662" i="1"/>
  <c r="V1634" i="1"/>
  <c r="V1655" i="1"/>
  <c r="V1671" i="1"/>
  <c r="V1651" i="1"/>
  <c r="V1657" i="1"/>
  <c r="V1643" i="1"/>
  <c r="V1674" i="1"/>
  <c r="V1637" i="1"/>
  <c r="V1652" i="1"/>
  <c r="V1654" i="1"/>
  <c r="V1670" i="1"/>
  <c r="V1646" i="1"/>
  <c r="V1663" i="1"/>
  <c r="V1661" i="1"/>
  <c r="V1636" i="1"/>
  <c r="V1672" i="1"/>
  <c r="V2583" i="1"/>
  <c r="V2598" i="1"/>
  <c r="V2575" i="1"/>
  <c r="V2601" i="1"/>
  <c r="V2584" i="1"/>
  <c r="V2578" i="1"/>
  <c r="V2599" i="1"/>
  <c r="V2591" i="1"/>
  <c r="V2605" i="1"/>
  <c r="V2053" i="1"/>
  <c r="V2055" i="1"/>
  <c r="V2054" i="1"/>
  <c r="V2056" i="1"/>
  <c r="V2059" i="1"/>
  <c r="V2057" i="1"/>
  <c r="V2058" i="1"/>
  <c r="V2020" i="1"/>
  <c r="V2036" i="1"/>
  <c r="V2021" i="1"/>
  <c r="V2045" i="1"/>
  <c r="V2041" i="1"/>
  <c r="V2047" i="1"/>
  <c r="V2042" i="1"/>
  <c r="V2027" i="1"/>
  <c r="V2046" i="1"/>
  <c r="V2024" i="1"/>
  <c r="V2040" i="1"/>
  <c r="V2025" i="1"/>
  <c r="V2049" i="1"/>
  <c r="V2023" i="1"/>
  <c r="V2018" i="1"/>
  <c r="V2050" i="1"/>
  <c r="V2035" i="1"/>
  <c r="V2030" i="1"/>
  <c r="V2051" i="1"/>
  <c r="V2016" i="1"/>
  <c r="V2032" i="1"/>
  <c r="V2048" i="1"/>
  <c r="V2037" i="1"/>
  <c r="V2029" i="1"/>
  <c r="V2039" i="1"/>
  <c r="V2034" i="1"/>
  <c r="V2019" i="1"/>
  <c r="V2022" i="1"/>
  <c r="V539" i="1"/>
  <c r="V513" i="1"/>
  <c r="V512" i="1"/>
  <c r="V528" i="1"/>
  <c r="V508" i="1"/>
  <c r="V533" i="1"/>
  <c r="V529" i="1"/>
  <c r="V538" i="1"/>
  <c r="V517" i="1"/>
  <c r="V507" i="1"/>
  <c r="V506" i="1"/>
  <c r="V518" i="1"/>
  <c r="V530" i="1"/>
  <c r="V515" i="1"/>
  <c r="V536" i="1"/>
  <c r="V516" i="1"/>
  <c r="V526" i="1"/>
  <c r="V523" i="1"/>
  <c r="V509" i="1"/>
  <c r="V514" i="1"/>
  <c r="V524" i="1"/>
  <c r="V531" i="1"/>
  <c r="V525" i="1"/>
  <c r="V527" i="1"/>
  <c r="V532" i="1"/>
  <c r="V511" i="1"/>
  <c r="V2362" i="1"/>
  <c r="V2378" i="1"/>
  <c r="V2367" i="1"/>
  <c r="V2383" i="1"/>
  <c r="V2364" i="1"/>
  <c r="V2380" i="1"/>
  <c r="V2394" i="1"/>
  <c r="V2385" i="1"/>
  <c r="V2389" i="1"/>
  <c r="V2366" i="1"/>
  <c r="V2382" i="1"/>
  <c r="V2371" i="1"/>
  <c r="V2387" i="1"/>
  <c r="V2368" i="1"/>
  <c r="V2384" i="1"/>
  <c r="V2365" i="1"/>
  <c r="V2391" i="1"/>
  <c r="V2392" i="1"/>
  <c r="V3534" i="1"/>
  <c r="V3537" i="1"/>
  <c r="V3535" i="1"/>
  <c r="V3536" i="1"/>
  <c r="V3539" i="1"/>
  <c r="V3542" i="1"/>
  <c r="V3541" i="1"/>
  <c r="V3538" i="1"/>
  <c r="V3540" i="1"/>
  <c r="V3533" i="1"/>
  <c r="V3500" i="1"/>
  <c r="V3516" i="1"/>
  <c r="V3532" i="1"/>
  <c r="V3513" i="1"/>
  <c r="V3529" i="1"/>
  <c r="V3523" i="1"/>
  <c r="V3518" i="1"/>
  <c r="V3503" i="1"/>
  <c r="V3498" i="1"/>
  <c r="V3504" i="1"/>
  <c r="V3520" i="1"/>
  <c r="V3501" i="1"/>
  <c r="V3517" i="1"/>
  <c r="V3499" i="1"/>
  <c r="V3531" i="1"/>
  <c r="V3526" i="1"/>
  <c r="V3511" i="1"/>
  <c r="V3522" i="1"/>
  <c r="V3512" i="1"/>
  <c r="V3528" i="1"/>
  <c r="V3509" i="1"/>
  <c r="V3525" i="1"/>
  <c r="V3515" i="1"/>
  <c r="V3510" i="1"/>
  <c r="V3530" i="1"/>
  <c r="V3527" i="1"/>
  <c r="V352" i="1"/>
  <c r="V368" i="1"/>
  <c r="V349" i="1"/>
  <c r="V365" i="1"/>
  <c r="V381" i="1"/>
  <c r="V354" i="1"/>
  <c r="V370" i="1"/>
  <c r="V367" i="1"/>
  <c r="V363" i="1"/>
  <c r="V375" i="1"/>
  <c r="V382" i="1"/>
  <c r="V356" i="1"/>
  <c r="V372" i="1"/>
  <c r="V353" i="1"/>
  <c r="V369" i="1"/>
  <c r="V342" i="1"/>
  <c r="V358" i="1"/>
  <c r="V374" i="1"/>
  <c r="V380" i="1"/>
  <c r="V379" i="1"/>
  <c r="V347" i="1"/>
  <c r="V348" i="1"/>
  <c r="V364" i="1"/>
  <c r="V345" i="1"/>
  <c r="V361" i="1"/>
  <c r="V377" i="1"/>
  <c r="V350" i="1"/>
  <c r="V366" i="1"/>
  <c r="V351" i="1"/>
  <c r="V371" i="1"/>
  <c r="V359" i="1"/>
  <c r="V2073" i="1"/>
  <c r="V2088" i="1"/>
  <c r="V2076" i="1"/>
  <c r="V2067" i="1"/>
  <c r="V2093" i="1"/>
  <c r="V2074" i="1"/>
  <c r="V2089" i="1"/>
  <c r="V2070" i="1"/>
  <c r="V2096" i="1"/>
  <c r="V2098" i="1"/>
  <c r="V2077" i="1"/>
  <c r="V2092" i="1"/>
  <c r="V2082" i="1"/>
  <c r="V2072" i="1"/>
  <c r="V2097" i="1"/>
  <c r="V2083" i="1"/>
  <c r="V2064" i="1"/>
  <c r="V2091" i="1"/>
  <c r="V2061" i="1"/>
  <c r="V3232" i="1"/>
  <c r="V3248" i="1"/>
  <c r="V3237" i="1"/>
  <c r="V3253" i="1"/>
  <c r="V3234" i="1"/>
  <c r="V3250" i="1"/>
  <c r="V3265" i="1"/>
  <c r="V3243" i="1"/>
  <c r="V3247" i="1"/>
  <c r="V3443" i="1"/>
  <c r="V3444" i="1"/>
  <c r="V3446" i="1"/>
  <c r="V3445" i="1"/>
  <c r="V3447" i="1"/>
  <c r="V3448" i="1"/>
  <c r="V3449" i="1"/>
  <c r="V3442" i="1"/>
  <c r="V3409" i="1"/>
  <c r="V3418" i="1"/>
  <c r="V3436" i="1"/>
  <c r="V3408" i="1"/>
  <c r="V3423" i="1"/>
  <c r="V3421" i="1"/>
  <c r="V3416" i="1"/>
  <c r="V3433" i="1"/>
  <c r="V3439" i="1"/>
  <c r="V3410" i="1"/>
  <c r="V3422" i="1"/>
  <c r="V3440" i="1"/>
  <c r="V3414" i="1"/>
  <c r="V3424" i="1"/>
  <c r="V3426" i="1"/>
  <c r="V3429" i="1"/>
  <c r="V3412" i="1"/>
  <c r="V3425" i="1"/>
  <c r="V1876" i="1"/>
  <c r="V1879" i="1"/>
  <c r="V1877" i="1"/>
  <c r="V1878" i="1"/>
  <c r="V1880" i="1"/>
  <c r="V1882" i="1"/>
  <c r="V1883" i="1"/>
  <c r="V1881" i="1"/>
  <c r="V1875" i="1"/>
  <c r="V1839" i="1"/>
  <c r="V1844" i="1"/>
  <c r="V1854" i="1"/>
  <c r="V1871" i="1"/>
  <c r="V1836" i="1"/>
  <c r="V1855" i="1"/>
  <c r="V1873" i="1"/>
  <c r="V1837" i="1"/>
  <c r="V1869" i="1"/>
  <c r="V1866" i="1"/>
  <c r="V1843" i="1"/>
  <c r="V1849" i="1"/>
  <c r="V1858" i="1"/>
  <c r="V1874" i="1"/>
  <c r="V1841" i="1"/>
  <c r="V1859" i="1"/>
  <c r="V1857" i="1"/>
  <c r="V1852" i="1"/>
  <c r="V1842" i="1"/>
  <c r="V1856" i="1"/>
  <c r="V2870" i="1"/>
  <c r="V2886" i="1"/>
  <c r="V2903" i="1"/>
  <c r="V2888" i="1"/>
  <c r="V2879" i="1"/>
  <c r="V2900" i="1"/>
  <c r="V2896" i="1"/>
  <c r="V2904" i="1"/>
  <c r="V2897" i="1"/>
  <c r="V2902" i="1"/>
  <c r="V2874" i="1"/>
  <c r="V2890" i="1"/>
  <c r="V2872" i="1"/>
  <c r="V2893" i="1"/>
  <c r="V2884" i="1"/>
  <c r="V2869" i="1"/>
  <c r="V2898" i="1"/>
  <c r="V2871" i="1"/>
  <c r="V2881" i="1"/>
  <c r="V2905" i="1"/>
  <c r="V847" i="1"/>
  <c r="V803" i="1"/>
  <c r="V819" i="1"/>
  <c r="V835" i="1"/>
  <c r="V804" i="1"/>
  <c r="V828" i="1"/>
  <c r="V820" i="1"/>
  <c r="V814" i="1"/>
  <c r="V846" i="1"/>
  <c r="V825" i="1"/>
  <c r="V837" i="1"/>
  <c r="V826" i="1"/>
  <c r="V805" i="1"/>
  <c r="V585" i="1"/>
  <c r="V560" i="1"/>
  <c r="V576" i="1"/>
  <c r="V554" i="1"/>
  <c r="V575" i="1"/>
  <c r="V561" i="1"/>
  <c r="V582" i="1"/>
  <c r="V573" i="1"/>
  <c r="V567" i="1"/>
  <c r="V579" i="1"/>
  <c r="V564" i="1"/>
  <c r="V580" i="1"/>
  <c r="V559" i="1"/>
  <c r="V581" i="1"/>
  <c r="V566" i="1"/>
  <c r="V551" i="1"/>
  <c r="V578" i="1"/>
  <c r="V583" i="1"/>
  <c r="V569" i="1"/>
  <c r="V586" i="1"/>
  <c r="V556" i="1"/>
  <c r="V572" i="1"/>
  <c r="V549" i="1"/>
  <c r="V570" i="1"/>
  <c r="V555" i="1"/>
  <c r="V577" i="1"/>
  <c r="V562" i="1"/>
  <c r="V574" i="1"/>
  <c r="V563" i="1"/>
  <c r="V641" i="1"/>
  <c r="V640" i="1"/>
  <c r="V635" i="1"/>
  <c r="V636" i="1"/>
  <c r="V1688" i="1"/>
  <c r="V1704" i="1"/>
  <c r="V1689" i="1"/>
  <c r="V1705" i="1"/>
  <c r="V1682" i="1"/>
  <c r="V1698" i="1"/>
  <c r="V1714" i="1"/>
  <c r="V1716" i="1"/>
  <c r="V1687" i="1"/>
  <c r="V1715" i="1"/>
  <c r="V1722" i="1"/>
  <c r="V1692" i="1"/>
  <c r="V1708" i="1"/>
  <c r="V1693" i="1"/>
  <c r="V1709" i="1"/>
  <c r="V1686" i="1"/>
  <c r="V1702" i="1"/>
  <c r="V1718" i="1"/>
  <c r="V1695" i="1"/>
  <c r="V1683" i="1"/>
  <c r="V1703" i="1"/>
  <c r="V1684" i="1"/>
  <c r="V1700" i="1"/>
  <c r="V1685" i="1"/>
  <c r="V1701" i="1"/>
  <c r="V1717" i="1"/>
  <c r="V1694" i="1"/>
  <c r="V1710" i="1"/>
  <c r="V1707" i="1"/>
  <c r="V1719" i="1"/>
  <c r="V1720" i="1"/>
  <c r="V2799" i="1"/>
  <c r="V2800" i="1"/>
  <c r="V2802" i="1"/>
  <c r="V2801" i="1"/>
  <c r="V2803" i="1"/>
  <c r="V2804" i="1"/>
  <c r="V2805" i="1"/>
  <c r="V2798" i="1"/>
  <c r="V2806" i="1"/>
  <c r="V2760" i="1"/>
  <c r="V2773" i="1"/>
  <c r="V2793" i="1"/>
  <c r="V2766" i="1"/>
  <c r="V2789" i="1"/>
  <c r="V2768" i="1"/>
  <c r="V2762" i="1"/>
  <c r="V2795" i="1"/>
  <c r="V2772" i="1"/>
  <c r="V2786" i="1"/>
  <c r="V2764" i="1"/>
  <c r="V2777" i="1"/>
  <c r="V2781" i="1"/>
  <c r="V2770" i="1"/>
  <c r="V2790" i="1"/>
  <c r="V2776" i="1"/>
  <c r="V2771" i="1"/>
  <c r="V2767" i="1"/>
  <c r="V2780" i="1"/>
  <c r="V2791" i="1"/>
  <c r="V2758" i="1"/>
  <c r="V2769" i="1"/>
  <c r="V2788" i="1"/>
  <c r="V2761" i="1"/>
  <c r="V2778" i="1"/>
  <c r="V2759" i="1"/>
  <c r="V2792" i="1"/>
  <c r="V2782" i="1"/>
  <c r="V2763" i="1"/>
  <c r="V2796" i="1"/>
  <c r="AT15" i="1"/>
  <c r="AU15" i="1" s="1"/>
  <c r="V2444" i="1"/>
  <c r="V2446" i="1"/>
  <c r="V2443" i="1"/>
  <c r="V2445" i="1"/>
  <c r="V2447" i="1"/>
  <c r="V2449" i="1"/>
  <c r="V2450" i="1"/>
  <c r="V2451" i="1"/>
  <c r="V2448" i="1"/>
  <c r="V2407" i="1"/>
  <c r="V2425" i="1"/>
  <c r="V2439" i="1"/>
  <c r="V2412" i="1"/>
  <c r="V2437" i="1"/>
  <c r="V2428" i="1"/>
  <c r="V2422" i="1"/>
  <c r="V2423" i="1"/>
  <c r="V2417" i="1"/>
  <c r="V2442" i="1"/>
  <c r="V2408" i="1"/>
  <c r="V2415" i="1"/>
  <c r="V2429" i="1"/>
  <c r="V2432" i="1"/>
  <c r="V2416" i="1"/>
  <c r="V2440" i="1"/>
  <c r="V2430" i="1"/>
  <c r="V2433" i="1"/>
  <c r="V2434" i="1"/>
  <c r="V2411" i="1"/>
  <c r="V2424" i="1"/>
  <c r="V2435" i="1"/>
  <c r="V2409" i="1"/>
  <c r="V2426" i="1"/>
  <c r="V2418" i="1"/>
  <c r="V2421" i="1"/>
  <c r="V2441" i="1"/>
  <c r="V2413" i="1"/>
  <c r="V1348" i="1"/>
  <c r="V1363" i="1"/>
  <c r="V1356" i="1"/>
  <c r="V1369" i="1"/>
  <c r="V1347" i="1"/>
  <c r="V1361" i="1"/>
  <c r="V1354" i="1"/>
  <c r="V1362" i="1"/>
  <c r="V1366" i="1"/>
  <c r="V1389" i="1"/>
  <c r="V1401" i="1"/>
  <c r="V1398" i="1"/>
  <c r="V1419" i="1"/>
  <c r="V1391" i="1"/>
  <c r="V1406" i="1"/>
  <c r="V1392" i="1"/>
  <c r="V1396" i="1"/>
  <c r="V1421" i="1"/>
  <c r="V1415" i="1"/>
  <c r="V1388" i="1"/>
  <c r="V1405" i="1"/>
  <c r="V1402" i="1"/>
  <c r="V1423" i="1"/>
  <c r="V1395" i="1"/>
  <c r="V1410" i="1"/>
  <c r="V1408" i="1"/>
  <c r="V1411" i="1"/>
  <c r="V1400" i="1"/>
  <c r="V1404" i="1"/>
  <c r="V1427" i="1"/>
  <c r="V1477" i="1"/>
  <c r="V1454" i="1"/>
  <c r="V1478" i="1"/>
  <c r="V1444" i="1"/>
  <c r="V1476" i="1"/>
  <c r="V1463" i="1"/>
  <c r="V1475" i="1"/>
  <c r="V1464" i="1"/>
  <c r="V1459" i="1"/>
  <c r="V1449" i="1"/>
  <c r="V1465" i="1"/>
  <c r="V1438" i="1"/>
  <c r="V1462" i="1"/>
  <c r="V1446" i="1"/>
  <c r="V1452" i="1"/>
  <c r="V1439" i="1"/>
  <c r="V1471" i="1"/>
  <c r="V1440" i="1"/>
  <c r="V1472" i="1"/>
  <c r="V1441" i="1"/>
  <c r="V1457" i="1"/>
  <c r="V1473" i="1"/>
  <c r="V1450" i="1"/>
  <c r="V1474" i="1"/>
  <c r="V1470" i="1"/>
  <c r="V1468" i="1"/>
  <c r="V1455" i="1"/>
  <c r="V1451" i="1"/>
  <c r="V1456" i="1"/>
  <c r="V1467" i="1"/>
  <c r="V2111" i="1"/>
  <c r="V2108" i="1"/>
  <c r="V2124" i="1"/>
  <c r="V2141" i="1"/>
  <c r="V2117" i="1"/>
  <c r="V2136" i="1"/>
  <c r="V2122" i="1"/>
  <c r="V2137" i="1"/>
  <c r="V2140" i="1"/>
  <c r="V399" i="1"/>
  <c r="V415" i="1"/>
  <c r="V408" i="1"/>
  <c r="V420" i="1"/>
  <c r="V397" i="1"/>
  <c r="V413" i="1"/>
  <c r="V429" i="1"/>
  <c r="V427" i="1"/>
  <c r="V418" i="1"/>
  <c r="V391" i="1"/>
  <c r="V403" i="1"/>
  <c r="V396" i="1"/>
  <c r="V412" i="1"/>
  <c r="V424" i="1"/>
  <c r="V401" i="1"/>
  <c r="V417" i="1"/>
  <c r="V394" i="1"/>
  <c r="V398" i="1"/>
  <c r="V422" i="1"/>
  <c r="V430" i="1"/>
  <c r="V3332" i="1"/>
  <c r="V3329" i="1"/>
  <c r="V3344" i="1"/>
  <c r="V3356" i="1"/>
  <c r="V3334" i="1"/>
  <c r="V3353" i="1"/>
  <c r="V3347" i="1"/>
  <c r="V3359" i="1"/>
  <c r="V3354" i="1"/>
  <c r="V3357" i="1"/>
  <c r="V3336" i="1"/>
  <c r="V3333" i="1"/>
  <c r="V3348" i="1"/>
  <c r="V3322" i="1"/>
  <c r="V3338" i="1"/>
  <c r="V3358" i="1"/>
  <c r="V3331" i="1"/>
  <c r="V3335" i="1"/>
  <c r="V3346" i="1"/>
  <c r="V3361" i="1"/>
  <c r="V3328" i="1"/>
  <c r="V3325" i="1"/>
  <c r="V3341" i="1"/>
  <c r="V3355" i="1"/>
  <c r="V3330" i="1"/>
  <c r="V3349" i="1"/>
  <c r="V3327" i="1"/>
  <c r="V3350" i="1"/>
  <c r="V3351" i="1"/>
  <c r="V3339" i="1"/>
  <c r="V3070" i="1"/>
  <c r="V3075" i="1"/>
  <c r="V3088" i="1"/>
  <c r="V3076" i="1"/>
  <c r="V3069" i="1"/>
  <c r="V3081" i="1"/>
  <c r="V3082" i="1"/>
  <c r="V3074" i="1"/>
  <c r="V3079" i="1"/>
  <c r="V3092" i="1"/>
  <c r="V3080" i="1"/>
  <c r="V3086" i="1"/>
  <c r="V3090" i="1"/>
  <c r="V3091" i="1"/>
  <c r="V3093" i="1"/>
  <c r="V2329" i="1"/>
  <c r="V2345" i="1"/>
  <c r="V2330" i="1"/>
  <c r="V2322" i="1"/>
  <c r="V2328" i="1"/>
  <c r="V2331" i="1"/>
  <c r="V2343" i="1"/>
  <c r="V2348" i="1"/>
  <c r="V2351" i="1"/>
  <c r="V2317" i="1"/>
  <c r="V2333" i="1"/>
  <c r="V2349" i="1"/>
  <c r="V2338" i="1"/>
  <c r="V2334" i="1"/>
  <c r="V2336" i="1"/>
  <c r="V2339" i="1"/>
  <c r="V2324" i="1"/>
  <c r="V2335" i="1"/>
  <c r="V2325" i="1"/>
  <c r="V2341" i="1"/>
  <c r="V2326" i="1"/>
  <c r="V2350" i="1"/>
  <c r="V2320" i="1"/>
  <c r="V2323" i="1"/>
  <c r="V2327" i="1"/>
  <c r="V2340" i="1"/>
  <c r="V3189" i="1"/>
  <c r="V3195" i="1"/>
  <c r="V3198" i="1"/>
  <c r="V3218" i="1"/>
  <c r="V3199" i="1"/>
  <c r="V3202" i="1"/>
  <c r="V3201" i="1"/>
  <c r="V3215" i="1"/>
  <c r="V3193" i="1"/>
  <c r="V3191" i="1"/>
  <c r="V3203" i="1"/>
  <c r="V3220" i="1"/>
  <c r="V3200" i="1"/>
  <c r="V3210" i="1"/>
  <c r="V3211" i="1"/>
  <c r="V3219" i="1"/>
  <c r="V3721" i="1"/>
  <c r="V3723" i="1"/>
  <c r="V3724" i="1"/>
  <c r="V3726" i="1"/>
  <c r="V3727" i="1"/>
  <c r="V3722" i="1"/>
  <c r="V3725" i="1"/>
  <c r="V3720" i="1"/>
  <c r="V3697" i="1"/>
  <c r="V3713" i="1"/>
  <c r="V3695" i="1"/>
  <c r="V3716" i="1"/>
  <c r="V3702" i="1"/>
  <c r="V3687" i="1"/>
  <c r="V3688" i="1"/>
  <c r="V3699" i="1"/>
  <c r="V3719" i="1"/>
  <c r="V3685" i="1"/>
  <c r="V3701" i="1"/>
  <c r="V3717" i="1"/>
  <c r="V3700" i="1"/>
  <c r="V3686" i="1"/>
  <c r="V3707" i="1"/>
  <c r="V3692" i="1"/>
  <c r="V3704" i="1"/>
  <c r="V3715" i="1"/>
  <c r="V3929" i="1"/>
  <c r="V3930" i="1"/>
  <c r="V3946" i="1"/>
  <c r="V3962" i="1"/>
  <c r="V3931" i="1"/>
  <c r="V3951" i="1"/>
  <c r="V3941" i="1"/>
  <c r="V3944" i="1"/>
  <c r="V3936" i="1"/>
  <c r="V3957" i="1"/>
  <c r="V3933" i="1"/>
  <c r="V3934" i="1"/>
  <c r="V3950" i="1"/>
  <c r="V3952" i="1"/>
  <c r="V3935" i="1"/>
  <c r="V3960" i="1"/>
  <c r="V3949" i="1"/>
  <c r="V3953" i="1"/>
  <c r="V3945" i="1"/>
  <c r="V3948" i="1"/>
  <c r="V3964" i="1"/>
  <c r="V3060" i="1"/>
  <c r="V3062" i="1"/>
  <c r="V3061" i="1"/>
  <c r="V3059" i="1"/>
  <c r="V3066" i="1"/>
  <c r="V3063" i="1"/>
  <c r="V3064" i="1"/>
  <c r="V3065" i="1"/>
  <c r="V3034" i="1"/>
  <c r="V3027" i="1"/>
  <c r="V3043" i="1"/>
  <c r="V3028" i="1"/>
  <c r="V3044" i="1"/>
  <c r="V3029" i="1"/>
  <c r="V3057" i="1"/>
  <c r="V3037" i="1"/>
  <c r="V3041" i="1"/>
  <c r="V3022" i="1"/>
  <c r="V3038" i="1"/>
  <c r="V3031" i="1"/>
  <c r="V3047" i="1"/>
  <c r="V3032" i="1"/>
  <c r="V3048" i="1"/>
  <c r="V3050" i="1"/>
  <c r="V3033" i="1"/>
  <c r="V3046" i="1"/>
  <c r="V3058" i="1"/>
  <c r="V3030" i="1"/>
  <c r="V3023" i="1"/>
  <c r="V3039" i="1"/>
  <c r="V3024" i="1"/>
  <c r="V3040" i="1"/>
  <c r="V3056" i="1"/>
  <c r="V3054" i="1"/>
  <c r="V3053" i="1"/>
  <c r="V3025" i="1"/>
  <c r="V1202" i="1"/>
  <c r="V1201" i="1"/>
  <c r="V1204" i="1"/>
  <c r="V1203" i="1"/>
  <c r="V1208" i="1"/>
  <c r="V1206" i="1"/>
  <c r="V1205" i="1"/>
  <c r="V1209" i="1"/>
  <c r="V1207" i="1"/>
  <c r="V1200" i="1"/>
  <c r="V1171" i="1"/>
  <c r="V1187" i="1"/>
  <c r="V1176" i="1"/>
  <c r="V1191" i="1"/>
  <c r="V1173" i="1"/>
  <c r="V1192" i="1"/>
  <c r="V1194" i="1"/>
  <c r="V1193" i="1"/>
  <c r="V1166" i="1"/>
  <c r="V1175" i="1"/>
  <c r="V1164" i="1"/>
  <c r="V1180" i="1"/>
  <c r="V1195" i="1"/>
  <c r="V1177" i="1"/>
  <c r="V1196" i="1"/>
  <c r="V1174" i="1"/>
  <c r="V1178" i="1"/>
  <c r="V1182" i="1"/>
  <c r="V1199" i="1"/>
  <c r="V1167" i="1"/>
  <c r="V1183" i="1"/>
  <c r="V1172" i="1"/>
  <c r="V1188" i="1"/>
  <c r="V1169" i="1"/>
  <c r="V1185" i="1"/>
  <c r="V1186" i="1"/>
  <c r="V1197" i="1"/>
  <c r="V1198" i="1"/>
  <c r="V860" i="1"/>
  <c r="V876" i="1"/>
  <c r="V861" i="1"/>
  <c r="V877" i="1"/>
  <c r="V893" i="1"/>
  <c r="V866" i="1"/>
  <c r="V882" i="1"/>
  <c r="V867" i="1"/>
  <c r="V887" i="1"/>
  <c r="V891" i="1"/>
  <c r="V1100" i="1"/>
  <c r="V1101" i="1"/>
  <c r="V1102" i="1"/>
  <c r="V1103" i="1"/>
  <c r="V1104" i="1"/>
  <c r="V1106" i="1"/>
  <c r="V1107" i="1"/>
  <c r="V1105" i="1"/>
  <c r="V1098" i="1"/>
  <c r="V1099" i="1"/>
  <c r="V1120" i="1"/>
  <c r="V1136" i="1"/>
  <c r="V1149" i="1"/>
  <c r="V1121" i="1"/>
  <c r="V1137" i="1"/>
  <c r="V1123" i="1"/>
  <c r="V1110" i="1"/>
  <c r="V1142" i="1"/>
  <c r="V1127" i="1"/>
  <c r="V1122" i="1"/>
  <c r="V3111" i="1"/>
  <c r="V3127" i="1"/>
  <c r="V3109" i="1"/>
  <c r="V3105" i="1"/>
  <c r="V3126" i="1"/>
  <c r="V3134" i="1"/>
  <c r="V3133" i="1"/>
  <c r="V3108" i="1"/>
  <c r="AT12" i="1"/>
  <c r="AU12" i="1" s="1"/>
  <c r="V2694" i="1"/>
  <c r="V2677" i="1"/>
  <c r="V2679" i="1"/>
  <c r="V2689" i="1"/>
  <c r="V2691" i="1"/>
  <c r="V2685" i="1"/>
  <c r="V791" i="1"/>
  <c r="V793" i="1"/>
  <c r="V792" i="1"/>
  <c r="V797" i="1"/>
  <c r="V799" i="1"/>
  <c r="V795" i="1"/>
  <c r="V796" i="1"/>
  <c r="V794" i="1"/>
  <c r="V798" i="1"/>
  <c r="V789" i="1"/>
  <c r="V754" i="1"/>
  <c r="V770" i="1"/>
  <c r="V763" i="1"/>
  <c r="V779" i="1"/>
  <c r="V760" i="1"/>
  <c r="V780" i="1"/>
  <c r="V782" i="1"/>
  <c r="V788" i="1"/>
  <c r="V778" i="1"/>
  <c r="V758" i="1"/>
  <c r="V774" i="1"/>
  <c r="V767" i="1"/>
  <c r="V783" i="1"/>
  <c r="V764" i="1"/>
  <c r="V784" i="1"/>
  <c r="V769" i="1"/>
  <c r="V781" i="1"/>
  <c r="V786" i="1"/>
  <c r="V790" i="1"/>
  <c r="V2820" i="1"/>
  <c r="V2836" i="1"/>
  <c r="V2817" i="1"/>
  <c r="V2833" i="1"/>
  <c r="V2814" i="1"/>
  <c r="V2830" i="1"/>
  <c r="V2831" i="1"/>
  <c r="V2823" i="1"/>
  <c r="V2824" i="1"/>
  <c r="V2807" i="1"/>
  <c r="V2821" i="1"/>
  <c r="V2840" i="1"/>
  <c r="V2818" i="1"/>
  <c r="V2834" i="1"/>
  <c r="V2819" i="1"/>
  <c r="V2839" i="1"/>
  <c r="V2841" i="1"/>
  <c r="V2816" i="1"/>
  <c r="V2832" i="1"/>
  <c r="V2813" i="1"/>
  <c r="V2829" i="1"/>
  <c r="V2810" i="1"/>
  <c r="V2826" i="1"/>
  <c r="V2815" i="1"/>
  <c r="V2838" i="1"/>
  <c r="V2811" i="1"/>
  <c r="V2665" i="1"/>
  <c r="V3488" i="1"/>
  <c r="V1826" i="1"/>
  <c r="V1828" i="1"/>
  <c r="V1829" i="1"/>
  <c r="V1827" i="1"/>
  <c r="V1830" i="1"/>
  <c r="V1832" i="1"/>
  <c r="V1831" i="1"/>
  <c r="V1833" i="1"/>
  <c r="V1834" i="1"/>
  <c r="V1824" i="1"/>
  <c r="V3777" i="1"/>
  <c r="V31" i="1"/>
  <c r="V8" i="1"/>
  <c r="V2544" i="1"/>
  <c r="V2567" i="1"/>
  <c r="V2530" i="1"/>
  <c r="V1737" i="1"/>
  <c r="V1757" i="1"/>
  <c r="V2038" i="1"/>
  <c r="V2033" i="1"/>
  <c r="V1114" i="1"/>
  <c r="V1115" i="1"/>
  <c r="V1132" i="1"/>
  <c r="V705" i="1"/>
  <c r="V701" i="1"/>
  <c r="V1032" i="1"/>
  <c r="V1035" i="1"/>
  <c r="V3124" i="1"/>
  <c r="V3125" i="1"/>
  <c r="V3514" i="1"/>
  <c r="V3507" i="1"/>
  <c r="V3508" i="1"/>
  <c r="V2822" i="1"/>
  <c r="V2828" i="1"/>
  <c r="V496" i="1"/>
  <c r="V1600" i="1"/>
  <c r="V1606" i="1"/>
  <c r="V1190" i="1"/>
  <c r="V1165" i="1"/>
  <c r="V1163" i="1"/>
  <c r="V878" i="1"/>
  <c r="V888" i="1"/>
  <c r="V1711" i="1"/>
  <c r="V1713" i="1"/>
  <c r="V2312" i="1"/>
  <c r="V2304" i="1"/>
  <c r="V2299" i="1"/>
  <c r="V3261" i="1"/>
  <c r="V3233" i="1"/>
  <c r="V1656" i="1"/>
  <c r="V1665" i="1"/>
  <c r="V2600" i="1"/>
  <c r="V2582" i="1"/>
  <c r="V2581" i="1"/>
  <c r="V2414" i="1"/>
  <c r="V2419" i="1"/>
  <c r="V537" i="1"/>
  <c r="V521" i="1"/>
  <c r="V505" i="1"/>
  <c r="V2675" i="1"/>
  <c r="V2254" i="1"/>
  <c r="V2248" i="1"/>
  <c r="V557" i="1"/>
  <c r="V584" i="1"/>
  <c r="V2775" i="1"/>
  <c r="V2774" i="1"/>
  <c r="V1994" i="1"/>
  <c r="V1992" i="1"/>
  <c r="V1983" i="1"/>
  <c r="V1315" i="1"/>
  <c r="V1306" i="1"/>
  <c r="V2332" i="1"/>
  <c r="V2342" i="1"/>
  <c r="V1625" i="1"/>
  <c r="V2797" i="1"/>
  <c r="V474" i="1"/>
  <c r="V3180" i="1"/>
  <c r="V2052" i="1"/>
  <c r="V3015" i="1"/>
  <c r="V1374" i="1"/>
  <c r="V946" i="1"/>
  <c r="V926" i="1"/>
  <c r="V939" i="1"/>
  <c r="V1549" i="1"/>
  <c r="V1567" i="1"/>
  <c r="V817" i="1"/>
  <c r="V3760" i="1"/>
  <c r="V3753" i="1"/>
  <c r="V3754" i="1"/>
  <c r="V107" i="1"/>
  <c r="V106" i="1"/>
  <c r="V733" i="1"/>
  <c r="V669" i="1"/>
  <c r="V668" i="1"/>
  <c r="V646" i="1"/>
  <c r="V170" i="1"/>
  <c r="V3360" i="1"/>
  <c r="V355" i="1"/>
  <c r="V373" i="1"/>
  <c r="V344" i="1"/>
  <c r="V221" i="1"/>
  <c r="V214" i="1"/>
  <c r="V3810" i="1"/>
  <c r="V3802" i="1"/>
  <c r="V2476" i="1"/>
  <c r="V2463" i="1"/>
  <c r="V36" i="1"/>
  <c r="V29" i="1"/>
  <c r="V3049" i="1"/>
  <c r="V3036" i="1"/>
  <c r="V3026" i="1"/>
  <c r="V2540" i="1"/>
  <c r="V2543" i="1"/>
  <c r="V1767" i="1"/>
  <c r="V1749" i="1"/>
  <c r="V1743" i="1"/>
  <c r="V2026" i="1"/>
  <c r="V2044" i="1"/>
  <c r="V1119" i="1"/>
  <c r="V1133" i="1"/>
  <c r="V1116" i="1"/>
  <c r="V711" i="1"/>
  <c r="V690" i="1"/>
  <c r="V1041" i="1"/>
  <c r="V1020" i="1"/>
  <c r="V3128" i="1"/>
  <c r="V3104" i="1"/>
  <c r="V3519" i="1"/>
  <c r="V3521" i="1"/>
  <c r="V2827" i="1"/>
  <c r="V2808" i="1"/>
  <c r="V2812" i="1"/>
  <c r="V489" i="1"/>
  <c r="V1614" i="1"/>
  <c r="V1623" i="1"/>
  <c r="V1189" i="1"/>
  <c r="V1184" i="1"/>
  <c r="V875" i="1"/>
  <c r="V862" i="1"/>
  <c r="V872" i="1"/>
  <c r="V1691" i="1"/>
  <c r="V1697" i="1"/>
  <c r="V2290" i="1"/>
  <c r="V2282" i="1"/>
  <c r="V2283" i="1"/>
  <c r="V3246" i="1"/>
  <c r="V3244" i="1"/>
  <c r="V1647" i="1"/>
  <c r="V1649" i="1"/>
  <c r="V2589" i="1"/>
  <c r="V2594" i="1"/>
  <c r="V2427" i="1"/>
  <c r="V2420" i="1"/>
  <c r="V2410" i="1"/>
  <c r="V534" i="1"/>
  <c r="V535" i="1"/>
  <c r="V2692" i="1"/>
  <c r="V2676" i="1"/>
  <c r="V2258" i="1"/>
  <c r="V2243" i="1"/>
  <c r="V571" i="1"/>
  <c r="V568" i="1"/>
  <c r="V2779" i="1"/>
  <c r="V2785" i="1"/>
  <c r="V1973" i="1"/>
  <c r="V1970" i="1"/>
  <c r="V1319" i="1"/>
  <c r="V1328" i="1"/>
  <c r="V1329" i="1"/>
  <c r="V2347" i="1"/>
  <c r="V2318" i="1"/>
  <c r="V1721" i="1"/>
  <c r="V2352" i="1"/>
  <c r="V2959" i="1"/>
  <c r="V997" i="1"/>
  <c r="V2906" i="1"/>
  <c r="V3362" i="1"/>
  <c r="V3136" i="1"/>
  <c r="V3139" i="1"/>
  <c r="V3138" i="1"/>
  <c r="V3140" i="1"/>
  <c r="V3142" i="1"/>
  <c r="V3141" i="1"/>
  <c r="V3143" i="1"/>
  <c r="V3144" i="1"/>
  <c r="V2146" i="1"/>
  <c r="V2148" i="1"/>
  <c r="V2145" i="1"/>
  <c r="V2149" i="1"/>
  <c r="V2150" i="1"/>
  <c r="V2147" i="1"/>
  <c r="V2151" i="1"/>
  <c r="V2152" i="1"/>
  <c r="V1382" i="1"/>
  <c r="V1385" i="1"/>
  <c r="V1384" i="1"/>
  <c r="V1386" i="1"/>
  <c r="V1387" i="1"/>
  <c r="V1383" i="1"/>
  <c r="V1381" i="1"/>
  <c r="V3315" i="1"/>
  <c r="V3317" i="1"/>
  <c r="V3319" i="1"/>
  <c r="V3320" i="1"/>
  <c r="V3316" i="1"/>
  <c r="V3321" i="1"/>
  <c r="V3318" i="1"/>
  <c r="V2612" i="1"/>
  <c r="V2613" i="1"/>
  <c r="V2611" i="1"/>
  <c r="V2615" i="1"/>
  <c r="V2614" i="1"/>
  <c r="V2617" i="1"/>
  <c r="V2618" i="1"/>
  <c r="V2619" i="1"/>
  <c r="V2616" i="1"/>
  <c r="V3909" i="1"/>
  <c r="V3911" i="1"/>
  <c r="V3907" i="1"/>
  <c r="V3912" i="1"/>
  <c r="V3908" i="1"/>
  <c r="V3915" i="1"/>
  <c r="V3913" i="1"/>
  <c r="V3910" i="1"/>
  <c r="V3914" i="1"/>
  <c r="V2696" i="1"/>
  <c r="V2697" i="1"/>
  <c r="V2699" i="1"/>
  <c r="V2701" i="1"/>
  <c r="V2695" i="1"/>
  <c r="V2698" i="1"/>
  <c r="V2700" i="1"/>
  <c r="V3772" i="1"/>
  <c r="V3775" i="1"/>
  <c r="V3768" i="1"/>
  <c r="V3769" i="1"/>
  <c r="V3771" i="1"/>
  <c r="V3774" i="1"/>
  <c r="V3773" i="1"/>
  <c r="V3776" i="1"/>
  <c r="V3770" i="1"/>
  <c r="V1626" i="1"/>
  <c r="V1628" i="1"/>
  <c r="V1629" i="1"/>
  <c r="V1630" i="1"/>
  <c r="V1633" i="1"/>
  <c r="V1627" i="1"/>
  <c r="V1632" i="1"/>
  <c r="V1631" i="1"/>
  <c r="V897" i="1"/>
  <c r="V898" i="1"/>
  <c r="V901" i="1"/>
  <c r="V899" i="1"/>
  <c r="V902" i="1"/>
  <c r="V905" i="1"/>
  <c r="V903" i="1"/>
  <c r="V904" i="1"/>
  <c r="V900" i="1"/>
  <c r="V1428" i="1"/>
  <c r="V1431" i="1"/>
  <c r="V1430" i="1"/>
  <c r="V1433" i="1"/>
  <c r="V1434" i="1"/>
  <c r="V1435" i="1"/>
  <c r="V1436" i="1"/>
  <c r="V1429" i="1"/>
  <c r="V1432" i="1"/>
  <c r="V1155" i="1"/>
  <c r="V1153" i="1"/>
  <c r="V1154" i="1"/>
  <c r="V1158" i="1"/>
  <c r="V1157" i="1"/>
  <c r="V1152" i="1"/>
  <c r="V1159" i="1"/>
  <c r="V1160" i="1"/>
  <c r="V1161" i="1"/>
  <c r="V1162" i="1"/>
  <c r="V1156" i="1"/>
  <c r="V3182" i="1"/>
  <c r="V3183" i="1"/>
  <c r="V3184" i="1"/>
  <c r="V3186" i="1"/>
  <c r="V3187" i="1"/>
  <c r="V3181" i="1"/>
  <c r="V3185" i="1"/>
  <c r="V277" i="1"/>
  <c r="V278" i="1"/>
  <c r="V279" i="1"/>
  <c r="V280" i="1"/>
  <c r="V282" i="1"/>
  <c r="V281" i="1"/>
  <c r="V284" i="1"/>
  <c r="V276" i="1"/>
  <c r="V283" i="1"/>
  <c r="V749" i="1"/>
  <c r="V752" i="1"/>
  <c r="V748" i="1"/>
  <c r="V751" i="1"/>
  <c r="V753" i="1"/>
  <c r="V750" i="1"/>
  <c r="V1377" i="1"/>
  <c r="V1358" i="1"/>
  <c r="V1370" i="1"/>
  <c r="V1353" i="1"/>
  <c r="V1378" i="1"/>
  <c r="V1364" i="1"/>
  <c r="V1346" i="1"/>
  <c r="V1355" i="1"/>
  <c r="V2114" i="1"/>
  <c r="V2126" i="1"/>
  <c r="V2133" i="1"/>
  <c r="V2130" i="1"/>
  <c r="V2128" i="1"/>
  <c r="V2109" i="1"/>
  <c r="V2131" i="1"/>
  <c r="V2116" i="1"/>
  <c r="V2119" i="1"/>
  <c r="V845" i="1"/>
  <c r="V842" i="1"/>
  <c r="V810" i="1"/>
  <c r="V841" i="1"/>
  <c r="V809" i="1"/>
  <c r="V830" i="1"/>
  <c r="V844" i="1"/>
  <c r="V840" i="1"/>
  <c r="V816" i="1"/>
  <c r="V843" i="1"/>
  <c r="V827" i="1"/>
  <c r="V811" i="1"/>
  <c r="V3744" i="1"/>
  <c r="V3749" i="1"/>
  <c r="V3728" i="1"/>
  <c r="V3740" i="1"/>
  <c r="V3745" i="1"/>
  <c r="V3743" i="1"/>
  <c r="V3751" i="1"/>
  <c r="V3766" i="1"/>
  <c r="V3750" i="1"/>
  <c r="V3734" i="1"/>
  <c r="V745" i="1"/>
  <c r="V743" i="1"/>
  <c r="V742" i="1"/>
  <c r="V728" i="1"/>
  <c r="V730" i="1"/>
  <c r="V666" i="1"/>
  <c r="V673" i="1"/>
  <c r="V676" i="1"/>
  <c r="V645" i="1"/>
  <c r="V664" i="1"/>
  <c r="V648" i="1"/>
  <c r="V667" i="1"/>
  <c r="V651" i="1"/>
  <c r="V642" i="1"/>
  <c r="V25" i="1"/>
  <c r="V24" i="1"/>
  <c r="V21" i="1"/>
  <c r="V23" i="1"/>
  <c r="V4" i="1"/>
  <c r="V26" i="1"/>
  <c r="V11" i="1"/>
  <c r="V14" i="1"/>
  <c r="V2528" i="1"/>
  <c r="V2541" i="1"/>
  <c r="V2564" i="1"/>
  <c r="V2532" i="1"/>
  <c r="V2545" i="1"/>
  <c r="V2547" i="1"/>
  <c r="V2563" i="1"/>
  <c r="V2539" i="1"/>
  <c r="V2558" i="1"/>
  <c r="V2542" i="1"/>
  <c r="V1734" i="1"/>
  <c r="V1756" i="1"/>
  <c r="V1736" i="1"/>
  <c r="V1760" i="1"/>
  <c r="V1769" i="1"/>
  <c r="V1745" i="1"/>
  <c r="V1758" i="1"/>
  <c r="V1763" i="1"/>
  <c r="V1752" i="1"/>
  <c r="V1738" i="1"/>
  <c r="V1138" i="1"/>
  <c r="V1143" i="1"/>
  <c r="V1111" i="1"/>
  <c r="V1126" i="1"/>
  <c r="V1139" i="1"/>
  <c r="V1145" i="1"/>
  <c r="V1129" i="1"/>
  <c r="V1113" i="1"/>
  <c r="V1144" i="1"/>
  <c r="V1128" i="1"/>
  <c r="V1112" i="1"/>
  <c r="V3113" i="1"/>
  <c r="V3135" i="1"/>
  <c r="V3117" i="1"/>
  <c r="V3112" i="1"/>
  <c r="V3116" i="1"/>
  <c r="V3120" i="1"/>
  <c r="V3101" i="1"/>
  <c r="V3119" i="1"/>
  <c r="V3103" i="1"/>
  <c r="V499" i="1"/>
  <c r="V504" i="1"/>
  <c r="V492" i="1"/>
  <c r="V485" i="1"/>
  <c r="V484" i="1"/>
  <c r="V490" i="1"/>
  <c r="V1610" i="1"/>
  <c r="V1620" i="1"/>
  <c r="V1604" i="1"/>
  <c r="V1608" i="1"/>
  <c r="V1622" i="1"/>
  <c r="V1601" i="1"/>
  <c r="V1619" i="1"/>
  <c r="V1603" i="1"/>
  <c r="V863" i="1"/>
  <c r="V859" i="1"/>
  <c r="V892" i="1"/>
  <c r="V890" i="1"/>
  <c r="V874" i="1"/>
  <c r="V858" i="1"/>
  <c r="V885" i="1"/>
  <c r="V869" i="1"/>
  <c r="V884" i="1"/>
  <c r="V868" i="1"/>
  <c r="V3235" i="1"/>
  <c r="V3251" i="1"/>
  <c r="V3255" i="1"/>
  <c r="V3257" i="1"/>
  <c r="V3242" i="1"/>
  <c r="V3264" i="1"/>
  <c r="V3245" i="1"/>
  <c r="V3256" i="1"/>
  <c r="V3240" i="1"/>
  <c r="V2592" i="1"/>
  <c r="V2579" i="1"/>
  <c r="V2588" i="1"/>
  <c r="V2603" i="1"/>
  <c r="V2576" i="1"/>
  <c r="V2590" i="1"/>
  <c r="V2604" i="1"/>
  <c r="V2593" i="1"/>
  <c r="V2577" i="1"/>
  <c r="V2687" i="1"/>
  <c r="V2680" i="1"/>
  <c r="V2683" i="1"/>
  <c r="V2678" i="1"/>
  <c r="V1978" i="1"/>
  <c r="V2004" i="1"/>
  <c r="V1984" i="1"/>
  <c r="V1977" i="1"/>
  <c r="V1986" i="1"/>
  <c r="V2001" i="1"/>
  <c r="V1980" i="1"/>
  <c r="V1995" i="1"/>
  <c r="V1979" i="1"/>
  <c r="V1303" i="1"/>
  <c r="V1324" i="1"/>
  <c r="V1327" i="1"/>
  <c r="V1307" i="1"/>
  <c r="V1320" i="1"/>
  <c r="V1322" i="1"/>
  <c r="V1326" i="1"/>
  <c r="V1298" i="1"/>
  <c r="V1325" i="1"/>
  <c r="V1309" i="1"/>
  <c r="V1624" i="1"/>
  <c r="V2006" i="1"/>
  <c r="V3314" i="1"/>
  <c r="V3222" i="1"/>
  <c r="V275" i="1"/>
  <c r="V3179" i="1"/>
  <c r="V37" i="1"/>
  <c r="V2571" i="1"/>
  <c r="V1151" i="1"/>
  <c r="V3137" i="1"/>
  <c r="V3966" i="1"/>
  <c r="V3969" i="1"/>
  <c r="V3967" i="1"/>
  <c r="V3970" i="1"/>
  <c r="V3972" i="1"/>
  <c r="V3971" i="1"/>
  <c r="V3968" i="1"/>
  <c r="V3267" i="1"/>
  <c r="V3268" i="1"/>
  <c r="V3269" i="1"/>
  <c r="V3270" i="1"/>
  <c r="V3272" i="1"/>
  <c r="V3271" i="1"/>
  <c r="V3274" i="1"/>
  <c r="V3273" i="1"/>
  <c r="V3276" i="1"/>
  <c r="V3275" i="1"/>
  <c r="AT3" i="1"/>
  <c r="AU3" i="1" s="1"/>
  <c r="V181" i="1"/>
  <c r="V180" i="1"/>
  <c r="V186" i="1"/>
  <c r="V184" i="1"/>
  <c r="V187" i="1"/>
  <c r="V182" i="1"/>
  <c r="V188" i="1"/>
  <c r="V185" i="1"/>
  <c r="V183" i="1"/>
  <c r="V2010" i="1"/>
  <c r="V2009" i="1"/>
  <c r="V2012" i="1"/>
  <c r="V2014" i="1"/>
  <c r="V2011" i="1"/>
  <c r="V2008" i="1"/>
  <c r="V2013" i="1"/>
  <c r="V2015" i="1"/>
  <c r="V3490" i="1"/>
  <c r="V3491" i="1"/>
  <c r="V3489" i="1"/>
  <c r="V3494" i="1"/>
  <c r="V3497" i="1"/>
  <c r="V3492" i="1"/>
  <c r="V3496" i="1"/>
  <c r="V3493" i="1"/>
  <c r="V3495" i="1"/>
  <c r="V476" i="1"/>
  <c r="V477" i="1"/>
  <c r="V479" i="1"/>
  <c r="V481" i="1"/>
  <c r="V478" i="1"/>
  <c r="V482" i="1"/>
  <c r="V480" i="1"/>
  <c r="V3628" i="1"/>
  <c r="V3630" i="1"/>
  <c r="V3629" i="1"/>
  <c r="V3631" i="1"/>
  <c r="V3632" i="1"/>
  <c r="V3633" i="1"/>
  <c r="V3634" i="1"/>
  <c r="V39" i="1"/>
  <c r="V41" i="1"/>
  <c r="V42" i="1"/>
  <c r="V43" i="1"/>
  <c r="V40" i="1"/>
  <c r="V46" i="1"/>
  <c r="V47" i="1"/>
  <c r="V44" i="1"/>
  <c r="V45" i="1"/>
  <c r="V136" i="1"/>
  <c r="V134" i="1"/>
  <c r="V137" i="1"/>
  <c r="V139" i="1"/>
  <c r="V135" i="1"/>
  <c r="V138" i="1"/>
  <c r="V141" i="1"/>
  <c r="V140" i="1"/>
  <c r="V1289" i="1"/>
  <c r="V1292" i="1"/>
  <c r="V1290" i="1"/>
  <c r="V1291" i="1"/>
  <c r="V1294" i="1"/>
  <c r="V1295" i="1"/>
  <c r="V1296" i="1"/>
  <c r="V1297" i="1"/>
  <c r="V1293" i="1"/>
  <c r="V2668" i="1"/>
  <c r="V2670" i="1"/>
  <c r="V2667" i="1"/>
  <c r="V2671" i="1"/>
  <c r="V2673" i="1"/>
  <c r="V2669" i="1"/>
  <c r="V2672" i="1"/>
  <c r="V2184" i="1"/>
  <c r="V2183" i="1"/>
  <c r="V2185" i="1"/>
  <c r="V2186" i="1"/>
  <c r="V2187" i="1"/>
  <c r="V2188" i="1"/>
  <c r="V2189" i="1"/>
  <c r="V3406" i="1"/>
  <c r="V3407" i="1"/>
  <c r="V3096" i="1"/>
  <c r="V3095" i="1"/>
  <c r="V3097" i="1"/>
  <c r="V3094" i="1"/>
  <c r="V3098" i="1"/>
  <c r="V3100" i="1"/>
  <c r="V3099" i="1"/>
  <c r="V3363" i="1"/>
  <c r="V3364" i="1"/>
  <c r="V3366" i="1"/>
  <c r="V3368" i="1"/>
  <c r="V3365" i="1"/>
  <c r="V3367" i="1"/>
  <c r="V3369" i="1"/>
  <c r="V850" i="1"/>
  <c r="V853" i="1"/>
  <c r="V851" i="1"/>
  <c r="V854" i="1"/>
  <c r="V849" i="1"/>
  <c r="V856" i="1"/>
  <c r="V855" i="1"/>
  <c r="V852" i="1"/>
  <c r="V1772" i="1"/>
  <c r="V1773" i="1"/>
  <c r="V1774" i="1"/>
  <c r="V1775" i="1"/>
  <c r="V1771" i="1"/>
  <c r="V1777" i="1"/>
  <c r="V1776" i="1"/>
  <c r="V1778" i="1"/>
  <c r="V2844" i="1"/>
  <c r="V2842" i="1"/>
  <c r="V2843" i="1"/>
  <c r="V2845" i="1"/>
  <c r="V2847" i="1"/>
  <c r="V2848" i="1"/>
  <c r="V2846" i="1"/>
  <c r="AT2" i="1"/>
  <c r="AU2" i="1" s="1"/>
  <c r="V2099" i="1"/>
  <c r="V2103" i="1"/>
  <c r="V2102" i="1"/>
  <c r="V2105" i="1"/>
  <c r="V2100" i="1"/>
  <c r="V2106" i="1"/>
  <c r="V2104" i="1"/>
  <c r="V2101" i="1"/>
  <c r="V2107" i="1"/>
  <c r="V1482" i="1"/>
  <c r="V1481" i="1"/>
  <c r="V1484" i="1"/>
  <c r="V1486" i="1"/>
  <c r="V1488" i="1"/>
  <c r="V1489" i="1"/>
  <c r="V1490" i="1"/>
  <c r="V1491" i="1"/>
  <c r="V1483" i="1"/>
  <c r="V1485" i="1"/>
  <c r="V1487" i="1"/>
  <c r="V588" i="1"/>
  <c r="V592" i="1"/>
  <c r="V587" i="1"/>
  <c r="V589" i="1"/>
  <c r="V590" i="1"/>
  <c r="V593" i="1"/>
  <c r="V591" i="1"/>
  <c r="V2398" i="1"/>
  <c r="V2400" i="1"/>
  <c r="V2401" i="1"/>
  <c r="V2404" i="1"/>
  <c r="V2397" i="1"/>
  <c r="V2399" i="1"/>
  <c r="V2402" i="1"/>
  <c r="V2405" i="1"/>
  <c r="V2403" i="1"/>
  <c r="V1461" i="1"/>
  <c r="V1371" i="1"/>
  <c r="V1376" i="1"/>
  <c r="V1372" i="1"/>
  <c r="V1365" i="1"/>
  <c r="V1349" i="1"/>
  <c r="V1373" i="1"/>
  <c r="V1360" i="1"/>
  <c r="V1367" i="1"/>
  <c r="V1351" i="1"/>
  <c r="V2129" i="1"/>
  <c r="V2110" i="1"/>
  <c r="V2125" i="1"/>
  <c r="V2118" i="1"/>
  <c r="V2121" i="1"/>
  <c r="V2142" i="1"/>
  <c r="V2127" i="1"/>
  <c r="V2112" i="1"/>
  <c r="V2115" i="1"/>
  <c r="V821" i="1"/>
  <c r="V834" i="1"/>
  <c r="V802" i="1"/>
  <c r="V833" i="1"/>
  <c r="V801" i="1"/>
  <c r="V822" i="1"/>
  <c r="V832" i="1"/>
  <c r="V836" i="1"/>
  <c r="V812" i="1"/>
  <c r="V839" i="1"/>
  <c r="V823" i="1"/>
  <c r="V3736" i="1"/>
  <c r="V3741" i="1"/>
  <c r="V3764" i="1"/>
  <c r="V3732" i="1"/>
  <c r="V3737" i="1"/>
  <c r="V3731" i="1"/>
  <c r="V3747" i="1"/>
  <c r="V3762" i="1"/>
  <c r="V3746" i="1"/>
  <c r="V3730" i="1"/>
  <c r="V741" i="1"/>
  <c r="V736" i="1"/>
  <c r="V739" i="1"/>
  <c r="V731" i="1"/>
  <c r="V661" i="1"/>
  <c r="V658" i="1"/>
  <c r="V665" i="1"/>
  <c r="V670" i="1"/>
  <c r="V674" i="1"/>
  <c r="V660" i="1"/>
  <c r="V644" i="1"/>
  <c r="V663" i="1"/>
  <c r="V34" i="1"/>
  <c r="V13" i="1"/>
  <c r="V9" i="1"/>
  <c r="V5" i="1"/>
  <c r="V16" i="1"/>
  <c r="V30" i="1"/>
  <c r="V22" i="1"/>
  <c r="V7" i="1"/>
  <c r="V10" i="1"/>
  <c r="V2560" i="1"/>
  <c r="V2565" i="1"/>
  <c r="V2533" i="1"/>
  <c r="V2556" i="1"/>
  <c r="V2569" i="1"/>
  <c r="V2537" i="1"/>
  <c r="V2535" i="1"/>
  <c r="V2555" i="1"/>
  <c r="V2531" i="1"/>
  <c r="V2554" i="1"/>
  <c r="V1759" i="1"/>
  <c r="V1751" i="1"/>
  <c r="V1766" i="1"/>
  <c r="V1747" i="1"/>
  <c r="V1765" i="1"/>
  <c r="V1739" i="1"/>
  <c r="V1754" i="1"/>
  <c r="V1762" i="1"/>
  <c r="V1748" i="1"/>
  <c r="V1732" i="1"/>
  <c r="V1130" i="1"/>
  <c r="V1135" i="1"/>
  <c r="V1150" i="1"/>
  <c r="V1118" i="1"/>
  <c r="V1131" i="1"/>
  <c r="V1141" i="1"/>
  <c r="V1125" i="1"/>
  <c r="V1109" i="1"/>
  <c r="V1140" i="1"/>
  <c r="V1124" i="1"/>
  <c r="V1108" i="1"/>
  <c r="V3129" i="1"/>
  <c r="V3118" i="1"/>
  <c r="V3106" i="1"/>
  <c r="V3132" i="1"/>
  <c r="V3110" i="1"/>
  <c r="V3114" i="1"/>
  <c r="V3130" i="1"/>
  <c r="V3115" i="1"/>
  <c r="V3102" i="1"/>
  <c r="V488" i="1"/>
  <c r="V493" i="1"/>
  <c r="V501" i="1"/>
  <c r="V500" i="1"/>
  <c r="V502" i="1"/>
  <c r="V1605" i="1"/>
  <c r="V1609" i="1"/>
  <c r="V1593" i="1"/>
  <c r="V1602" i="1"/>
  <c r="V1617" i="1"/>
  <c r="V1596" i="1"/>
  <c r="V1615" i="1"/>
  <c r="V1599" i="1"/>
  <c r="V879" i="1"/>
  <c r="V895" i="1"/>
  <c r="V883" i="1"/>
  <c r="V886" i="1"/>
  <c r="V870" i="1"/>
  <c r="V896" i="1"/>
  <c r="V881" i="1"/>
  <c r="V865" i="1"/>
  <c r="V880" i="1"/>
  <c r="V864" i="1"/>
  <c r="V3259" i="1"/>
  <c r="V3258" i="1"/>
  <c r="V3239" i="1"/>
  <c r="V3254" i="1"/>
  <c r="V3238" i="1"/>
  <c r="V3260" i="1"/>
  <c r="V3241" i="1"/>
  <c r="V3252" i="1"/>
  <c r="V2587" i="1"/>
  <c r="V2609" i="1"/>
  <c r="V2585" i="1"/>
  <c r="V2595" i="1"/>
  <c r="V2606" i="1"/>
  <c r="V2580" i="1"/>
  <c r="V2602" i="1"/>
  <c r="V2586" i="1"/>
  <c r="V2690" i="1"/>
  <c r="V2682" i="1"/>
  <c r="V2684" i="1"/>
  <c r="V2681" i="1"/>
  <c r="V2674" i="1"/>
  <c r="V2005" i="1"/>
  <c r="V1988" i="1"/>
  <c r="V1998" i="1"/>
  <c r="V2002" i="1"/>
  <c r="V1981" i="1"/>
  <c r="V1996" i="1"/>
  <c r="V1974" i="1"/>
  <c r="V1991" i="1"/>
  <c r="V1975" i="1"/>
  <c r="V1335" i="1"/>
  <c r="V1316" i="1"/>
  <c r="V1331" i="1"/>
  <c r="V1299" i="1"/>
  <c r="V1312" i="1"/>
  <c r="V1310" i="1"/>
  <c r="V1318" i="1"/>
  <c r="V1337" i="1"/>
  <c r="V1321" i="1"/>
  <c r="V3906" i="1"/>
  <c r="V747" i="1"/>
  <c r="V1380" i="1"/>
  <c r="V3767" i="1"/>
  <c r="V2353" i="1"/>
  <c r="V2359" i="1"/>
  <c r="V2354" i="1"/>
  <c r="V2355" i="1"/>
  <c r="V2357" i="1"/>
  <c r="V2358" i="1"/>
  <c r="V2356" i="1"/>
  <c r="V385" i="1"/>
  <c r="V386" i="1"/>
  <c r="V388" i="1"/>
  <c r="V383" i="1"/>
  <c r="V387" i="1"/>
  <c r="V390" i="1"/>
  <c r="V384" i="1"/>
  <c r="V389" i="1"/>
  <c r="V89" i="1"/>
  <c r="V90" i="1"/>
  <c r="V91" i="1"/>
  <c r="V94" i="1"/>
  <c r="V92" i="1"/>
  <c r="V93" i="1"/>
  <c r="V95" i="1"/>
  <c r="V1339" i="1"/>
  <c r="V1340" i="1"/>
  <c r="V1342" i="1"/>
  <c r="V1343" i="1"/>
  <c r="V1345" i="1"/>
  <c r="V1344" i="1"/>
  <c r="V1341" i="1"/>
  <c r="V2961" i="1"/>
  <c r="V2962" i="1"/>
  <c r="V2963" i="1"/>
  <c r="V2965" i="1"/>
  <c r="V2964" i="1"/>
  <c r="V2968" i="1"/>
  <c r="V2966" i="1"/>
  <c r="V2967" i="1"/>
  <c r="V953" i="1"/>
  <c r="V955" i="1"/>
  <c r="V958" i="1"/>
  <c r="V956" i="1"/>
  <c r="V954" i="1"/>
  <c r="V957" i="1"/>
  <c r="V959" i="1"/>
  <c r="V960" i="1"/>
  <c r="V961" i="1"/>
  <c r="V2233" i="1"/>
  <c r="V2236" i="1"/>
  <c r="V2237" i="1"/>
  <c r="V2232" i="1"/>
  <c r="V2234" i="1"/>
  <c r="V2235" i="1"/>
  <c r="V2231" i="1"/>
  <c r="V1531" i="1"/>
  <c r="V1532" i="1"/>
  <c r="V1533" i="1"/>
  <c r="V1534" i="1"/>
  <c r="V1538" i="1"/>
  <c r="V1535" i="1"/>
  <c r="V1537" i="1"/>
  <c r="V1539" i="1"/>
  <c r="V1536" i="1"/>
  <c r="V1961" i="1"/>
  <c r="V1963" i="1"/>
  <c r="V1964" i="1"/>
  <c r="V1966" i="1"/>
  <c r="V1965" i="1"/>
  <c r="V1969" i="1"/>
  <c r="V1962" i="1"/>
  <c r="V1967" i="1"/>
  <c r="V1968" i="1"/>
  <c r="V3016" i="1"/>
  <c r="V3017" i="1"/>
  <c r="V3018" i="1"/>
  <c r="V3020" i="1"/>
  <c r="V3019" i="1"/>
  <c r="V3021" i="1"/>
  <c r="V2271" i="1"/>
  <c r="V2274" i="1"/>
  <c r="V2272" i="1"/>
  <c r="V2273" i="1"/>
  <c r="V2275" i="1"/>
  <c r="V2278" i="1"/>
  <c r="V2276" i="1"/>
  <c r="V2279" i="1"/>
  <c r="V2277" i="1"/>
  <c r="V2482" i="1"/>
  <c r="V2484" i="1"/>
  <c r="V2485" i="1"/>
  <c r="V2483" i="1"/>
  <c r="V2486" i="1"/>
  <c r="V2487" i="1"/>
  <c r="V2488" i="1"/>
  <c r="V1723" i="1"/>
  <c r="V1724" i="1"/>
  <c r="V1725" i="1"/>
  <c r="V1727" i="1"/>
  <c r="V1729" i="1"/>
  <c r="V1726" i="1"/>
  <c r="V1728" i="1"/>
  <c r="V542" i="1"/>
  <c r="V543" i="1"/>
  <c r="V547" i="1"/>
  <c r="V541" i="1"/>
  <c r="V544" i="1"/>
  <c r="V548" i="1"/>
  <c r="V540" i="1"/>
  <c r="V545" i="1"/>
  <c r="V546" i="1"/>
  <c r="V999" i="1"/>
  <c r="V1000" i="1"/>
  <c r="V1003" i="1"/>
  <c r="V1004" i="1"/>
  <c r="V998" i="1"/>
  <c r="V1001" i="1"/>
  <c r="V1002" i="1"/>
  <c r="AT6" i="1"/>
  <c r="AU6" i="1" s="1"/>
  <c r="V3224" i="1"/>
  <c r="V3225" i="1"/>
  <c r="V3228" i="1"/>
  <c r="V3229" i="1"/>
  <c r="V3231" i="1"/>
  <c r="V3223" i="1"/>
  <c r="V3226" i="1"/>
  <c r="V3230" i="1"/>
  <c r="V3227" i="1"/>
  <c r="V3583" i="1"/>
  <c r="V3585" i="1"/>
  <c r="V3586" i="1"/>
  <c r="V3584" i="1"/>
  <c r="V3587" i="1"/>
  <c r="V3588" i="1"/>
  <c r="V3589" i="1"/>
  <c r="V681" i="1"/>
  <c r="V680" i="1"/>
  <c r="V682" i="1"/>
  <c r="V683" i="1"/>
  <c r="V685" i="1"/>
  <c r="V684" i="1"/>
  <c r="V686" i="1"/>
  <c r="V2572" i="1"/>
  <c r="V2573" i="1"/>
  <c r="V2574" i="1"/>
  <c r="V432" i="1"/>
  <c r="V433" i="1"/>
  <c r="V435" i="1"/>
  <c r="V434" i="1"/>
  <c r="V431" i="1"/>
  <c r="V437" i="1"/>
  <c r="V438" i="1"/>
  <c r="V436" i="1"/>
  <c r="V439" i="1"/>
  <c r="V2907" i="1"/>
  <c r="V2909" i="1"/>
  <c r="V2908" i="1"/>
  <c r="V2911" i="1"/>
  <c r="V2912" i="1"/>
  <c r="V2913" i="1"/>
  <c r="V2910" i="1"/>
  <c r="V1250" i="1"/>
  <c r="V1253" i="1"/>
  <c r="V1251" i="1"/>
  <c r="V1254" i="1"/>
  <c r="V1257" i="1"/>
  <c r="V1252" i="1"/>
  <c r="V1258" i="1"/>
  <c r="V1255" i="1"/>
  <c r="V1256" i="1"/>
</calcChain>
</file>

<file path=xl/sharedStrings.xml><?xml version="1.0" encoding="utf-8"?>
<sst xmlns="http://schemas.openxmlformats.org/spreadsheetml/2006/main" count="25703" uniqueCount="228">
  <si>
    <t>Rank</t>
  </si>
  <si>
    <t>Name</t>
  </si>
  <si>
    <t>Year</t>
  </si>
  <si>
    <t>Meet</t>
  </si>
  <si>
    <t>QuizType</t>
  </si>
  <si>
    <t>Quiz#</t>
  </si>
  <si>
    <t>Correct</t>
  </si>
  <si>
    <t>Error</t>
  </si>
  <si>
    <t>BonusCorrect</t>
  </si>
  <si>
    <t>BonusError</t>
  </si>
  <si>
    <t>3rd</t>
  </si>
  <si>
    <t>4th</t>
  </si>
  <si>
    <t>5th</t>
  </si>
  <si>
    <t>Church</t>
  </si>
  <si>
    <t>Team</t>
  </si>
  <si>
    <t>Accuracy</t>
  </si>
  <si>
    <t>Anna Kong</t>
  </si>
  <si>
    <t>Kendra Gross</t>
  </si>
  <si>
    <t>Abi Carlson</t>
  </si>
  <si>
    <t>Ryan Small</t>
  </si>
  <si>
    <t>Emma Madsen</t>
  </si>
  <si>
    <t>Emma Carlson</t>
  </si>
  <si>
    <t>Joshua Hole</t>
  </si>
  <si>
    <t>Daniel Newman</t>
  </si>
  <si>
    <t>Daniel Emme</t>
  </si>
  <si>
    <t>Stephen Nguyen</t>
  </si>
  <si>
    <t>Bryce Asberg</t>
  </si>
  <si>
    <t>Andrew Borden</t>
  </si>
  <si>
    <t>Melinda Borden</t>
  </si>
  <si>
    <t>Jamie Rand</t>
  </si>
  <si>
    <t>Aaron Maier</t>
  </si>
  <si>
    <t>Emily Ashcraft</t>
  </si>
  <si>
    <t>Emilee Pope</t>
  </si>
  <si>
    <t>Lexi Swanson</t>
  </si>
  <si>
    <t>Claire Kong</t>
  </si>
  <si>
    <t>Skotland Hammerstrom</t>
  </si>
  <si>
    <t>Isabel Bammer</t>
  </si>
  <si>
    <t>Jason Small</t>
  </si>
  <si>
    <t>Zoe Walters</t>
  </si>
  <si>
    <t>Isaiah Magnuson</t>
  </si>
  <si>
    <t>Colton Berge</t>
  </si>
  <si>
    <t>Jacob Pope</t>
  </si>
  <si>
    <t>Inez Yoon</t>
  </si>
  <si>
    <t>Daniel Do</t>
  </si>
  <si>
    <t>Tyler Slothower</t>
  </si>
  <si>
    <t>Joshua Miller</t>
  </si>
  <si>
    <t>CH2</t>
  </si>
  <si>
    <t>ABC1</t>
  </si>
  <si>
    <t>ABC2</t>
  </si>
  <si>
    <t>LH1</t>
  </si>
  <si>
    <t>LH2</t>
  </si>
  <si>
    <t>GH1</t>
  </si>
  <si>
    <t>DAC2</t>
  </si>
  <si>
    <t>GH2</t>
  </si>
  <si>
    <t>EBC</t>
  </si>
  <si>
    <t>DAC1</t>
  </si>
  <si>
    <t>CH1</t>
  </si>
  <si>
    <t>ABC3</t>
  </si>
  <si>
    <t>LH3</t>
  </si>
  <si>
    <t>2011-2012</t>
  </si>
  <si>
    <t>Pre</t>
  </si>
  <si>
    <t>Semi</t>
  </si>
  <si>
    <t>ConA</t>
  </si>
  <si>
    <t>ConB</t>
  </si>
  <si>
    <t>A-I</t>
  </si>
  <si>
    <t>Foul</t>
  </si>
  <si>
    <t>H</t>
  </si>
  <si>
    <t>A</t>
  </si>
  <si>
    <t>E</t>
  </si>
  <si>
    <t>G</t>
  </si>
  <si>
    <t>B</t>
  </si>
  <si>
    <t>I</t>
  </si>
  <si>
    <t>Room</t>
  </si>
  <si>
    <t>Jumps</t>
  </si>
  <si>
    <t>C</t>
  </si>
  <si>
    <t>D</t>
  </si>
  <si>
    <t>F</t>
  </si>
  <si>
    <t>BonCorr</t>
  </si>
  <si>
    <t>J</t>
  </si>
  <si>
    <t>A-A</t>
  </si>
  <si>
    <t>A-B</t>
  </si>
  <si>
    <t>A-C</t>
  </si>
  <si>
    <t>A-D</t>
  </si>
  <si>
    <t>A-J</t>
  </si>
  <si>
    <t>A-E</t>
  </si>
  <si>
    <t>A-F</t>
  </si>
  <si>
    <t>A-G</t>
  </si>
  <si>
    <t>A-H</t>
  </si>
  <si>
    <t>ABC</t>
  </si>
  <si>
    <t>Chapel Hill</t>
  </si>
  <si>
    <t>Dallas</t>
  </si>
  <si>
    <t>Fox Island</t>
  </si>
  <si>
    <t>Grays Harbor</t>
  </si>
  <si>
    <t>Lighthouse</t>
  </si>
  <si>
    <t>NSA</t>
  </si>
  <si>
    <t>Tacoma</t>
  </si>
  <si>
    <t>Woodinville</t>
  </si>
  <si>
    <t>Type</t>
  </si>
  <si>
    <t>TieB</t>
  </si>
  <si>
    <t>Quiz</t>
  </si>
  <si>
    <t>QM</t>
  </si>
  <si>
    <t>Scott Peterson</t>
  </si>
  <si>
    <t>Cutty Welt</t>
  </si>
  <si>
    <t>ABC4</t>
  </si>
  <si>
    <t>DC</t>
  </si>
  <si>
    <t>SUM</t>
  </si>
  <si>
    <t>Quiz Out</t>
  </si>
  <si>
    <t>Error Out</t>
  </si>
  <si>
    <t>Fouls</t>
  </si>
  <si>
    <t>BonErr</t>
  </si>
  <si>
    <t>Maddie Ashcraft</t>
  </si>
  <si>
    <t>Camden Kositzky</t>
  </si>
  <si>
    <t>Aidan McKee</t>
  </si>
  <si>
    <t>Micah Magnuson</t>
  </si>
  <si>
    <t>2012-2013</t>
  </si>
  <si>
    <t>LH4</t>
  </si>
  <si>
    <t>Tiffany Bye</t>
  </si>
  <si>
    <t>EBC2</t>
  </si>
  <si>
    <t>TAC1</t>
  </si>
  <si>
    <t>DAC3</t>
  </si>
  <si>
    <t>EBC1</t>
  </si>
  <si>
    <t>JoePaul Appockal</t>
  </si>
  <si>
    <t>TAC2</t>
  </si>
  <si>
    <t>QuizOut</t>
  </si>
  <si>
    <t>ErrOut</t>
  </si>
  <si>
    <t>%</t>
  </si>
  <si>
    <t>%2</t>
  </si>
  <si>
    <t>Jeremy Swingle</t>
  </si>
  <si>
    <t>Quizzes</t>
  </si>
  <si>
    <t>Teresa Derr</t>
  </si>
  <si>
    <t>Ruby Borden</t>
  </si>
  <si>
    <t>Esther Derr</t>
  </si>
  <si>
    <t>Roshan Truax</t>
  </si>
  <si>
    <t>Becca Derr</t>
  </si>
  <si>
    <t>Nathan Bonar</t>
  </si>
  <si>
    <t>Jonathon Derr</t>
  </si>
  <si>
    <t>Justin Widmer</t>
  </si>
  <si>
    <t>Ruth Stuart</t>
  </si>
  <si>
    <t>Ethan Shipps</t>
  </si>
  <si>
    <t>David Steinke</t>
  </si>
  <si>
    <t>Jonathan Steinke</t>
  </si>
  <si>
    <t>Blake Camacho</t>
  </si>
  <si>
    <t>Makya Warren</t>
  </si>
  <si>
    <t>Stephen Miller</t>
  </si>
  <si>
    <t>Bryanna Hurd</t>
  </si>
  <si>
    <t>2013-2014</t>
  </si>
  <si>
    <t>B-1</t>
  </si>
  <si>
    <t>B-2</t>
  </si>
  <si>
    <t>B-3</t>
  </si>
  <si>
    <t>B-4</t>
  </si>
  <si>
    <t>B-5</t>
  </si>
  <si>
    <t>B-6</t>
  </si>
  <si>
    <t>B-7</t>
  </si>
  <si>
    <t>Danny Herzog</t>
  </si>
  <si>
    <t>Iliana Hammerstrom</t>
  </si>
  <si>
    <t>Lam Dang</t>
  </si>
  <si>
    <t>Kate Sweborg</t>
  </si>
  <si>
    <t>Ruby McClung</t>
  </si>
  <si>
    <t>Micah Hollen</t>
  </si>
  <si>
    <t>Tony Kong</t>
  </si>
  <si>
    <t>PreC</t>
  </si>
  <si>
    <t>PreE</t>
  </si>
  <si>
    <t>PreAcc</t>
  </si>
  <si>
    <t>SemiC</t>
  </si>
  <si>
    <t>SemiE</t>
  </si>
  <si>
    <t>SemiAcc</t>
  </si>
  <si>
    <t>ConAC</t>
  </si>
  <si>
    <t>ConAE</t>
  </si>
  <si>
    <t>ConAAcc</t>
  </si>
  <si>
    <t>ConBC</t>
  </si>
  <si>
    <t>ConBE</t>
  </si>
  <si>
    <t>ConBAcc</t>
  </si>
  <si>
    <t>B-J</t>
  </si>
  <si>
    <t>Maddy Cliffe</t>
  </si>
  <si>
    <t>Miriam Van Bergeyk</t>
  </si>
  <si>
    <t>James Taw</t>
  </si>
  <si>
    <t>Abigail Taw</t>
  </si>
  <si>
    <t>WOOD</t>
  </si>
  <si>
    <t>2014-2015</t>
  </si>
  <si>
    <t>Samuel Do</t>
  </si>
  <si>
    <t>Benjamin Malchert</t>
  </si>
  <si>
    <t>Kimberly Bonar</t>
  </si>
  <si>
    <t>Annie McKee</t>
  </si>
  <si>
    <t>Peter Stuart</t>
  </si>
  <si>
    <t>Ha Tien Nguyen</t>
  </si>
  <si>
    <t>David Swindler</t>
  </si>
  <si>
    <t>Zak Swanson</t>
  </si>
  <si>
    <t>Rachel Wallace</t>
  </si>
  <si>
    <t>Natalie Crabtree</t>
  </si>
  <si>
    <t>Ivan Derr</t>
  </si>
  <si>
    <t>Anna Magnuson</t>
  </si>
  <si>
    <t>Marcus Pettersen</t>
  </si>
  <si>
    <t>Johnathan Lehrkind</t>
  </si>
  <si>
    <t>Abigail Van Doorne</t>
  </si>
  <si>
    <t>Brennan Schwebke</t>
  </si>
  <si>
    <t>Maddy Foster</t>
  </si>
  <si>
    <t>Kyndal Holcomb</t>
  </si>
  <si>
    <t>Joseph Winters</t>
  </si>
  <si>
    <t>Deborah Dvorak</t>
  </si>
  <si>
    <t>Austin Watkins</t>
  </si>
  <si>
    <t>Ashly Barrios</t>
  </si>
  <si>
    <t>Lydia Taw</t>
  </si>
  <si>
    <t>Sam Ashcraft</t>
  </si>
  <si>
    <t>Emily Van Bergeyk</t>
  </si>
  <si>
    <t>Tyler Marchese</t>
  </si>
  <si>
    <t>Sabrina Kelsey</t>
  </si>
  <si>
    <t>FOX</t>
  </si>
  <si>
    <t>DAC4</t>
  </si>
  <si>
    <t>ABC5</t>
  </si>
  <si>
    <t>LH5</t>
  </si>
  <si>
    <t>Score</t>
  </si>
  <si>
    <t>Corr/Quiz</t>
  </si>
  <si>
    <t>#Quizzes</t>
  </si>
  <si>
    <t>STAT</t>
  </si>
  <si>
    <t>Eliana Swindler</t>
  </si>
  <si>
    <t>Kaden Meredith</t>
  </si>
  <si>
    <t>Calvin Baker</t>
  </si>
  <si>
    <t>Corr</t>
  </si>
  <si>
    <t>Err</t>
  </si>
  <si>
    <t>Abby Ashcraft</t>
  </si>
  <si>
    <t>TOTAL_QUIZ</t>
  </si>
  <si>
    <t>NAME</t>
  </si>
  <si>
    <t>COUNT</t>
  </si>
  <si>
    <t>Corr/Q</t>
  </si>
  <si>
    <t>Error/Q</t>
  </si>
  <si>
    <t>per quiz</t>
  </si>
  <si>
    <t>Bracket</t>
  </si>
  <si>
    <t>Incorr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</si>
</sst>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_);[Red]\(0\)"/>
    <numFmt numFmtId="165" formatCode="0.0_);[Red]\(0.0\)"/>
    <numFmt numFmtId="166" formatCode="0.0%"/>
    <numFmt numFmtId="167" formatCode="0.00_);[Red]\(0.00\)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</borders>
  <cellStyleXfs count="449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6" fillId="0" borderId="0"/>
  </cellStyleXfs>
  <cellXfs count="73">
    <xf numFmtId="0" fontId="0" fillId="0" borderId="0" xfId="0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9" xfId="0" applyBorder="1" applyAlignment="1">
      <alignment horizontal="center"/>
    </xf>
    <xf numFmtId="10" fontId="0" fillId="0" borderId="5" xfId="1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0" xfId="0" applyBorder="1" applyAlignment="1">
      <alignment horizontal="center"/>
    </xf>
    <xf numFmtId="10" fontId="0" fillId="0" borderId="7" xfId="1" applyNumberFormat="1" applyFont="1" applyBorder="1" applyAlignment="1">
      <alignment horizontal="center"/>
    </xf>
    <xf numFmtId="10" fontId="0" fillId="0" borderId="3" xfId="1" applyNumberFormat="1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1" fontId="0" fillId="0" borderId="0" xfId="0" applyNumberFormat="1"/>
    <xf numFmtId="1" fontId="0" fillId="0" borderId="11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0" fontId="0" fillId="0" borderId="12" xfId="0" applyNumberFormat="1" applyBorder="1" applyAlignment="1">
      <alignment horizontal="center"/>
    </xf>
    <xf numFmtId="10" fontId="0" fillId="0" borderId="0" xfId="0" applyNumberFormat="1"/>
    <xf numFmtId="10" fontId="0" fillId="0" borderId="3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" fontId="0" fillId="0" borderId="8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/>
    <xf numFmtId="0" fontId="2" fillId="0" borderId="0" xfId="0" applyFont="1" applyFill="1"/>
    <xf numFmtId="10" fontId="2" fillId="0" borderId="0" xfId="0" applyNumberFormat="1" applyFont="1" applyFill="1"/>
    <xf numFmtId="10" fontId="2" fillId="0" borderId="0" xfId="1" applyNumberFormat="1" applyFont="1" applyFill="1"/>
    <xf numFmtId="0" fontId="0" fillId="0" borderId="3" xfId="0" applyBorder="1" applyAlignment="1">
      <alignment horizontal="center"/>
    </xf>
    <xf numFmtId="0" fontId="5" fillId="0" borderId="0" xfId="0" applyFont="1" applyFill="1"/>
    <xf numFmtId="0" fontId="5" fillId="0" borderId="0" xfId="0" applyNumberFormat="1" applyFont="1" applyFill="1"/>
    <xf numFmtId="10" fontId="5" fillId="0" borderId="0" xfId="0" applyNumberFormat="1" applyFont="1" applyFill="1"/>
    <xf numFmtId="10" fontId="5" fillId="0" borderId="0" xfId="1" applyNumberFormat="1" applyFont="1" applyFill="1"/>
    <xf numFmtId="0" fontId="2" fillId="0" borderId="0" xfId="0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left"/>
    </xf>
    <xf numFmtId="165" fontId="2" fillId="0" borderId="0" xfId="0" applyNumberFormat="1" applyFont="1" applyFill="1"/>
    <xf numFmtId="165" fontId="5" fillId="0" borderId="0" xfId="0" applyNumberFormat="1" applyFont="1" applyFill="1"/>
    <xf numFmtId="0" fontId="2" fillId="0" borderId="0" xfId="0" applyNumberFormat="1" applyFont="1" applyFill="1"/>
    <xf numFmtId="166" fontId="2" fillId="0" borderId="0" xfId="1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167" fontId="2" fillId="0" borderId="0" xfId="0" applyNumberFormat="1" applyFont="1" applyFill="1" applyAlignment="1">
      <alignment horizontal="center"/>
    </xf>
    <xf numFmtId="9" fontId="0" fillId="0" borderId="0" xfId="1" applyFont="1" applyAlignment="1">
      <alignment horizontal="center"/>
    </xf>
    <xf numFmtId="0" fontId="2" fillId="0" borderId="2" xfId="0" applyFont="1" applyFill="1" applyBorder="1" applyAlignment="1">
      <alignment horizontal="center"/>
    </xf>
    <xf numFmtId="0" fontId="2" fillId="0" borderId="13" xfId="0" applyFont="1" applyFill="1" applyBorder="1" applyAlignment="1">
      <alignment horizontal="center"/>
    </xf>
    <xf numFmtId="166" fontId="2" fillId="0" borderId="3" xfId="1" applyNumberFormat="1" applyFont="1" applyFill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166" fontId="2" fillId="0" borderId="5" xfId="1" applyNumberFormat="1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/>
    </xf>
    <xf numFmtId="166" fontId="2" fillId="0" borderId="7" xfId="1" applyNumberFormat="1" applyFont="1" applyFill="1" applyBorder="1" applyAlignment="1">
      <alignment horizontal="center"/>
    </xf>
    <xf numFmtId="0" fontId="2" fillId="0" borderId="8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7" fillId="0" borderId="0" xfId="0" applyFont="1" applyFill="1" applyAlignment="1">
      <alignment horizontal="center"/>
    </xf>
    <xf numFmtId="166" fontId="7" fillId="0" borderId="0" xfId="1" applyNumberFormat="1" applyFont="1" applyFill="1" applyAlignment="1">
      <alignment horizontal="center"/>
    </xf>
  </cellXfs>
  <cellStyles count="449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Normal" xfId="0" builtinId="0"/>
    <cellStyle name="Normal 2" xfId="448"/>
    <cellStyle name="Percent" xfId="1" builtinId="5"/>
  </cellStyles>
  <dxfs count="70"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0.0_);[Red]\(0.0\)"/>
      <fill>
        <patternFill patternType="none">
          <fgColor indexed="64"/>
          <bgColor auto="1"/>
        </patternFill>
      </fill>
    </dxf>
    <dxf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0.0_);[Red]\(0.0\)"/>
      <fill>
        <patternFill patternType="none">
          <fgColor indexed="64"/>
          <bgColor auto="1"/>
        </patternFill>
      </fill>
    </dxf>
    <dxf>
      <numFmt numFmtId="14" formatCode="0.00%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e1" displayName="Table1" ref="A1:AF92" totalsRowShown="0" headerRowDxfId="63" dataDxfId="62" headerRowCellStyle="Normal" dataCellStyle="Normal">
  <autoFilter ref="A1:AF92"/>
  <sortState ref="A2:AF92">
    <sortCondition descending="1" ref="I1:I92"/>
  </sortState>
  <tableColumns count="32">
    <tableColumn id="1" name="Rank" dataDxfId="61" totalsRowDxfId="60" dataCellStyle="Normal"/>
    <tableColumn id="2" name="Name" dataDxfId="59" totalsRowDxfId="58" dataCellStyle="Normal"/>
    <tableColumn id="19" name="Church" dataDxfId="57" totalsRowDxfId="56"/>
    <tableColumn id="3" name="#Quizzes" dataDxfId="55" totalsRowDxfId="54" dataCellStyle="Normal">
      <calculatedColumnFormula>COUNTIF(DATA!$A$2:$A$9731,B2)</calculatedColumnFormula>
    </tableColumn>
    <tableColumn id="4" name="Correct" dataDxfId="53" totalsRowDxfId="52" dataCellStyle="Normal">
      <calculatedColumnFormula>SUMIF(DATA!$A$2:$A$9077,B2,DATA!$J$2:$J$9077)</calculatedColumnFormula>
    </tableColumn>
    <tableColumn id="5" name="Error" dataDxfId="51" totalsRowDxfId="50" dataCellStyle="Normal">
      <calculatedColumnFormula>SUMIF(DATA!$A$2:$A$9077,B2,DATA!$K$2:$K$9077)</calculatedColumnFormula>
    </tableColumn>
    <tableColumn id="6" name="Jumps" dataDxfId="49" dataCellStyle="Normal">
      <calculatedColumnFormula>E2+F2</calculatedColumnFormula>
    </tableColumn>
    <tableColumn id="7" name="Accuracy" dataDxfId="48" totalsRowDxfId="47" dataCellStyle="Normal">
      <calculatedColumnFormula>E2/(E2+F2)</calculatedColumnFormula>
    </tableColumn>
    <tableColumn id="32" name="STAT" dataDxfId="46" totalsRowDxfId="45">
      <calculatedColumnFormula>(E2+L2-F2-K2-M2)/D2</calculatedColumnFormula>
    </tableColumn>
    <tableColumn id="8" name="Corr/Quiz" dataDxfId="44" dataCellStyle="Normal">
      <calculatedColumnFormula>Table1[[#This Row],[Correct]]/Table1[[#This Row],['#Quizzes]]</calculatedColumnFormula>
    </tableColumn>
    <tableColumn id="9" name="Foul" dataDxfId="43" totalsRowDxfId="42" dataCellStyle="Normal">
      <calculatedColumnFormula>SUMIF(DATA!$A$2:$A$9077,B2,DATA!$L$2:$L$9077)</calculatedColumnFormula>
    </tableColumn>
    <tableColumn id="10" name="BonCorr" dataDxfId="41" totalsRowDxfId="40" dataCellStyle="Normal">
      <calculatedColumnFormula>SUMIF(DATA!$A$2:$A$9077,B2,DATA!$M$2:$M$79077)</calculatedColumnFormula>
    </tableColumn>
    <tableColumn id="11" name="BonErr" dataDxfId="39" totalsRowDxfId="38" dataCellStyle="Normal">
      <calculatedColumnFormula>SUMIF(DATA!$A$2:$A$9077,B2,DATA!$N$2:$N$9077)</calculatedColumnFormula>
    </tableColumn>
    <tableColumn id="12" name="3rd" dataDxfId="37" totalsRowDxfId="36" dataCellStyle="Normal">
      <calculatedColumnFormula>SUMIF(DATA!$A$2:$A$9101,B2,DATA!$O$2:$O$9101)</calculatedColumnFormula>
    </tableColumn>
    <tableColumn id="13" name="4th" dataDxfId="35" totalsRowDxfId="34" dataCellStyle="Normal">
      <calculatedColumnFormula>SUMIF(DATA!$A$2:$A$9101,B2,DATA!$P$2:$P$9101)</calculatedColumnFormula>
    </tableColumn>
    <tableColumn id="14" name="5th" dataDxfId="33" totalsRowDxfId="32" dataCellStyle="Normal">
      <calculatedColumnFormula>SUMIF(DATA!$A$2:$A$9101,B2,DATA!$Q$2:$Q$9101)</calculatedColumnFormula>
    </tableColumn>
    <tableColumn id="15" name="QuizOut" dataDxfId="31" totalsRowDxfId="30" dataCellStyle="Normal">
      <calculatedColumnFormula>SUMIF(DATA!$A$2:$A$9078,B2,DATA!$R$2:$R$9078)</calculatedColumnFormula>
    </tableColumn>
    <tableColumn id="17" name="%" dataDxfId="29" totalsRowDxfId="28" dataCellStyle="Percent">
      <calculatedColumnFormula>Q2/D2</calculatedColumnFormula>
    </tableColumn>
    <tableColumn id="16" name="ErrOut" dataDxfId="27" totalsRowDxfId="26" dataCellStyle="Normal">
      <calculatedColumnFormula>SUMIF(DATA!$A$2:$A$9078,B2,DATA!$S$2:$S$9078)</calculatedColumnFormula>
    </tableColumn>
    <tableColumn id="18" name="%2" dataDxfId="25" totalsRowDxfId="24" dataCellStyle="Percent">
      <calculatedColumnFormula>S2/D2</calculatedColumnFormula>
    </tableColumn>
    <tableColumn id="20" name="PreC" dataDxfId="23" totalsRowDxfId="22" dataCellStyle="Normal">
      <calculatedColumnFormula>SUMIFS(DATA!J:J,DATA!A:A,Table1[[#This Row],[Name]],DATA!F:F,"Pre")</calculatedColumnFormula>
    </tableColumn>
    <tableColumn id="21" name="PreE" dataDxfId="21" totalsRowDxfId="20" dataCellStyle="Normal">
      <calculatedColumnFormula>SUMIFS(DATA!K:K,DATA!A:A,Table1[[#This Row],[Name]],DATA!F:F,"Pre")</calculatedColumnFormula>
    </tableColumn>
    <tableColumn id="22" name="PreAcc" dataDxfId="19" totalsRowDxfId="18" dataCellStyle="Normal">
      <calculatedColumnFormula>U2/(U2+V2)</calculatedColumnFormula>
    </tableColumn>
    <tableColumn id="23" name="SemiC" dataDxfId="17" totalsRowDxfId="16" dataCellStyle="Normal">
      <calculatedColumnFormula>SUMIFS(DATA!J:J,DATA!A:A,Table1[[#This Row],[Name]],DATA!F:F,"Semi")</calculatedColumnFormula>
    </tableColumn>
    <tableColumn id="24" name="SemiE" dataDxfId="15" totalsRowDxfId="14" dataCellStyle="Normal">
      <calculatedColumnFormula>SUMIFS(DATA!K:K,DATA!A:A,Table1[[#This Row],[Name]],DATA!F:F,"Semi")</calculatedColumnFormula>
    </tableColumn>
    <tableColumn id="25" name="SemiAcc" dataDxfId="13" totalsRowDxfId="12" dataCellStyle="Normal">
      <calculatedColumnFormula>X2/(X2+Y2)</calculatedColumnFormula>
    </tableColumn>
    <tableColumn id="26" name="ConAC" dataDxfId="11" totalsRowDxfId="10" dataCellStyle="Normal">
      <calculatedColumnFormula>SUMIFS(DATA!J:J,DATA!A:A,Table1[[#This Row],[Name]],DATA!F:F,"COnA")</calculatedColumnFormula>
    </tableColumn>
    <tableColumn id="27" name="ConAE" dataDxfId="9" totalsRowDxfId="8" dataCellStyle="Normal">
      <calculatedColumnFormula>SUMIFS(DATA!K:K,DATA!A:A,Table1[[#This Row],[Name]],DATA!F:F,"ConA")</calculatedColumnFormula>
    </tableColumn>
    <tableColumn id="28" name="ConAAcc" dataDxfId="7" totalsRowDxfId="6" dataCellStyle="Normal">
      <calculatedColumnFormula>AA2/(AA2+AB2)</calculatedColumnFormula>
    </tableColumn>
    <tableColumn id="29" name="ConBC" dataDxfId="5" totalsRowDxfId="4" dataCellStyle="Normal">
      <calculatedColumnFormula>SUMIFS(DATA!J:J,DATA!A:A,Table1[[#This Row],[Name]],DATA!F:F,"ConB")</calculatedColumnFormula>
    </tableColumn>
    <tableColumn id="30" name="ConBE" dataDxfId="3" totalsRowDxfId="2" dataCellStyle="Normal">
      <calculatedColumnFormula>SUMIFS(DATA!K:K,DATA!A:A,Table1[[#This Row],[Name]],DATA!F:F,"ConB")</calculatedColumnFormula>
    </tableColumn>
    <tableColumn id="31" name="ConBAcc" dataDxfId="1" totalsRowDxfId="0" dataCellStyle="Normal">
      <calculatedColumnFormula>AD2/(AD2+AE2)</calculatedColumnFormula>
    </tableColumn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U3972"/>
  <sheetViews>
    <sheetView tabSelected="1" workbookViewId="0">
      <pane xSplit="4" ySplit="1" topLeftCell="E2" activePane="bottomRight" state="frozen"/>
      <selection pane="topRight" activeCell="F1" sqref="F1"/>
      <selection pane="bottomLeft" activeCell="A2" sqref="A2"/>
      <selection pane="bottomRight" activeCell="E2" sqref="E2"/>
    </sheetView>
  </sheetViews>
  <sheetFormatPr defaultColWidth="8.85546875" defaultRowHeight="11.25" x14ac:dyDescent="0.2"/>
  <cols>
    <col min="1" max="1" width="17.28515625" style="46" bestFit="1" customWidth="1"/>
    <col min="2" max="2" width="9.28515625" style="46" bestFit="1" customWidth="1"/>
    <col min="3" max="3" width="10.28515625" style="46" bestFit="1" customWidth="1"/>
    <col min="4" max="4" width="8.42578125" style="46" bestFit="1" customWidth="1"/>
    <col min="5" max="5" width="9.140625" style="46" bestFit="1" customWidth="1"/>
    <col min="6" max="6" width="11.42578125" style="46" bestFit="1" customWidth="1"/>
    <col min="7" max="7" width="9.42578125" style="46" bestFit="1" customWidth="1"/>
    <col min="8" max="8" width="9.140625" style="47" bestFit="1" customWidth="1"/>
    <col min="9" max="9" width="11.7109375" style="47" bestFit="1" customWidth="1"/>
    <col min="10" max="17" width="5.42578125" style="48" customWidth="1"/>
    <col min="18" max="21" width="8.85546875" style="46"/>
    <col min="22" max="22" width="8.85546875" style="54"/>
    <col min="23" max="25" width="10.7109375" style="46" customWidth="1"/>
    <col min="26" max="30" width="8.85546875" style="46"/>
    <col min="31" max="31" width="12.5703125" style="46" bestFit="1" customWidth="1"/>
    <col min="32" max="32" width="10.140625" style="46" bestFit="1" customWidth="1"/>
    <col min="33" max="33" width="10.5703125" style="46" bestFit="1" customWidth="1"/>
    <col min="34" max="34" width="10.5703125" style="54" customWidth="1"/>
    <col min="35" max="35" width="8.85546875" style="46" bestFit="1" customWidth="1"/>
    <col min="36" max="36" width="10.5703125" style="54" customWidth="1"/>
    <col min="37" max="37" width="8.42578125" style="46" bestFit="1" customWidth="1"/>
    <col min="38" max="38" width="14.7109375" style="46" bestFit="1" customWidth="1"/>
    <col min="39" max="39" width="13" style="46" bestFit="1" customWidth="1"/>
    <col min="40" max="42" width="7.85546875" style="46" bestFit="1" customWidth="1"/>
    <col min="43" max="43" width="10.85546875" style="46" bestFit="1" customWidth="1"/>
    <col min="44" max="44" width="9.85546875" style="46" bestFit="1" customWidth="1"/>
    <col min="45" max="45" width="9.28515625" style="46" bestFit="1" customWidth="1"/>
    <col min="46" max="46" width="13.42578125" style="46" bestFit="1" customWidth="1"/>
    <col min="47" max="47" width="10.5703125" style="54" customWidth="1"/>
    <col min="48" max="16384" width="8.85546875" style="46"/>
  </cols>
  <sheetData>
    <row r="1" spans="1:47" x14ac:dyDescent="0.2">
      <c r="A1" s="46" t="s">
        <v>1</v>
      </c>
      <c r="B1" s="46" t="s">
        <v>14</v>
      </c>
      <c r="C1" s="46" t="s">
        <v>13</v>
      </c>
      <c r="D1" s="46" t="s">
        <v>2</v>
      </c>
      <c r="E1" s="46" t="s">
        <v>3</v>
      </c>
      <c r="F1" s="46" t="s">
        <v>4</v>
      </c>
      <c r="G1" s="46" t="s">
        <v>72</v>
      </c>
      <c r="H1" s="47" t="s">
        <v>5</v>
      </c>
      <c r="I1" s="47" t="s">
        <v>100</v>
      </c>
      <c r="J1" s="48" t="s">
        <v>6</v>
      </c>
      <c r="K1" s="48" t="s">
        <v>7</v>
      </c>
      <c r="L1" s="48" t="s">
        <v>65</v>
      </c>
      <c r="M1" s="48" t="s">
        <v>8</v>
      </c>
      <c r="N1" s="48" t="s">
        <v>9</v>
      </c>
      <c r="O1" s="48" t="s">
        <v>10</v>
      </c>
      <c r="P1" s="48" t="s">
        <v>11</v>
      </c>
      <c r="Q1" s="48" t="s">
        <v>12</v>
      </c>
      <c r="R1" s="46" t="s">
        <v>123</v>
      </c>
      <c r="S1" s="46" t="s">
        <v>124</v>
      </c>
      <c r="T1" s="46" t="s">
        <v>210</v>
      </c>
      <c r="U1" s="46" t="s">
        <v>220</v>
      </c>
      <c r="AE1" s="46" t="s">
        <v>221</v>
      </c>
      <c r="AF1" s="46" t="s">
        <v>222</v>
      </c>
      <c r="AG1" s="46" t="s">
        <v>6</v>
      </c>
      <c r="AH1" s="54" t="s">
        <v>223</v>
      </c>
      <c r="AI1" s="46" t="s">
        <v>7</v>
      </c>
      <c r="AJ1" s="54" t="s">
        <v>224</v>
      </c>
      <c r="AK1" s="46" t="s">
        <v>65</v>
      </c>
      <c r="AL1" s="46" t="s">
        <v>8</v>
      </c>
      <c r="AM1" s="46" t="s">
        <v>9</v>
      </c>
      <c r="AN1" s="46" t="s">
        <v>10</v>
      </c>
      <c r="AO1" s="46" t="s">
        <v>11</v>
      </c>
      <c r="AP1" s="46" t="s">
        <v>12</v>
      </c>
      <c r="AQ1" s="46" t="s">
        <v>123</v>
      </c>
      <c r="AR1" s="46" t="s">
        <v>124</v>
      </c>
      <c r="AS1" s="46" t="s">
        <v>210</v>
      </c>
      <c r="AT1" s="46" t="s">
        <v>220</v>
      </c>
      <c r="AU1" s="54" t="s">
        <v>225</v>
      </c>
    </row>
    <row r="2" spans="1:47" x14ac:dyDescent="0.2">
      <c r="A2" s="46" t="s">
        <v>30</v>
      </c>
      <c r="B2" s="46" t="s">
        <v>115</v>
      </c>
      <c r="C2" s="46" t="s">
        <v>93</v>
      </c>
      <c r="D2" s="46" t="s">
        <v>178</v>
      </c>
      <c r="E2" s="46">
        <v>1</v>
      </c>
      <c r="F2" s="46" t="s">
        <v>60</v>
      </c>
      <c r="G2" s="46">
        <v>4</v>
      </c>
      <c r="H2" s="47">
        <v>16</v>
      </c>
      <c r="I2" s="47" t="s">
        <v>102</v>
      </c>
      <c r="J2" s="48">
        <v>0</v>
      </c>
      <c r="K2" s="48">
        <v>3</v>
      </c>
      <c r="R2" s="46">
        <f t="shared" ref="R2:R65" si="0">IF(J2=4,1,0)</f>
        <v>0</v>
      </c>
      <c r="S2" s="46">
        <f t="shared" ref="S2:S65" si="1">IF(K2=3,1,0)</f>
        <v>1</v>
      </c>
      <c r="T2" s="46">
        <f t="shared" ref="T2:T46" si="2">quizscore(J2,K2)</f>
        <v>-20</v>
      </c>
      <c r="U2" s="46">
        <f t="shared" ref="U2:U65" si="3">T2+M2*(20) + (SUM(O2:Q2)*(10)) - L2*(5) - N2*(5)</f>
        <v>-20</v>
      </c>
      <c r="V2" s="54">
        <f t="shared" ref="V2:V65" si="4">AVERAGEIFS(U:U,A:A,A2,F:F,"Pre")</f>
        <v>15.666666666666666</v>
      </c>
      <c r="Z2" s="46" t="s">
        <v>3</v>
      </c>
      <c r="AA2" s="46" t="s">
        <v>217</v>
      </c>
      <c r="AB2" s="46" t="s">
        <v>218</v>
      </c>
      <c r="AC2" s="46" t="s">
        <v>15</v>
      </c>
      <c r="AE2" s="46" t="s">
        <v>139</v>
      </c>
      <c r="AF2" s="46">
        <f t="shared" ref="AF2:AF20" si="5">COUNTIFS(A:A,AE2,H:H,"j")</f>
        <v>6</v>
      </c>
      <c r="AG2" s="46">
        <f t="shared" ref="AG2:AG20" si="6">SUMIFS(J:J,A:A,AE2,H:H,"j")</f>
        <v>19</v>
      </c>
      <c r="AH2" s="54">
        <f t="shared" ref="AH2:AH20" si="7">AG2/AF2</f>
        <v>3.1666666666666665</v>
      </c>
      <c r="AI2" s="46">
        <f t="shared" ref="AI2:AI20" si="8">SUMIFS(K:K,A:A,AE2,H:H,"j")</f>
        <v>10</v>
      </c>
      <c r="AJ2" s="54">
        <f t="shared" ref="AJ2:AJ20" si="9">AI2/AF2</f>
        <v>1.6666666666666667</v>
      </c>
      <c r="AK2" s="46">
        <f t="shared" ref="AK2:AK20" si="10">SUMIFS(L:L,A:A,AE2,H:H,"J")</f>
        <v>0</v>
      </c>
      <c r="AL2" s="46">
        <f t="shared" ref="AL2:AL20" si="11">SUMIFS(M:M,A:A,AE2,H:H,"J")</f>
        <v>1</v>
      </c>
      <c r="AM2" s="46">
        <f t="shared" ref="AM2:AM20" si="12">SUMIFS(N:N,A:A,AE2,H:H,"J")</f>
        <v>0</v>
      </c>
      <c r="AN2" s="46">
        <f t="shared" ref="AN2:AN20" si="13">SUMIFS(O:O,A:A,AE2,H:H,"J")</f>
        <v>0</v>
      </c>
      <c r="AO2" s="46">
        <f t="shared" ref="AO2:AO20" si="14">SUMIFS(P:P,A:A,AE2,H:H,"J")</f>
        <v>0</v>
      </c>
      <c r="AP2" s="46">
        <f t="shared" ref="AP2:AP20" si="15">SUMIFS(Q:Q,A:A,AE2,H:H,"J")</f>
        <v>0</v>
      </c>
      <c r="AQ2" s="46">
        <f t="shared" ref="AQ2:AQ20" si="16">SUMIFS(R:R,A:A,AE2,H:H,"J")</f>
        <v>3</v>
      </c>
      <c r="AR2" s="46">
        <f t="shared" ref="AR2:AR20" si="17">SUMIFS(S:S,A:A,AE2,H:H,"J")</f>
        <v>1</v>
      </c>
      <c r="AS2" s="46">
        <f t="shared" ref="AS2:AS20" si="18">SUMIFS(T:T,A:A,AE2,H:H,"J")</f>
        <v>280</v>
      </c>
      <c r="AT2" s="46">
        <f t="shared" ref="AT2:AT20" si="19">SUMIFS(U:U,A:A,AE2,H:H,"J")</f>
        <v>300</v>
      </c>
      <c r="AU2" s="54">
        <f t="shared" ref="AU2:AU20" si="20">AT2/AF2</f>
        <v>50</v>
      </c>
    </row>
    <row r="3" spans="1:47" x14ac:dyDescent="0.2">
      <c r="A3" s="46" t="s">
        <v>30</v>
      </c>
      <c r="B3" s="46" t="s">
        <v>115</v>
      </c>
      <c r="C3" s="46" t="s">
        <v>93</v>
      </c>
      <c r="D3" s="46" t="s">
        <v>178</v>
      </c>
      <c r="E3" s="46">
        <v>2</v>
      </c>
      <c r="F3" s="46" t="s">
        <v>63</v>
      </c>
      <c r="G3" s="46">
        <v>4</v>
      </c>
      <c r="H3" s="47" t="s">
        <v>150</v>
      </c>
      <c r="I3" s="47" t="s">
        <v>102</v>
      </c>
      <c r="J3" s="48">
        <v>0</v>
      </c>
      <c r="K3" s="48">
        <v>2</v>
      </c>
      <c r="R3" s="46">
        <f t="shared" si="0"/>
        <v>0</v>
      </c>
      <c r="S3" s="46">
        <f t="shared" si="1"/>
        <v>0</v>
      </c>
      <c r="T3" s="46">
        <f t="shared" si="2"/>
        <v>-10</v>
      </c>
      <c r="U3" s="46">
        <f t="shared" si="3"/>
        <v>-10</v>
      </c>
      <c r="V3" s="54">
        <f t="shared" si="4"/>
        <v>15.666666666666666</v>
      </c>
      <c r="Z3" s="46">
        <v>1</v>
      </c>
      <c r="AA3" s="46">
        <f>SUMIF(E:E,Z3,J:J)</f>
        <v>1164</v>
      </c>
      <c r="AB3" s="46">
        <f>SUMIF(E:E,Z3,K:K)</f>
        <v>479</v>
      </c>
      <c r="AC3" s="52">
        <f>AA3/(AA3+AB3)</f>
        <v>0.70846013390139984</v>
      </c>
      <c r="AE3" s="46" t="s">
        <v>18</v>
      </c>
      <c r="AF3" s="46">
        <f t="shared" si="5"/>
        <v>4</v>
      </c>
      <c r="AG3" s="46">
        <f t="shared" si="6"/>
        <v>12</v>
      </c>
      <c r="AH3" s="54">
        <f t="shared" si="7"/>
        <v>3</v>
      </c>
      <c r="AI3" s="46">
        <f t="shared" si="8"/>
        <v>8</v>
      </c>
      <c r="AJ3" s="54">
        <f t="shared" si="9"/>
        <v>2</v>
      </c>
      <c r="AK3" s="46">
        <f t="shared" si="10"/>
        <v>0</v>
      </c>
      <c r="AL3" s="46">
        <f t="shared" si="11"/>
        <v>1</v>
      </c>
      <c r="AM3" s="46">
        <f t="shared" si="12"/>
        <v>0</v>
      </c>
      <c r="AN3" s="46">
        <f t="shared" si="13"/>
        <v>0</v>
      </c>
      <c r="AO3" s="46">
        <f t="shared" si="14"/>
        <v>0</v>
      </c>
      <c r="AP3" s="46">
        <f t="shared" si="15"/>
        <v>0</v>
      </c>
      <c r="AQ3" s="46">
        <f t="shared" si="16"/>
        <v>2</v>
      </c>
      <c r="AR3" s="46">
        <f t="shared" si="17"/>
        <v>2</v>
      </c>
      <c r="AS3" s="46">
        <f t="shared" si="18"/>
        <v>200</v>
      </c>
      <c r="AT3" s="46">
        <f t="shared" si="19"/>
        <v>220</v>
      </c>
      <c r="AU3" s="54">
        <f t="shared" si="20"/>
        <v>55</v>
      </c>
    </row>
    <row r="4" spans="1:47" x14ac:dyDescent="0.2">
      <c r="A4" s="46" t="s">
        <v>30</v>
      </c>
      <c r="B4" s="46" t="s">
        <v>115</v>
      </c>
      <c r="C4" s="46" t="s">
        <v>93</v>
      </c>
      <c r="D4" s="46" t="s">
        <v>178</v>
      </c>
      <c r="E4" s="46">
        <v>2</v>
      </c>
      <c r="F4" s="46" t="s">
        <v>60</v>
      </c>
      <c r="G4" s="46">
        <v>2</v>
      </c>
      <c r="H4" s="47">
        <v>6</v>
      </c>
      <c r="I4" s="47" t="s">
        <v>127</v>
      </c>
      <c r="J4" s="48">
        <v>0</v>
      </c>
      <c r="K4" s="48">
        <v>1</v>
      </c>
      <c r="R4" s="46">
        <f t="shared" si="0"/>
        <v>0</v>
      </c>
      <c r="S4" s="46">
        <f t="shared" si="1"/>
        <v>0</v>
      </c>
      <c r="T4" s="46">
        <f t="shared" si="2"/>
        <v>0</v>
      </c>
      <c r="U4" s="46">
        <f t="shared" si="3"/>
        <v>0</v>
      </c>
      <c r="V4" s="54">
        <f t="shared" si="4"/>
        <v>15.666666666666666</v>
      </c>
      <c r="Z4" s="46">
        <v>2</v>
      </c>
      <c r="AA4" s="46">
        <f>SUMIF(E:E,Z4,J:J)</f>
        <v>1047</v>
      </c>
      <c r="AB4" s="46">
        <f>SUMIF(E:E,Z4,K:K)</f>
        <v>520</v>
      </c>
      <c r="AC4" s="52">
        <f t="shared" ref="AC4:AC15" si="21">AA4/(AA4+AB4)</f>
        <v>0.66815571155073383</v>
      </c>
      <c r="AE4" s="46" t="s">
        <v>16</v>
      </c>
      <c r="AF4" s="46">
        <f t="shared" si="5"/>
        <v>9</v>
      </c>
      <c r="AG4" s="46">
        <f t="shared" si="6"/>
        <v>27</v>
      </c>
      <c r="AH4" s="54">
        <f t="shared" si="7"/>
        <v>3</v>
      </c>
      <c r="AI4" s="46">
        <f t="shared" si="8"/>
        <v>14</v>
      </c>
      <c r="AJ4" s="54">
        <f t="shared" si="9"/>
        <v>1.5555555555555556</v>
      </c>
      <c r="AK4" s="46">
        <f t="shared" si="10"/>
        <v>0</v>
      </c>
      <c r="AL4" s="46">
        <f t="shared" si="11"/>
        <v>5</v>
      </c>
      <c r="AM4" s="46">
        <f t="shared" si="12"/>
        <v>0</v>
      </c>
      <c r="AN4" s="46">
        <f t="shared" si="13"/>
        <v>0</v>
      </c>
      <c r="AO4" s="46">
        <f t="shared" si="14"/>
        <v>0</v>
      </c>
      <c r="AP4" s="46">
        <f t="shared" si="15"/>
        <v>0</v>
      </c>
      <c r="AQ4" s="46">
        <f t="shared" si="16"/>
        <v>6</v>
      </c>
      <c r="AR4" s="46">
        <f t="shared" si="17"/>
        <v>3</v>
      </c>
      <c r="AS4" s="46">
        <f t="shared" si="18"/>
        <v>420</v>
      </c>
      <c r="AT4" s="46">
        <f t="shared" si="19"/>
        <v>520</v>
      </c>
      <c r="AU4" s="54">
        <f t="shared" si="20"/>
        <v>57.777777777777779</v>
      </c>
    </row>
    <row r="5" spans="1:47" x14ac:dyDescent="0.2">
      <c r="A5" s="46" t="s">
        <v>30</v>
      </c>
      <c r="B5" s="46" t="s">
        <v>115</v>
      </c>
      <c r="C5" s="46" t="s">
        <v>93</v>
      </c>
      <c r="D5" s="46" t="s">
        <v>178</v>
      </c>
      <c r="E5" s="46">
        <v>4</v>
      </c>
      <c r="F5" s="46" t="s">
        <v>60</v>
      </c>
      <c r="G5" s="46">
        <v>3</v>
      </c>
      <c r="H5" s="47">
        <v>7</v>
      </c>
      <c r="I5" s="47" t="s">
        <v>159</v>
      </c>
      <c r="J5" s="48">
        <v>0</v>
      </c>
      <c r="K5" s="48">
        <v>0</v>
      </c>
      <c r="N5" s="48">
        <v>1</v>
      </c>
      <c r="R5" s="46">
        <f t="shared" si="0"/>
        <v>0</v>
      </c>
      <c r="S5" s="46">
        <f t="shared" si="1"/>
        <v>0</v>
      </c>
      <c r="T5" s="46">
        <f t="shared" si="2"/>
        <v>0</v>
      </c>
      <c r="U5" s="46">
        <f t="shared" si="3"/>
        <v>-5</v>
      </c>
      <c r="V5" s="54">
        <f t="shared" si="4"/>
        <v>15.666666666666666</v>
      </c>
      <c r="Z5" s="46">
        <v>3</v>
      </c>
      <c r="AA5" s="46">
        <f>SUMIF(E:E,Z5,J:J)</f>
        <v>986</v>
      </c>
      <c r="AB5" s="46">
        <f>SUMIF(E:E,Z5,K:K)</f>
        <v>498</v>
      </c>
      <c r="AC5" s="52">
        <f t="shared" si="21"/>
        <v>0.66442048517520214</v>
      </c>
      <c r="AE5" s="46" t="s">
        <v>201</v>
      </c>
      <c r="AF5" s="46">
        <f t="shared" si="5"/>
        <v>13</v>
      </c>
      <c r="AG5" s="46">
        <f t="shared" si="6"/>
        <v>37</v>
      </c>
      <c r="AH5" s="54">
        <f t="shared" si="7"/>
        <v>2.8461538461538463</v>
      </c>
      <c r="AI5" s="46">
        <f t="shared" si="8"/>
        <v>9</v>
      </c>
      <c r="AJ5" s="54">
        <f t="shared" si="9"/>
        <v>0.69230769230769229</v>
      </c>
      <c r="AK5" s="46">
        <f t="shared" si="10"/>
        <v>6</v>
      </c>
      <c r="AL5" s="46">
        <f t="shared" si="11"/>
        <v>5</v>
      </c>
      <c r="AM5" s="46">
        <f t="shared" si="12"/>
        <v>0</v>
      </c>
      <c r="AN5" s="46">
        <f t="shared" si="13"/>
        <v>0</v>
      </c>
      <c r="AO5" s="46">
        <f t="shared" si="14"/>
        <v>0</v>
      </c>
      <c r="AP5" s="46">
        <f t="shared" si="15"/>
        <v>0</v>
      </c>
      <c r="AQ5" s="46">
        <f t="shared" si="16"/>
        <v>6</v>
      </c>
      <c r="AR5" s="46">
        <f t="shared" si="17"/>
        <v>1</v>
      </c>
      <c r="AS5" s="46">
        <f t="shared" si="18"/>
        <v>710</v>
      </c>
      <c r="AT5" s="46">
        <f t="shared" si="19"/>
        <v>780</v>
      </c>
      <c r="AU5" s="54">
        <f t="shared" si="20"/>
        <v>60</v>
      </c>
    </row>
    <row r="6" spans="1:47" x14ac:dyDescent="0.2">
      <c r="A6" s="46" t="s">
        <v>30</v>
      </c>
      <c r="B6" s="46" t="s">
        <v>115</v>
      </c>
      <c r="C6" s="46" t="s">
        <v>93</v>
      </c>
      <c r="D6" s="46" t="s">
        <v>178</v>
      </c>
      <c r="E6" s="46">
        <v>2</v>
      </c>
      <c r="F6" s="46" t="s">
        <v>60</v>
      </c>
      <c r="G6" s="46">
        <v>1</v>
      </c>
      <c r="H6" s="47">
        <v>21</v>
      </c>
      <c r="I6" s="47" t="s">
        <v>101</v>
      </c>
      <c r="J6" s="48">
        <v>0</v>
      </c>
      <c r="K6" s="48">
        <v>1</v>
      </c>
      <c r="R6" s="46">
        <f t="shared" si="0"/>
        <v>0</v>
      </c>
      <c r="S6" s="46">
        <f t="shared" si="1"/>
        <v>0</v>
      </c>
      <c r="T6" s="46">
        <f t="shared" si="2"/>
        <v>0</v>
      </c>
      <c r="U6" s="46">
        <f t="shared" si="3"/>
        <v>0</v>
      </c>
      <c r="V6" s="54">
        <f t="shared" si="4"/>
        <v>15.666666666666666</v>
      </c>
      <c r="Z6" s="46">
        <v>4</v>
      </c>
      <c r="AA6" s="46">
        <f>SUMIF(E:E,Z6,J:J)</f>
        <v>933</v>
      </c>
      <c r="AB6" s="46">
        <f>SUMIF(E:E,Z6,K:K)</f>
        <v>531</v>
      </c>
      <c r="AC6" s="52">
        <f t="shared" si="21"/>
        <v>0.63729508196721307</v>
      </c>
      <c r="AE6" s="46" t="s">
        <v>32</v>
      </c>
      <c r="AF6" s="46">
        <f t="shared" si="5"/>
        <v>4</v>
      </c>
      <c r="AG6" s="46">
        <f t="shared" si="6"/>
        <v>6</v>
      </c>
      <c r="AH6" s="54">
        <f t="shared" si="7"/>
        <v>1.5</v>
      </c>
      <c r="AI6" s="46">
        <f t="shared" si="8"/>
        <v>4</v>
      </c>
      <c r="AJ6" s="54">
        <f t="shared" si="9"/>
        <v>1</v>
      </c>
      <c r="AK6" s="46">
        <f t="shared" si="10"/>
        <v>0</v>
      </c>
      <c r="AL6" s="46">
        <f t="shared" si="11"/>
        <v>0</v>
      </c>
      <c r="AM6" s="46">
        <f t="shared" si="12"/>
        <v>0</v>
      </c>
      <c r="AN6" s="46">
        <f t="shared" si="13"/>
        <v>1</v>
      </c>
      <c r="AO6" s="46">
        <f t="shared" si="14"/>
        <v>0</v>
      </c>
      <c r="AP6" s="46">
        <f t="shared" si="15"/>
        <v>0</v>
      </c>
      <c r="AQ6" s="46">
        <f t="shared" si="16"/>
        <v>0</v>
      </c>
      <c r="AR6" s="46">
        <f t="shared" si="17"/>
        <v>0</v>
      </c>
      <c r="AS6" s="46">
        <f t="shared" si="18"/>
        <v>110</v>
      </c>
      <c r="AT6" s="46">
        <f t="shared" si="19"/>
        <v>120</v>
      </c>
      <c r="AU6" s="54">
        <f t="shared" si="20"/>
        <v>30</v>
      </c>
    </row>
    <row r="7" spans="1:47" x14ac:dyDescent="0.2">
      <c r="A7" s="46" t="s">
        <v>30</v>
      </c>
      <c r="B7" s="46" t="s">
        <v>115</v>
      </c>
      <c r="C7" s="46" t="s">
        <v>93</v>
      </c>
      <c r="D7" s="46" t="s">
        <v>178</v>
      </c>
      <c r="E7" s="46">
        <v>3</v>
      </c>
      <c r="F7" s="46" t="s">
        <v>60</v>
      </c>
      <c r="G7" s="46">
        <v>4</v>
      </c>
      <c r="H7" s="47">
        <v>28</v>
      </c>
      <c r="I7" s="47" t="s">
        <v>102</v>
      </c>
      <c r="J7" s="48">
        <v>0</v>
      </c>
      <c r="K7" s="48">
        <v>0</v>
      </c>
      <c r="N7" s="48">
        <v>1</v>
      </c>
      <c r="R7" s="46">
        <f t="shared" si="0"/>
        <v>0</v>
      </c>
      <c r="S7" s="46">
        <f t="shared" si="1"/>
        <v>0</v>
      </c>
      <c r="T7" s="46">
        <f t="shared" si="2"/>
        <v>0</v>
      </c>
      <c r="U7" s="46">
        <f t="shared" si="3"/>
        <v>-5</v>
      </c>
      <c r="V7" s="54">
        <f t="shared" si="4"/>
        <v>15.666666666666666</v>
      </c>
      <c r="Z7" s="46">
        <v>5</v>
      </c>
      <c r="AA7" s="46">
        <f>SUMIF(E:E,Z7,J:J)</f>
        <v>983</v>
      </c>
      <c r="AB7" s="46">
        <f>SUMIF(E:E,Z7,K:K)</f>
        <v>456</v>
      </c>
      <c r="AC7" s="52">
        <f t="shared" si="21"/>
        <v>0.68311327310632386</v>
      </c>
      <c r="AE7" s="46" t="s">
        <v>28</v>
      </c>
      <c r="AF7" s="46">
        <f t="shared" si="5"/>
        <v>2</v>
      </c>
      <c r="AG7" s="46">
        <f t="shared" si="6"/>
        <v>3</v>
      </c>
      <c r="AH7" s="54">
        <f t="shared" si="7"/>
        <v>1.5</v>
      </c>
      <c r="AI7" s="46">
        <f t="shared" si="8"/>
        <v>1</v>
      </c>
      <c r="AJ7" s="54">
        <f t="shared" si="9"/>
        <v>0.5</v>
      </c>
      <c r="AK7" s="46">
        <f t="shared" si="10"/>
        <v>0</v>
      </c>
      <c r="AL7" s="46">
        <f t="shared" si="11"/>
        <v>0</v>
      </c>
      <c r="AM7" s="46">
        <f t="shared" si="12"/>
        <v>0</v>
      </c>
      <c r="AN7" s="46">
        <f t="shared" si="13"/>
        <v>0</v>
      </c>
      <c r="AO7" s="46">
        <f t="shared" si="14"/>
        <v>0</v>
      </c>
      <c r="AP7" s="46">
        <f t="shared" si="15"/>
        <v>0</v>
      </c>
      <c r="AQ7" s="46">
        <f t="shared" si="16"/>
        <v>0</v>
      </c>
      <c r="AR7" s="46">
        <f t="shared" si="17"/>
        <v>0</v>
      </c>
      <c r="AS7" s="46">
        <f t="shared" si="18"/>
        <v>60</v>
      </c>
      <c r="AT7" s="46">
        <f t="shared" si="19"/>
        <v>60</v>
      </c>
      <c r="AU7" s="54">
        <f t="shared" si="20"/>
        <v>30</v>
      </c>
    </row>
    <row r="8" spans="1:47" x14ac:dyDescent="0.2">
      <c r="A8" s="46" t="s">
        <v>30</v>
      </c>
      <c r="B8" s="46" t="s">
        <v>115</v>
      </c>
      <c r="C8" s="46" t="s">
        <v>93</v>
      </c>
      <c r="D8" s="46" t="s">
        <v>178</v>
      </c>
      <c r="E8" s="46">
        <v>1</v>
      </c>
      <c r="F8" s="46" t="s">
        <v>60</v>
      </c>
      <c r="G8" s="46">
        <v>2</v>
      </c>
      <c r="H8" s="47">
        <v>30</v>
      </c>
      <c r="I8" s="47" t="s">
        <v>127</v>
      </c>
      <c r="J8" s="48">
        <v>0</v>
      </c>
      <c r="K8" s="48">
        <v>0</v>
      </c>
      <c r="R8" s="46">
        <f t="shared" si="0"/>
        <v>0</v>
      </c>
      <c r="S8" s="46">
        <f t="shared" si="1"/>
        <v>0</v>
      </c>
      <c r="T8" s="46">
        <f t="shared" si="2"/>
        <v>0</v>
      </c>
      <c r="U8" s="46">
        <f t="shared" si="3"/>
        <v>0</v>
      </c>
      <c r="V8" s="54">
        <f t="shared" si="4"/>
        <v>15.666666666666666</v>
      </c>
      <c r="AC8" s="52"/>
      <c r="AE8" s="46" t="s">
        <v>175</v>
      </c>
      <c r="AF8" s="46">
        <f t="shared" si="5"/>
        <v>2</v>
      </c>
      <c r="AG8" s="46">
        <f t="shared" si="6"/>
        <v>3</v>
      </c>
      <c r="AH8" s="54">
        <f t="shared" si="7"/>
        <v>1.5</v>
      </c>
      <c r="AI8" s="46">
        <f t="shared" si="8"/>
        <v>1</v>
      </c>
      <c r="AJ8" s="54">
        <f t="shared" si="9"/>
        <v>0.5</v>
      </c>
      <c r="AK8" s="46">
        <f t="shared" si="10"/>
        <v>2</v>
      </c>
      <c r="AL8" s="46">
        <f t="shared" si="11"/>
        <v>0</v>
      </c>
      <c r="AM8" s="46">
        <f t="shared" si="12"/>
        <v>0</v>
      </c>
      <c r="AN8" s="46">
        <f t="shared" si="13"/>
        <v>0</v>
      </c>
      <c r="AO8" s="46">
        <f t="shared" si="14"/>
        <v>0</v>
      </c>
      <c r="AP8" s="46">
        <f t="shared" si="15"/>
        <v>0</v>
      </c>
      <c r="AQ8" s="46">
        <f t="shared" si="16"/>
        <v>0</v>
      </c>
      <c r="AR8" s="46">
        <f t="shared" si="17"/>
        <v>0</v>
      </c>
      <c r="AS8" s="46">
        <f t="shared" si="18"/>
        <v>60</v>
      </c>
      <c r="AT8" s="46">
        <f t="shared" si="19"/>
        <v>50</v>
      </c>
      <c r="AU8" s="54">
        <f t="shared" si="20"/>
        <v>25</v>
      </c>
    </row>
    <row r="9" spans="1:47" ht="12" thickBot="1" x14ac:dyDescent="0.25">
      <c r="A9" s="46" t="s">
        <v>30</v>
      </c>
      <c r="B9" s="46" t="s">
        <v>115</v>
      </c>
      <c r="C9" s="46" t="s">
        <v>93</v>
      </c>
      <c r="D9" s="46" t="s">
        <v>178</v>
      </c>
      <c r="E9" s="46">
        <v>2</v>
      </c>
      <c r="F9" s="46" t="s">
        <v>60</v>
      </c>
      <c r="G9" s="46">
        <v>1</v>
      </c>
      <c r="H9" s="47">
        <v>33</v>
      </c>
      <c r="I9" s="47" t="s">
        <v>101</v>
      </c>
      <c r="J9" s="48">
        <v>0</v>
      </c>
      <c r="K9" s="48">
        <v>0</v>
      </c>
      <c r="R9" s="46">
        <f t="shared" si="0"/>
        <v>0</v>
      </c>
      <c r="S9" s="46">
        <f t="shared" si="1"/>
        <v>0</v>
      </c>
      <c r="T9" s="46">
        <f t="shared" si="2"/>
        <v>0</v>
      </c>
      <c r="U9" s="46">
        <f t="shared" si="3"/>
        <v>0</v>
      </c>
      <c r="V9" s="54">
        <f t="shared" si="4"/>
        <v>15.666666666666666</v>
      </c>
      <c r="X9" s="71" t="s">
        <v>1</v>
      </c>
      <c r="Y9" s="71" t="s">
        <v>226</v>
      </c>
      <c r="Z9" s="71" t="s">
        <v>72</v>
      </c>
      <c r="AA9" s="71" t="s">
        <v>217</v>
      </c>
      <c r="AB9" s="71" t="s">
        <v>227</v>
      </c>
      <c r="AC9" s="72" t="s">
        <v>15</v>
      </c>
      <c r="AE9" s="46" t="s">
        <v>43</v>
      </c>
      <c r="AF9" s="46">
        <f t="shared" si="5"/>
        <v>13</v>
      </c>
      <c r="AG9" s="46">
        <f t="shared" si="6"/>
        <v>19</v>
      </c>
      <c r="AH9" s="54">
        <f t="shared" si="7"/>
        <v>1.4615384615384615</v>
      </c>
      <c r="AI9" s="46">
        <f t="shared" si="8"/>
        <v>9</v>
      </c>
      <c r="AJ9" s="54">
        <f t="shared" si="9"/>
        <v>0.69230769230769229</v>
      </c>
      <c r="AK9" s="46">
        <f t="shared" si="10"/>
        <v>0</v>
      </c>
      <c r="AL9" s="46">
        <f t="shared" si="11"/>
        <v>1</v>
      </c>
      <c r="AM9" s="46">
        <f t="shared" si="12"/>
        <v>1</v>
      </c>
      <c r="AN9" s="46">
        <f t="shared" si="13"/>
        <v>2</v>
      </c>
      <c r="AO9" s="46">
        <f t="shared" si="14"/>
        <v>0</v>
      </c>
      <c r="AP9" s="46">
        <f t="shared" si="15"/>
        <v>0</v>
      </c>
      <c r="AQ9" s="46">
        <f t="shared" si="16"/>
        <v>0</v>
      </c>
      <c r="AR9" s="46">
        <f t="shared" si="17"/>
        <v>1</v>
      </c>
      <c r="AS9" s="46">
        <f t="shared" si="18"/>
        <v>270</v>
      </c>
      <c r="AT9" s="46">
        <f t="shared" si="19"/>
        <v>305</v>
      </c>
      <c r="AU9" s="54">
        <f t="shared" si="20"/>
        <v>23.46153846153846</v>
      </c>
    </row>
    <row r="10" spans="1:47" x14ac:dyDescent="0.2">
      <c r="A10" s="46" t="s">
        <v>30</v>
      </c>
      <c r="B10" s="46" t="s">
        <v>115</v>
      </c>
      <c r="C10" s="46" t="s">
        <v>93</v>
      </c>
      <c r="D10" s="46" t="s">
        <v>178</v>
      </c>
      <c r="E10" s="46">
        <v>1</v>
      </c>
      <c r="F10" s="46" t="s">
        <v>60</v>
      </c>
      <c r="G10" s="46">
        <v>1</v>
      </c>
      <c r="H10" s="47">
        <v>41</v>
      </c>
      <c r="I10" s="47" t="s">
        <v>101</v>
      </c>
      <c r="J10" s="48">
        <v>0</v>
      </c>
      <c r="K10" s="48">
        <v>1</v>
      </c>
      <c r="R10" s="46">
        <f t="shared" si="0"/>
        <v>0</v>
      </c>
      <c r="S10" s="46">
        <f t="shared" si="1"/>
        <v>0</v>
      </c>
      <c r="T10" s="46">
        <f t="shared" si="2"/>
        <v>0</v>
      </c>
      <c r="U10" s="46">
        <f t="shared" si="3"/>
        <v>0</v>
      </c>
      <c r="V10" s="54">
        <f t="shared" si="4"/>
        <v>15.666666666666666</v>
      </c>
      <c r="X10" s="56" t="s">
        <v>176</v>
      </c>
      <c r="Y10" s="65" t="s">
        <v>60</v>
      </c>
      <c r="Z10" s="65">
        <v>1</v>
      </c>
      <c r="AA10" s="56">
        <f t="shared" ref="AA10:AA15" si="22">SUMIFS(J:J,A:A,X10,F:F,Y10,G:G,Z10)</f>
        <v>27</v>
      </c>
      <c r="AB10" s="68">
        <f t="shared" ref="AB10:AB15" si="23">SUMIFS(K:K,A:A,X10,F:F,Y10,G:G,Z10)</f>
        <v>5</v>
      </c>
      <c r="AC10" s="58">
        <f t="shared" si="21"/>
        <v>0.84375</v>
      </c>
      <c r="AE10" s="46" t="s">
        <v>36</v>
      </c>
      <c r="AF10" s="46">
        <f t="shared" si="5"/>
        <v>13</v>
      </c>
      <c r="AG10" s="46">
        <f t="shared" si="6"/>
        <v>15</v>
      </c>
      <c r="AH10" s="54">
        <f t="shared" si="7"/>
        <v>1.1538461538461537</v>
      </c>
      <c r="AI10" s="46">
        <f t="shared" si="8"/>
        <v>20</v>
      </c>
      <c r="AJ10" s="54">
        <f t="shared" si="9"/>
        <v>1.5384615384615385</v>
      </c>
      <c r="AK10" s="46">
        <f t="shared" si="10"/>
        <v>0</v>
      </c>
      <c r="AL10" s="46">
        <f t="shared" si="11"/>
        <v>0</v>
      </c>
      <c r="AM10" s="46">
        <f t="shared" si="12"/>
        <v>1</v>
      </c>
      <c r="AN10" s="46">
        <f t="shared" si="13"/>
        <v>5</v>
      </c>
      <c r="AO10" s="46">
        <f t="shared" si="14"/>
        <v>0</v>
      </c>
      <c r="AP10" s="46">
        <f t="shared" si="15"/>
        <v>0</v>
      </c>
      <c r="AQ10" s="46">
        <f t="shared" si="16"/>
        <v>0</v>
      </c>
      <c r="AR10" s="46">
        <f t="shared" si="17"/>
        <v>1</v>
      </c>
      <c r="AS10" s="46">
        <f t="shared" si="18"/>
        <v>200</v>
      </c>
      <c r="AT10" s="46">
        <f t="shared" si="19"/>
        <v>245</v>
      </c>
      <c r="AU10" s="54">
        <f t="shared" si="20"/>
        <v>18.846153846153847</v>
      </c>
    </row>
    <row r="11" spans="1:47" x14ac:dyDescent="0.2">
      <c r="A11" s="46" t="s">
        <v>30</v>
      </c>
      <c r="B11" s="46" t="s">
        <v>115</v>
      </c>
      <c r="C11" s="46" t="s">
        <v>93</v>
      </c>
      <c r="D11" s="46" t="s">
        <v>178</v>
      </c>
      <c r="E11" s="46">
        <v>2</v>
      </c>
      <c r="F11" s="46" t="s">
        <v>60</v>
      </c>
      <c r="G11" s="46">
        <v>4</v>
      </c>
      <c r="H11" s="47">
        <v>44</v>
      </c>
      <c r="I11" s="47" t="s">
        <v>102</v>
      </c>
      <c r="J11" s="48">
        <v>0</v>
      </c>
      <c r="K11" s="48">
        <v>0</v>
      </c>
      <c r="R11" s="46">
        <f t="shared" si="0"/>
        <v>0</v>
      </c>
      <c r="S11" s="46">
        <f t="shared" si="1"/>
        <v>0</v>
      </c>
      <c r="T11" s="46">
        <f t="shared" si="2"/>
        <v>0</v>
      </c>
      <c r="U11" s="46">
        <f t="shared" si="3"/>
        <v>0</v>
      </c>
      <c r="V11" s="54">
        <f t="shared" si="4"/>
        <v>15.666666666666666</v>
      </c>
      <c r="X11" s="59" t="s">
        <v>176</v>
      </c>
      <c r="Y11" s="66" t="s">
        <v>60</v>
      </c>
      <c r="Z11" s="66">
        <v>2</v>
      </c>
      <c r="AA11" s="59">
        <f t="shared" si="22"/>
        <v>17</v>
      </c>
      <c r="AB11" s="69">
        <f t="shared" si="23"/>
        <v>8</v>
      </c>
      <c r="AC11" s="61">
        <f t="shared" si="21"/>
        <v>0.68</v>
      </c>
      <c r="AE11" s="46" t="s">
        <v>21</v>
      </c>
      <c r="AF11" s="46">
        <f t="shared" si="5"/>
        <v>6</v>
      </c>
      <c r="AG11" s="46">
        <f t="shared" si="6"/>
        <v>10</v>
      </c>
      <c r="AH11" s="54">
        <f t="shared" si="7"/>
        <v>1.6666666666666667</v>
      </c>
      <c r="AI11" s="46">
        <f t="shared" si="8"/>
        <v>2</v>
      </c>
      <c r="AJ11" s="54">
        <f t="shared" si="9"/>
        <v>0.33333333333333331</v>
      </c>
      <c r="AK11" s="46">
        <f t="shared" si="10"/>
        <v>0</v>
      </c>
      <c r="AL11" s="46">
        <f t="shared" si="11"/>
        <v>3</v>
      </c>
      <c r="AM11" s="46">
        <f t="shared" si="12"/>
        <v>0</v>
      </c>
      <c r="AN11" s="46">
        <f t="shared" si="13"/>
        <v>0</v>
      </c>
      <c r="AO11" s="46">
        <f t="shared" si="14"/>
        <v>0</v>
      </c>
      <c r="AP11" s="46">
        <f t="shared" si="15"/>
        <v>0</v>
      </c>
      <c r="AQ11" s="46">
        <f t="shared" si="16"/>
        <v>0</v>
      </c>
      <c r="AR11" s="46">
        <f t="shared" si="17"/>
        <v>0</v>
      </c>
      <c r="AS11" s="46">
        <f t="shared" si="18"/>
        <v>70</v>
      </c>
      <c r="AT11" s="46">
        <f t="shared" si="19"/>
        <v>130</v>
      </c>
      <c r="AU11" s="54">
        <f t="shared" si="20"/>
        <v>21.666666666666668</v>
      </c>
    </row>
    <row r="12" spans="1:47" x14ac:dyDescent="0.2">
      <c r="A12" s="46" t="s">
        <v>30</v>
      </c>
      <c r="B12" s="46" t="s">
        <v>115</v>
      </c>
      <c r="C12" s="46" t="s">
        <v>93</v>
      </c>
      <c r="D12" s="46" t="s">
        <v>178</v>
      </c>
      <c r="E12" s="46">
        <v>3</v>
      </c>
      <c r="F12" s="46" t="s">
        <v>60</v>
      </c>
      <c r="G12" s="46">
        <v>4</v>
      </c>
      <c r="H12" s="47">
        <v>44</v>
      </c>
      <c r="I12" s="47" t="s">
        <v>102</v>
      </c>
      <c r="J12" s="48">
        <v>0</v>
      </c>
      <c r="K12" s="48">
        <v>0</v>
      </c>
      <c r="R12" s="46">
        <f t="shared" si="0"/>
        <v>0</v>
      </c>
      <c r="S12" s="46">
        <f t="shared" si="1"/>
        <v>0</v>
      </c>
      <c r="T12" s="46">
        <f t="shared" si="2"/>
        <v>0</v>
      </c>
      <c r="U12" s="46">
        <f t="shared" si="3"/>
        <v>0</v>
      </c>
      <c r="V12" s="54">
        <f t="shared" si="4"/>
        <v>15.666666666666666</v>
      </c>
      <c r="X12" s="59" t="s">
        <v>176</v>
      </c>
      <c r="Y12" s="66" t="s">
        <v>60</v>
      </c>
      <c r="Z12" s="66">
        <v>3</v>
      </c>
      <c r="AA12" s="59">
        <f t="shared" si="22"/>
        <v>28</v>
      </c>
      <c r="AB12" s="69">
        <f t="shared" si="23"/>
        <v>8</v>
      </c>
      <c r="AC12" s="61">
        <f t="shared" si="21"/>
        <v>0.77777777777777779</v>
      </c>
      <c r="AE12" s="46" t="s">
        <v>17</v>
      </c>
      <c r="AF12" s="46">
        <f t="shared" si="5"/>
        <v>5</v>
      </c>
      <c r="AG12" s="46">
        <f t="shared" si="6"/>
        <v>11</v>
      </c>
      <c r="AH12" s="54">
        <f t="shared" si="7"/>
        <v>2.2000000000000002</v>
      </c>
      <c r="AI12" s="46">
        <f t="shared" si="8"/>
        <v>5</v>
      </c>
      <c r="AJ12" s="54">
        <f t="shared" si="9"/>
        <v>1</v>
      </c>
      <c r="AK12" s="46">
        <f t="shared" si="10"/>
        <v>0</v>
      </c>
      <c r="AL12" s="46">
        <f t="shared" si="11"/>
        <v>1</v>
      </c>
      <c r="AM12" s="46">
        <f t="shared" si="12"/>
        <v>0</v>
      </c>
      <c r="AN12" s="46">
        <f t="shared" si="13"/>
        <v>0</v>
      </c>
      <c r="AO12" s="46">
        <f t="shared" si="14"/>
        <v>0</v>
      </c>
      <c r="AP12" s="46">
        <f t="shared" si="15"/>
        <v>0</v>
      </c>
      <c r="AQ12" s="46">
        <f t="shared" si="16"/>
        <v>0</v>
      </c>
      <c r="AR12" s="46">
        <f t="shared" si="17"/>
        <v>0</v>
      </c>
      <c r="AS12" s="46">
        <f t="shared" si="18"/>
        <v>210</v>
      </c>
      <c r="AT12" s="46">
        <f t="shared" si="19"/>
        <v>230</v>
      </c>
      <c r="AU12" s="54">
        <f t="shared" si="20"/>
        <v>46</v>
      </c>
    </row>
    <row r="13" spans="1:47" ht="12" thickBot="1" x14ac:dyDescent="0.25">
      <c r="A13" s="46" t="s">
        <v>30</v>
      </c>
      <c r="B13" s="46" t="s">
        <v>115</v>
      </c>
      <c r="C13" s="46" t="s">
        <v>93</v>
      </c>
      <c r="D13" s="46" t="s">
        <v>178</v>
      </c>
      <c r="E13" s="46">
        <v>3</v>
      </c>
      <c r="F13" s="46" t="s">
        <v>60</v>
      </c>
      <c r="G13" s="46">
        <v>2</v>
      </c>
      <c r="H13" s="47">
        <v>50</v>
      </c>
      <c r="I13" s="47" t="s">
        <v>127</v>
      </c>
      <c r="J13" s="48">
        <v>0</v>
      </c>
      <c r="K13" s="48">
        <v>0</v>
      </c>
      <c r="N13" s="48">
        <v>1</v>
      </c>
      <c r="R13" s="46">
        <f t="shared" si="0"/>
        <v>0</v>
      </c>
      <c r="S13" s="46">
        <f t="shared" si="1"/>
        <v>0</v>
      </c>
      <c r="T13" s="46">
        <f t="shared" si="2"/>
        <v>0</v>
      </c>
      <c r="U13" s="46">
        <f t="shared" si="3"/>
        <v>-5</v>
      </c>
      <c r="V13" s="54">
        <f t="shared" si="4"/>
        <v>15.666666666666666</v>
      </c>
      <c r="X13" s="62" t="s">
        <v>176</v>
      </c>
      <c r="Y13" s="67" t="s">
        <v>60</v>
      </c>
      <c r="Z13" s="67">
        <v>4</v>
      </c>
      <c r="AA13" s="62">
        <f t="shared" si="22"/>
        <v>26</v>
      </c>
      <c r="AB13" s="70">
        <f t="shared" si="23"/>
        <v>6</v>
      </c>
      <c r="AC13" s="64">
        <f t="shared" si="21"/>
        <v>0.8125</v>
      </c>
      <c r="AE13" s="46" t="s">
        <v>158</v>
      </c>
      <c r="AF13" s="46">
        <f t="shared" si="5"/>
        <v>5</v>
      </c>
      <c r="AG13" s="46">
        <f t="shared" si="6"/>
        <v>8</v>
      </c>
      <c r="AH13" s="54">
        <f t="shared" si="7"/>
        <v>1.6</v>
      </c>
      <c r="AI13" s="46">
        <f t="shared" si="8"/>
        <v>9</v>
      </c>
      <c r="AJ13" s="54">
        <f t="shared" si="9"/>
        <v>1.8</v>
      </c>
      <c r="AK13" s="46">
        <f t="shared" si="10"/>
        <v>0</v>
      </c>
      <c r="AL13" s="46">
        <f t="shared" si="11"/>
        <v>1</v>
      </c>
      <c r="AM13" s="46">
        <f t="shared" si="12"/>
        <v>0</v>
      </c>
      <c r="AN13" s="46">
        <f t="shared" si="13"/>
        <v>0</v>
      </c>
      <c r="AO13" s="46">
        <f t="shared" si="14"/>
        <v>0</v>
      </c>
      <c r="AP13" s="46">
        <f t="shared" si="15"/>
        <v>0</v>
      </c>
      <c r="AQ13" s="46">
        <f t="shared" si="16"/>
        <v>0</v>
      </c>
      <c r="AR13" s="46">
        <f t="shared" si="17"/>
        <v>0</v>
      </c>
      <c r="AS13" s="46">
        <f t="shared" si="18"/>
        <v>120</v>
      </c>
      <c r="AT13" s="46">
        <f t="shared" si="19"/>
        <v>140</v>
      </c>
      <c r="AU13" s="54">
        <f t="shared" si="20"/>
        <v>28</v>
      </c>
    </row>
    <row r="14" spans="1:47" x14ac:dyDescent="0.2">
      <c r="A14" s="46" t="s">
        <v>30</v>
      </c>
      <c r="B14" s="46" t="s">
        <v>115</v>
      </c>
      <c r="C14" s="46" t="s">
        <v>93</v>
      </c>
      <c r="D14" s="46" t="s">
        <v>178</v>
      </c>
      <c r="E14" s="46">
        <v>4</v>
      </c>
      <c r="F14" s="46" t="s">
        <v>60</v>
      </c>
      <c r="G14" s="46">
        <v>2</v>
      </c>
      <c r="H14" s="47">
        <v>50</v>
      </c>
      <c r="I14" s="47" t="s">
        <v>127</v>
      </c>
      <c r="J14" s="48">
        <v>0</v>
      </c>
      <c r="K14" s="48">
        <v>0</v>
      </c>
      <c r="N14" s="48">
        <v>2</v>
      </c>
      <c r="R14" s="46">
        <f t="shared" si="0"/>
        <v>0</v>
      </c>
      <c r="S14" s="46">
        <f t="shared" si="1"/>
        <v>0</v>
      </c>
      <c r="T14" s="46">
        <f t="shared" si="2"/>
        <v>0</v>
      </c>
      <c r="U14" s="46">
        <f t="shared" si="3"/>
        <v>-10</v>
      </c>
      <c r="V14" s="54">
        <f t="shared" si="4"/>
        <v>15.666666666666666</v>
      </c>
      <c r="X14" s="59" t="s">
        <v>176</v>
      </c>
      <c r="Y14" s="66" t="s">
        <v>61</v>
      </c>
      <c r="Z14" s="66">
        <v>1</v>
      </c>
      <c r="AA14" s="59">
        <f t="shared" si="22"/>
        <v>27</v>
      </c>
      <c r="AB14" s="69">
        <f t="shared" si="23"/>
        <v>14</v>
      </c>
      <c r="AC14" s="61">
        <f t="shared" si="21"/>
        <v>0.65853658536585369</v>
      </c>
      <c r="AE14" s="46" t="s">
        <v>176</v>
      </c>
      <c r="AF14" s="46">
        <f t="shared" si="5"/>
        <v>2</v>
      </c>
      <c r="AG14" s="46">
        <f t="shared" si="6"/>
        <v>1</v>
      </c>
      <c r="AH14" s="54">
        <f t="shared" si="7"/>
        <v>0.5</v>
      </c>
      <c r="AI14" s="46">
        <f t="shared" si="8"/>
        <v>3</v>
      </c>
      <c r="AJ14" s="54">
        <f t="shared" si="9"/>
        <v>1.5</v>
      </c>
      <c r="AK14" s="46">
        <f t="shared" si="10"/>
        <v>0</v>
      </c>
      <c r="AL14" s="46">
        <f t="shared" si="11"/>
        <v>1</v>
      </c>
      <c r="AM14" s="46">
        <f t="shared" si="12"/>
        <v>0</v>
      </c>
      <c r="AN14" s="46">
        <f t="shared" si="13"/>
        <v>0</v>
      </c>
      <c r="AO14" s="46">
        <f t="shared" si="14"/>
        <v>0</v>
      </c>
      <c r="AP14" s="46">
        <f t="shared" si="15"/>
        <v>0</v>
      </c>
      <c r="AQ14" s="46">
        <f t="shared" si="16"/>
        <v>0</v>
      </c>
      <c r="AR14" s="46">
        <f t="shared" si="17"/>
        <v>0</v>
      </c>
      <c r="AS14" s="46">
        <f t="shared" si="18"/>
        <v>10</v>
      </c>
      <c r="AT14" s="46">
        <f t="shared" si="19"/>
        <v>30</v>
      </c>
      <c r="AU14" s="54">
        <f t="shared" si="20"/>
        <v>15</v>
      </c>
    </row>
    <row r="15" spans="1:47" ht="12" thickBot="1" x14ac:dyDescent="0.25">
      <c r="A15" s="46" t="s">
        <v>30</v>
      </c>
      <c r="B15" s="46" t="s">
        <v>115</v>
      </c>
      <c r="C15" s="46" t="s">
        <v>93</v>
      </c>
      <c r="D15" s="46" t="s">
        <v>178</v>
      </c>
      <c r="E15" s="46">
        <v>3</v>
      </c>
      <c r="F15" s="46" t="s">
        <v>62</v>
      </c>
      <c r="G15" s="46">
        <v>3</v>
      </c>
      <c r="H15" s="47" t="s">
        <v>84</v>
      </c>
      <c r="I15" s="47" t="s">
        <v>116</v>
      </c>
      <c r="J15" s="48">
        <v>0</v>
      </c>
      <c r="K15" s="48">
        <v>0</v>
      </c>
      <c r="R15" s="46">
        <f t="shared" si="0"/>
        <v>0</v>
      </c>
      <c r="S15" s="46">
        <f t="shared" si="1"/>
        <v>0</v>
      </c>
      <c r="T15" s="46">
        <f t="shared" si="2"/>
        <v>0</v>
      </c>
      <c r="U15" s="46">
        <f t="shared" si="3"/>
        <v>0</v>
      </c>
      <c r="V15" s="54">
        <f t="shared" si="4"/>
        <v>15.666666666666666</v>
      </c>
      <c r="X15" s="62" t="s">
        <v>176</v>
      </c>
      <c r="Y15" s="67" t="s">
        <v>61</v>
      </c>
      <c r="Z15" s="67">
        <v>2</v>
      </c>
      <c r="AA15" s="62">
        <f t="shared" si="22"/>
        <v>14</v>
      </c>
      <c r="AB15" s="70">
        <f t="shared" si="23"/>
        <v>7</v>
      </c>
      <c r="AC15" s="64">
        <f t="shared" si="21"/>
        <v>0.66666666666666663</v>
      </c>
      <c r="AE15" s="46" t="s">
        <v>140</v>
      </c>
      <c r="AF15" s="46">
        <f t="shared" si="5"/>
        <v>4</v>
      </c>
      <c r="AG15" s="46">
        <f t="shared" si="6"/>
        <v>1</v>
      </c>
      <c r="AH15" s="54">
        <f t="shared" si="7"/>
        <v>0.25</v>
      </c>
      <c r="AI15" s="46">
        <f t="shared" si="8"/>
        <v>1</v>
      </c>
      <c r="AJ15" s="54">
        <f t="shared" si="9"/>
        <v>0.25</v>
      </c>
      <c r="AK15" s="46">
        <f t="shared" si="10"/>
        <v>0</v>
      </c>
      <c r="AL15" s="46">
        <f t="shared" si="11"/>
        <v>1</v>
      </c>
      <c r="AM15" s="46">
        <f t="shared" si="12"/>
        <v>0</v>
      </c>
      <c r="AN15" s="46">
        <f t="shared" si="13"/>
        <v>0</v>
      </c>
      <c r="AO15" s="46">
        <f t="shared" si="14"/>
        <v>0</v>
      </c>
      <c r="AP15" s="46">
        <f t="shared" si="15"/>
        <v>0</v>
      </c>
      <c r="AQ15" s="46">
        <f t="shared" si="16"/>
        <v>0</v>
      </c>
      <c r="AR15" s="46">
        <f t="shared" si="17"/>
        <v>0</v>
      </c>
      <c r="AS15" s="46">
        <f t="shared" si="18"/>
        <v>20</v>
      </c>
      <c r="AT15" s="46">
        <f t="shared" si="19"/>
        <v>40</v>
      </c>
      <c r="AU15" s="54">
        <f t="shared" si="20"/>
        <v>10</v>
      </c>
    </row>
    <row r="16" spans="1:47" x14ac:dyDescent="0.2">
      <c r="A16" s="46" t="s">
        <v>30</v>
      </c>
      <c r="B16" s="46" t="s">
        <v>115</v>
      </c>
      <c r="C16" s="46" t="s">
        <v>93</v>
      </c>
      <c r="D16" s="46" t="s">
        <v>178</v>
      </c>
      <c r="E16" s="46">
        <v>1</v>
      </c>
      <c r="F16" s="46" t="s">
        <v>63</v>
      </c>
      <c r="G16" s="46">
        <v>4</v>
      </c>
      <c r="H16" s="47" t="s">
        <v>148</v>
      </c>
      <c r="I16" s="47" t="s">
        <v>102</v>
      </c>
      <c r="J16" s="48">
        <v>1</v>
      </c>
      <c r="K16" s="48">
        <v>3</v>
      </c>
      <c r="R16" s="46">
        <f t="shared" si="0"/>
        <v>0</v>
      </c>
      <c r="S16" s="46">
        <f t="shared" si="1"/>
        <v>1</v>
      </c>
      <c r="T16" s="46">
        <f t="shared" si="2"/>
        <v>0</v>
      </c>
      <c r="U16" s="46">
        <f t="shared" si="3"/>
        <v>0</v>
      </c>
      <c r="V16" s="54">
        <f t="shared" si="4"/>
        <v>15.666666666666666</v>
      </c>
      <c r="AE16" s="46" t="s">
        <v>34</v>
      </c>
      <c r="AF16" s="46">
        <f t="shared" si="5"/>
        <v>9</v>
      </c>
      <c r="AG16" s="46">
        <f t="shared" si="6"/>
        <v>6</v>
      </c>
      <c r="AH16" s="54">
        <f t="shared" si="7"/>
        <v>0.66666666666666663</v>
      </c>
      <c r="AI16" s="46">
        <f t="shared" si="8"/>
        <v>6</v>
      </c>
      <c r="AJ16" s="54">
        <f t="shared" si="9"/>
        <v>0.66666666666666663</v>
      </c>
      <c r="AK16" s="46">
        <f t="shared" si="10"/>
        <v>0</v>
      </c>
      <c r="AL16" s="46">
        <f t="shared" si="11"/>
        <v>0</v>
      </c>
      <c r="AM16" s="46">
        <f t="shared" si="12"/>
        <v>0</v>
      </c>
      <c r="AN16" s="46">
        <f t="shared" si="13"/>
        <v>0</v>
      </c>
      <c r="AO16" s="46">
        <f t="shared" si="14"/>
        <v>0</v>
      </c>
      <c r="AP16" s="46">
        <f t="shared" si="15"/>
        <v>0</v>
      </c>
      <c r="AQ16" s="46">
        <f t="shared" si="16"/>
        <v>0</v>
      </c>
      <c r="AR16" s="46">
        <f t="shared" si="17"/>
        <v>0</v>
      </c>
      <c r="AS16" s="46">
        <f t="shared" si="18"/>
        <v>100</v>
      </c>
      <c r="AT16" s="46">
        <f t="shared" si="19"/>
        <v>100</v>
      </c>
      <c r="AU16" s="54">
        <f t="shared" si="20"/>
        <v>11.111111111111111</v>
      </c>
    </row>
    <row r="17" spans="1:47" ht="12" thickBot="1" x14ac:dyDescent="0.25">
      <c r="A17" s="46" t="s">
        <v>30</v>
      </c>
      <c r="B17" s="46" t="s">
        <v>115</v>
      </c>
      <c r="C17" s="46" t="s">
        <v>93</v>
      </c>
      <c r="D17" s="46" t="s">
        <v>178</v>
      </c>
      <c r="E17" s="46">
        <v>2</v>
      </c>
      <c r="F17" s="46" t="s">
        <v>63</v>
      </c>
      <c r="G17" s="46">
        <v>4</v>
      </c>
      <c r="H17" s="47" t="s">
        <v>149</v>
      </c>
      <c r="I17" s="47" t="s">
        <v>102</v>
      </c>
      <c r="J17" s="48">
        <v>0</v>
      </c>
      <c r="K17" s="48">
        <v>1</v>
      </c>
      <c r="R17" s="46">
        <f t="shared" si="0"/>
        <v>0</v>
      </c>
      <c r="S17" s="46">
        <f t="shared" si="1"/>
        <v>0</v>
      </c>
      <c r="T17" s="46">
        <f t="shared" si="2"/>
        <v>0</v>
      </c>
      <c r="U17" s="46">
        <f t="shared" si="3"/>
        <v>0</v>
      </c>
      <c r="V17" s="54">
        <f t="shared" si="4"/>
        <v>15.666666666666666</v>
      </c>
      <c r="Y17" s="71" t="s">
        <v>226</v>
      </c>
      <c r="Z17" s="71" t="s">
        <v>72</v>
      </c>
      <c r="AA17" s="71" t="s">
        <v>217</v>
      </c>
      <c r="AB17" s="71" t="s">
        <v>227</v>
      </c>
      <c r="AC17" s="72" t="s">
        <v>15</v>
      </c>
      <c r="AE17" s="46" t="s">
        <v>199</v>
      </c>
      <c r="AF17" s="46">
        <f t="shared" si="5"/>
        <v>2</v>
      </c>
      <c r="AG17" s="46">
        <f t="shared" si="6"/>
        <v>0</v>
      </c>
      <c r="AH17" s="54">
        <f t="shared" si="7"/>
        <v>0</v>
      </c>
      <c r="AI17" s="46">
        <f t="shared" si="8"/>
        <v>0</v>
      </c>
      <c r="AJ17" s="54">
        <f t="shared" si="9"/>
        <v>0</v>
      </c>
      <c r="AK17" s="46">
        <f t="shared" si="10"/>
        <v>0</v>
      </c>
      <c r="AL17" s="46">
        <f t="shared" si="11"/>
        <v>0</v>
      </c>
      <c r="AM17" s="46">
        <f t="shared" si="12"/>
        <v>0</v>
      </c>
      <c r="AN17" s="46">
        <f t="shared" si="13"/>
        <v>0</v>
      </c>
      <c r="AO17" s="46">
        <f t="shared" si="14"/>
        <v>0</v>
      </c>
      <c r="AP17" s="46">
        <f t="shared" si="15"/>
        <v>0</v>
      </c>
      <c r="AQ17" s="46">
        <f t="shared" si="16"/>
        <v>0</v>
      </c>
      <c r="AR17" s="46">
        <f t="shared" si="17"/>
        <v>0</v>
      </c>
      <c r="AS17" s="46">
        <f t="shared" si="18"/>
        <v>0</v>
      </c>
      <c r="AT17" s="46">
        <f t="shared" si="19"/>
        <v>0</v>
      </c>
      <c r="AU17" s="54">
        <f t="shared" si="20"/>
        <v>0</v>
      </c>
    </row>
    <row r="18" spans="1:47" x14ac:dyDescent="0.2">
      <c r="A18" s="46" t="s">
        <v>30</v>
      </c>
      <c r="B18" s="46" t="s">
        <v>115</v>
      </c>
      <c r="C18" s="46" t="s">
        <v>93</v>
      </c>
      <c r="D18" s="46" t="s">
        <v>178</v>
      </c>
      <c r="E18" s="46">
        <v>2</v>
      </c>
      <c r="F18" s="46" t="s">
        <v>63</v>
      </c>
      <c r="G18" s="46">
        <v>4</v>
      </c>
      <c r="H18" s="47" t="s">
        <v>151</v>
      </c>
      <c r="I18" s="47" t="s">
        <v>102</v>
      </c>
      <c r="J18" s="48">
        <v>0</v>
      </c>
      <c r="K18" s="48">
        <v>0</v>
      </c>
      <c r="R18" s="46">
        <f t="shared" si="0"/>
        <v>0</v>
      </c>
      <c r="S18" s="46">
        <f t="shared" si="1"/>
        <v>0</v>
      </c>
      <c r="T18" s="46">
        <f t="shared" si="2"/>
        <v>0</v>
      </c>
      <c r="U18" s="46">
        <f t="shared" si="3"/>
        <v>0</v>
      </c>
      <c r="V18" s="54">
        <f t="shared" si="4"/>
        <v>15.666666666666666</v>
      </c>
      <c r="Y18" s="65" t="s">
        <v>60</v>
      </c>
      <c r="Z18" s="65">
        <v>1</v>
      </c>
      <c r="AA18" s="56">
        <f>SUMIFS(J:J,F:F,Y18,G:G,Z18)</f>
        <v>857</v>
      </c>
      <c r="AB18" s="57">
        <f>SUMIFS(K:K,F:F,Y18,G:G,Z18)</f>
        <v>391</v>
      </c>
      <c r="AC18" s="58">
        <f t="shared" ref="AC18:AC21" si="24">AA18/(AA18+AB18)</f>
        <v>0.68669871794871795</v>
      </c>
      <c r="AE18" s="46" t="s">
        <v>153</v>
      </c>
      <c r="AF18" s="46">
        <f t="shared" si="5"/>
        <v>9</v>
      </c>
      <c r="AG18" s="46">
        <f t="shared" si="6"/>
        <v>0</v>
      </c>
      <c r="AH18" s="54">
        <f t="shared" si="7"/>
        <v>0</v>
      </c>
      <c r="AI18" s="46">
        <f t="shared" si="8"/>
        <v>0</v>
      </c>
      <c r="AJ18" s="54">
        <f t="shared" si="9"/>
        <v>0</v>
      </c>
      <c r="AK18" s="46">
        <f t="shared" si="10"/>
        <v>0</v>
      </c>
      <c r="AL18" s="46">
        <f t="shared" si="11"/>
        <v>0</v>
      </c>
      <c r="AM18" s="46">
        <f t="shared" si="12"/>
        <v>0</v>
      </c>
      <c r="AN18" s="46">
        <f t="shared" si="13"/>
        <v>0</v>
      </c>
      <c r="AO18" s="46">
        <f t="shared" si="14"/>
        <v>0</v>
      </c>
      <c r="AP18" s="46">
        <f t="shared" si="15"/>
        <v>0</v>
      </c>
      <c r="AQ18" s="46">
        <f t="shared" si="16"/>
        <v>0</v>
      </c>
      <c r="AR18" s="46">
        <f t="shared" si="17"/>
        <v>0</v>
      </c>
      <c r="AS18" s="46">
        <f t="shared" si="18"/>
        <v>0</v>
      </c>
      <c r="AT18" s="46">
        <f t="shared" si="19"/>
        <v>0</v>
      </c>
      <c r="AU18" s="54">
        <f t="shared" si="20"/>
        <v>0</v>
      </c>
    </row>
    <row r="19" spans="1:47" x14ac:dyDescent="0.2">
      <c r="A19" s="46" t="s">
        <v>30</v>
      </c>
      <c r="B19" s="46" t="s">
        <v>115</v>
      </c>
      <c r="C19" s="46" t="s">
        <v>93</v>
      </c>
      <c r="D19" s="46" t="s">
        <v>178</v>
      </c>
      <c r="E19" s="46">
        <v>4</v>
      </c>
      <c r="F19" s="46" t="s">
        <v>62</v>
      </c>
      <c r="G19" s="46">
        <v>2</v>
      </c>
      <c r="H19" s="47" t="s">
        <v>81</v>
      </c>
      <c r="I19" s="47" t="s">
        <v>127</v>
      </c>
      <c r="J19" s="48">
        <v>1</v>
      </c>
      <c r="K19" s="48">
        <v>2</v>
      </c>
      <c r="R19" s="46">
        <f t="shared" si="0"/>
        <v>0</v>
      </c>
      <c r="S19" s="46">
        <f t="shared" si="1"/>
        <v>0</v>
      </c>
      <c r="T19" s="46">
        <f t="shared" si="2"/>
        <v>10</v>
      </c>
      <c r="U19" s="46">
        <f t="shared" si="3"/>
        <v>10</v>
      </c>
      <c r="V19" s="54">
        <f t="shared" si="4"/>
        <v>15.666666666666666</v>
      </c>
      <c r="Y19" s="66" t="s">
        <v>60</v>
      </c>
      <c r="Z19" s="66">
        <v>2</v>
      </c>
      <c r="AA19" s="59">
        <f>SUMIFS(J:J,F:F,Y19,G:G,Z19)</f>
        <v>791</v>
      </c>
      <c r="AB19" s="60">
        <f>SUMIFS(K:K,F:F,Y19,G:G,Z19)</f>
        <v>422</v>
      </c>
      <c r="AC19" s="61">
        <f t="shared" si="24"/>
        <v>0.65210222588623246</v>
      </c>
      <c r="AE19" s="46" t="s">
        <v>138</v>
      </c>
      <c r="AF19" s="46">
        <f t="shared" si="5"/>
        <v>6</v>
      </c>
      <c r="AG19" s="46">
        <f t="shared" si="6"/>
        <v>0</v>
      </c>
      <c r="AH19" s="54">
        <f t="shared" si="7"/>
        <v>0</v>
      </c>
      <c r="AI19" s="46">
        <f t="shared" si="8"/>
        <v>0</v>
      </c>
      <c r="AJ19" s="54">
        <f t="shared" si="9"/>
        <v>0</v>
      </c>
      <c r="AK19" s="46">
        <f t="shared" si="10"/>
        <v>0</v>
      </c>
      <c r="AL19" s="46">
        <f t="shared" si="11"/>
        <v>0</v>
      </c>
      <c r="AM19" s="46">
        <f t="shared" si="12"/>
        <v>0</v>
      </c>
      <c r="AN19" s="46">
        <f t="shared" si="13"/>
        <v>0</v>
      </c>
      <c r="AO19" s="46">
        <f t="shared" si="14"/>
        <v>0</v>
      </c>
      <c r="AP19" s="46">
        <f t="shared" si="15"/>
        <v>0</v>
      </c>
      <c r="AQ19" s="46">
        <f t="shared" si="16"/>
        <v>0</v>
      </c>
      <c r="AR19" s="46">
        <f t="shared" si="17"/>
        <v>0</v>
      </c>
      <c r="AS19" s="46">
        <f t="shared" si="18"/>
        <v>0</v>
      </c>
      <c r="AT19" s="46">
        <f t="shared" si="19"/>
        <v>0</v>
      </c>
      <c r="AU19" s="54">
        <f t="shared" si="20"/>
        <v>0</v>
      </c>
    </row>
    <row r="20" spans="1:47" x14ac:dyDescent="0.2">
      <c r="A20" s="46" t="s">
        <v>30</v>
      </c>
      <c r="B20" s="46" t="s">
        <v>115</v>
      </c>
      <c r="C20" s="46" t="s">
        <v>93</v>
      </c>
      <c r="D20" s="46" t="s">
        <v>178</v>
      </c>
      <c r="E20" s="46">
        <v>3</v>
      </c>
      <c r="F20" s="46" t="s">
        <v>60</v>
      </c>
      <c r="G20" s="46">
        <v>1</v>
      </c>
      <c r="H20" s="47">
        <v>13</v>
      </c>
      <c r="I20" s="47" t="s">
        <v>101</v>
      </c>
      <c r="J20" s="48">
        <v>1</v>
      </c>
      <c r="K20" s="48">
        <v>0</v>
      </c>
      <c r="R20" s="46">
        <f t="shared" si="0"/>
        <v>0</v>
      </c>
      <c r="S20" s="46">
        <f t="shared" si="1"/>
        <v>0</v>
      </c>
      <c r="T20" s="46">
        <f t="shared" si="2"/>
        <v>20</v>
      </c>
      <c r="U20" s="46">
        <f t="shared" si="3"/>
        <v>20</v>
      </c>
      <c r="V20" s="54">
        <f t="shared" si="4"/>
        <v>15.666666666666666</v>
      </c>
      <c r="Y20" s="66" t="s">
        <v>60</v>
      </c>
      <c r="Z20" s="66">
        <v>3</v>
      </c>
      <c r="AA20" s="59">
        <f>SUMIFS(J:J,F:F,Y20,G:G,Z20)</f>
        <v>790</v>
      </c>
      <c r="AB20" s="60">
        <f>SUMIFS(K:K,F:F,Y20,G:G,Z20)</f>
        <v>355</v>
      </c>
      <c r="AC20" s="61">
        <f t="shared" si="24"/>
        <v>0.68995633187772931</v>
      </c>
      <c r="AE20" s="46" t="s">
        <v>197</v>
      </c>
      <c r="AF20" s="46">
        <f t="shared" si="5"/>
        <v>2</v>
      </c>
      <c r="AG20" s="46">
        <f t="shared" si="6"/>
        <v>0</v>
      </c>
      <c r="AH20" s="54">
        <f t="shared" si="7"/>
        <v>0</v>
      </c>
      <c r="AI20" s="46">
        <f t="shared" si="8"/>
        <v>0</v>
      </c>
      <c r="AJ20" s="54">
        <f t="shared" si="9"/>
        <v>0</v>
      </c>
      <c r="AK20" s="46">
        <f t="shared" si="10"/>
        <v>0</v>
      </c>
      <c r="AL20" s="46">
        <f t="shared" si="11"/>
        <v>0</v>
      </c>
      <c r="AM20" s="46">
        <f t="shared" si="12"/>
        <v>0</v>
      </c>
      <c r="AN20" s="46">
        <f t="shared" si="13"/>
        <v>0</v>
      </c>
      <c r="AO20" s="46">
        <f t="shared" si="14"/>
        <v>0</v>
      </c>
      <c r="AP20" s="46">
        <f t="shared" si="15"/>
        <v>0</v>
      </c>
      <c r="AQ20" s="46">
        <f t="shared" si="16"/>
        <v>0</v>
      </c>
      <c r="AR20" s="46">
        <f t="shared" si="17"/>
        <v>0</v>
      </c>
      <c r="AS20" s="46">
        <f t="shared" si="18"/>
        <v>0</v>
      </c>
      <c r="AT20" s="46">
        <f t="shared" si="19"/>
        <v>0</v>
      </c>
      <c r="AU20" s="54">
        <f t="shared" si="20"/>
        <v>0</v>
      </c>
    </row>
    <row r="21" spans="1:47" ht="12" thickBot="1" x14ac:dyDescent="0.25">
      <c r="A21" s="46" t="s">
        <v>30</v>
      </c>
      <c r="B21" s="46" t="s">
        <v>115</v>
      </c>
      <c r="C21" s="46" t="s">
        <v>93</v>
      </c>
      <c r="D21" s="46" t="s">
        <v>178</v>
      </c>
      <c r="E21" s="46">
        <v>2</v>
      </c>
      <c r="F21" s="46" t="s">
        <v>60</v>
      </c>
      <c r="G21" s="46">
        <v>3</v>
      </c>
      <c r="H21" s="47">
        <v>19</v>
      </c>
      <c r="I21" s="47" t="s">
        <v>116</v>
      </c>
      <c r="J21" s="48">
        <v>1</v>
      </c>
      <c r="K21" s="48">
        <v>1</v>
      </c>
      <c r="R21" s="46">
        <f t="shared" si="0"/>
        <v>0</v>
      </c>
      <c r="S21" s="46">
        <f t="shared" si="1"/>
        <v>0</v>
      </c>
      <c r="T21" s="46">
        <f t="shared" si="2"/>
        <v>20</v>
      </c>
      <c r="U21" s="46">
        <f t="shared" si="3"/>
        <v>20</v>
      </c>
      <c r="V21" s="54">
        <f t="shared" si="4"/>
        <v>15.666666666666666</v>
      </c>
      <c r="Y21" s="67" t="s">
        <v>60</v>
      </c>
      <c r="Z21" s="67">
        <v>4</v>
      </c>
      <c r="AA21" s="62">
        <f>SUMIFS(J:J,F:F,Y21,G:G,Z21)</f>
        <v>814</v>
      </c>
      <c r="AB21" s="63">
        <f>SUMIFS(K:K,F:F,Y21,G:G,Z21)</f>
        <v>327</v>
      </c>
      <c r="AC21" s="64">
        <f t="shared" si="24"/>
        <v>0.71340929009640663</v>
      </c>
    </row>
    <row r="22" spans="1:47" x14ac:dyDescent="0.2">
      <c r="A22" s="46" t="s">
        <v>30</v>
      </c>
      <c r="B22" s="46" t="s">
        <v>115</v>
      </c>
      <c r="C22" s="46" t="s">
        <v>93</v>
      </c>
      <c r="D22" s="46" t="s">
        <v>178</v>
      </c>
      <c r="E22" s="46">
        <v>3</v>
      </c>
      <c r="F22" s="46" t="s">
        <v>60</v>
      </c>
      <c r="G22" s="46">
        <v>4</v>
      </c>
      <c r="H22" s="47">
        <v>20</v>
      </c>
      <c r="I22" s="47" t="s">
        <v>102</v>
      </c>
      <c r="J22" s="48">
        <v>1</v>
      </c>
      <c r="K22" s="48">
        <v>0</v>
      </c>
      <c r="R22" s="46">
        <f t="shared" si="0"/>
        <v>0</v>
      </c>
      <c r="S22" s="46">
        <f t="shared" si="1"/>
        <v>0</v>
      </c>
      <c r="T22" s="46">
        <f t="shared" si="2"/>
        <v>20</v>
      </c>
      <c r="U22" s="46">
        <f t="shared" si="3"/>
        <v>20</v>
      </c>
      <c r="V22" s="54">
        <f t="shared" si="4"/>
        <v>15.666666666666666</v>
      </c>
    </row>
    <row r="23" spans="1:47" x14ac:dyDescent="0.2">
      <c r="A23" s="46" t="s">
        <v>30</v>
      </c>
      <c r="B23" s="46" t="s">
        <v>115</v>
      </c>
      <c r="C23" s="46" t="s">
        <v>93</v>
      </c>
      <c r="D23" s="46" t="s">
        <v>178</v>
      </c>
      <c r="E23" s="46">
        <v>4</v>
      </c>
      <c r="F23" s="46" t="s">
        <v>60</v>
      </c>
      <c r="G23" s="46">
        <v>1</v>
      </c>
      <c r="H23" s="47">
        <v>21</v>
      </c>
      <c r="I23" s="47" t="s">
        <v>101</v>
      </c>
      <c r="J23" s="48">
        <v>1</v>
      </c>
      <c r="K23" s="48">
        <v>0</v>
      </c>
      <c r="R23" s="46">
        <f t="shared" si="0"/>
        <v>0</v>
      </c>
      <c r="S23" s="46">
        <f t="shared" si="1"/>
        <v>0</v>
      </c>
      <c r="T23" s="46">
        <f t="shared" si="2"/>
        <v>20</v>
      </c>
      <c r="U23" s="46">
        <f t="shared" si="3"/>
        <v>20</v>
      </c>
      <c r="V23" s="54">
        <f t="shared" si="4"/>
        <v>15.666666666666666</v>
      </c>
    </row>
    <row r="24" spans="1:47" x14ac:dyDescent="0.2">
      <c r="A24" s="46" t="s">
        <v>30</v>
      </c>
      <c r="B24" s="46" t="s">
        <v>115</v>
      </c>
      <c r="C24" s="46" t="s">
        <v>93</v>
      </c>
      <c r="D24" s="46" t="s">
        <v>178</v>
      </c>
      <c r="E24" s="46">
        <v>1</v>
      </c>
      <c r="F24" s="46" t="s">
        <v>60</v>
      </c>
      <c r="G24" s="46">
        <v>3</v>
      </c>
      <c r="H24" s="47">
        <v>23</v>
      </c>
      <c r="I24" s="47" t="s">
        <v>116</v>
      </c>
      <c r="J24" s="48">
        <v>1</v>
      </c>
      <c r="K24" s="48">
        <v>0</v>
      </c>
      <c r="M24" s="48">
        <v>2</v>
      </c>
      <c r="N24" s="48">
        <v>1</v>
      </c>
      <c r="R24" s="46">
        <f t="shared" si="0"/>
        <v>0</v>
      </c>
      <c r="S24" s="46">
        <f t="shared" si="1"/>
        <v>0</v>
      </c>
      <c r="T24" s="46">
        <f t="shared" si="2"/>
        <v>20</v>
      </c>
      <c r="U24" s="46">
        <f t="shared" si="3"/>
        <v>55</v>
      </c>
      <c r="V24" s="54">
        <f t="shared" si="4"/>
        <v>15.666666666666666</v>
      </c>
    </row>
    <row r="25" spans="1:47" x14ac:dyDescent="0.2">
      <c r="A25" s="46" t="s">
        <v>30</v>
      </c>
      <c r="B25" s="46" t="s">
        <v>115</v>
      </c>
      <c r="C25" s="46" t="s">
        <v>93</v>
      </c>
      <c r="D25" s="46" t="s">
        <v>178</v>
      </c>
      <c r="E25" s="46">
        <v>3</v>
      </c>
      <c r="F25" s="46" t="s">
        <v>60</v>
      </c>
      <c r="G25" s="46">
        <v>3</v>
      </c>
      <c r="H25" s="47">
        <v>31</v>
      </c>
      <c r="I25" s="47" t="s">
        <v>116</v>
      </c>
      <c r="J25" s="48">
        <v>1</v>
      </c>
      <c r="K25" s="48">
        <v>0</v>
      </c>
      <c r="R25" s="46">
        <f t="shared" si="0"/>
        <v>0</v>
      </c>
      <c r="S25" s="46">
        <f t="shared" si="1"/>
        <v>0</v>
      </c>
      <c r="T25" s="46">
        <f t="shared" si="2"/>
        <v>20</v>
      </c>
      <c r="U25" s="46">
        <f t="shared" si="3"/>
        <v>20</v>
      </c>
      <c r="V25" s="54">
        <f t="shared" si="4"/>
        <v>15.666666666666666</v>
      </c>
    </row>
    <row r="26" spans="1:47" x14ac:dyDescent="0.2">
      <c r="A26" s="46" t="s">
        <v>30</v>
      </c>
      <c r="B26" s="46" t="s">
        <v>115</v>
      </c>
      <c r="C26" s="46" t="s">
        <v>93</v>
      </c>
      <c r="D26" s="46" t="s">
        <v>178</v>
      </c>
      <c r="E26" s="46">
        <v>4</v>
      </c>
      <c r="F26" s="46" t="s">
        <v>60</v>
      </c>
      <c r="G26" s="46">
        <v>4</v>
      </c>
      <c r="H26" s="47">
        <v>36</v>
      </c>
      <c r="I26" s="47" t="s">
        <v>102</v>
      </c>
      <c r="J26" s="48">
        <v>1</v>
      </c>
      <c r="K26" s="48">
        <v>1</v>
      </c>
      <c r="R26" s="46">
        <f t="shared" si="0"/>
        <v>0</v>
      </c>
      <c r="S26" s="46">
        <f t="shared" si="1"/>
        <v>0</v>
      </c>
      <c r="T26" s="46">
        <f t="shared" si="2"/>
        <v>20</v>
      </c>
      <c r="U26" s="46">
        <f t="shared" si="3"/>
        <v>20</v>
      </c>
      <c r="V26" s="54">
        <f t="shared" si="4"/>
        <v>15.666666666666666</v>
      </c>
      <c r="Z26" s="46" t="s">
        <v>158</v>
      </c>
      <c r="AA26" s="46">
        <f>SUMIFS(T:T,A:A,Z26,E:E,5)</f>
        <v>680</v>
      </c>
    </row>
    <row r="27" spans="1:47" x14ac:dyDescent="0.2">
      <c r="A27" s="46" t="s">
        <v>30</v>
      </c>
      <c r="B27" s="46" t="s">
        <v>115</v>
      </c>
      <c r="C27" s="46" t="s">
        <v>93</v>
      </c>
      <c r="D27" s="46" t="s">
        <v>178</v>
      </c>
      <c r="E27" s="46">
        <v>3</v>
      </c>
      <c r="F27" s="46" t="s">
        <v>62</v>
      </c>
      <c r="G27" s="46">
        <v>3</v>
      </c>
      <c r="H27" s="47" t="s">
        <v>80</v>
      </c>
      <c r="I27" s="47" t="s">
        <v>116</v>
      </c>
      <c r="J27" s="48">
        <v>1</v>
      </c>
      <c r="K27" s="48">
        <v>1</v>
      </c>
      <c r="R27" s="46">
        <f t="shared" si="0"/>
        <v>0</v>
      </c>
      <c r="S27" s="46">
        <f t="shared" si="1"/>
        <v>0</v>
      </c>
      <c r="T27" s="46">
        <f t="shared" si="2"/>
        <v>20</v>
      </c>
      <c r="U27" s="46">
        <f t="shared" si="3"/>
        <v>20</v>
      </c>
      <c r="V27" s="54">
        <f t="shared" si="4"/>
        <v>15.666666666666666</v>
      </c>
      <c r="Z27" s="46" t="s">
        <v>176</v>
      </c>
      <c r="AA27" s="46">
        <f t="shared" ref="AA27:AA90" si="25">SUMIFS(T:T,A:A,Z27,E:E,5)</f>
        <v>770</v>
      </c>
    </row>
    <row r="28" spans="1:47" x14ac:dyDescent="0.2">
      <c r="A28" s="46" t="s">
        <v>30</v>
      </c>
      <c r="B28" s="46" t="s">
        <v>115</v>
      </c>
      <c r="C28" s="46" t="s">
        <v>93</v>
      </c>
      <c r="D28" s="46" t="s">
        <v>178</v>
      </c>
      <c r="E28" s="46">
        <v>4</v>
      </c>
      <c r="F28" s="46" t="s">
        <v>60</v>
      </c>
      <c r="G28" s="46">
        <v>2</v>
      </c>
      <c r="H28" s="47">
        <v>14</v>
      </c>
      <c r="I28" s="47" t="s">
        <v>127</v>
      </c>
      <c r="J28" s="48">
        <v>2</v>
      </c>
      <c r="K28" s="48">
        <v>1</v>
      </c>
      <c r="R28" s="46">
        <f t="shared" si="0"/>
        <v>0</v>
      </c>
      <c r="S28" s="46">
        <f t="shared" si="1"/>
        <v>0</v>
      </c>
      <c r="T28" s="46">
        <f t="shared" si="2"/>
        <v>40</v>
      </c>
      <c r="U28" s="46">
        <f t="shared" si="3"/>
        <v>40</v>
      </c>
      <c r="V28" s="54">
        <f t="shared" si="4"/>
        <v>15.666666666666666</v>
      </c>
      <c r="Z28" s="46" t="s">
        <v>16</v>
      </c>
      <c r="AA28" s="46">
        <f t="shared" si="25"/>
        <v>580</v>
      </c>
    </row>
    <row r="29" spans="1:47" x14ac:dyDescent="0.2">
      <c r="A29" s="46" t="s">
        <v>30</v>
      </c>
      <c r="B29" s="46" t="s">
        <v>115</v>
      </c>
      <c r="C29" s="46" t="s">
        <v>93</v>
      </c>
      <c r="D29" s="46" t="s">
        <v>178</v>
      </c>
      <c r="E29" s="46">
        <v>3</v>
      </c>
      <c r="F29" s="46" t="s">
        <v>62</v>
      </c>
      <c r="G29" s="46">
        <v>3</v>
      </c>
      <c r="H29" s="47" t="s">
        <v>87</v>
      </c>
      <c r="I29" s="47" t="s">
        <v>116</v>
      </c>
      <c r="J29" s="48">
        <v>2</v>
      </c>
      <c r="K29" s="48">
        <v>1</v>
      </c>
      <c r="R29" s="46">
        <f t="shared" si="0"/>
        <v>0</v>
      </c>
      <c r="S29" s="46">
        <f t="shared" si="1"/>
        <v>0</v>
      </c>
      <c r="T29" s="46">
        <f t="shared" si="2"/>
        <v>40</v>
      </c>
      <c r="U29" s="46">
        <f t="shared" si="3"/>
        <v>40</v>
      </c>
      <c r="V29" s="54">
        <f t="shared" si="4"/>
        <v>15.666666666666666</v>
      </c>
      <c r="Z29" s="46" t="s">
        <v>26</v>
      </c>
      <c r="AA29" s="46">
        <f t="shared" si="25"/>
        <v>730</v>
      </c>
    </row>
    <row r="30" spans="1:47" x14ac:dyDescent="0.2">
      <c r="A30" s="46" t="s">
        <v>30</v>
      </c>
      <c r="B30" s="46" t="s">
        <v>115</v>
      </c>
      <c r="C30" s="46" t="s">
        <v>93</v>
      </c>
      <c r="D30" s="46" t="s">
        <v>178</v>
      </c>
      <c r="E30" s="46">
        <v>1</v>
      </c>
      <c r="F30" s="46" t="s">
        <v>63</v>
      </c>
      <c r="G30" s="46">
        <v>4</v>
      </c>
      <c r="H30" s="47" t="s">
        <v>146</v>
      </c>
      <c r="I30" s="47" t="s">
        <v>102</v>
      </c>
      <c r="J30" s="48">
        <v>2</v>
      </c>
      <c r="K30" s="48">
        <v>1</v>
      </c>
      <c r="R30" s="46">
        <f t="shared" si="0"/>
        <v>0</v>
      </c>
      <c r="S30" s="46">
        <f t="shared" si="1"/>
        <v>0</v>
      </c>
      <c r="T30" s="46">
        <f t="shared" si="2"/>
        <v>40</v>
      </c>
      <c r="U30" s="46">
        <f t="shared" si="3"/>
        <v>40</v>
      </c>
      <c r="V30" s="54">
        <f t="shared" si="4"/>
        <v>15.666666666666666</v>
      </c>
      <c r="Z30" s="46" t="s">
        <v>201</v>
      </c>
      <c r="AA30" s="46">
        <f t="shared" si="25"/>
        <v>630</v>
      </c>
    </row>
    <row r="31" spans="1:47" x14ac:dyDescent="0.2">
      <c r="A31" s="46" t="s">
        <v>30</v>
      </c>
      <c r="B31" s="46" t="s">
        <v>115</v>
      </c>
      <c r="C31" s="46" t="s">
        <v>93</v>
      </c>
      <c r="D31" s="46" t="s">
        <v>178</v>
      </c>
      <c r="E31" s="46">
        <v>1</v>
      </c>
      <c r="F31" s="46" t="s">
        <v>60</v>
      </c>
      <c r="G31" s="46">
        <v>2</v>
      </c>
      <c r="H31" s="47">
        <v>6</v>
      </c>
      <c r="I31" s="47" t="s">
        <v>127</v>
      </c>
      <c r="J31" s="48">
        <v>3</v>
      </c>
      <c r="K31" s="48">
        <v>1</v>
      </c>
      <c r="N31" s="48">
        <v>1</v>
      </c>
      <c r="R31" s="46">
        <f t="shared" si="0"/>
        <v>0</v>
      </c>
      <c r="S31" s="46">
        <f t="shared" si="1"/>
        <v>0</v>
      </c>
      <c r="T31" s="46">
        <f t="shared" si="2"/>
        <v>60</v>
      </c>
      <c r="U31" s="46">
        <f t="shared" si="3"/>
        <v>55</v>
      </c>
      <c r="V31" s="54">
        <f t="shared" si="4"/>
        <v>15.666666666666666</v>
      </c>
      <c r="Z31" s="46" t="s">
        <v>21</v>
      </c>
      <c r="AA31" s="46">
        <f t="shared" si="25"/>
        <v>680</v>
      </c>
    </row>
    <row r="32" spans="1:47" x14ac:dyDescent="0.2">
      <c r="A32" s="46" t="s">
        <v>30</v>
      </c>
      <c r="B32" s="46" t="s">
        <v>115</v>
      </c>
      <c r="C32" s="46" t="s">
        <v>93</v>
      </c>
      <c r="D32" s="46" t="s">
        <v>178</v>
      </c>
      <c r="E32" s="46">
        <v>2</v>
      </c>
      <c r="F32" s="46" t="s">
        <v>60</v>
      </c>
      <c r="G32" s="46">
        <v>3</v>
      </c>
      <c r="H32" s="47">
        <v>15</v>
      </c>
      <c r="I32" s="47" t="s">
        <v>116</v>
      </c>
      <c r="J32" s="48">
        <v>3</v>
      </c>
      <c r="K32" s="48">
        <v>0</v>
      </c>
      <c r="R32" s="46">
        <f t="shared" si="0"/>
        <v>0</v>
      </c>
      <c r="S32" s="46">
        <f t="shared" si="1"/>
        <v>0</v>
      </c>
      <c r="T32" s="46">
        <f t="shared" si="2"/>
        <v>60</v>
      </c>
      <c r="U32" s="46">
        <f t="shared" si="3"/>
        <v>60</v>
      </c>
      <c r="V32" s="54">
        <f t="shared" si="4"/>
        <v>15.666666666666666</v>
      </c>
      <c r="Z32" s="46" t="s">
        <v>139</v>
      </c>
      <c r="AA32" s="46">
        <f t="shared" si="25"/>
        <v>590</v>
      </c>
    </row>
    <row r="33" spans="1:27" x14ac:dyDescent="0.2">
      <c r="A33" s="46" t="s">
        <v>30</v>
      </c>
      <c r="B33" s="46" t="s">
        <v>115</v>
      </c>
      <c r="C33" s="46" t="s">
        <v>93</v>
      </c>
      <c r="D33" s="46" t="s">
        <v>178</v>
      </c>
      <c r="E33" s="46">
        <v>4</v>
      </c>
      <c r="F33" s="46" t="s">
        <v>60</v>
      </c>
      <c r="G33" s="46">
        <v>3</v>
      </c>
      <c r="H33" s="47">
        <v>27</v>
      </c>
      <c r="I33" s="47" t="s">
        <v>159</v>
      </c>
      <c r="J33" s="48">
        <v>3</v>
      </c>
      <c r="K33" s="48">
        <v>0</v>
      </c>
      <c r="R33" s="46">
        <f t="shared" si="0"/>
        <v>0</v>
      </c>
      <c r="S33" s="46">
        <f t="shared" si="1"/>
        <v>0</v>
      </c>
      <c r="T33" s="46">
        <f t="shared" si="2"/>
        <v>60</v>
      </c>
      <c r="U33" s="46">
        <f t="shared" si="3"/>
        <v>60</v>
      </c>
      <c r="V33" s="54">
        <f t="shared" si="4"/>
        <v>15.666666666666666</v>
      </c>
      <c r="Z33" s="46" t="s">
        <v>110</v>
      </c>
      <c r="AA33" s="46">
        <f t="shared" si="25"/>
        <v>580</v>
      </c>
    </row>
    <row r="34" spans="1:27" x14ac:dyDescent="0.2">
      <c r="A34" s="46" t="s">
        <v>30</v>
      </c>
      <c r="B34" s="46" t="s">
        <v>115</v>
      </c>
      <c r="C34" s="46" t="s">
        <v>93</v>
      </c>
      <c r="D34" s="46" t="s">
        <v>178</v>
      </c>
      <c r="E34" s="46">
        <v>1</v>
      </c>
      <c r="F34" s="46" t="s">
        <v>60</v>
      </c>
      <c r="G34" s="46">
        <v>1</v>
      </c>
      <c r="H34" s="47">
        <v>49</v>
      </c>
      <c r="I34" s="47" t="s">
        <v>101</v>
      </c>
      <c r="J34" s="48">
        <v>3</v>
      </c>
      <c r="K34" s="48">
        <v>1</v>
      </c>
      <c r="R34" s="46">
        <f t="shared" si="0"/>
        <v>0</v>
      </c>
      <c r="S34" s="46">
        <f t="shared" si="1"/>
        <v>0</v>
      </c>
      <c r="T34" s="46">
        <f t="shared" si="2"/>
        <v>60</v>
      </c>
      <c r="U34" s="46">
        <f t="shared" si="3"/>
        <v>60</v>
      </c>
      <c r="V34" s="54">
        <f t="shared" si="4"/>
        <v>15.666666666666666</v>
      </c>
      <c r="Z34" s="46" t="s">
        <v>22</v>
      </c>
      <c r="AA34" s="46">
        <f t="shared" si="25"/>
        <v>530</v>
      </c>
    </row>
    <row r="35" spans="1:27" x14ac:dyDescent="0.2">
      <c r="A35" s="46" t="s">
        <v>30</v>
      </c>
      <c r="B35" s="46" t="s">
        <v>115</v>
      </c>
      <c r="C35" s="46" t="s">
        <v>93</v>
      </c>
      <c r="D35" s="46" t="s">
        <v>178</v>
      </c>
      <c r="E35" s="46">
        <v>4</v>
      </c>
      <c r="F35" s="46" t="s">
        <v>62</v>
      </c>
      <c r="G35" s="46">
        <v>3</v>
      </c>
      <c r="H35" s="47" t="s">
        <v>85</v>
      </c>
      <c r="I35" s="47" t="s">
        <v>219</v>
      </c>
      <c r="J35" s="48">
        <v>3</v>
      </c>
      <c r="K35" s="48">
        <v>1</v>
      </c>
      <c r="N35" s="48">
        <v>1</v>
      </c>
      <c r="R35" s="46">
        <f t="shared" si="0"/>
        <v>0</v>
      </c>
      <c r="S35" s="46">
        <f t="shared" si="1"/>
        <v>0</v>
      </c>
      <c r="T35" s="46">
        <f t="shared" si="2"/>
        <v>60</v>
      </c>
      <c r="U35" s="46">
        <f t="shared" si="3"/>
        <v>55</v>
      </c>
      <c r="V35" s="54">
        <f t="shared" si="4"/>
        <v>15.666666666666666</v>
      </c>
      <c r="Z35" s="46" t="s">
        <v>180</v>
      </c>
      <c r="AA35" s="46">
        <f t="shared" si="25"/>
        <v>480</v>
      </c>
    </row>
    <row r="36" spans="1:27" x14ac:dyDescent="0.2">
      <c r="A36" s="46" t="s">
        <v>30</v>
      </c>
      <c r="B36" s="46" t="s">
        <v>115</v>
      </c>
      <c r="C36" s="46" t="s">
        <v>93</v>
      </c>
      <c r="D36" s="46" t="s">
        <v>178</v>
      </c>
      <c r="E36" s="46">
        <v>1</v>
      </c>
      <c r="F36" s="46" t="s">
        <v>63</v>
      </c>
      <c r="G36" s="46">
        <v>4</v>
      </c>
      <c r="H36" s="47" t="s">
        <v>151</v>
      </c>
      <c r="I36" s="47" t="s">
        <v>102</v>
      </c>
      <c r="J36" s="48">
        <v>4</v>
      </c>
      <c r="K36" s="48">
        <v>2</v>
      </c>
      <c r="M36" s="48">
        <v>1</v>
      </c>
      <c r="R36" s="46">
        <f t="shared" si="0"/>
        <v>1</v>
      </c>
      <c r="S36" s="46">
        <f t="shared" si="1"/>
        <v>0</v>
      </c>
      <c r="T36" s="46">
        <f t="shared" si="2"/>
        <v>70</v>
      </c>
      <c r="U36" s="46">
        <f t="shared" si="3"/>
        <v>90</v>
      </c>
      <c r="V36" s="54">
        <f t="shared" si="4"/>
        <v>15.666666666666666</v>
      </c>
      <c r="Z36" s="46" t="s">
        <v>43</v>
      </c>
      <c r="AA36" s="46">
        <f t="shared" si="25"/>
        <v>470</v>
      </c>
    </row>
    <row r="37" spans="1:27" x14ac:dyDescent="0.2">
      <c r="A37" s="46" t="s">
        <v>30</v>
      </c>
      <c r="B37" s="46" t="s">
        <v>115</v>
      </c>
      <c r="C37" s="46" t="s">
        <v>93</v>
      </c>
      <c r="D37" s="46" t="s">
        <v>178</v>
      </c>
      <c r="E37" s="46">
        <v>5</v>
      </c>
      <c r="F37" s="46" t="s">
        <v>60</v>
      </c>
      <c r="G37" s="46">
        <v>2</v>
      </c>
      <c r="H37" s="47">
        <v>2</v>
      </c>
      <c r="I37" s="47" t="s">
        <v>127</v>
      </c>
      <c r="J37" s="48">
        <v>2</v>
      </c>
      <c r="K37" s="48">
        <v>1</v>
      </c>
      <c r="N37" s="48">
        <v>1</v>
      </c>
      <c r="R37" s="46">
        <f t="shared" si="0"/>
        <v>0</v>
      </c>
      <c r="S37" s="46">
        <f t="shared" si="1"/>
        <v>0</v>
      </c>
      <c r="T37" s="46">
        <f t="shared" si="2"/>
        <v>40</v>
      </c>
      <c r="U37" s="46">
        <f t="shared" si="3"/>
        <v>35</v>
      </c>
      <c r="V37" s="54">
        <f t="shared" si="4"/>
        <v>15.666666666666666</v>
      </c>
      <c r="Z37" s="46" t="s">
        <v>18</v>
      </c>
      <c r="AA37" s="46">
        <f t="shared" si="25"/>
        <v>390</v>
      </c>
    </row>
    <row r="38" spans="1:27" x14ac:dyDescent="0.2">
      <c r="A38" s="46" t="s">
        <v>30</v>
      </c>
      <c r="B38" s="46" t="s">
        <v>115</v>
      </c>
      <c r="C38" s="46" t="s">
        <v>93</v>
      </c>
      <c r="D38" s="46" t="s">
        <v>178</v>
      </c>
      <c r="E38" s="46">
        <v>5</v>
      </c>
      <c r="F38" s="46" t="s">
        <v>60</v>
      </c>
      <c r="G38" s="46">
        <v>1</v>
      </c>
      <c r="H38" s="47">
        <v>9</v>
      </c>
      <c r="I38" s="47" t="s">
        <v>101</v>
      </c>
      <c r="J38" s="48">
        <v>1</v>
      </c>
      <c r="K38" s="48">
        <v>0</v>
      </c>
      <c r="O38" s="48">
        <v>1</v>
      </c>
      <c r="R38" s="46">
        <f t="shared" si="0"/>
        <v>0</v>
      </c>
      <c r="S38" s="46">
        <f t="shared" si="1"/>
        <v>0</v>
      </c>
      <c r="T38" s="46">
        <f t="shared" si="2"/>
        <v>20</v>
      </c>
      <c r="U38" s="46">
        <f t="shared" si="3"/>
        <v>30</v>
      </c>
      <c r="V38" s="54">
        <f t="shared" si="4"/>
        <v>15.666666666666666</v>
      </c>
      <c r="Z38" s="46" t="s">
        <v>143</v>
      </c>
      <c r="AA38" s="46">
        <f t="shared" si="25"/>
        <v>400</v>
      </c>
    </row>
    <row r="39" spans="1:27" x14ac:dyDescent="0.2">
      <c r="A39" s="46" t="s">
        <v>30</v>
      </c>
      <c r="B39" s="46" t="s">
        <v>115</v>
      </c>
      <c r="C39" s="46" t="s">
        <v>93</v>
      </c>
      <c r="D39" s="46" t="s">
        <v>178</v>
      </c>
      <c r="E39" s="46">
        <v>5</v>
      </c>
      <c r="F39" s="46" t="s">
        <v>60</v>
      </c>
      <c r="G39" s="46">
        <v>4</v>
      </c>
      <c r="H39" s="47">
        <v>16</v>
      </c>
      <c r="I39" s="47" t="s">
        <v>102</v>
      </c>
      <c r="J39" s="48">
        <v>0</v>
      </c>
      <c r="K39" s="48">
        <v>0</v>
      </c>
      <c r="R39" s="46">
        <f t="shared" si="0"/>
        <v>0</v>
      </c>
      <c r="S39" s="46">
        <f t="shared" si="1"/>
        <v>0</v>
      </c>
      <c r="T39" s="46">
        <f t="shared" si="2"/>
        <v>0</v>
      </c>
      <c r="U39" s="46">
        <f t="shared" si="3"/>
        <v>0</v>
      </c>
      <c r="V39" s="54">
        <f t="shared" si="4"/>
        <v>15.666666666666666</v>
      </c>
      <c r="Z39" s="46" t="s">
        <v>129</v>
      </c>
      <c r="AA39" s="46">
        <f t="shared" si="25"/>
        <v>550</v>
      </c>
    </row>
    <row r="40" spans="1:27" x14ac:dyDescent="0.2">
      <c r="A40" s="46" t="s">
        <v>30</v>
      </c>
      <c r="B40" s="46" t="s">
        <v>115</v>
      </c>
      <c r="C40" s="46" t="s">
        <v>93</v>
      </c>
      <c r="D40" s="46" t="s">
        <v>178</v>
      </c>
      <c r="E40" s="46">
        <v>5</v>
      </c>
      <c r="F40" s="46" t="s">
        <v>60</v>
      </c>
      <c r="G40" s="46">
        <v>1</v>
      </c>
      <c r="H40" s="47">
        <v>21</v>
      </c>
      <c r="I40" s="47" t="s">
        <v>101</v>
      </c>
      <c r="J40" s="48">
        <v>0</v>
      </c>
      <c r="K40" s="48">
        <v>0</v>
      </c>
      <c r="R40" s="46">
        <f t="shared" si="0"/>
        <v>0</v>
      </c>
      <c r="S40" s="46">
        <f t="shared" si="1"/>
        <v>0</v>
      </c>
      <c r="T40" s="46">
        <f t="shared" si="2"/>
        <v>0</v>
      </c>
      <c r="U40" s="46">
        <f t="shared" si="3"/>
        <v>0</v>
      </c>
      <c r="V40" s="54">
        <f t="shared" si="4"/>
        <v>15.666666666666666</v>
      </c>
      <c r="Z40" s="46" t="s">
        <v>175</v>
      </c>
      <c r="AA40" s="46">
        <f t="shared" si="25"/>
        <v>460</v>
      </c>
    </row>
    <row r="41" spans="1:27" x14ac:dyDescent="0.2">
      <c r="A41" s="46" t="s">
        <v>30</v>
      </c>
      <c r="B41" s="46" t="s">
        <v>115</v>
      </c>
      <c r="C41" s="46" t="s">
        <v>93</v>
      </c>
      <c r="D41" s="46" t="s">
        <v>178</v>
      </c>
      <c r="E41" s="46">
        <v>5</v>
      </c>
      <c r="F41" s="46" t="s">
        <v>60</v>
      </c>
      <c r="G41" s="46">
        <v>3</v>
      </c>
      <c r="H41" s="47">
        <v>35</v>
      </c>
      <c r="I41" s="47" t="s">
        <v>159</v>
      </c>
      <c r="J41" s="48">
        <v>0</v>
      </c>
      <c r="K41" s="48">
        <v>0</v>
      </c>
      <c r="R41" s="46">
        <f t="shared" si="0"/>
        <v>0</v>
      </c>
      <c r="S41" s="46">
        <f t="shared" si="1"/>
        <v>0</v>
      </c>
      <c r="T41" s="46">
        <f t="shared" si="2"/>
        <v>0</v>
      </c>
      <c r="U41" s="46">
        <f t="shared" si="3"/>
        <v>0</v>
      </c>
      <c r="V41" s="54">
        <f t="shared" si="4"/>
        <v>15.666666666666666</v>
      </c>
      <c r="Z41" s="46" t="s">
        <v>25</v>
      </c>
      <c r="AA41" s="46">
        <f t="shared" si="25"/>
        <v>450</v>
      </c>
    </row>
    <row r="42" spans="1:27" x14ac:dyDescent="0.2">
      <c r="A42" s="46" t="s">
        <v>30</v>
      </c>
      <c r="B42" s="46" t="s">
        <v>115</v>
      </c>
      <c r="C42" s="46" t="s">
        <v>93</v>
      </c>
      <c r="D42" s="46" t="s">
        <v>178</v>
      </c>
      <c r="E42" s="46">
        <v>5</v>
      </c>
      <c r="F42" s="46" t="s">
        <v>60</v>
      </c>
      <c r="G42" s="46">
        <v>4</v>
      </c>
      <c r="H42" s="47">
        <v>44</v>
      </c>
      <c r="I42" s="47" t="s">
        <v>102</v>
      </c>
      <c r="J42" s="48">
        <v>0</v>
      </c>
      <c r="K42" s="48">
        <v>0</v>
      </c>
      <c r="R42" s="46">
        <f t="shared" si="0"/>
        <v>0</v>
      </c>
      <c r="S42" s="46">
        <f t="shared" si="1"/>
        <v>0</v>
      </c>
      <c r="T42" s="46">
        <f t="shared" si="2"/>
        <v>0</v>
      </c>
      <c r="U42" s="46">
        <f t="shared" si="3"/>
        <v>0</v>
      </c>
      <c r="V42" s="54">
        <f t="shared" si="4"/>
        <v>15.666666666666666</v>
      </c>
      <c r="Z42" s="46" t="s">
        <v>181</v>
      </c>
      <c r="AA42" s="46">
        <f t="shared" si="25"/>
        <v>510</v>
      </c>
    </row>
    <row r="43" spans="1:27" x14ac:dyDescent="0.2">
      <c r="A43" s="46" t="s">
        <v>30</v>
      </c>
      <c r="B43" s="46" t="s">
        <v>115</v>
      </c>
      <c r="C43" s="46" t="s">
        <v>93</v>
      </c>
      <c r="D43" s="46" t="s">
        <v>178</v>
      </c>
      <c r="E43" s="46">
        <v>5</v>
      </c>
      <c r="F43" s="46" t="s">
        <v>62</v>
      </c>
      <c r="G43" s="46">
        <v>2</v>
      </c>
      <c r="H43" s="47" t="s">
        <v>81</v>
      </c>
      <c r="I43" s="47" t="s">
        <v>127</v>
      </c>
      <c r="J43" s="48">
        <v>0</v>
      </c>
      <c r="K43" s="48">
        <v>1</v>
      </c>
      <c r="R43" s="46">
        <f t="shared" si="0"/>
        <v>0</v>
      </c>
      <c r="S43" s="46">
        <f t="shared" si="1"/>
        <v>0</v>
      </c>
      <c r="T43" s="46">
        <f t="shared" si="2"/>
        <v>0</v>
      </c>
      <c r="U43" s="46">
        <f t="shared" si="3"/>
        <v>0</v>
      </c>
      <c r="V43" s="54">
        <f t="shared" si="4"/>
        <v>15.666666666666666</v>
      </c>
      <c r="Z43" s="46" t="s">
        <v>179</v>
      </c>
      <c r="AA43" s="46">
        <f t="shared" si="25"/>
        <v>420</v>
      </c>
    </row>
    <row r="44" spans="1:27" x14ac:dyDescent="0.2">
      <c r="A44" s="46" t="s">
        <v>30</v>
      </c>
      <c r="B44" s="46" t="s">
        <v>115</v>
      </c>
      <c r="C44" s="46" t="s">
        <v>93</v>
      </c>
      <c r="D44" s="46" t="s">
        <v>178</v>
      </c>
      <c r="E44" s="46">
        <v>5</v>
      </c>
      <c r="F44" s="46" t="s">
        <v>62</v>
      </c>
      <c r="G44" s="46">
        <v>2</v>
      </c>
      <c r="H44" s="47" t="s">
        <v>82</v>
      </c>
      <c r="I44" s="47" t="s">
        <v>127</v>
      </c>
      <c r="J44" s="48">
        <v>0</v>
      </c>
      <c r="K44" s="48">
        <v>1</v>
      </c>
      <c r="R44" s="46">
        <f t="shared" si="0"/>
        <v>0</v>
      </c>
      <c r="S44" s="46">
        <f t="shared" si="1"/>
        <v>0</v>
      </c>
      <c r="T44" s="46">
        <f t="shared" si="2"/>
        <v>0</v>
      </c>
      <c r="U44" s="46">
        <f t="shared" si="3"/>
        <v>0</v>
      </c>
      <c r="V44" s="54">
        <f t="shared" si="4"/>
        <v>15.666666666666666</v>
      </c>
      <c r="Z44" s="46" t="s">
        <v>29</v>
      </c>
      <c r="AA44" s="46">
        <f t="shared" si="25"/>
        <v>380</v>
      </c>
    </row>
    <row r="45" spans="1:27" x14ac:dyDescent="0.2">
      <c r="A45" s="46" t="s">
        <v>30</v>
      </c>
      <c r="B45" s="46" t="s">
        <v>115</v>
      </c>
      <c r="C45" s="46" t="s">
        <v>93</v>
      </c>
      <c r="D45" s="46" t="s">
        <v>178</v>
      </c>
      <c r="E45" s="46">
        <v>5</v>
      </c>
      <c r="F45" s="46" t="s">
        <v>62</v>
      </c>
      <c r="G45" s="46">
        <v>2</v>
      </c>
      <c r="H45" s="47" t="s">
        <v>86</v>
      </c>
      <c r="I45" s="47" t="s">
        <v>127</v>
      </c>
      <c r="J45" s="48">
        <v>1</v>
      </c>
      <c r="K45" s="48">
        <v>1</v>
      </c>
      <c r="O45" s="48">
        <v>1</v>
      </c>
      <c r="R45" s="46">
        <f t="shared" si="0"/>
        <v>0</v>
      </c>
      <c r="S45" s="46">
        <f t="shared" si="1"/>
        <v>0</v>
      </c>
      <c r="T45" s="46">
        <f t="shared" si="2"/>
        <v>20</v>
      </c>
      <c r="U45" s="46">
        <f t="shared" si="3"/>
        <v>30</v>
      </c>
      <c r="V45" s="54">
        <f t="shared" si="4"/>
        <v>15.666666666666666</v>
      </c>
      <c r="Z45" s="46" t="s">
        <v>136</v>
      </c>
      <c r="AA45" s="46">
        <f t="shared" si="25"/>
        <v>480</v>
      </c>
    </row>
    <row r="46" spans="1:27" x14ac:dyDescent="0.2">
      <c r="A46" s="46" t="s">
        <v>30</v>
      </c>
      <c r="B46" s="46" t="s">
        <v>115</v>
      </c>
      <c r="C46" s="46" t="str">
        <f>VLOOKUP(B46,$B$2:$C$3219,2,FALSE)</f>
        <v>Lighthouse</v>
      </c>
      <c r="D46" s="46" t="s">
        <v>178</v>
      </c>
      <c r="E46" s="46">
        <v>5</v>
      </c>
      <c r="F46" s="46" t="s">
        <v>62</v>
      </c>
      <c r="G46" s="46">
        <v>3</v>
      </c>
      <c r="H46" s="47" t="s">
        <v>64</v>
      </c>
      <c r="I46" s="47" t="s">
        <v>219</v>
      </c>
      <c r="J46" s="48">
        <v>2</v>
      </c>
      <c r="K46" s="48">
        <v>0</v>
      </c>
      <c r="R46" s="46">
        <f t="shared" si="0"/>
        <v>0</v>
      </c>
      <c r="S46" s="46">
        <f t="shared" si="1"/>
        <v>0</v>
      </c>
      <c r="T46" s="46">
        <f t="shared" si="2"/>
        <v>40</v>
      </c>
      <c r="U46" s="46">
        <f t="shared" si="3"/>
        <v>40</v>
      </c>
      <c r="V46" s="54">
        <f t="shared" si="4"/>
        <v>15.666666666666666</v>
      </c>
      <c r="Z46" s="46" t="s">
        <v>134</v>
      </c>
      <c r="AA46" s="46">
        <f t="shared" si="25"/>
        <v>360</v>
      </c>
    </row>
    <row r="47" spans="1:27" x14ac:dyDescent="0.2">
      <c r="A47" s="46" t="s">
        <v>30</v>
      </c>
      <c r="B47" s="46" t="s">
        <v>115</v>
      </c>
      <c r="C47" s="46" t="str">
        <f>VLOOKUP(B47,$B$2:$C$3219,2,FALSE)</f>
        <v>Lighthouse</v>
      </c>
      <c r="D47" s="46" t="s">
        <v>178</v>
      </c>
      <c r="E47" s="46">
        <v>5</v>
      </c>
      <c r="F47" s="46" t="s">
        <v>62</v>
      </c>
      <c r="G47" s="46">
        <v>3</v>
      </c>
      <c r="H47" s="47" t="s">
        <v>83</v>
      </c>
      <c r="I47" s="47" t="s">
        <v>219</v>
      </c>
      <c r="J47" s="48">
        <v>1</v>
      </c>
      <c r="K47" s="48">
        <v>1</v>
      </c>
      <c r="R47" s="46">
        <f t="shared" si="0"/>
        <v>0</v>
      </c>
      <c r="S47" s="46">
        <f t="shared" si="1"/>
        <v>0</v>
      </c>
      <c r="U47" s="46">
        <f t="shared" si="3"/>
        <v>0</v>
      </c>
      <c r="V47" s="54">
        <f t="shared" si="4"/>
        <v>15.666666666666666</v>
      </c>
      <c r="Z47" s="46" t="s">
        <v>19</v>
      </c>
      <c r="AA47" s="46">
        <f t="shared" si="25"/>
        <v>380</v>
      </c>
    </row>
    <row r="48" spans="1:27" x14ac:dyDescent="0.2">
      <c r="A48" s="46" t="s">
        <v>18</v>
      </c>
      <c r="B48" s="46" t="s">
        <v>55</v>
      </c>
      <c r="C48" s="46" t="s">
        <v>90</v>
      </c>
      <c r="D48" s="46" t="s">
        <v>178</v>
      </c>
      <c r="E48" s="46">
        <v>4</v>
      </c>
      <c r="F48" s="46" t="s">
        <v>61</v>
      </c>
      <c r="G48" s="46">
        <v>1</v>
      </c>
      <c r="H48" s="47" t="s">
        <v>67</v>
      </c>
      <c r="I48" s="47" t="s">
        <v>101</v>
      </c>
      <c r="J48" s="48">
        <v>0</v>
      </c>
      <c r="K48" s="48">
        <v>3</v>
      </c>
      <c r="R48" s="46">
        <f t="shared" si="0"/>
        <v>0</v>
      </c>
      <c r="S48" s="46">
        <f t="shared" si="1"/>
        <v>1</v>
      </c>
      <c r="T48" s="46">
        <f t="shared" ref="T48:T111" si="26">quizscore(J48,K48)</f>
        <v>-20</v>
      </c>
      <c r="U48" s="46">
        <f t="shared" si="3"/>
        <v>-20</v>
      </c>
      <c r="V48" s="54">
        <f t="shared" si="4"/>
        <v>71.5</v>
      </c>
      <c r="Z48" s="46" t="s">
        <v>27</v>
      </c>
      <c r="AA48" s="46">
        <f t="shared" si="25"/>
        <v>400</v>
      </c>
    </row>
    <row r="49" spans="1:27" x14ac:dyDescent="0.2">
      <c r="A49" s="46" t="s">
        <v>18</v>
      </c>
      <c r="B49" s="46" t="s">
        <v>55</v>
      </c>
      <c r="C49" s="46" t="s">
        <v>90</v>
      </c>
      <c r="D49" s="46" t="s">
        <v>178</v>
      </c>
      <c r="E49" s="46">
        <v>2</v>
      </c>
      <c r="F49" s="46" t="s">
        <v>60</v>
      </c>
      <c r="G49" s="46">
        <v>4</v>
      </c>
      <c r="H49" s="47">
        <v>8</v>
      </c>
      <c r="I49" s="47" t="s">
        <v>102</v>
      </c>
      <c r="J49" s="48">
        <v>1</v>
      </c>
      <c r="K49" s="48">
        <v>3</v>
      </c>
      <c r="R49" s="46">
        <f t="shared" si="0"/>
        <v>0</v>
      </c>
      <c r="S49" s="46">
        <f t="shared" si="1"/>
        <v>1</v>
      </c>
      <c r="T49" s="46">
        <f t="shared" si="26"/>
        <v>0</v>
      </c>
      <c r="U49" s="46">
        <f t="shared" si="3"/>
        <v>0</v>
      </c>
      <c r="V49" s="54">
        <f t="shared" si="4"/>
        <v>71.5</v>
      </c>
      <c r="Z49" s="46" t="s">
        <v>200</v>
      </c>
      <c r="AA49" s="46">
        <f t="shared" si="25"/>
        <v>340</v>
      </c>
    </row>
    <row r="50" spans="1:27" x14ac:dyDescent="0.2">
      <c r="A50" s="46" t="s">
        <v>18</v>
      </c>
      <c r="B50" s="46" t="s">
        <v>55</v>
      </c>
      <c r="C50" s="46" t="s">
        <v>90</v>
      </c>
      <c r="D50" s="46" t="s">
        <v>178</v>
      </c>
      <c r="E50" s="46">
        <v>2</v>
      </c>
      <c r="F50" s="46" t="s">
        <v>61</v>
      </c>
      <c r="G50" s="46">
        <v>2</v>
      </c>
      <c r="H50" s="47" t="s">
        <v>66</v>
      </c>
      <c r="I50" s="47" t="s">
        <v>127</v>
      </c>
      <c r="J50" s="48">
        <v>1</v>
      </c>
      <c r="K50" s="48">
        <v>3</v>
      </c>
      <c r="R50" s="46">
        <f t="shared" si="0"/>
        <v>0</v>
      </c>
      <c r="S50" s="46">
        <f t="shared" si="1"/>
        <v>1</v>
      </c>
      <c r="T50" s="46">
        <f t="shared" si="26"/>
        <v>0</v>
      </c>
      <c r="U50" s="46">
        <f t="shared" si="3"/>
        <v>0</v>
      </c>
      <c r="V50" s="54">
        <f t="shared" si="4"/>
        <v>71.5</v>
      </c>
      <c r="Z50" s="46" t="s">
        <v>34</v>
      </c>
      <c r="AA50" s="46">
        <f t="shared" si="25"/>
        <v>300</v>
      </c>
    </row>
    <row r="51" spans="1:27" x14ac:dyDescent="0.2">
      <c r="A51" s="46" t="s">
        <v>18</v>
      </c>
      <c r="B51" s="46" t="s">
        <v>55</v>
      </c>
      <c r="C51" s="46" t="s">
        <v>90</v>
      </c>
      <c r="D51" s="46" t="s">
        <v>178</v>
      </c>
      <c r="E51" s="46">
        <v>1</v>
      </c>
      <c r="F51" s="46" t="s">
        <v>61</v>
      </c>
      <c r="G51" s="46">
        <v>1</v>
      </c>
      <c r="H51" s="47" t="s">
        <v>78</v>
      </c>
      <c r="I51" s="47" t="s">
        <v>101</v>
      </c>
      <c r="J51" s="48">
        <v>1</v>
      </c>
      <c r="K51" s="48">
        <v>3</v>
      </c>
      <c r="R51" s="46">
        <f t="shared" si="0"/>
        <v>0</v>
      </c>
      <c r="S51" s="46">
        <f t="shared" si="1"/>
        <v>1</v>
      </c>
      <c r="T51" s="46">
        <f t="shared" si="26"/>
        <v>0</v>
      </c>
      <c r="U51" s="46">
        <f t="shared" si="3"/>
        <v>0</v>
      </c>
      <c r="V51" s="54">
        <f t="shared" si="4"/>
        <v>71.5</v>
      </c>
      <c r="Z51" s="46" t="s">
        <v>202</v>
      </c>
      <c r="AA51" s="46">
        <f t="shared" si="25"/>
        <v>300</v>
      </c>
    </row>
    <row r="52" spans="1:27" x14ac:dyDescent="0.2">
      <c r="A52" s="46" t="s">
        <v>18</v>
      </c>
      <c r="B52" s="46" t="s">
        <v>55</v>
      </c>
      <c r="C52" s="46" t="s">
        <v>90</v>
      </c>
      <c r="D52" s="46" t="s">
        <v>178</v>
      </c>
      <c r="E52" s="46">
        <v>2</v>
      </c>
      <c r="F52" s="46" t="s">
        <v>60</v>
      </c>
      <c r="G52" s="46">
        <v>2</v>
      </c>
      <c r="H52" s="47">
        <v>38</v>
      </c>
      <c r="I52" s="47" t="s">
        <v>127</v>
      </c>
      <c r="J52" s="48">
        <v>2</v>
      </c>
      <c r="K52" s="48">
        <v>3</v>
      </c>
      <c r="R52" s="46">
        <f t="shared" si="0"/>
        <v>0</v>
      </c>
      <c r="S52" s="46">
        <f t="shared" si="1"/>
        <v>1</v>
      </c>
      <c r="T52" s="46">
        <f t="shared" si="26"/>
        <v>20</v>
      </c>
      <c r="U52" s="46">
        <f t="shared" si="3"/>
        <v>20</v>
      </c>
      <c r="V52" s="54">
        <f t="shared" si="4"/>
        <v>71.5</v>
      </c>
      <c r="Z52" s="46" t="s">
        <v>183</v>
      </c>
      <c r="AA52" s="46">
        <f t="shared" si="25"/>
        <v>390</v>
      </c>
    </row>
    <row r="53" spans="1:27" x14ac:dyDescent="0.2">
      <c r="A53" s="46" t="s">
        <v>18</v>
      </c>
      <c r="B53" s="46" t="s">
        <v>55</v>
      </c>
      <c r="C53" s="46" t="s">
        <v>90</v>
      </c>
      <c r="D53" s="46" t="s">
        <v>178</v>
      </c>
      <c r="E53" s="46">
        <v>3</v>
      </c>
      <c r="F53" s="46" t="s">
        <v>60</v>
      </c>
      <c r="G53" s="46">
        <v>3</v>
      </c>
      <c r="H53" s="47">
        <v>39</v>
      </c>
      <c r="I53" s="47" t="s">
        <v>116</v>
      </c>
      <c r="J53" s="48">
        <v>2</v>
      </c>
      <c r="K53" s="48">
        <v>3</v>
      </c>
      <c r="R53" s="46">
        <f t="shared" si="0"/>
        <v>0</v>
      </c>
      <c r="S53" s="46">
        <f t="shared" si="1"/>
        <v>1</v>
      </c>
      <c r="T53" s="46">
        <f t="shared" si="26"/>
        <v>20</v>
      </c>
      <c r="U53" s="46">
        <f t="shared" si="3"/>
        <v>20</v>
      </c>
      <c r="V53" s="54">
        <f t="shared" si="4"/>
        <v>71.5</v>
      </c>
      <c r="Z53" s="46" t="s">
        <v>42</v>
      </c>
      <c r="AA53" s="46">
        <f t="shared" si="25"/>
        <v>400</v>
      </c>
    </row>
    <row r="54" spans="1:27" x14ac:dyDescent="0.2">
      <c r="A54" s="46" t="s">
        <v>18</v>
      </c>
      <c r="B54" s="46" t="s">
        <v>55</v>
      </c>
      <c r="C54" s="46" t="s">
        <v>90</v>
      </c>
      <c r="D54" s="46" t="s">
        <v>178</v>
      </c>
      <c r="E54" s="46">
        <v>3</v>
      </c>
      <c r="F54" s="46" t="s">
        <v>61</v>
      </c>
      <c r="G54" s="46">
        <v>1</v>
      </c>
      <c r="H54" s="47" t="s">
        <v>67</v>
      </c>
      <c r="I54" s="47" t="s">
        <v>101</v>
      </c>
      <c r="J54" s="48">
        <v>2</v>
      </c>
      <c r="K54" s="48">
        <v>3</v>
      </c>
      <c r="N54" s="48">
        <v>1</v>
      </c>
      <c r="R54" s="46">
        <f t="shared" si="0"/>
        <v>0</v>
      </c>
      <c r="S54" s="46">
        <f t="shared" si="1"/>
        <v>1</v>
      </c>
      <c r="T54" s="46">
        <f t="shared" si="26"/>
        <v>20</v>
      </c>
      <c r="U54" s="46">
        <f t="shared" si="3"/>
        <v>15</v>
      </c>
      <c r="V54" s="54">
        <f t="shared" si="4"/>
        <v>71.5</v>
      </c>
      <c r="Z54" s="46" t="s">
        <v>32</v>
      </c>
      <c r="AA54" s="46">
        <f t="shared" si="25"/>
        <v>270</v>
      </c>
    </row>
    <row r="55" spans="1:27" x14ac:dyDescent="0.2">
      <c r="A55" s="46" t="s">
        <v>18</v>
      </c>
      <c r="B55" s="46" t="s">
        <v>55</v>
      </c>
      <c r="C55" s="46" t="s">
        <v>90</v>
      </c>
      <c r="D55" s="46" t="s">
        <v>178</v>
      </c>
      <c r="E55" s="46">
        <v>3</v>
      </c>
      <c r="F55" s="46" t="s">
        <v>61</v>
      </c>
      <c r="G55" s="46">
        <v>2</v>
      </c>
      <c r="H55" s="47" t="s">
        <v>66</v>
      </c>
      <c r="I55" s="47" t="s">
        <v>127</v>
      </c>
      <c r="J55" s="48">
        <v>2</v>
      </c>
      <c r="K55" s="48">
        <v>3</v>
      </c>
      <c r="R55" s="46">
        <f t="shared" si="0"/>
        <v>0</v>
      </c>
      <c r="S55" s="46">
        <f t="shared" si="1"/>
        <v>1</v>
      </c>
      <c r="T55" s="46">
        <f t="shared" si="26"/>
        <v>20</v>
      </c>
      <c r="U55" s="46">
        <f t="shared" si="3"/>
        <v>20</v>
      </c>
      <c r="V55" s="54">
        <f t="shared" si="4"/>
        <v>71.5</v>
      </c>
      <c r="Z55" s="46" t="s">
        <v>112</v>
      </c>
      <c r="AA55" s="46">
        <f t="shared" si="25"/>
        <v>250</v>
      </c>
    </row>
    <row r="56" spans="1:27" x14ac:dyDescent="0.2">
      <c r="A56" s="46" t="s">
        <v>18</v>
      </c>
      <c r="B56" s="46" t="s">
        <v>55</v>
      </c>
      <c r="C56" s="46" t="s">
        <v>90</v>
      </c>
      <c r="D56" s="46" t="s">
        <v>178</v>
      </c>
      <c r="E56" s="46">
        <v>2</v>
      </c>
      <c r="F56" s="46" t="s">
        <v>61</v>
      </c>
      <c r="G56" s="46">
        <v>2</v>
      </c>
      <c r="H56" s="47" t="s">
        <v>76</v>
      </c>
      <c r="I56" s="47" t="s">
        <v>127</v>
      </c>
      <c r="J56" s="48">
        <v>2</v>
      </c>
      <c r="K56" s="48">
        <v>2</v>
      </c>
      <c r="R56" s="46">
        <f t="shared" si="0"/>
        <v>0</v>
      </c>
      <c r="S56" s="46">
        <f t="shared" si="1"/>
        <v>0</v>
      </c>
      <c r="T56" s="46">
        <f t="shared" si="26"/>
        <v>30</v>
      </c>
      <c r="U56" s="46">
        <f t="shared" si="3"/>
        <v>30</v>
      </c>
      <c r="V56" s="54">
        <f t="shared" si="4"/>
        <v>71.5</v>
      </c>
      <c r="Z56" s="46" t="s">
        <v>17</v>
      </c>
      <c r="AA56" s="46">
        <f t="shared" si="25"/>
        <v>240</v>
      </c>
    </row>
    <row r="57" spans="1:27" x14ac:dyDescent="0.2">
      <c r="A57" s="46" t="s">
        <v>18</v>
      </c>
      <c r="B57" s="46" t="s">
        <v>55</v>
      </c>
      <c r="C57" s="46" t="s">
        <v>90</v>
      </c>
      <c r="D57" s="46" t="s">
        <v>178</v>
      </c>
      <c r="E57" s="46">
        <v>4</v>
      </c>
      <c r="F57" s="46" t="s">
        <v>60</v>
      </c>
      <c r="G57" s="46">
        <v>2</v>
      </c>
      <c r="H57" s="47">
        <v>34</v>
      </c>
      <c r="I57" s="47" t="s">
        <v>127</v>
      </c>
      <c r="J57" s="48">
        <v>3</v>
      </c>
      <c r="K57" s="48">
        <v>3</v>
      </c>
      <c r="R57" s="46">
        <f t="shared" si="0"/>
        <v>0</v>
      </c>
      <c r="S57" s="46">
        <f t="shared" si="1"/>
        <v>1</v>
      </c>
      <c r="T57" s="46">
        <f t="shared" si="26"/>
        <v>40</v>
      </c>
      <c r="U57" s="46">
        <f t="shared" si="3"/>
        <v>40</v>
      </c>
      <c r="V57" s="54">
        <f t="shared" si="4"/>
        <v>71.5</v>
      </c>
      <c r="Z57" s="46" t="s">
        <v>137</v>
      </c>
      <c r="AA57" s="46">
        <f t="shared" si="25"/>
        <v>250</v>
      </c>
    </row>
    <row r="58" spans="1:27" x14ac:dyDescent="0.2">
      <c r="A58" s="46" t="s">
        <v>18</v>
      </c>
      <c r="B58" s="46" t="s">
        <v>55</v>
      </c>
      <c r="C58" s="46" t="s">
        <v>90</v>
      </c>
      <c r="D58" s="46" t="s">
        <v>178</v>
      </c>
      <c r="E58" s="46">
        <v>4</v>
      </c>
      <c r="F58" s="46" t="s">
        <v>61</v>
      </c>
      <c r="G58" s="46">
        <v>1</v>
      </c>
      <c r="H58" s="47" t="s">
        <v>71</v>
      </c>
      <c r="I58" s="47" t="s">
        <v>101</v>
      </c>
      <c r="J58" s="48">
        <v>3</v>
      </c>
      <c r="K58" s="48">
        <v>3</v>
      </c>
      <c r="R58" s="46">
        <f t="shared" si="0"/>
        <v>0</v>
      </c>
      <c r="S58" s="46">
        <f t="shared" si="1"/>
        <v>1</v>
      </c>
      <c r="T58" s="46">
        <f t="shared" si="26"/>
        <v>40</v>
      </c>
      <c r="U58" s="46">
        <f t="shared" si="3"/>
        <v>40</v>
      </c>
      <c r="V58" s="54">
        <f t="shared" si="4"/>
        <v>71.5</v>
      </c>
      <c r="Z58" s="46" t="s">
        <v>36</v>
      </c>
      <c r="AA58" s="46">
        <f t="shared" si="25"/>
        <v>240</v>
      </c>
    </row>
    <row r="59" spans="1:27" x14ac:dyDescent="0.2">
      <c r="A59" s="46" t="s">
        <v>18</v>
      </c>
      <c r="B59" s="46" t="s">
        <v>55</v>
      </c>
      <c r="C59" s="46" t="s">
        <v>90</v>
      </c>
      <c r="D59" s="46" t="s">
        <v>178</v>
      </c>
      <c r="E59" s="46">
        <v>1</v>
      </c>
      <c r="F59" s="46" t="s">
        <v>61</v>
      </c>
      <c r="G59" s="46">
        <v>1</v>
      </c>
      <c r="H59" s="47" t="s">
        <v>78</v>
      </c>
      <c r="I59" s="47" t="s">
        <v>101</v>
      </c>
      <c r="J59" s="48">
        <v>3</v>
      </c>
      <c r="K59" s="48">
        <v>3</v>
      </c>
      <c r="M59" s="48">
        <v>1</v>
      </c>
      <c r="R59" s="46">
        <f t="shared" si="0"/>
        <v>0</v>
      </c>
      <c r="S59" s="46">
        <f t="shared" si="1"/>
        <v>1</v>
      </c>
      <c r="T59" s="46">
        <f t="shared" si="26"/>
        <v>40</v>
      </c>
      <c r="U59" s="46">
        <f t="shared" si="3"/>
        <v>60</v>
      </c>
      <c r="V59" s="54">
        <f t="shared" si="4"/>
        <v>71.5</v>
      </c>
      <c r="Z59" s="46" t="s">
        <v>131</v>
      </c>
      <c r="AA59" s="46">
        <f t="shared" si="25"/>
        <v>350</v>
      </c>
    </row>
    <row r="60" spans="1:27" x14ac:dyDescent="0.2">
      <c r="A60" s="46" t="s">
        <v>18</v>
      </c>
      <c r="B60" s="46" t="s">
        <v>55</v>
      </c>
      <c r="C60" s="46" t="s">
        <v>90</v>
      </c>
      <c r="D60" s="46" t="s">
        <v>178</v>
      </c>
      <c r="E60" s="46">
        <v>4</v>
      </c>
      <c r="F60" s="46" t="s">
        <v>60</v>
      </c>
      <c r="G60" s="46">
        <v>2</v>
      </c>
      <c r="H60" s="47">
        <v>42</v>
      </c>
      <c r="I60" s="47" t="s">
        <v>127</v>
      </c>
      <c r="J60" s="48">
        <v>3</v>
      </c>
      <c r="K60" s="48">
        <v>2</v>
      </c>
      <c r="R60" s="46">
        <f t="shared" si="0"/>
        <v>0</v>
      </c>
      <c r="S60" s="46">
        <f t="shared" si="1"/>
        <v>0</v>
      </c>
      <c r="T60" s="46">
        <f t="shared" si="26"/>
        <v>50</v>
      </c>
      <c r="U60" s="46">
        <f t="shared" si="3"/>
        <v>50</v>
      </c>
      <c r="V60" s="54">
        <f t="shared" si="4"/>
        <v>71.5</v>
      </c>
      <c r="Z60" s="46" t="s">
        <v>38</v>
      </c>
      <c r="AA60" s="46">
        <f t="shared" si="25"/>
        <v>280</v>
      </c>
    </row>
    <row r="61" spans="1:27" x14ac:dyDescent="0.2">
      <c r="A61" s="46" t="s">
        <v>18</v>
      </c>
      <c r="B61" s="46" t="s">
        <v>55</v>
      </c>
      <c r="C61" s="46" t="s">
        <v>90</v>
      </c>
      <c r="D61" s="46" t="s">
        <v>178</v>
      </c>
      <c r="E61" s="46">
        <v>2</v>
      </c>
      <c r="F61" s="46" t="s">
        <v>61</v>
      </c>
      <c r="G61" s="46">
        <v>1</v>
      </c>
      <c r="H61" s="47" t="s">
        <v>70</v>
      </c>
      <c r="I61" s="47" t="s">
        <v>101</v>
      </c>
      <c r="J61" s="48">
        <v>3</v>
      </c>
      <c r="K61" s="48">
        <v>2</v>
      </c>
      <c r="R61" s="46">
        <f t="shared" si="0"/>
        <v>0</v>
      </c>
      <c r="S61" s="46">
        <f t="shared" si="1"/>
        <v>0</v>
      </c>
      <c r="T61" s="46">
        <f t="shared" si="26"/>
        <v>50</v>
      </c>
      <c r="U61" s="46">
        <f t="shared" si="3"/>
        <v>50</v>
      </c>
      <c r="V61" s="54">
        <f t="shared" si="4"/>
        <v>71.5</v>
      </c>
      <c r="Z61" s="46" t="s">
        <v>23</v>
      </c>
      <c r="AA61" s="46">
        <f t="shared" si="25"/>
        <v>270</v>
      </c>
    </row>
    <row r="62" spans="1:27" x14ac:dyDescent="0.2">
      <c r="A62" s="46" t="s">
        <v>18</v>
      </c>
      <c r="B62" s="46" t="s">
        <v>55</v>
      </c>
      <c r="C62" s="46" t="s">
        <v>90</v>
      </c>
      <c r="D62" s="46" t="s">
        <v>178</v>
      </c>
      <c r="E62" s="46">
        <v>4</v>
      </c>
      <c r="F62" s="46" t="s">
        <v>61</v>
      </c>
      <c r="G62" s="46">
        <v>2</v>
      </c>
      <c r="H62" s="47" t="s">
        <v>76</v>
      </c>
      <c r="I62" s="47" t="s">
        <v>127</v>
      </c>
      <c r="J62" s="48">
        <v>3</v>
      </c>
      <c r="K62" s="48">
        <v>2</v>
      </c>
      <c r="M62" s="48">
        <v>1</v>
      </c>
      <c r="R62" s="46">
        <f t="shared" si="0"/>
        <v>0</v>
      </c>
      <c r="S62" s="46">
        <f t="shared" si="1"/>
        <v>0</v>
      </c>
      <c r="T62" s="46">
        <f t="shared" si="26"/>
        <v>50</v>
      </c>
      <c r="U62" s="46">
        <f t="shared" si="3"/>
        <v>70</v>
      </c>
      <c r="V62" s="54">
        <f t="shared" si="4"/>
        <v>71.5</v>
      </c>
      <c r="Z62" s="46" t="s">
        <v>24</v>
      </c>
      <c r="AA62" s="46">
        <f t="shared" si="25"/>
        <v>200</v>
      </c>
    </row>
    <row r="63" spans="1:27" x14ac:dyDescent="0.2">
      <c r="A63" s="46" t="s">
        <v>18</v>
      </c>
      <c r="B63" s="46" t="s">
        <v>55</v>
      </c>
      <c r="C63" s="46" t="s">
        <v>90</v>
      </c>
      <c r="D63" s="46" t="s">
        <v>178</v>
      </c>
      <c r="E63" s="46">
        <v>3</v>
      </c>
      <c r="F63" s="46" t="s">
        <v>60</v>
      </c>
      <c r="G63" s="46">
        <v>1</v>
      </c>
      <c r="H63" s="47">
        <v>5</v>
      </c>
      <c r="I63" s="47" t="s">
        <v>101</v>
      </c>
      <c r="J63" s="48">
        <v>4</v>
      </c>
      <c r="K63" s="48">
        <v>2</v>
      </c>
      <c r="R63" s="46">
        <f t="shared" si="0"/>
        <v>1</v>
      </c>
      <c r="S63" s="46">
        <f t="shared" si="1"/>
        <v>0</v>
      </c>
      <c r="T63" s="46">
        <f t="shared" si="26"/>
        <v>70</v>
      </c>
      <c r="U63" s="46">
        <f t="shared" si="3"/>
        <v>70</v>
      </c>
      <c r="V63" s="54">
        <f t="shared" si="4"/>
        <v>71.5</v>
      </c>
      <c r="Z63" s="46" t="s">
        <v>37</v>
      </c>
      <c r="AA63" s="46">
        <f t="shared" si="25"/>
        <v>180</v>
      </c>
    </row>
    <row r="64" spans="1:27" x14ac:dyDescent="0.2">
      <c r="A64" s="46" t="s">
        <v>18</v>
      </c>
      <c r="B64" s="46" t="s">
        <v>55</v>
      </c>
      <c r="C64" s="46" t="s">
        <v>90</v>
      </c>
      <c r="D64" s="46" t="s">
        <v>178</v>
      </c>
      <c r="E64" s="46">
        <v>2</v>
      </c>
      <c r="F64" s="46" t="s">
        <v>60</v>
      </c>
      <c r="G64" s="46">
        <v>1</v>
      </c>
      <c r="H64" s="47">
        <v>21</v>
      </c>
      <c r="I64" s="47" t="s">
        <v>101</v>
      </c>
      <c r="J64" s="48">
        <v>4</v>
      </c>
      <c r="K64" s="48">
        <v>2</v>
      </c>
      <c r="M64" s="48">
        <v>1</v>
      </c>
      <c r="R64" s="46">
        <f t="shared" si="0"/>
        <v>1</v>
      </c>
      <c r="S64" s="46">
        <f t="shared" si="1"/>
        <v>0</v>
      </c>
      <c r="T64" s="46">
        <f t="shared" si="26"/>
        <v>70</v>
      </c>
      <c r="U64" s="46">
        <f t="shared" si="3"/>
        <v>90</v>
      </c>
      <c r="V64" s="54">
        <f t="shared" si="4"/>
        <v>71.5</v>
      </c>
      <c r="Z64" s="46" t="s">
        <v>111</v>
      </c>
      <c r="AA64" s="46">
        <f t="shared" si="25"/>
        <v>160</v>
      </c>
    </row>
    <row r="65" spans="1:27" x14ac:dyDescent="0.2">
      <c r="A65" s="46" t="s">
        <v>18</v>
      </c>
      <c r="B65" s="46" t="s">
        <v>55</v>
      </c>
      <c r="C65" s="46" t="s">
        <v>90</v>
      </c>
      <c r="D65" s="46" t="s">
        <v>178</v>
      </c>
      <c r="E65" s="46">
        <v>3</v>
      </c>
      <c r="F65" s="46" t="s">
        <v>60</v>
      </c>
      <c r="G65" s="46">
        <v>2</v>
      </c>
      <c r="H65" s="47">
        <v>22</v>
      </c>
      <c r="I65" s="47" t="s">
        <v>127</v>
      </c>
      <c r="J65" s="48">
        <v>4</v>
      </c>
      <c r="K65" s="48">
        <v>2</v>
      </c>
      <c r="M65" s="48">
        <v>1</v>
      </c>
      <c r="R65" s="46">
        <f t="shared" si="0"/>
        <v>1</v>
      </c>
      <c r="S65" s="46">
        <f t="shared" si="1"/>
        <v>0</v>
      </c>
      <c r="T65" s="46">
        <f t="shared" si="26"/>
        <v>70</v>
      </c>
      <c r="U65" s="46">
        <f t="shared" si="3"/>
        <v>90</v>
      </c>
      <c r="V65" s="54">
        <f t="shared" si="4"/>
        <v>71.5</v>
      </c>
      <c r="Z65" s="46" t="s">
        <v>142</v>
      </c>
      <c r="AA65" s="46">
        <f t="shared" si="25"/>
        <v>160</v>
      </c>
    </row>
    <row r="66" spans="1:27" x14ac:dyDescent="0.2">
      <c r="A66" s="46" t="s">
        <v>18</v>
      </c>
      <c r="B66" s="46" t="s">
        <v>55</v>
      </c>
      <c r="C66" s="46" t="s">
        <v>90</v>
      </c>
      <c r="D66" s="46" t="s">
        <v>178</v>
      </c>
      <c r="E66" s="46">
        <v>1</v>
      </c>
      <c r="F66" s="46" t="s">
        <v>60</v>
      </c>
      <c r="G66" s="46">
        <v>2</v>
      </c>
      <c r="H66" s="47">
        <v>26</v>
      </c>
      <c r="I66" s="47" t="s">
        <v>127</v>
      </c>
      <c r="J66" s="48">
        <v>4</v>
      </c>
      <c r="K66" s="48">
        <v>2</v>
      </c>
      <c r="R66" s="46">
        <f t="shared" ref="R66:R129" si="27">IF(J66=4,1,0)</f>
        <v>1</v>
      </c>
      <c r="S66" s="46">
        <f t="shared" ref="S66:S129" si="28">IF(K66=3,1,0)</f>
        <v>0</v>
      </c>
      <c r="T66" s="46">
        <f t="shared" si="26"/>
        <v>70</v>
      </c>
      <c r="U66" s="46">
        <f t="shared" ref="U66:U129" si="29">T66+M66*(20) + (SUM(O66:Q66)*(10)) - L66*(5) - N66*(5)</f>
        <v>70</v>
      </c>
      <c r="V66" s="54">
        <f t="shared" ref="V66:V129" si="30">AVERAGEIFS(U:U,A:A,A66,F:F,"Pre")</f>
        <v>71.5</v>
      </c>
      <c r="Z66" s="46" t="s">
        <v>174</v>
      </c>
      <c r="AA66" s="46">
        <f t="shared" si="25"/>
        <v>120</v>
      </c>
    </row>
    <row r="67" spans="1:27" x14ac:dyDescent="0.2">
      <c r="A67" s="46" t="s">
        <v>18</v>
      </c>
      <c r="B67" s="46" t="s">
        <v>55</v>
      </c>
      <c r="C67" s="46" t="s">
        <v>90</v>
      </c>
      <c r="D67" s="46" t="s">
        <v>178</v>
      </c>
      <c r="E67" s="46">
        <v>2</v>
      </c>
      <c r="F67" s="46" t="s">
        <v>60</v>
      </c>
      <c r="G67" s="46">
        <v>3</v>
      </c>
      <c r="H67" s="47">
        <v>31</v>
      </c>
      <c r="I67" s="47" t="s">
        <v>116</v>
      </c>
      <c r="J67" s="48">
        <v>4</v>
      </c>
      <c r="K67" s="48">
        <v>2</v>
      </c>
      <c r="R67" s="46">
        <f t="shared" si="27"/>
        <v>1</v>
      </c>
      <c r="S67" s="46">
        <f t="shared" si="28"/>
        <v>0</v>
      </c>
      <c r="T67" s="46">
        <f t="shared" si="26"/>
        <v>70</v>
      </c>
      <c r="U67" s="46">
        <f t="shared" si="29"/>
        <v>70</v>
      </c>
      <c r="V67" s="54">
        <f t="shared" si="30"/>
        <v>71.5</v>
      </c>
      <c r="Z67" s="46" t="s">
        <v>133</v>
      </c>
      <c r="AA67" s="46">
        <f t="shared" si="25"/>
        <v>200</v>
      </c>
    </row>
    <row r="68" spans="1:27" x14ac:dyDescent="0.2">
      <c r="A68" s="46" t="s">
        <v>18</v>
      </c>
      <c r="B68" s="46" t="s">
        <v>55</v>
      </c>
      <c r="C68" s="46" t="s">
        <v>90</v>
      </c>
      <c r="D68" s="46" t="s">
        <v>178</v>
      </c>
      <c r="E68" s="46">
        <v>1</v>
      </c>
      <c r="F68" s="46" t="s">
        <v>60</v>
      </c>
      <c r="G68" s="46">
        <v>3</v>
      </c>
      <c r="H68" s="47">
        <v>43</v>
      </c>
      <c r="I68" s="47" t="s">
        <v>116</v>
      </c>
      <c r="J68" s="48">
        <v>4</v>
      </c>
      <c r="K68" s="48">
        <v>2</v>
      </c>
      <c r="O68" s="48">
        <v>1</v>
      </c>
      <c r="R68" s="46">
        <f t="shared" si="27"/>
        <v>1</v>
      </c>
      <c r="S68" s="46">
        <f t="shared" si="28"/>
        <v>0</v>
      </c>
      <c r="T68" s="46">
        <f t="shared" si="26"/>
        <v>70</v>
      </c>
      <c r="U68" s="46">
        <f t="shared" si="29"/>
        <v>80</v>
      </c>
      <c r="V68" s="54">
        <f t="shared" si="30"/>
        <v>71.5</v>
      </c>
      <c r="Z68" s="46" t="s">
        <v>187</v>
      </c>
      <c r="AA68" s="46">
        <f t="shared" si="25"/>
        <v>120</v>
      </c>
    </row>
    <row r="69" spans="1:27" x14ac:dyDescent="0.2">
      <c r="A69" s="46" t="s">
        <v>18</v>
      </c>
      <c r="B69" s="46" t="s">
        <v>55</v>
      </c>
      <c r="C69" s="46" t="s">
        <v>90</v>
      </c>
      <c r="D69" s="46" t="s">
        <v>178</v>
      </c>
      <c r="E69" s="46">
        <v>1</v>
      </c>
      <c r="F69" s="46" t="s">
        <v>61</v>
      </c>
      <c r="G69" s="46">
        <v>1</v>
      </c>
      <c r="H69" s="47" t="s">
        <v>75</v>
      </c>
      <c r="I69" s="47" t="s">
        <v>101</v>
      </c>
      <c r="J69" s="48">
        <v>4</v>
      </c>
      <c r="K69" s="48">
        <v>2</v>
      </c>
      <c r="R69" s="46">
        <f t="shared" si="27"/>
        <v>1</v>
      </c>
      <c r="S69" s="46">
        <f t="shared" si="28"/>
        <v>0</v>
      </c>
      <c r="T69" s="46">
        <f t="shared" si="26"/>
        <v>70</v>
      </c>
      <c r="U69" s="46">
        <f t="shared" si="29"/>
        <v>70</v>
      </c>
      <c r="V69" s="54">
        <f t="shared" si="30"/>
        <v>71.5</v>
      </c>
      <c r="Z69" s="46" t="s">
        <v>30</v>
      </c>
      <c r="AA69" s="46">
        <f t="shared" si="25"/>
        <v>120</v>
      </c>
    </row>
    <row r="70" spans="1:27" x14ac:dyDescent="0.2">
      <c r="A70" s="46" t="s">
        <v>18</v>
      </c>
      <c r="B70" s="46" t="s">
        <v>55</v>
      </c>
      <c r="C70" s="46" t="s">
        <v>90</v>
      </c>
      <c r="D70" s="46" t="s">
        <v>178</v>
      </c>
      <c r="E70" s="46">
        <v>4</v>
      </c>
      <c r="F70" s="46" t="s">
        <v>60</v>
      </c>
      <c r="G70" s="46">
        <v>3</v>
      </c>
      <c r="H70" s="47">
        <v>7</v>
      </c>
      <c r="I70" s="47" t="s">
        <v>159</v>
      </c>
      <c r="J70" s="48">
        <v>4</v>
      </c>
      <c r="K70" s="48">
        <v>1</v>
      </c>
      <c r="R70" s="46">
        <f t="shared" si="27"/>
        <v>1</v>
      </c>
      <c r="S70" s="46">
        <f t="shared" si="28"/>
        <v>0</v>
      </c>
      <c r="T70" s="46">
        <f t="shared" si="26"/>
        <v>80</v>
      </c>
      <c r="U70" s="46">
        <f t="shared" si="29"/>
        <v>80</v>
      </c>
      <c r="V70" s="54">
        <f t="shared" si="30"/>
        <v>71.5</v>
      </c>
      <c r="Z70" s="46" t="s">
        <v>33</v>
      </c>
      <c r="AA70" s="46">
        <f t="shared" si="25"/>
        <v>100</v>
      </c>
    </row>
    <row r="71" spans="1:27" x14ac:dyDescent="0.2">
      <c r="A71" s="46" t="s">
        <v>18</v>
      </c>
      <c r="B71" s="46" t="s">
        <v>55</v>
      </c>
      <c r="C71" s="46" t="s">
        <v>90</v>
      </c>
      <c r="D71" s="46" t="s">
        <v>178</v>
      </c>
      <c r="E71" s="46">
        <v>1</v>
      </c>
      <c r="F71" s="46" t="s">
        <v>60</v>
      </c>
      <c r="G71" s="46">
        <v>2</v>
      </c>
      <c r="H71" s="47">
        <v>10</v>
      </c>
      <c r="I71" s="47" t="s">
        <v>127</v>
      </c>
      <c r="J71" s="48">
        <v>4</v>
      </c>
      <c r="K71" s="48">
        <v>1</v>
      </c>
      <c r="R71" s="46">
        <f t="shared" si="27"/>
        <v>1</v>
      </c>
      <c r="S71" s="46">
        <f t="shared" si="28"/>
        <v>0</v>
      </c>
      <c r="T71" s="46">
        <f t="shared" si="26"/>
        <v>80</v>
      </c>
      <c r="U71" s="46">
        <f t="shared" si="29"/>
        <v>80</v>
      </c>
      <c r="V71" s="54">
        <f t="shared" si="30"/>
        <v>71.5</v>
      </c>
      <c r="Z71" s="46" t="s">
        <v>182</v>
      </c>
      <c r="AA71" s="46">
        <f t="shared" si="25"/>
        <v>80</v>
      </c>
    </row>
    <row r="72" spans="1:27" x14ac:dyDescent="0.2">
      <c r="A72" s="46" t="s">
        <v>18</v>
      </c>
      <c r="B72" s="46" t="s">
        <v>55</v>
      </c>
      <c r="C72" s="46" t="s">
        <v>90</v>
      </c>
      <c r="D72" s="46" t="s">
        <v>178</v>
      </c>
      <c r="E72" s="46">
        <v>2</v>
      </c>
      <c r="F72" s="46" t="s">
        <v>60</v>
      </c>
      <c r="G72" s="46">
        <v>2</v>
      </c>
      <c r="H72" s="47">
        <v>14</v>
      </c>
      <c r="I72" s="47" t="s">
        <v>127</v>
      </c>
      <c r="J72" s="48">
        <v>4</v>
      </c>
      <c r="K72" s="48">
        <v>1</v>
      </c>
      <c r="R72" s="46">
        <f t="shared" si="27"/>
        <v>1</v>
      </c>
      <c r="S72" s="46">
        <f t="shared" si="28"/>
        <v>0</v>
      </c>
      <c r="T72" s="46">
        <f t="shared" si="26"/>
        <v>80</v>
      </c>
      <c r="U72" s="46">
        <f t="shared" si="29"/>
        <v>80</v>
      </c>
      <c r="V72" s="54">
        <f t="shared" si="30"/>
        <v>71.5</v>
      </c>
      <c r="Z72" s="46" t="s">
        <v>173</v>
      </c>
      <c r="AA72" s="46">
        <f t="shared" si="25"/>
        <v>60</v>
      </c>
    </row>
    <row r="73" spans="1:27" x14ac:dyDescent="0.2">
      <c r="A73" s="46" t="s">
        <v>18</v>
      </c>
      <c r="B73" s="46" t="s">
        <v>55</v>
      </c>
      <c r="C73" s="46" t="s">
        <v>90</v>
      </c>
      <c r="D73" s="46" t="s">
        <v>178</v>
      </c>
      <c r="E73" s="46">
        <v>4</v>
      </c>
      <c r="F73" s="46" t="s">
        <v>60</v>
      </c>
      <c r="G73" s="46">
        <v>4</v>
      </c>
      <c r="H73" s="47">
        <v>16</v>
      </c>
      <c r="I73" s="47" t="s">
        <v>102</v>
      </c>
      <c r="J73" s="48">
        <v>4</v>
      </c>
      <c r="K73" s="48">
        <v>1</v>
      </c>
      <c r="R73" s="46">
        <f t="shared" si="27"/>
        <v>1</v>
      </c>
      <c r="S73" s="46">
        <f t="shared" si="28"/>
        <v>0</v>
      </c>
      <c r="T73" s="46">
        <f t="shared" si="26"/>
        <v>80</v>
      </c>
      <c r="U73" s="46">
        <f t="shared" si="29"/>
        <v>80</v>
      </c>
      <c r="V73" s="54">
        <f t="shared" si="30"/>
        <v>71.5</v>
      </c>
      <c r="Z73" s="46" t="s">
        <v>35</v>
      </c>
      <c r="AA73" s="46">
        <f t="shared" si="25"/>
        <v>70</v>
      </c>
    </row>
    <row r="74" spans="1:27" x14ac:dyDescent="0.2">
      <c r="A74" s="46" t="s">
        <v>18</v>
      </c>
      <c r="B74" s="46" t="s">
        <v>55</v>
      </c>
      <c r="C74" s="46" t="s">
        <v>90</v>
      </c>
      <c r="D74" s="46" t="s">
        <v>178</v>
      </c>
      <c r="E74" s="46">
        <v>4</v>
      </c>
      <c r="F74" s="46" t="s">
        <v>60</v>
      </c>
      <c r="G74" s="46">
        <v>4</v>
      </c>
      <c r="H74" s="47">
        <v>24</v>
      </c>
      <c r="I74" s="47" t="s">
        <v>102</v>
      </c>
      <c r="J74" s="48">
        <v>4</v>
      </c>
      <c r="K74" s="48">
        <v>1</v>
      </c>
      <c r="R74" s="46">
        <f t="shared" si="27"/>
        <v>1</v>
      </c>
      <c r="S74" s="46">
        <f t="shared" si="28"/>
        <v>0</v>
      </c>
      <c r="T74" s="46">
        <f t="shared" si="26"/>
        <v>80</v>
      </c>
      <c r="U74" s="46">
        <f t="shared" si="29"/>
        <v>80</v>
      </c>
      <c r="V74" s="54">
        <f t="shared" si="30"/>
        <v>71.5</v>
      </c>
      <c r="Z74" s="46" t="s">
        <v>28</v>
      </c>
      <c r="AA74" s="46">
        <f t="shared" si="25"/>
        <v>60</v>
      </c>
    </row>
    <row r="75" spans="1:27" x14ac:dyDescent="0.2">
      <c r="A75" s="46" t="s">
        <v>18</v>
      </c>
      <c r="B75" s="46" t="s">
        <v>55</v>
      </c>
      <c r="C75" s="46" t="s">
        <v>90</v>
      </c>
      <c r="D75" s="46" t="s">
        <v>178</v>
      </c>
      <c r="E75" s="46">
        <v>3</v>
      </c>
      <c r="F75" s="46" t="s">
        <v>60</v>
      </c>
      <c r="G75" s="46">
        <v>1</v>
      </c>
      <c r="H75" s="47">
        <v>29</v>
      </c>
      <c r="I75" s="47" t="s">
        <v>101</v>
      </c>
      <c r="J75" s="48">
        <v>4</v>
      </c>
      <c r="K75" s="48">
        <v>1</v>
      </c>
      <c r="R75" s="46">
        <f t="shared" si="27"/>
        <v>1</v>
      </c>
      <c r="S75" s="46">
        <f t="shared" si="28"/>
        <v>0</v>
      </c>
      <c r="T75" s="46">
        <f t="shared" si="26"/>
        <v>80</v>
      </c>
      <c r="U75" s="46">
        <f t="shared" si="29"/>
        <v>80</v>
      </c>
      <c r="V75" s="54">
        <f t="shared" si="30"/>
        <v>71.5</v>
      </c>
      <c r="Z75" s="46" t="s">
        <v>203</v>
      </c>
      <c r="AA75" s="46">
        <f t="shared" si="25"/>
        <v>60</v>
      </c>
    </row>
    <row r="76" spans="1:27" x14ac:dyDescent="0.2">
      <c r="A76" s="46" t="s">
        <v>18</v>
      </c>
      <c r="B76" s="46" t="s">
        <v>55</v>
      </c>
      <c r="C76" s="46" t="s">
        <v>90</v>
      </c>
      <c r="D76" s="46" t="s">
        <v>178</v>
      </c>
      <c r="E76" s="46">
        <v>4</v>
      </c>
      <c r="F76" s="46" t="s">
        <v>60</v>
      </c>
      <c r="G76" s="46">
        <v>1</v>
      </c>
      <c r="H76" s="47">
        <v>49</v>
      </c>
      <c r="I76" s="47" t="s">
        <v>101</v>
      </c>
      <c r="J76" s="48">
        <v>4</v>
      </c>
      <c r="K76" s="48">
        <v>1</v>
      </c>
      <c r="R76" s="46">
        <f t="shared" si="27"/>
        <v>1</v>
      </c>
      <c r="S76" s="46">
        <f t="shared" si="28"/>
        <v>0</v>
      </c>
      <c r="T76" s="46">
        <f t="shared" si="26"/>
        <v>80</v>
      </c>
      <c r="U76" s="46">
        <f t="shared" si="29"/>
        <v>80</v>
      </c>
      <c r="V76" s="54">
        <f t="shared" si="30"/>
        <v>71.5</v>
      </c>
      <c r="Z76" s="46" t="s">
        <v>130</v>
      </c>
      <c r="AA76" s="46">
        <f t="shared" si="25"/>
        <v>80</v>
      </c>
    </row>
    <row r="77" spans="1:27" x14ac:dyDescent="0.2">
      <c r="A77" s="46" t="s">
        <v>18</v>
      </c>
      <c r="B77" s="46" t="s">
        <v>55</v>
      </c>
      <c r="C77" s="46" t="s">
        <v>90</v>
      </c>
      <c r="D77" s="46" t="s">
        <v>178</v>
      </c>
      <c r="E77" s="46">
        <v>1</v>
      </c>
      <c r="F77" s="46" t="s">
        <v>61</v>
      </c>
      <c r="G77" s="46">
        <v>1</v>
      </c>
      <c r="H77" s="47" t="s">
        <v>70</v>
      </c>
      <c r="I77" s="47" t="s">
        <v>101</v>
      </c>
      <c r="J77" s="48">
        <v>4</v>
      </c>
      <c r="K77" s="48">
        <v>1</v>
      </c>
      <c r="R77" s="46">
        <f t="shared" si="27"/>
        <v>1</v>
      </c>
      <c r="S77" s="46">
        <f t="shared" si="28"/>
        <v>0</v>
      </c>
      <c r="T77" s="46">
        <f t="shared" si="26"/>
        <v>80</v>
      </c>
      <c r="U77" s="46">
        <f t="shared" si="29"/>
        <v>80</v>
      </c>
      <c r="V77" s="54">
        <f t="shared" si="30"/>
        <v>71.5</v>
      </c>
      <c r="Z77" s="46" t="s">
        <v>39</v>
      </c>
      <c r="AA77" s="46">
        <f t="shared" si="25"/>
        <v>40</v>
      </c>
    </row>
    <row r="78" spans="1:27" x14ac:dyDescent="0.2">
      <c r="A78" s="46" t="s">
        <v>18</v>
      </c>
      <c r="B78" s="46" t="s">
        <v>55</v>
      </c>
      <c r="C78" s="46" t="s">
        <v>90</v>
      </c>
      <c r="D78" s="46" t="s">
        <v>178</v>
      </c>
      <c r="E78" s="46">
        <v>4</v>
      </c>
      <c r="F78" s="46" t="s">
        <v>61</v>
      </c>
      <c r="G78" s="46">
        <v>2</v>
      </c>
      <c r="H78" s="47" t="s">
        <v>66</v>
      </c>
      <c r="I78" s="47" t="s">
        <v>127</v>
      </c>
      <c r="J78" s="48">
        <v>4</v>
      </c>
      <c r="K78" s="48">
        <v>1</v>
      </c>
      <c r="R78" s="46">
        <f t="shared" si="27"/>
        <v>1</v>
      </c>
      <c r="S78" s="46">
        <f t="shared" si="28"/>
        <v>0</v>
      </c>
      <c r="T78" s="46">
        <f t="shared" si="26"/>
        <v>80</v>
      </c>
      <c r="U78" s="46">
        <f t="shared" si="29"/>
        <v>80</v>
      </c>
      <c r="V78" s="54">
        <f t="shared" si="30"/>
        <v>71.5</v>
      </c>
      <c r="Z78" s="46" t="s">
        <v>185</v>
      </c>
      <c r="AA78" s="46">
        <f t="shared" si="25"/>
        <v>70</v>
      </c>
    </row>
    <row r="79" spans="1:27" x14ac:dyDescent="0.2">
      <c r="A79" s="46" t="s">
        <v>18</v>
      </c>
      <c r="B79" s="46" t="s">
        <v>55</v>
      </c>
      <c r="C79" s="46" t="s">
        <v>90</v>
      </c>
      <c r="D79" s="46" t="s">
        <v>178</v>
      </c>
      <c r="E79" s="46">
        <v>1</v>
      </c>
      <c r="F79" s="46" t="s">
        <v>61</v>
      </c>
      <c r="G79" s="46">
        <v>1</v>
      </c>
      <c r="H79" s="47" t="s">
        <v>78</v>
      </c>
      <c r="I79" s="47" t="s">
        <v>101</v>
      </c>
      <c r="J79" s="48">
        <v>4</v>
      </c>
      <c r="K79" s="48">
        <v>1</v>
      </c>
      <c r="R79" s="46">
        <f t="shared" si="27"/>
        <v>1</v>
      </c>
      <c r="S79" s="46">
        <f t="shared" si="28"/>
        <v>0</v>
      </c>
      <c r="T79" s="46">
        <f t="shared" si="26"/>
        <v>80</v>
      </c>
      <c r="U79" s="46">
        <f t="shared" si="29"/>
        <v>80</v>
      </c>
      <c r="V79" s="54">
        <f t="shared" si="30"/>
        <v>71.5</v>
      </c>
      <c r="Z79" s="46" t="s">
        <v>155</v>
      </c>
      <c r="AA79" s="46">
        <f t="shared" si="25"/>
        <v>40</v>
      </c>
    </row>
    <row r="80" spans="1:27" x14ac:dyDescent="0.2">
      <c r="A80" s="46" t="s">
        <v>18</v>
      </c>
      <c r="B80" s="46" t="s">
        <v>55</v>
      </c>
      <c r="C80" s="46" t="s">
        <v>90</v>
      </c>
      <c r="D80" s="46" t="s">
        <v>178</v>
      </c>
      <c r="E80" s="46">
        <v>1</v>
      </c>
      <c r="F80" s="46" t="s">
        <v>61</v>
      </c>
      <c r="G80" s="46">
        <v>1</v>
      </c>
      <c r="H80" s="47" t="s">
        <v>78</v>
      </c>
      <c r="I80" s="47" t="s">
        <v>101</v>
      </c>
      <c r="J80" s="48">
        <v>4</v>
      </c>
      <c r="K80" s="48">
        <v>1</v>
      </c>
      <c r="R80" s="46">
        <f t="shared" si="27"/>
        <v>1</v>
      </c>
      <c r="S80" s="46">
        <f t="shared" si="28"/>
        <v>0</v>
      </c>
      <c r="T80" s="46">
        <f t="shared" si="26"/>
        <v>80</v>
      </c>
      <c r="U80" s="46">
        <f t="shared" si="29"/>
        <v>80</v>
      </c>
      <c r="V80" s="54">
        <f t="shared" si="30"/>
        <v>71.5</v>
      </c>
      <c r="Z80" s="46" t="s">
        <v>193</v>
      </c>
      <c r="AA80" s="46">
        <f t="shared" si="25"/>
        <v>60</v>
      </c>
    </row>
    <row r="81" spans="1:27" x14ac:dyDescent="0.2">
      <c r="A81" s="46" t="s">
        <v>18</v>
      </c>
      <c r="B81" s="46" t="s">
        <v>55</v>
      </c>
      <c r="C81" s="46" t="s">
        <v>90</v>
      </c>
      <c r="D81" s="46" t="s">
        <v>178</v>
      </c>
      <c r="E81" s="46">
        <v>1</v>
      </c>
      <c r="F81" s="46" t="s">
        <v>60</v>
      </c>
      <c r="G81" s="46">
        <v>4</v>
      </c>
      <c r="H81" s="47">
        <v>4</v>
      </c>
      <c r="I81" s="47" t="s">
        <v>102</v>
      </c>
      <c r="J81" s="48">
        <v>4</v>
      </c>
      <c r="K81" s="48">
        <v>0</v>
      </c>
      <c r="R81" s="46">
        <f t="shared" si="27"/>
        <v>1</v>
      </c>
      <c r="S81" s="46">
        <f t="shared" si="28"/>
        <v>0</v>
      </c>
      <c r="T81" s="46">
        <f t="shared" si="26"/>
        <v>90</v>
      </c>
      <c r="U81" s="46">
        <f t="shared" si="29"/>
        <v>90</v>
      </c>
      <c r="V81" s="54">
        <f t="shared" si="30"/>
        <v>71.5</v>
      </c>
      <c r="Z81" s="46" t="s">
        <v>214</v>
      </c>
      <c r="AA81" s="46">
        <f t="shared" si="25"/>
        <v>40</v>
      </c>
    </row>
    <row r="82" spans="1:27" x14ac:dyDescent="0.2">
      <c r="A82" s="46" t="s">
        <v>18</v>
      </c>
      <c r="B82" s="46" t="s">
        <v>55</v>
      </c>
      <c r="C82" s="46" t="s">
        <v>90</v>
      </c>
      <c r="D82" s="46" t="s">
        <v>178</v>
      </c>
      <c r="E82" s="46">
        <v>1</v>
      </c>
      <c r="F82" s="46" t="s">
        <v>60</v>
      </c>
      <c r="G82" s="46">
        <v>3</v>
      </c>
      <c r="H82" s="47">
        <v>15</v>
      </c>
      <c r="I82" s="47" t="s">
        <v>116</v>
      </c>
      <c r="J82" s="48">
        <v>4</v>
      </c>
      <c r="K82" s="48">
        <v>0</v>
      </c>
      <c r="R82" s="46">
        <f t="shared" si="27"/>
        <v>1</v>
      </c>
      <c r="S82" s="46">
        <f t="shared" si="28"/>
        <v>0</v>
      </c>
      <c r="T82" s="46">
        <f t="shared" si="26"/>
        <v>90</v>
      </c>
      <c r="U82" s="46">
        <f t="shared" si="29"/>
        <v>90</v>
      </c>
      <c r="V82" s="54">
        <f t="shared" si="30"/>
        <v>71.5</v>
      </c>
      <c r="Z82" s="46" t="s">
        <v>45</v>
      </c>
      <c r="AA82" s="46">
        <f t="shared" si="25"/>
        <v>40</v>
      </c>
    </row>
    <row r="83" spans="1:27" x14ac:dyDescent="0.2">
      <c r="A83" s="46" t="s">
        <v>18</v>
      </c>
      <c r="B83" s="46" t="s">
        <v>55</v>
      </c>
      <c r="C83" s="46" t="s">
        <v>90</v>
      </c>
      <c r="D83" s="46" t="s">
        <v>178</v>
      </c>
      <c r="E83" s="46">
        <v>3</v>
      </c>
      <c r="F83" s="46" t="s">
        <v>60</v>
      </c>
      <c r="G83" s="46">
        <v>3</v>
      </c>
      <c r="H83" s="47">
        <v>15</v>
      </c>
      <c r="I83" s="47" t="s">
        <v>116</v>
      </c>
      <c r="J83" s="48">
        <v>4</v>
      </c>
      <c r="K83" s="48">
        <v>0</v>
      </c>
      <c r="M83" s="48">
        <v>1</v>
      </c>
      <c r="R83" s="46">
        <f t="shared" si="27"/>
        <v>1</v>
      </c>
      <c r="S83" s="46">
        <f t="shared" si="28"/>
        <v>0</v>
      </c>
      <c r="T83" s="46">
        <f t="shared" si="26"/>
        <v>90</v>
      </c>
      <c r="U83" s="46">
        <f t="shared" si="29"/>
        <v>110</v>
      </c>
      <c r="V83" s="54">
        <f t="shared" si="30"/>
        <v>71.5</v>
      </c>
      <c r="Z83" s="46" t="s">
        <v>20</v>
      </c>
      <c r="AA83" s="46">
        <f t="shared" si="25"/>
        <v>30</v>
      </c>
    </row>
    <row r="84" spans="1:27" x14ac:dyDescent="0.2">
      <c r="A84" s="46" t="s">
        <v>18</v>
      </c>
      <c r="B84" s="46" t="s">
        <v>55</v>
      </c>
      <c r="C84" s="46" t="s">
        <v>90</v>
      </c>
      <c r="D84" s="46" t="s">
        <v>178</v>
      </c>
      <c r="E84" s="46">
        <v>1</v>
      </c>
      <c r="F84" s="46" t="s">
        <v>60</v>
      </c>
      <c r="G84" s="46">
        <v>1</v>
      </c>
      <c r="H84" s="47">
        <v>33</v>
      </c>
      <c r="I84" s="47" t="s">
        <v>101</v>
      </c>
      <c r="J84" s="48">
        <v>4</v>
      </c>
      <c r="K84" s="48">
        <v>0</v>
      </c>
      <c r="R84" s="46">
        <f t="shared" si="27"/>
        <v>1</v>
      </c>
      <c r="S84" s="46">
        <f t="shared" si="28"/>
        <v>0</v>
      </c>
      <c r="T84" s="46">
        <f t="shared" si="26"/>
        <v>90</v>
      </c>
      <c r="U84" s="46">
        <f t="shared" si="29"/>
        <v>90</v>
      </c>
      <c r="V84" s="54">
        <f t="shared" si="30"/>
        <v>71.5</v>
      </c>
      <c r="Z84" s="46" t="s">
        <v>135</v>
      </c>
      <c r="AA84" s="46">
        <f t="shared" si="25"/>
        <v>30</v>
      </c>
    </row>
    <row r="85" spans="1:27" x14ac:dyDescent="0.2">
      <c r="A85" s="46" t="s">
        <v>18</v>
      </c>
      <c r="B85" s="46" t="s">
        <v>55</v>
      </c>
      <c r="C85" s="46" t="s">
        <v>90</v>
      </c>
      <c r="D85" s="46" t="s">
        <v>178</v>
      </c>
      <c r="E85" s="46">
        <v>2</v>
      </c>
      <c r="F85" s="46" t="s">
        <v>60</v>
      </c>
      <c r="G85" s="46">
        <v>1</v>
      </c>
      <c r="H85" s="47">
        <v>45</v>
      </c>
      <c r="I85" s="47" t="s">
        <v>101</v>
      </c>
      <c r="J85" s="48">
        <v>4</v>
      </c>
      <c r="K85" s="48">
        <v>0</v>
      </c>
      <c r="R85" s="46">
        <f t="shared" si="27"/>
        <v>1</v>
      </c>
      <c r="S85" s="46">
        <f t="shared" si="28"/>
        <v>0</v>
      </c>
      <c r="T85" s="46">
        <f t="shared" si="26"/>
        <v>90</v>
      </c>
      <c r="U85" s="46">
        <f t="shared" si="29"/>
        <v>90</v>
      </c>
      <c r="V85" s="54">
        <f t="shared" si="30"/>
        <v>71.5</v>
      </c>
      <c r="Z85" s="46" t="s">
        <v>140</v>
      </c>
      <c r="AA85" s="46">
        <f t="shared" si="25"/>
        <v>20</v>
      </c>
    </row>
    <row r="86" spans="1:27" x14ac:dyDescent="0.2">
      <c r="A86" s="46" t="s">
        <v>18</v>
      </c>
      <c r="B86" s="46" t="s">
        <v>55</v>
      </c>
      <c r="C86" s="46" t="s">
        <v>90</v>
      </c>
      <c r="D86" s="46" t="s">
        <v>178</v>
      </c>
      <c r="E86" s="46">
        <v>3</v>
      </c>
      <c r="F86" s="46" t="s">
        <v>60</v>
      </c>
      <c r="G86" s="46">
        <v>2</v>
      </c>
      <c r="H86" s="47">
        <v>46</v>
      </c>
      <c r="I86" s="47" t="s">
        <v>127</v>
      </c>
      <c r="J86" s="48">
        <v>4</v>
      </c>
      <c r="K86" s="48">
        <v>0</v>
      </c>
      <c r="R86" s="46">
        <f t="shared" si="27"/>
        <v>1</v>
      </c>
      <c r="S86" s="46">
        <f t="shared" si="28"/>
        <v>0</v>
      </c>
      <c r="T86" s="46">
        <f t="shared" si="26"/>
        <v>90</v>
      </c>
      <c r="U86" s="46">
        <f t="shared" si="29"/>
        <v>90</v>
      </c>
      <c r="V86" s="54">
        <f t="shared" si="30"/>
        <v>71.5</v>
      </c>
      <c r="Z86" s="46" t="s">
        <v>216</v>
      </c>
      <c r="AA86" s="46">
        <f t="shared" si="25"/>
        <v>20</v>
      </c>
    </row>
    <row r="87" spans="1:27" x14ac:dyDescent="0.2">
      <c r="A87" s="46" t="s">
        <v>18</v>
      </c>
      <c r="B87" s="46" t="s">
        <v>55</v>
      </c>
      <c r="C87" s="46" t="s">
        <v>90</v>
      </c>
      <c r="D87" s="46" t="s">
        <v>178</v>
      </c>
      <c r="E87" s="46">
        <v>3</v>
      </c>
      <c r="F87" s="46" t="s">
        <v>61</v>
      </c>
      <c r="G87" s="46">
        <v>2</v>
      </c>
      <c r="H87" s="47" t="s">
        <v>76</v>
      </c>
      <c r="I87" s="47" t="s">
        <v>127</v>
      </c>
      <c r="J87" s="48">
        <v>4</v>
      </c>
      <c r="K87" s="48">
        <v>0</v>
      </c>
      <c r="M87" s="48">
        <v>1</v>
      </c>
      <c r="R87" s="46">
        <f t="shared" si="27"/>
        <v>1</v>
      </c>
      <c r="S87" s="46">
        <f t="shared" si="28"/>
        <v>0</v>
      </c>
      <c r="T87" s="46">
        <f t="shared" si="26"/>
        <v>90</v>
      </c>
      <c r="U87" s="46">
        <f t="shared" si="29"/>
        <v>110</v>
      </c>
      <c r="V87" s="54">
        <f t="shared" si="30"/>
        <v>71.5</v>
      </c>
      <c r="Z87" s="46" t="s">
        <v>31</v>
      </c>
      <c r="AA87" s="46">
        <f t="shared" si="25"/>
        <v>20</v>
      </c>
    </row>
    <row r="88" spans="1:27" x14ac:dyDescent="0.2">
      <c r="A88" s="46" t="s">
        <v>18</v>
      </c>
      <c r="B88" s="46" t="s">
        <v>55</v>
      </c>
      <c r="C88" s="46" t="s">
        <v>90</v>
      </c>
      <c r="D88" s="46" t="s">
        <v>178</v>
      </c>
      <c r="E88" s="46">
        <v>5</v>
      </c>
      <c r="F88" s="46" t="s">
        <v>60</v>
      </c>
      <c r="G88" s="46">
        <v>3</v>
      </c>
      <c r="H88" s="47">
        <v>11</v>
      </c>
      <c r="I88" s="47" t="s">
        <v>159</v>
      </c>
      <c r="J88" s="48">
        <v>4</v>
      </c>
      <c r="K88" s="48">
        <v>1</v>
      </c>
      <c r="M88" s="48">
        <v>1</v>
      </c>
      <c r="R88" s="46">
        <f t="shared" si="27"/>
        <v>1</v>
      </c>
      <c r="S88" s="46">
        <f t="shared" si="28"/>
        <v>0</v>
      </c>
      <c r="T88" s="46">
        <f t="shared" si="26"/>
        <v>80</v>
      </c>
      <c r="U88" s="46">
        <f t="shared" si="29"/>
        <v>100</v>
      </c>
      <c r="V88" s="54">
        <f t="shared" si="30"/>
        <v>71.5</v>
      </c>
      <c r="Z88" s="46" t="s">
        <v>41</v>
      </c>
      <c r="AA88" s="46">
        <f t="shared" si="25"/>
        <v>20</v>
      </c>
    </row>
    <row r="89" spans="1:27" x14ac:dyDescent="0.2">
      <c r="A89" s="46" t="s">
        <v>18</v>
      </c>
      <c r="B89" s="46" t="s">
        <v>55</v>
      </c>
      <c r="C89" s="46" t="s">
        <v>90</v>
      </c>
      <c r="D89" s="46" t="s">
        <v>178</v>
      </c>
      <c r="E89" s="46">
        <v>5</v>
      </c>
      <c r="F89" s="46" t="s">
        <v>60</v>
      </c>
      <c r="G89" s="46">
        <v>3</v>
      </c>
      <c r="H89" s="47">
        <v>23</v>
      </c>
      <c r="I89" s="47" t="s">
        <v>159</v>
      </c>
      <c r="J89" s="48">
        <v>4</v>
      </c>
      <c r="K89" s="48">
        <v>2</v>
      </c>
      <c r="N89" s="48">
        <v>1</v>
      </c>
      <c r="R89" s="46">
        <f t="shared" si="27"/>
        <v>1</v>
      </c>
      <c r="S89" s="46">
        <f t="shared" si="28"/>
        <v>0</v>
      </c>
      <c r="T89" s="46">
        <f t="shared" si="26"/>
        <v>70</v>
      </c>
      <c r="U89" s="46">
        <f t="shared" si="29"/>
        <v>65</v>
      </c>
      <c r="V89" s="54">
        <f t="shared" si="30"/>
        <v>71.5</v>
      </c>
      <c r="Z89" s="46" t="s">
        <v>204</v>
      </c>
      <c r="AA89" s="46">
        <f t="shared" si="25"/>
        <v>20</v>
      </c>
    </row>
    <row r="90" spans="1:27" x14ac:dyDescent="0.2">
      <c r="A90" s="46" t="s">
        <v>18</v>
      </c>
      <c r="B90" s="46" t="s">
        <v>55</v>
      </c>
      <c r="C90" s="46" t="s">
        <v>90</v>
      </c>
      <c r="D90" s="46" t="s">
        <v>178</v>
      </c>
      <c r="E90" s="46">
        <v>5</v>
      </c>
      <c r="F90" s="46" t="s">
        <v>60</v>
      </c>
      <c r="G90" s="46">
        <v>4</v>
      </c>
      <c r="H90" s="47">
        <v>28</v>
      </c>
      <c r="I90" s="47" t="s">
        <v>102</v>
      </c>
      <c r="J90" s="48">
        <v>4</v>
      </c>
      <c r="K90" s="48">
        <v>0</v>
      </c>
      <c r="R90" s="46">
        <f t="shared" si="27"/>
        <v>1</v>
      </c>
      <c r="S90" s="46">
        <f t="shared" si="28"/>
        <v>0</v>
      </c>
      <c r="T90" s="46">
        <f t="shared" si="26"/>
        <v>90</v>
      </c>
      <c r="U90" s="46">
        <f t="shared" si="29"/>
        <v>90</v>
      </c>
      <c r="V90" s="54">
        <f t="shared" si="30"/>
        <v>71.5</v>
      </c>
      <c r="Z90" s="46" t="s">
        <v>192</v>
      </c>
      <c r="AA90" s="46">
        <f t="shared" si="25"/>
        <v>20</v>
      </c>
    </row>
    <row r="91" spans="1:27" x14ac:dyDescent="0.2">
      <c r="A91" s="46" t="s">
        <v>18</v>
      </c>
      <c r="B91" s="46" t="s">
        <v>55</v>
      </c>
      <c r="C91" s="46" t="s">
        <v>90</v>
      </c>
      <c r="D91" s="46" t="s">
        <v>178</v>
      </c>
      <c r="E91" s="46">
        <v>5</v>
      </c>
      <c r="F91" s="46" t="s">
        <v>60</v>
      </c>
      <c r="G91" s="46">
        <v>1</v>
      </c>
      <c r="H91" s="47">
        <v>33</v>
      </c>
      <c r="I91" s="47" t="s">
        <v>101</v>
      </c>
      <c r="J91" s="48">
        <v>4</v>
      </c>
      <c r="K91" s="48">
        <v>0</v>
      </c>
      <c r="R91" s="46">
        <f t="shared" si="27"/>
        <v>1</v>
      </c>
      <c r="S91" s="46">
        <f t="shared" si="28"/>
        <v>0</v>
      </c>
      <c r="T91" s="46">
        <f t="shared" si="26"/>
        <v>90</v>
      </c>
      <c r="U91" s="46">
        <f t="shared" si="29"/>
        <v>90</v>
      </c>
      <c r="V91" s="54">
        <f t="shared" si="30"/>
        <v>71.5</v>
      </c>
      <c r="Z91" s="46" t="s">
        <v>190</v>
      </c>
      <c r="AA91" s="46">
        <f t="shared" ref="AA91:AA109" si="31">SUMIFS(T:T,A:A,Z91,E:E,5)</f>
        <v>40</v>
      </c>
    </row>
    <row r="92" spans="1:27" x14ac:dyDescent="0.2">
      <c r="A92" s="46" t="s">
        <v>18</v>
      </c>
      <c r="B92" s="46" t="s">
        <v>55</v>
      </c>
      <c r="C92" s="46" t="s">
        <v>90</v>
      </c>
      <c r="D92" s="46" t="s">
        <v>178</v>
      </c>
      <c r="E92" s="46">
        <v>5</v>
      </c>
      <c r="F92" s="46" t="s">
        <v>60</v>
      </c>
      <c r="G92" s="46">
        <v>2</v>
      </c>
      <c r="H92" s="47">
        <v>42</v>
      </c>
      <c r="I92" s="47" t="s">
        <v>127</v>
      </c>
      <c r="J92" s="48">
        <v>3</v>
      </c>
      <c r="K92" s="48">
        <v>3</v>
      </c>
      <c r="R92" s="46">
        <f t="shared" si="27"/>
        <v>0</v>
      </c>
      <c r="S92" s="46">
        <f t="shared" si="28"/>
        <v>1</v>
      </c>
      <c r="T92" s="46">
        <f t="shared" si="26"/>
        <v>40</v>
      </c>
      <c r="U92" s="46">
        <f t="shared" si="29"/>
        <v>40</v>
      </c>
      <c r="V92" s="54">
        <f t="shared" si="30"/>
        <v>71.5</v>
      </c>
      <c r="Z92" s="46" t="s">
        <v>121</v>
      </c>
      <c r="AA92" s="46">
        <f t="shared" si="31"/>
        <v>20</v>
      </c>
    </row>
    <row r="93" spans="1:27" x14ac:dyDescent="0.2">
      <c r="A93" s="46" t="s">
        <v>18</v>
      </c>
      <c r="B93" s="46" t="s">
        <v>55</v>
      </c>
      <c r="C93" s="46" t="s">
        <v>90</v>
      </c>
      <c r="D93" s="46" t="s">
        <v>178</v>
      </c>
      <c r="E93" s="46">
        <v>5</v>
      </c>
      <c r="F93" s="46" t="s">
        <v>60</v>
      </c>
      <c r="G93" s="46">
        <v>1</v>
      </c>
      <c r="H93" s="47">
        <v>49</v>
      </c>
      <c r="I93" s="47" t="s">
        <v>101</v>
      </c>
      <c r="J93" s="48">
        <v>3</v>
      </c>
      <c r="K93" s="48">
        <v>3</v>
      </c>
      <c r="R93" s="46">
        <f t="shared" si="27"/>
        <v>0</v>
      </c>
      <c r="S93" s="46">
        <f t="shared" si="28"/>
        <v>1</v>
      </c>
      <c r="T93" s="46">
        <f t="shared" si="26"/>
        <v>40</v>
      </c>
      <c r="U93" s="46">
        <f t="shared" si="29"/>
        <v>40</v>
      </c>
      <c r="V93" s="54">
        <f t="shared" si="30"/>
        <v>71.5</v>
      </c>
      <c r="Z93" s="46" t="s">
        <v>188</v>
      </c>
      <c r="AA93" s="46">
        <f t="shared" si="31"/>
        <v>20</v>
      </c>
    </row>
    <row r="94" spans="1:27" x14ac:dyDescent="0.2">
      <c r="A94" s="46" t="s">
        <v>18</v>
      </c>
      <c r="B94" s="46" t="s">
        <v>55</v>
      </c>
      <c r="C94" s="46" t="s">
        <v>90</v>
      </c>
      <c r="D94" s="46" t="s">
        <v>178</v>
      </c>
      <c r="E94" s="46">
        <v>5</v>
      </c>
      <c r="F94" s="46" t="s">
        <v>61</v>
      </c>
      <c r="G94" s="46">
        <v>1</v>
      </c>
      <c r="H94" s="47" t="s">
        <v>70</v>
      </c>
      <c r="I94" s="47" t="s">
        <v>101</v>
      </c>
      <c r="J94" s="48">
        <v>0</v>
      </c>
      <c r="K94" s="48">
        <v>3</v>
      </c>
      <c r="R94" s="46">
        <f t="shared" si="27"/>
        <v>0</v>
      </c>
      <c r="S94" s="46">
        <f t="shared" si="28"/>
        <v>1</v>
      </c>
      <c r="T94" s="46">
        <f t="shared" si="26"/>
        <v>-20</v>
      </c>
      <c r="U94" s="46">
        <f t="shared" si="29"/>
        <v>-20</v>
      </c>
      <c r="V94" s="54">
        <f t="shared" si="30"/>
        <v>71.5</v>
      </c>
      <c r="Z94" s="46" t="s">
        <v>113</v>
      </c>
      <c r="AA94" s="46">
        <f t="shared" si="31"/>
        <v>20</v>
      </c>
    </row>
    <row r="95" spans="1:27" x14ac:dyDescent="0.2">
      <c r="A95" s="46" t="s">
        <v>18</v>
      </c>
      <c r="B95" s="46" t="s">
        <v>55</v>
      </c>
      <c r="C95" s="46" t="s">
        <v>90</v>
      </c>
      <c r="D95" s="46" t="s">
        <v>178</v>
      </c>
      <c r="E95" s="46">
        <v>5</v>
      </c>
      <c r="F95" s="46" t="s">
        <v>61</v>
      </c>
      <c r="G95" s="46">
        <v>2</v>
      </c>
      <c r="H95" s="47" t="s">
        <v>76</v>
      </c>
      <c r="I95" s="47" t="s">
        <v>127</v>
      </c>
      <c r="J95" s="48">
        <v>1</v>
      </c>
      <c r="K95" s="48">
        <v>3</v>
      </c>
      <c r="R95" s="46">
        <f t="shared" si="27"/>
        <v>0</v>
      </c>
      <c r="S95" s="46">
        <f t="shared" si="28"/>
        <v>1</v>
      </c>
      <c r="T95" s="46">
        <f t="shared" si="26"/>
        <v>0</v>
      </c>
      <c r="U95" s="46">
        <f t="shared" si="29"/>
        <v>0</v>
      </c>
      <c r="V95" s="54">
        <f t="shared" si="30"/>
        <v>71.5</v>
      </c>
      <c r="Z95" s="46" t="s">
        <v>44</v>
      </c>
      <c r="AA95" s="46">
        <f t="shared" si="31"/>
        <v>10</v>
      </c>
    </row>
    <row r="96" spans="1:27" x14ac:dyDescent="0.2">
      <c r="A96" s="46" t="s">
        <v>176</v>
      </c>
      <c r="B96" s="46" t="s">
        <v>48</v>
      </c>
      <c r="C96" s="46" t="s">
        <v>88</v>
      </c>
      <c r="D96" s="46" t="s">
        <v>178</v>
      </c>
      <c r="E96" s="46">
        <v>4</v>
      </c>
      <c r="F96" s="46" t="s">
        <v>60</v>
      </c>
      <c r="G96" s="46">
        <v>2</v>
      </c>
      <c r="H96" s="47">
        <v>26</v>
      </c>
      <c r="I96" s="47" t="s">
        <v>127</v>
      </c>
      <c r="J96" s="48">
        <v>0</v>
      </c>
      <c r="K96" s="48">
        <v>3</v>
      </c>
      <c r="R96" s="46">
        <f t="shared" si="27"/>
        <v>0</v>
      </c>
      <c r="S96" s="46">
        <f t="shared" si="28"/>
        <v>1</v>
      </c>
      <c r="T96" s="46">
        <f t="shared" si="26"/>
        <v>-20</v>
      </c>
      <c r="U96" s="46">
        <f t="shared" si="29"/>
        <v>-20</v>
      </c>
      <c r="V96" s="54">
        <f t="shared" si="30"/>
        <v>69.833333333333329</v>
      </c>
      <c r="Z96" s="46" t="s">
        <v>205</v>
      </c>
      <c r="AA96" s="46">
        <f t="shared" si="31"/>
        <v>20</v>
      </c>
    </row>
    <row r="97" spans="1:27" x14ac:dyDescent="0.2">
      <c r="A97" s="46" t="s">
        <v>176</v>
      </c>
      <c r="B97" s="46" t="s">
        <v>48</v>
      </c>
      <c r="C97" s="46" t="s">
        <v>88</v>
      </c>
      <c r="D97" s="46" t="s">
        <v>178</v>
      </c>
      <c r="E97" s="46">
        <v>1</v>
      </c>
      <c r="F97" s="46" t="s">
        <v>61</v>
      </c>
      <c r="G97" s="46">
        <v>1</v>
      </c>
      <c r="H97" s="47" t="s">
        <v>71</v>
      </c>
      <c r="I97" s="47" t="s">
        <v>101</v>
      </c>
      <c r="J97" s="48">
        <v>0</v>
      </c>
      <c r="K97" s="48">
        <v>3</v>
      </c>
      <c r="R97" s="46">
        <f t="shared" si="27"/>
        <v>0</v>
      </c>
      <c r="S97" s="46">
        <f t="shared" si="28"/>
        <v>1</v>
      </c>
      <c r="T97" s="46">
        <f t="shared" si="26"/>
        <v>-20</v>
      </c>
      <c r="U97" s="46">
        <f t="shared" si="29"/>
        <v>-20</v>
      </c>
      <c r="V97" s="54">
        <f t="shared" si="30"/>
        <v>69.833333333333329</v>
      </c>
      <c r="Z97" s="46" t="s">
        <v>132</v>
      </c>
      <c r="AA97" s="46">
        <f t="shared" si="31"/>
        <v>20</v>
      </c>
    </row>
    <row r="98" spans="1:27" x14ac:dyDescent="0.2">
      <c r="A98" s="46" t="s">
        <v>176</v>
      </c>
      <c r="B98" s="46" t="s">
        <v>48</v>
      </c>
      <c r="C98" s="46" t="s">
        <v>88</v>
      </c>
      <c r="D98" s="46" t="s">
        <v>178</v>
      </c>
      <c r="E98" s="46">
        <v>1</v>
      </c>
      <c r="F98" s="46" t="s">
        <v>60</v>
      </c>
      <c r="G98" s="46">
        <v>2</v>
      </c>
      <c r="H98" s="47">
        <v>10</v>
      </c>
      <c r="I98" s="47" t="s">
        <v>127</v>
      </c>
      <c r="J98" s="48">
        <v>0</v>
      </c>
      <c r="K98" s="48">
        <v>1</v>
      </c>
      <c r="R98" s="46">
        <f t="shared" si="27"/>
        <v>0</v>
      </c>
      <c r="S98" s="46">
        <f t="shared" si="28"/>
        <v>0</v>
      </c>
      <c r="T98" s="46">
        <f t="shared" si="26"/>
        <v>0</v>
      </c>
      <c r="U98" s="46">
        <f t="shared" si="29"/>
        <v>0</v>
      </c>
      <c r="V98" s="54">
        <f t="shared" si="30"/>
        <v>69.833333333333329</v>
      </c>
      <c r="Z98" s="46" t="s">
        <v>144</v>
      </c>
      <c r="AA98" s="46">
        <f t="shared" si="31"/>
        <v>0</v>
      </c>
    </row>
    <row r="99" spans="1:27" x14ac:dyDescent="0.2">
      <c r="A99" s="46" t="s">
        <v>176</v>
      </c>
      <c r="B99" s="46" t="s">
        <v>48</v>
      </c>
      <c r="C99" s="46" t="s">
        <v>88</v>
      </c>
      <c r="D99" s="46" t="s">
        <v>178</v>
      </c>
      <c r="E99" s="46">
        <v>3</v>
      </c>
      <c r="F99" s="46" t="s">
        <v>61</v>
      </c>
      <c r="G99" s="46">
        <v>1</v>
      </c>
      <c r="H99" s="47" t="s">
        <v>70</v>
      </c>
      <c r="I99" s="47" t="s">
        <v>101</v>
      </c>
      <c r="J99" s="48">
        <v>1</v>
      </c>
      <c r="K99" s="48">
        <v>3</v>
      </c>
      <c r="R99" s="46">
        <f t="shared" si="27"/>
        <v>0</v>
      </c>
      <c r="S99" s="46">
        <f t="shared" si="28"/>
        <v>1</v>
      </c>
      <c r="T99" s="46">
        <f t="shared" si="26"/>
        <v>0</v>
      </c>
      <c r="U99" s="46">
        <f t="shared" si="29"/>
        <v>0</v>
      </c>
      <c r="V99" s="54">
        <f t="shared" si="30"/>
        <v>69.833333333333329</v>
      </c>
      <c r="Z99" s="46" t="s">
        <v>154</v>
      </c>
      <c r="AA99" s="46">
        <f t="shared" si="31"/>
        <v>0</v>
      </c>
    </row>
    <row r="100" spans="1:27" x14ac:dyDescent="0.2">
      <c r="A100" s="46" t="s">
        <v>176</v>
      </c>
      <c r="B100" s="46" t="s">
        <v>48</v>
      </c>
      <c r="C100" s="46" t="s">
        <v>88</v>
      </c>
      <c r="D100" s="46" t="s">
        <v>178</v>
      </c>
      <c r="E100" s="46">
        <v>1</v>
      </c>
      <c r="F100" s="46" t="s">
        <v>61</v>
      </c>
      <c r="G100" s="46">
        <v>1</v>
      </c>
      <c r="H100" s="47" t="s">
        <v>75</v>
      </c>
      <c r="I100" s="47" t="s">
        <v>101</v>
      </c>
      <c r="J100" s="48">
        <v>0</v>
      </c>
      <c r="K100" s="48">
        <v>0</v>
      </c>
      <c r="N100" s="48">
        <v>1</v>
      </c>
      <c r="R100" s="46">
        <f t="shared" si="27"/>
        <v>0</v>
      </c>
      <c r="S100" s="46">
        <f t="shared" si="28"/>
        <v>0</v>
      </c>
      <c r="T100" s="46">
        <f t="shared" si="26"/>
        <v>0</v>
      </c>
      <c r="U100" s="46">
        <f t="shared" si="29"/>
        <v>-5</v>
      </c>
      <c r="V100" s="54">
        <f t="shared" si="30"/>
        <v>69.833333333333329</v>
      </c>
      <c r="Z100" s="46" t="s">
        <v>198</v>
      </c>
      <c r="AA100" s="46">
        <f t="shared" si="31"/>
        <v>0</v>
      </c>
    </row>
    <row r="101" spans="1:27" x14ac:dyDescent="0.2">
      <c r="A101" s="46" t="s">
        <v>176</v>
      </c>
      <c r="B101" s="46" t="s">
        <v>48</v>
      </c>
      <c r="C101" s="46" t="s">
        <v>88</v>
      </c>
      <c r="D101" s="46" t="s">
        <v>178</v>
      </c>
      <c r="E101" s="46">
        <v>2</v>
      </c>
      <c r="F101" s="46" t="s">
        <v>61</v>
      </c>
      <c r="G101" s="46">
        <v>1</v>
      </c>
      <c r="H101" s="47" t="s">
        <v>78</v>
      </c>
      <c r="I101" s="47" t="s">
        <v>101</v>
      </c>
      <c r="J101" s="48">
        <v>0</v>
      </c>
      <c r="K101" s="48">
        <v>1</v>
      </c>
      <c r="M101" s="48">
        <v>1</v>
      </c>
      <c r="R101" s="46">
        <f t="shared" si="27"/>
        <v>0</v>
      </c>
      <c r="S101" s="46">
        <f t="shared" si="28"/>
        <v>0</v>
      </c>
      <c r="T101" s="46">
        <f t="shared" si="26"/>
        <v>0</v>
      </c>
      <c r="U101" s="46">
        <f t="shared" si="29"/>
        <v>20</v>
      </c>
      <c r="V101" s="54">
        <f t="shared" si="30"/>
        <v>69.833333333333329</v>
      </c>
      <c r="Z101" s="46" t="s">
        <v>197</v>
      </c>
      <c r="AA101" s="46">
        <f t="shared" si="31"/>
        <v>0</v>
      </c>
    </row>
    <row r="102" spans="1:27" x14ac:dyDescent="0.2">
      <c r="A102" s="46" t="s">
        <v>176</v>
      </c>
      <c r="B102" s="46" t="s">
        <v>48</v>
      </c>
      <c r="C102" s="46" t="s">
        <v>88</v>
      </c>
      <c r="D102" s="46" t="s">
        <v>178</v>
      </c>
      <c r="E102" s="46">
        <v>1</v>
      </c>
      <c r="F102" s="46" t="s">
        <v>60</v>
      </c>
      <c r="G102" s="46">
        <v>1</v>
      </c>
      <c r="H102" s="47">
        <v>1</v>
      </c>
      <c r="I102" s="47" t="s">
        <v>101</v>
      </c>
      <c r="J102" s="48">
        <v>1</v>
      </c>
      <c r="K102" s="48">
        <v>2</v>
      </c>
      <c r="R102" s="46">
        <f t="shared" si="27"/>
        <v>0</v>
      </c>
      <c r="S102" s="46">
        <f t="shared" si="28"/>
        <v>0</v>
      </c>
      <c r="T102" s="46">
        <f t="shared" si="26"/>
        <v>10</v>
      </c>
      <c r="U102" s="46">
        <f t="shared" si="29"/>
        <v>10</v>
      </c>
      <c r="V102" s="54">
        <f t="shared" si="30"/>
        <v>69.833333333333329</v>
      </c>
      <c r="Z102" s="46" t="s">
        <v>156</v>
      </c>
      <c r="AA102" s="46">
        <f t="shared" si="31"/>
        <v>0</v>
      </c>
    </row>
    <row r="103" spans="1:27" x14ac:dyDescent="0.2">
      <c r="A103" s="46" t="s">
        <v>176</v>
      </c>
      <c r="B103" s="46" t="s">
        <v>48</v>
      </c>
      <c r="C103" s="46" t="s">
        <v>88</v>
      </c>
      <c r="D103" s="46" t="s">
        <v>178</v>
      </c>
      <c r="E103" s="46">
        <v>4</v>
      </c>
      <c r="F103" s="46" t="s">
        <v>60</v>
      </c>
      <c r="G103" s="46">
        <v>3</v>
      </c>
      <c r="H103" s="47">
        <v>43</v>
      </c>
      <c r="I103" s="47" t="s">
        <v>159</v>
      </c>
      <c r="J103" s="48">
        <v>1</v>
      </c>
      <c r="K103" s="48">
        <v>2</v>
      </c>
      <c r="M103" s="48">
        <v>1</v>
      </c>
      <c r="R103" s="46">
        <f t="shared" si="27"/>
        <v>0</v>
      </c>
      <c r="S103" s="46">
        <f t="shared" si="28"/>
        <v>0</v>
      </c>
      <c r="T103" s="46">
        <f t="shared" si="26"/>
        <v>10</v>
      </c>
      <c r="U103" s="46">
        <f t="shared" si="29"/>
        <v>30</v>
      </c>
      <c r="V103" s="54">
        <f t="shared" si="30"/>
        <v>69.833333333333329</v>
      </c>
      <c r="Z103" s="46" t="s">
        <v>141</v>
      </c>
      <c r="AA103" s="46">
        <f t="shared" si="31"/>
        <v>0</v>
      </c>
    </row>
    <row r="104" spans="1:27" x14ac:dyDescent="0.2">
      <c r="A104" s="46" t="s">
        <v>176</v>
      </c>
      <c r="B104" s="46" t="s">
        <v>48</v>
      </c>
      <c r="C104" s="46" t="s">
        <v>88</v>
      </c>
      <c r="D104" s="46" t="s">
        <v>178</v>
      </c>
      <c r="E104" s="46">
        <v>2</v>
      </c>
      <c r="F104" s="46" t="s">
        <v>61</v>
      </c>
      <c r="G104" s="46">
        <v>1</v>
      </c>
      <c r="H104" s="47" t="s">
        <v>78</v>
      </c>
      <c r="I104" s="47" t="s">
        <v>101</v>
      </c>
      <c r="J104" s="48">
        <v>1</v>
      </c>
      <c r="K104" s="48">
        <v>2</v>
      </c>
      <c r="R104" s="46">
        <f t="shared" si="27"/>
        <v>0</v>
      </c>
      <c r="S104" s="46">
        <f t="shared" si="28"/>
        <v>0</v>
      </c>
      <c r="T104" s="46">
        <f t="shared" si="26"/>
        <v>10</v>
      </c>
      <c r="U104" s="46">
        <f t="shared" si="29"/>
        <v>10</v>
      </c>
      <c r="V104" s="54">
        <f t="shared" si="30"/>
        <v>69.833333333333329</v>
      </c>
      <c r="Z104" s="46" t="s">
        <v>215</v>
      </c>
      <c r="AA104" s="46">
        <f t="shared" si="31"/>
        <v>0</v>
      </c>
    </row>
    <row r="105" spans="1:27" x14ac:dyDescent="0.2">
      <c r="A105" s="46" t="s">
        <v>176</v>
      </c>
      <c r="B105" s="46" t="s">
        <v>48</v>
      </c>
      <c r="C105" s="46" t="s">
        <v>88</v>
      </c>
      <c r="D105" s="46" t="s">
        <v>178</v>
      </c>
      <c r="E105" s="46">
        <v>2</v>
      </c>
      <c r="F105" s="46" t="s">
        <v>60</v>
      </c>
      <c r="G105" s="46">
        <v>2</v>
      </c>
      <c r="H105" s="47">
        <v>38</v>
      </c>
      <c r="I105" s="47" t="s">
        <v>127</v>
      </c>
      <c r="J105" s="48">
        <v>1</v>
      </c>
      <c r="K105" s="48">
        <v>1</v>
      </c>
      <c r="N105" s="48">
        <v>1</v>
      </c>
      <c r="R105" s="46">
        <f t="shared" si="27"/>
        <v>0</v>
      </c>
      <c r="S105" s="46">
        <f t="shared" si="28"/>
        <v>0</v>
      </c>
      <c r="T105" s="46">
        <f t="shared" si="26"/>
        <v>20</v>
      </c>
      <c r="U105" s="46">
        <f t="shared" si="29"/>
        <v>15</v>
      </c>
      <c r="V105" s="54">
        <f t="shared" si="30"/>
        <v>69.833333333333329</v>
      </c>
      <c r="Z105" s="46" t="s">
        <v>40</v>
      </c>
      <c r="AA105" s="46">
        <f t="shared" si="31"/>
        <v>0</v>
      </c>
    </row>
    <row r="106" spans="1:27" x14ac:dyDescent="0.2">
      <c r="A106" s="46" t="s">
        <v>176</v>
      </c>
      <c r="B106" s="46" t="s">
        <v>48</v>
      </c>
      <c r="C106" s="46" t="s">
        <v>88</v>
      </c>
      <c r="D106" s="46" t="s">
        <v>178</v>
      </c>
      <c r="E106" s="46">
        <v>4</v>
      </c>
      <c r="F106" s="46" t="s">
        <v>60</v>
      </c>
      <c r="G106" s="46">
        <v>3</v>
      </c>
      <c r="H106" s="47">
        <v>11</v>
      </c>
      <c r="I106" s="47" t="s">
        <v>159</v>
      </c>
      <c r="J106" s="48">
        <v>3</v>
      </c>
      <c r="K106" s="48">
        <v>3</v>
      </c>
      <c r="R106" s="46">
        <f t="shared" si="27"/>
        <v>0</v>
      </c>
      <c r="S106" s="46">
        <f t="shared" si="28"/>
        <v>1</v>
      </c>
      <c r="T106" s="46">
        <f t="shared" si="26"/>
        <v>40</v>
      </c>
      <c r="U106" s="46">
        <f t="shared" si="29"/>
        <v>40</v>
      </c>
      <c r="V106" s="54">
        <f t="shared" si="30"/>
        <v>69.833333333333329</v>
      </c>
      <c r="Z106" s="46" t="s">
        <v>157</v>
      </c>
      <c r="AA106" s="46">
        <f t="shared" si="31"/>
        <v>0</v>
      </c>
    </row>
    <row r="107" spans="1:27" x14ac:dyDescent="0.2">
      <c r="A107" s="46" t="s">
        <v>176</v>
      </c>
      <c r="B107" s="46" t="s">
        <v>48</v>
      </c>
      <c r="C107" s="46" t="s">
        <v>88</v>
      </c>
      <c r="D107" s="46" t="s">
        <v>178</v>
      </c>
      <c r="E107" s="46">
        <v>1</v>
      </c>
      <c r="F107" s="46" t="s">
        <v>60</v>
      </c>
      <c r="G107" s="46">
        <v>4</v>
      </c>
      <c r="H107" s="47">
        <v>36</v>
      </c>
      <c r="I107" s="47" t="s">
        <v>102</v>
      </c>
      <c r="J107" s="48">
        <v>3</v>
      </c>
      <c r="K107" s="48">
        <v>3</v>
      </c>
      <c r="R107" s="46">
        <f t="shared" si="27"/>
        <v>0</v>
      </c>
      <c r="S107" s="46">
        <f t="shared" si="28"/>
        <v>1</v>
      </c>
      <c r="T107" s="46">
        <f t="shared" si="26"/>
        <v>40</v>
      </c>
      <c r="U107" s="46">
        <f t="shared" si="29"/>
        <v>40</v>
      </c>
      <c r="V107" s="54">
        <f t="shared" si="30"/>
        <v>69.833333333333329</v>
      </c>
      <c r="Z107" s="46" t="s">
        <v>153</v>
      </c>
      <c r="AA107" s="46">
        <f t="shared" si="31"/>
        <v>0</v>
      </c>
    </row>
    <row r="108" spans="1:27" x14ac:dyDescent="0.2">
      <c r="A108" s="46" t="s">
        <v>176</v>
      </c>
      <c r="B108" s="46" t="s">
        <v>48</v>
      </c>
      <c r="C108" s="46" t="s">
        <v>88</v>
      </c>
      <c r="D108" s="46" t="s">
        <v>178</v>
      </c>
      <c r="E108" s="46">
        <v>3</v>
      </c>
      <c r="F108" s="46" t="s">
        <v>61</v>
      </c>
      <c r="G108" s="46">
        <v>2</v>
      </c>
      <c r="H108" s="47" t="s">
        <v>76</v>
      </c>
      <c r="I108" s="47" t="s">
        <v>127</v>
      </c>
      <c r="J108" s="48">
        <v>3</v>
      </c>
      <c r="K108" s="48">
        <v>3</v>
      </c>
      <c r="R108" s="46">
        <f t="shared" si="27"/>
        <v>0</v>
      </c>
      <c r="S108" s="46">
        <f t="shared" si="28"/>
        <v>1</v>
      </c>
      <c r="T108" s="46">
        <f t="shared" si="26"/>
        <v>40</v>
      </c>
      <c r="U108" s="46">
        <f t="shared" si="29"/>
        <v>40</v>
      </c>
      <c r="V108" s="54">
        <f t="shared" si="30"/>
        <v>69.833333333333329</v>
      </c>
      <c r="Z108" s="46" t="s">
        <v>138</v>
      </c>
      <c r="AA108" s="46">
        <f t="shared" si="31"/>
        <v>0</v>
      </c>
    </row>
    <row r="109" spans="1:27" x14ac:dyDescent="0.2">
      <c r="A109" s="46" t="s">
        <v>176</v>
      </c>
      <c r="B109" s="46" t="s">
        <v>48</v>
      </c>
      <c r="C109" s="46" t="s">
        <v>88</v>
      </c>
      <c r="D109" s="46" t="s">
        <v>178</v>
      </c>
      <c r="E109" s="46">
        <v>1</v>
      </c>
      <c r="F109" s="46" t="s">
        <v>61</v>
      </c>
      <c r="G109" s="46">
        <v>1</v>
      </c>
      <c r="H109" s="47" t="s">
        <v>69</v>
      </c>
      <c r="I109" s="47" t="s">
        <v>101</v>
      </c>
      <c r="J109" s="48">
        <v>2</v>
      </c>
      <c r="K109" s="48">
        <v>0</v>
      </c>
      <c r="M109" s="48">
        <v>1</v>
      </c>
      <c r="R109" s="46">
        <f t="shared" si="27"/>
        <v>0</v>
      </c>
      <c r="S109" s="46">
        <f t="shared" si="28"/>
        <v>0</v>
      </c>
      <c r="T109" s="46">
        <f t="shared" si="26"/>
        <v>40</v>
      </c>
      <c r="U109" s="46">
        <f t="shared" si="29"/>
        <v>60</v>
      </c>
      <c r="V109" s="54">
        <f t="shared" si="30"/>
        <v>69.833333333333329</v>
      </c>
      <c r="Z109" s="46" t="s">
        <v>184</v>
      </c>
      <c r="AA109" s="46">
        <f t="shared" si="31"/>
        <v>-10</v>
      </c>
    </row>
    <row r="110" spans="1:27" x14ac:dyDescent="0.2">
      <c r="A110" s="46" t="s">
        <v>176</v>
      </c>
      <c r="B110" s="46" t="s">
        <v>48</v>
      </c>
      <c r="C110" s="46" t="s">
        <v>88</v>
      </c>
      <c r="D110" s="46" t="s">
        <v>178</v>
      </c>
      <c r="E110" s="46">
        <v>4</v>
      </c>
      <c r="F110" s="46" t="s">
        <v>61</v>
      </c>
      <c r="G110" s="46">
        <v>2</v>
      </c>
      <c r="H110" s="47" t="s">
        <v>76</v>
      </c>
      <c r="I110" s="47" t="s">
        <v>127</v>
      </c>
      <c r="J110" s="48">
        <v>3</v>
      </c>
      <c r="K110" s="48">
        <v>2</v>
      </c>
      <c r="N110" s="48">
        <v>1</v>
      </c>
      <c r="R110" s="46">
        <f t="shared" si="27"/>
        <v>0</v>
      </c>
      <c r="S110" s="46">
        <f t="shared" si="28"/>
        <v>0</v>
      </c>
      <c r="T110" s="46">
        <f t="shared" si="26"/>
        <v>50</v>
      </c>
      <c r="U110" s="46">
        <f t="shared" si="29"/>
        <v>45</v>
      </c>
      <c r="V110" s="54">
        <f t="shared" si="30"/>
        <v>69.833333333333329</v>
      </c>
    </row>
    <row r="111" spans="1:27" x14ac:dyDescent="0.2">
      <c r="A111" s="46" t="s">
        <v>176</v>
      </c>
      <c r="B111" s="46" t="s">
        <v>48</v>
      </c>
      <c r="C111" s="46" t="s">
        <v>88</v>
      </c>
      <c r="D111" s="46" t="s">
        <v>178</v>
      </c>
      <c r="E111" s="46">
        <v>2</v>
      </c>
      <c r="F111" s="46" t="s">
        <v>60</v>
      </c>
      <c r="G111" s="46">
        <v>4</v>
      </c>
      <c r="H111" s="47">
        <v>48</v>
      </c>
      <c r="I111" s="47" t="s">
        <v>102</v>
      </c>
      <c r="J111" s="48">
        <v>3</v>
      </c>
      <c r="K111" s="48">
        <v>0</v>
      </c>
      <c r="R111" s="46">
        <f t="shared" si="27"/>
        <v>0</v>
      </c>
      <c r="S111" s="46">
        <f t="shared" si="28"/>
        <v>0</v>
      </c>
      <c r="T111" s="46">
        <f t="shared" si="26"/>
        <v>60</v>
      </c>
      <c r="U111" s="46">
        <f t="shared" si="29"/>
        <v>60</v>
      </c>
      <c r="V111" s="54">
        <f t="shared" si="30"/>
        <v>69.833333333333329</v>
      </c>
    </row>
    <row r="112" spans="1:27" x14ac:dyDescent="0.2">
      <c r="A112" s="46" t="s">
        <v>176</v>
      </c>
      <c r="B112" s="46" t="s">
        <v>48</v>
      </c>
      <c r="C112" s="46" t="s">
        <v>88</v>
      </c>
      <c r="D112" s="46" t="s">
        <v>178</v>
      </c>
      <c r="E112" s="46">
        <v>2</v>
      </c>
      <c r="F112" s="46" t="s">
        <v>60</v>
      </c>
      <c r="G112" s="46">
        <v>1</v>
      </c>
      <c r="H112" s="47">
        <v>5</v>
      </c>
      <c r="I112" s="47" t="s">
        <v>101</v>
      </c>
      <c r="J112" s="48">
        <v>4</v>
      </c>
      <c r="K112" s="48">
        <v>2</v>
      </c>
      <c r="R112" s="46">
        <f t="shared" si="27"/>
        <v>1</v>
      </c>
      <c r="S112" s="46">
        <f t="shared" si="28"/>
        <v>0</v>
      </c>
      <c r="T112" s="46">
        <f t="shared" ref="T112:T175" si="32">quizscore(J112,K112)</f>
        <v>70</v>
      </c>
      <c r="U112" s="46">
        <f t="shared" si="29"/>
        <v>70</v>
      </c>
      <c r="V112" s="54">
        <f t="shared" si="30"/>
        <v>69.833333333333329</v>
      </c>
    </row>
    <row r="113" spans="1:22" x14ac:dyDescent="0.2">
      <c r="A113" s="46" t="s">
        <v>176</v>
      </c>
      <c r="B113" s="46" t="s">
        <v>48</v>
      </c>
      <c r="C113" s="46" t="s">
        <v>88</v>
      </c>
      <c r="D113" s="46" t="s">
        <v>178</v>
      </c>
      <c r="E113" s="46">
        <v>4</v>
      </c>
      <c r="F113" s="46" t="s">
        <v>60</v>
      </c>
      <c r="G113" s="46">
        <v>4</v>
      </c>
      <c r="H113" s="47">
        <v>16</v>
      </c>
      <c r="I113" s="47" t="s">
        <v>102</v>
      </c>
      <c r="J113" s="48">
        <v>4</v>
      </c>
      <c r="K113" s="48">
        <v>2</v>
      </c>
      <c r="R113" s="46">
        <f t="shared" si="27"/>
        <v>1</v>
      </c>
      <c r="S113" s="46">
        <f t="shared" si="28"/>
        <v>0</v>
      </c>
      <c r="T113" s="46">
        <f t="shared" si="32"/>
        <v>70</v>
      </c>
      <c r="U113" s="46">
        <f t="shared" si="29"/>
        <v>70</v>
      </c>
      <c r="V113" s="54">
        <f t="shared" si="30"/>
        <v>69.833333333333329</v>
      </c>
    </row>
    <row r="114" spans="1:22" x14ac:dyDescent="0.2">
      <c r="A114" s="46" t="s">
        <v>176</v>
      </c>
      <c r="B114" s="46" t="s">
        <v>48</v>
      </c>
      <c r="C114" s="46" t="s">
        <v>88</v>
      </c>
      <c r="D114" s="46" t="s">
        <v>178</v>
      </c>
      <c r="E114" s="46">
        <v>2</v>
      </c>
      <c r="F114" s="46" t="s">
        <v>60</v>
      </c>
      <c r="G114" s="46">
        <v>2</v>
      </c>
      <c r="H114" s="47">
        <v>22</v>
      </c>
      <c r="I114" s="47" t="s">
        <v>127</v>
      </c>
      <c r="J114" s="48">
        <v>4</v>
      </c>
      <c r="K114" s="48">
        <v>2</v>
      </c>
      <c r="M114" s="48">
        <v>1</v>
      </c>
      <c r="R114" s="46">
        <f t="shared" si="27"/>
        <v>1</v>
      </c>
      <c r="S114" s="46">
        <f t="shared" si="28"/>
        <v>0</v>
      </c>
      <c r="T114" s="46">
        <f t="shared" si="32"/>
        <v>70</v>
      </c>
      <c r="U114" s="46">
        <f t="shared" si="29"/>
        <v>90</v>
      </c>
      <c r="V114" s="54">
        <f t="shared" si="30"/>
        <v>69.833333333333329</v>
      </c>
    </row>
    <row r="115" spans="1:22" x14ac:dyDescent="0.2">
      <c r="A115" s="46" t="s">
        <v>176</v>
      </c>
      <c r="B115" s="46" t="s">
        <v>48</v>
      </c>
      <c r="C115" s="46" t="s">
        <v>88</v>
      </c>
      <c r="D115" s="46" t="s">
        <v>178</v>
      </c>
      <c r="E115" s="46">
        <v>3</v>
      </c>
      <c r="F115" s="46" t="s">
        <v>60</v>
      </c>
      <c r="G115" s="46">
        <v>3</v>
      </c>
      <c r="H115" s="47">
        <v>35</v>
      </c>
      <c r="I115" s="47" t="s">
        <v>116</v>
      </c>
      <c r="J115" s="48">
        <v>4</v>
      </c>
      <c r="K115" s="48">
        <v>2</v>
      </c>
      <c r="R115" s="46">
        <f t="shared" si="27"/>
        <v>1</v>
      </c>
      <c r="S115" s="46">
        <f t="shared" si="28"/>
        <v>0</v>
      </c>
      <c r="T115" s="46">
        <f t="shared" si="32"/>
        <v>70</v>
      </c>
      <c r="U115" s="46">
        <f t="shared" si="29"/>
        <v>70</v>
      </c>
      <c r="V115" s="54">
        <f t="shared" si="30"/>
        <v>69.833333333333329</v>
      </c>
    </row>
    <row r="116" spans="1:22" x14ac:dyDescent="0.2">
      <c r="A116" s="46" t="s">
        <v>176</v>
      </c>
      <c r="B116" s="46" t="s">
        <v>48</v>
      </c>
      <c r="C116" s="46" t="s">
        <v>88</v>
      </c>
      <c r="D116" s="46" t="s">
        <v>178</v>
      </c>
      <c r="E116" s="46">
        <v>4</v>
      </c>
      <c r="F116" s="46" t="s">
        <v>60</v>
      </c>
      <c r="G116" s="46">
        <v>4</v>
      </c>
      <c r="H116" s="47">
        <v>4</v>
      </c>
      <c r="I116" s="47" t="s">
        <v>102</v>
      </c>
      <c r="J116" s="48">
        <v>4</v>
      </c>
      <c r="K116" s="48">
        <v>1</v>
      </c>
      <c r="R116" s="46">
        <f t="shared" si="27"/>
        <v>1</v>
      </c>
      <c r="S116" s="46">
        <f t="shared" si="28"/>
        <v>0</v>
      </c>
      <c r="T116" s="46">
        <f t="shared" si="32"/>
        <v>80</v>
      </c>
      <c r="U116" s="46">
        <f t="shared" si="29"/>
        <v>80</v>
      </c>
      <c r="V116" s="54">
        <f t="shared" si="30"/>
        <v>69.833333333333329</v>
      </c>
    </row>
    <row r="117" spans="1:22" x14ac:dyDescent="0.2">
      <c r="A117" s="46" t="s">
        <v>176</v>
      </c>
      <c r="B117" s="46" t="s">
        <v>48</v>
      </c>
      <c r="C117" s="46" t="s">
        <v>88</v>
      </c>
      <c r="D117" s="46" t="s">
        <v>178</v>
      </c>
      <c r="E117" s="46">
        <v>3</v>
      </c>
      <c r="F117" s="46" t="s">
        <v>60</v>
      </c>
      <c r="G117" s="46">
        <v>3</v>
      </c>
      <c r="H117" s="47">
        <v>7</v>
      </c>
      <c r="I117" s="47" t="s">
        <v>116</v>
      </c>
      <c r="J117" s="48">
        <v>4</v>
      </c>
      <c r="K117" s="48">
        <v>1</v>
      </c>
      <c r="O117" s="48">
        <v>1</v>
      </c>
      <c r="R117" s="46">
        <f t="shared" si="27"/>
        <v>1</v>
      </c>
      <c r="S117" s="46">
        <f t="shared" si="28"/>
        <v>0</v>
      </c>
      <c r="T117" s="46">
        <f t="shared" si="32"/>
        <v>80</v>
      </c>
      <c r="U117" s="46">
        <f t="shared" si="29"/>
        <v>90</v>
      </c>
      <c r="V117" s="54">
        <f t="shared" si="30"/>
        <v>69.833333333333329</v>
      </c>
    </row>
    <row r="118" spans="1:22" x14ac:dyDescent="0.2">
      <c r="A118" s="46" t="s">
        <v>176</v>
      </c>
      <c r="B118" s="46" t="s">
        <v>48</v>
      </c>
      <c r="C118" s="46" t="s">
        <v>88</v>
      </c>
      <c r="D118" s="46" t="s">
        <v>178</v>
      </c>
      <c r="E118" s="46">
        <v>2</v>
      </c>
      <c r="F118" s="46" t="s">
        <v>61</v>
      </c>
      <c r="G118" s="46">
        <v>1</v>
      </c>
      <c r="H118" s="47" t="s">
        <v>67</v>
      </c>
      <c r="I118" s="47" t="s">
        <v>101</v>
      </c>
      <c r="J118" s="48">
        <v>4</v>
      </c>
      <c r="K118" s="48">
        <v>1</v>
      </c>
      <c r="N118" s="48">
        <v>1</v>
      </c>
      <c r="R118" s="46">
        <f t="shared" si="27"/>
        <v>1</v>
      </c>
      <c r="S118" s="46">
        <f t="shared" si="28"/>
        <v>0</v>
      </c>
      <c r="T118" s="46">
        <f t="shared" si="32"/>
        <v>80</v>
      </c>
      <c r="U118" s="46">
        <f t="shared" si="29"/>
        <v>75</v>
      </c>
      <c r="V118" s="54">
        <f t="shared" si="30"/>
        <v>69.833333333333329</v>
      </c>
    </row>
    <row r="119" spans="1:22" x14ac:dyDescent="0.2">
      <c r="A119" s="46" t="s">
        <v>176</v>
      </c>
      <c r="B119" s="46" t="s">
        <v>48</v>
      </c>
      <c r="C119" s="46" t="s">
        <v>88</v>
      </c>
      <c r="D119" s="46" t="s">
        <v>178</v>
      </c>
      <c r="E119" s="46">
        <v>2</v>
      </c>
      <c r="F119" s="46" t="s">
        <v>61</v>
      </c>
      <c r="G119" s="46">
        <v>1</v>
      </c>
      <c r="H119" s="47" t="s">
        <v>75</v>
      </c>
      <c r="I119" s="47" t="s">
        <v>101</v>
      </c>
      <c r="J119" s="48">
        <v>4</v>
      </c>
      <c r="K119" s="48">
        <v>1</v>
      </c>
      <c r="L119" s="48">
        <v>1</v>
      </c>
      <c r="R119" s="46">
        <f t="shared" si="27"/>
        <v>1</v>
      </c>
      <c r="S119" s="46">
        <f t="shared" si="28"/>
        <v>0</v>
      </c>
      <c r="T119" s="46">
        <f t="shared" si="32"/>
        <v>80</v>
      </c>
      <c r="U119" s="46">
        <f t="shared" si="29"/>
        <v>75</v>
      </c>
      <c r="V119" s="54">
        <f t="shared" si="30"/>
        <v>69.833333333333329</v>
      </c>
    </row>
    <row r="120" spans="1:22" x14ac:dyDescent="0.2">
      <c r="A120" s="46" t="s">
        <v>176</v>
      </c>
      <c r="B120" s="46" t="s">
        <v>48</v>
      </c>
      <c r="C120" s="46" t="s">
        <v>88</v>
      </c>
      <c r="D120" s="46" t="s">
        <v>178</v>
      </c>
      <c r="E120" s="46">
        <v>3</v>
      </c>
      <c r="F120" s="46" t="s">
        <v>60</v>
      </c>
      <c r="G120" s="46">
        <v>2</v>
      </c>
      <c r="H120" s="47">
        <v>14</v>
      </c>
      <c r="I120" s="47" t="s">
        <v>127</v>
      </c>
      <c r="J120" s="48">
        <v>4</v>
      </c>
      <c r="K120" s="48">
        <v>0</v>
      </c>
      <c r="R120" s="46">
        <f t="shared" si="27"/>
        <v>1</v>
      </c>
      <c r="S120" s="46">
        <f t="shared" si="28"/>
        <v>0</v>
      </c>
      <c r="T120" s="46">
        <f t="shared" si="32"/>
        <v>90</v>
      </c>
      <c r="U120" s="46">
        <f t="shared" si="29"/>
        <v>90</v>
      </c>
      <c r="V120" s="54">
        <f t="shared" si="30"/>
        <v>69.833333333333329</v>
      </c>
    </row>
    <row r="121" spans="1:22" x14ac:dyDescent="0.2">
      <c r="A121" s="46" t="s">
        <v>176</v>
      </c>
      <c r="B121" s="46" t="s">
        <v>48</v>
      </c>
      <c r="C121" s="46" t="s">
        <v>88</v>
      </c>
      <c r="D121" s="46" t="s">
        <v>178</v>
      </c>
      <c r="E121" s="46">
        <v>2</v>
      </c>
      <c r="F121" s="46" t="s">
        <v>60</v>
      </c>
      <c r="G121" s="46">
        <v>3</v>
      </c>
      <c r="H121" s="47">
        <v>15</v>
      </c>
      <c r="I121" s="47" t="s">
        <v>116</v>
      </c>
      <c r="J121" s="48">
        <v>4</v>
      </c>
      <c r="K121" s="48">
        <v>0</v>
      </c>
      <c r="R121" s="46">
        <f t="shared" si="27"/>
        <v>1</v>
      </c>
      <c r="S121" s="46">
        <f t="shared" si="28"/>
        <v>0</v>
      </c>
      <c r="T121" s="46">
        <f t="shared" si="32"/>
        <v>90</v>
      </c>
      <c r="U121" s="46">
        <f t="shared" si="29"/>
        <v>90</v>
      </c>
      <c r="V121" s="54">
        <f t="shared" si="30"/>
        <v>69.833333333333329</v>
      </c>
    </row>
    <row r="122" spans="1:22" x14ac:dyDescent="0.2">
      <c r="A122" s="46" t="s">
        <v>176</v>
      </c>
      <c r="B122" s="46" t="s">
        <v>48</v>
      </c>
      <c r="C122" s="46" t="s">
        <v>88</v>
      </c>
      <c r="D122" s="46" t="s">
        <v>178</v>
      </c>
      <c r="E122" s="46">
        <v>1</v>
      </c>
      <c r="F122" s="46" t="s">
        <v>60</v>
      </c>
      <c r="G122" s="46">
        <v>3</v>
      </c>
      <c r="H122" s="47">
        <v>19</v>
      </c>
      <c r="I122" s="47" t="s">
        <v>116</v>
      </c>
      <c r="J122" s="48">
        <v>4</v>
      </c>
      <c r="K122" s="48">
        <v>0</v>
      </c>
      <c r="R122" s="46">
        <f t="shared" si="27"/>
        <v>1</v>
      </c>
      <c r="S122" s="46">
        <f t="shared" si="28"/>
        <v>0</v>
      </c>
      <c r="T122" s="46">
        <f t="shared" si="32"/>
        <v>90</v>
      </c>
      <c r="U122" s="46">
        <f t="shared" si="29"/>
        <v>90</v>
      </c>
      <c r="V122" s="54">
        <f t="shared" si="30"/>
        <v>69.833333333333329</v>
      </c>
    </row>
    <row r="123" spans="1:22" x14ac:dyDescent="0.2">
      <c r="A123" s="46" t="s">
        <v>176</v>
      </c>
      <c r="B123" s="46" t="s">
        <v>48</v>
      </c>
      <c r="C123" s="46" t="s">
        <v>88</v>
      </c>
      <c r="D123" s="46" t="s">
        <v>178</v>
      </c>
      <c r="E123" s="46">
        <v>4</v>
      </c>
      <c r="F123" s="46" t="s">
        <v>60</v>
      </c>
      <c r="G123" s="46">
        <v>1</v>
      </c>
      <c r="H123" s="47">
        <v>21</v>
      </c>
      <c r="I123" s="47" t="s">
        <v>101</v>
      </c>
      <c r="J123" s="48">
        <v>4</v>
      </c>
      <c r="K123" s="48">
        <v>0</v>
      </c>
      <c r="M123" s="48">
        <v>1</v>
      </c>
      <c r="R123" s="46">
        <f t="shared" si="27"/>
        <v>1</v>
      </c>
      <c r="S123" s="46">
        <f t="shared" si="28"/>
        <v>0</v>
      </c>
      <c r="T123" s="46">
        <f t="shared" si="32"/>
        <v>90</v>
      </c>
      <c r="U123" s="46">
        <f t="shared" si="29"/>
        <v>110</v>
      </c>
      <c r="V123" s="54">
        <f t="shared" si="30"/>
        <v>69.833333333333329</v>
      </c>
    </row>
    <row r="124" spans="1:22" x14ac:dyDescent="0.2">
      <c r="A124" s="46" t="s">
        <v>176</v>
      </c>
      <c r="B124" s="46" t="s">
        <v>48</v>
      </c>
      <c r="C124" s="46" t="s">
        <v>88</v>
      </c>
      <c r="D124" s="46" t="s">
        <v>178</v>
      </c>
      <c r="E124" s="46">
        <v>3</v>
      </c>
      <c r="F124" s="46" t="s">
        <v>60</v>
      </c>
      <c r="G124" s="46">
        <v>1</v>
      </c>
      <c r="H124" s="47">
        <v>25</v>
      </c>
      <c r="I124" s="47" t="s">
        <v>116</v>
      </c>
      <c r="J124" s="48">
        <v>4</v>
      </c>
      <c r="K124" s="48">
        <v>0</v>
      </c>
      <c r="R124" s="46">
        <f t="shared" si="27"/>
        <v>1</v>
      </c>
      <c r="S124" s="46">
        <f t="shared" si="28"/>
        <v>0</v>
      </c>
      <c r="T124" s="46">
        <f t="shared" si="32"/>
        <v>90</v>
      </c>
      <c r="U124" s="46">
        <f t="shared" si="29"/>
        <v>90</v>
      </c>
      <c r="V124" s="54">
        <f t="shared" si="30"/>
        <v>69.833333333333329</v>
      </c>
    </row>
    <row r="125" spans="1:22" x14ac:dyDescent="0.2">
      <c r="A125" s="46" t="s">
        <v>176</v>
      </c>
      <c r="B125" s="46" t="s">
        <v>48</v>
      </c>
      <c r="C125" s="46" t="s">
        <v>88</v>
      </c>
      <c r="D125" s="46" t="s">
        <v>178</v>
      </c>
      <c r="E125" s="46">
        <v>1</v>
      </c>
      <c r="F125" s="46" t="s">
        <v>60</v>
      </c>
      <c r="G125" s="46">
        <v>4</v>
      </c>
      <c r="H125" s="47">
        <v>32</v>
      </c>
      <c r="I125" s="47" t="s">
        <v>102</v>
      </c>
      <c r="J125" s="48">
        <v>4</v>
      </c>
      <c r="K125" s="48">
        <v>0</v>
      </c>
      <c r="R125" s="46">
        <f t="shared" si="27"/>
        <v>1</v>
      </c>
      <c r="S125" s="46">
        <f t="shared" si="28"/>
        <v>0</v>
      </c>
      <c r="T125" s="46">
        <f t="shared" si="32"/>
        <v>90</v>
      </c>
      <c r="U125" s="46">
        <f t="shared" si="29"/>
        <v>90</v>
      </c>
      <c r="V125" s="54">
        <f t="shared" si="30"/>
        <v>69.833333333333329</v>
      </c>
    </row>
    <row r="126" spans="1:22" x14ac:dyDescent="0.2">
      <c r="A126" s="46" t="s">
        <v>176</v>
      </c>
      <c r="B126" s="46" t="s">
        <v>48</v>
      </c>
      <c r="C126" s="46" t="s">
        <v>88</v>
      </c>
      <c r="D126" s="46" t="s">
        <v>178</v>
      </c>
      <c r="E126" s="46">
        <v>2</v>
      </c>
      <c r="F126" s="46" t="s">
        <v>60</v>
      </c>
      <c r="G126" s="46">
        <v>4</v>
      </c>
      <c r="H126" s="47">
        <v>32</v>
      </c>
      <c r="I126" s="47" t="s">
        <v>102</v>
      </c>
      <c r="J126" s="48">
        <v>4</v>
      </c>
      <c r="K126" s="48">
        <v>0</v>
      </c>
      <c r="R126" s="46">
        <f t="shared" si="27"/>
        <v>1</v>
      </c>
      <c r="S126" s="46">
        <f t="shared" si="28"/>
        <v>0</v>
      </c>
      <c r="T126" s="46">
        <f t="shared" si="32"/>
        <v>90</v>
      </c>
      <c r="U126" s="46">
        <f t="shared" si="29"/>
        <v>90</v>
      </c>
      <c r="V126" s="54">
        <f t="shared" si="30"/>
        <v>69.833333333333329</v>
      </c>
    </row>
    <row r="127" spans="1:22" x14ac:dyDescent="0.2">
      <c r="A127" s="46" t="s">
        <v>176</v>
      </c>
      <c r="B127" s="46" t="s">
        <v>48</v>
      </c>
      <c r="C127" s="46" t="s">
        <v>88</v>
      </c>
      <c r="D127" s="46" t="s">
        <v>178</v>
      </c>
      <c r="E127" s="46">
        <v>1</v>
      </c>
      <c r="F127" s="46" t="s">
        <v>60</v>
      </c>
      <c r="G127" s="46">
        <v>1</v>
      </c>
      <c r="H127" s="47">
        <v>41</v>
      </c>
      <c r="I127" s="47" t="s">
        <v>101</v>
      </c>
      <c r="J127" s="48">
        <v>4</v>
      </c>
      <c r="K127" s="48">
        <v>0</v>
      </c>
      <c r="M127" s="48">
        <v>1</v>
      </c>
      <c r="R127" s="46">
        <f t="shared" si="27"/>
        <v>1</v>
      </c>
      <c r="S127" s="46">
        <f t="shared" si="28"/>
        <v>0</v>
      </c>
      <c r="T127" s="46">
        <f t="shared" si="32"/>
        <v>90</v>
      </c>
      <c r="U127" s="46">
        <f t="shared" si="29"/>
        <v>110</v>
      </c>
      <c r="V127" s="54">
        <f t="shared" si="30"/>
        <v>69.833333333333329</v>
      </c>
    </row>
    <row r="128" spans="1:22" x14ac:dyDescent="0.2">
      <c r="A128" s="46" t="s">
        <v>176</v>
      </c>
      <c r="B128" s="46" t="s">
        <v>48</v>
      </c>
      <c r="C128" s="46" t="s">
        <v>88</v>
      </c>
      <c r="D128" s="46" t="s">
        <v>178</v>
      </c>
      <c r="E128" s="46">
        <v>3</v>
      </c>
      <c r="F128" s="46" t="s">
        <v>60</v>
      </c>
      <c r="G128" s="46">
        <v>1</v>
      </c>
      <c r="H128" s="47">
        <v>41</v>
      </c>
      <c r="I128" s="47" t="s">
        <v>101</v>
      </c>
      <c r="J128" s="48">
        <v>4</v>
      </c>
      <c r="K128" s="48">
        <v>0</v>
      </c>
      <c r="L128" s="48">
        <v>1</v>
      </c>
      <c r="M128" s="48">
        <v>1</v>
      </c>
      <c r="N128" s="48">
        <v>1</v>
      </c>
      <c r="R128" s="46">
        <f t="shared" si="27"/>
        <v>1</v>
      </c>
      <c r="S128" s="46">
        <f t="shared" si="28"/>
        <v>0</v>
      </c>
      <c r="T128" s="46">
        <f t="shared" si="32"/>
        <v>90</v>
      </c>
      <c r="U128" s="46">
        <f t="shared" si="29"/>
        <v>100</v>
      </c>
      <c r="V128" s="54">
        <f t="shared" si="30"/>
        <v>69.833333333333329</v>
      </c>
    </row>
    <row r="129" spans="1:22" x14ac:dyDescent="0.2">
      <c r="A129" s="46" t="s">
        <v>176</v>
      </c>
      <c r="B129" s="46" t="s">
        <v>48</v>
      </c>
      <c r="C129" s="46" t="s">
        <v>88</v>
      </c>
      <c r="D129" s="46" t="s">
        <v>178</v>
      </c>
      <c r="E129" s="46">
        <v>3</v>
      </c>
      <c r="F129" s="46" t="s">
        <v>60</v>
      </c>
      <c r="G129" s="46">
        <v>2</v>
      </c>
      <c r="H129" s="47">
        <v>50</v>
      </c>
      <c r="I129" s="47" t="s">
        <v>127</v>
      </c>
      <c r="J129" s="48">
        <v>4</v>
      </c>
      <c r="K129" s="48">
        <v>0</v>
      </c>
      <c r="R129" s="46">
        <f t="shared" si="27"/>
        <v>1</v>
      </c>
      <c r="S129" s="46">
        <f t="shared" si="28"/>
        <v>0</v>
      </c>
      <c r="T129" s="46">
        <f t="shared" si="32"/>
        <v>90</v>
      </c>
      <c r="U129" s="46">
        <f t="shared" si="29"/>
        <v>90</v>
      </c>
      <c r="V129" s="54">
        <f t="shared" si="30"/>
        <v>69.833333333333329</v>
      </c>
    </row>
    <row r="130" spans="1:22" x14ac:dyDescent="0.2">
      <c r="A130" s="46" t="s">
        <v>176</v>
      </c>
      <c r="B130" s="46" t="s">
        <v>48</v>
      </c>
      <c r="C130" s="46" t="s">
        <v>88</v>
      </c>
      <c r="D130" s="46" t="s">
        <v>178</v>
      </c>
      <c r="E130" s="46">
        <v>1</v>
      </c>
      <c r="F130" s="46" t="s">
        <v>61</v>
      </c>
      <c r="G130" s="46">
        <v>1</v>
      </c>
      <c r="H130" s="47" t="s">
        <v>67</v>
      </c>
      <c r="I130" s="47" t="s">
        <v>101</v>
      </c>
      <c r="J130" s="48">
        <v>4</v>
      </c>
      <c r="K130" s="48">
        <v>0</v>
      </c>
      <c r="R130" s="46">
        <f t="shared" ref="R130:R193" si="33">IF(J130=4,1,0)</f>
        <v>1</v>
      </c>
      <c r="S130" s="46">
        <f t="shared" ref="S130:S193" si="34">IF(K130=3,1,0)</f>
        <v>0</v>
      </c>
      <c r="T130" s="46">
        <f t="shared" si="32"/>
        <v>90</v>
      </c>
      <c r="U130" s="46">
        <f t="shared" ref="U130:U193" si="35">T130+M130*(20) + (SUM(O130:Q130)*(10)) - L130*(5) - N130*(5)</f>
        <v>90</v>
      </c>
      <c r="V130" s="54">
        <f t="shared" ref="V130:V193" si="36">AVERAGEIFS(U:U,A:A,A130,F:F,"Pre")</f>
        <v>69.833333333333329</v>
      </c>
    </row>
    <row r="131" spans="1:22" x14ac:dyDescent="0.2">
      <c r="A131" s="46" t="s">
        <v>176</v>
      </c>
      <c r="B131" s="46" t="s">
        <v>48</v>
      </c>
      <c r="C131" s="46" t="s">
        <v>88</v>
      </c>
      <c r="D131" s="46" t="s">
        <v>178</v>
      </c>
      <c r="E131" s="46">
        <v>4</v>
      </c>
      <c r="F131" s="46" t="s">
        <v>61</v>
      </c>
      <c r="G131" s="46">
        <v>1</v>
      </c>
      <c r="H131" s="47" t="s">
        <v>74</v>
      </c>
      <c r="I131" s="47" t="s">
        <v>101</v>
      </c>
      <c r="J131" s="48">
        <v>4</v>
      </c>
      <c r="K131" s="48">
        <v>0</v>
      </c>
      <c r="R131" s="46">
        <f t="shared" si="33"/>
        <v>1</v>
      </c>
      <c r="S131" s="46">
        <f t="shared" si="34"/>
        <v>0</v>
      </c>
      <c r="T131" s="46">
        <f t="shared" si="32"/>
        <v>90</v>
      </c>
      <c r="U131" s="46">
        <f t="shared" si="35"/>
        <v>90</v>
      </c>
      <c r="V131" s="54">
        <f t="shared" si="36"/>
        <v>69.833333333333329</v>
      </c>
    </row>
    <row r="132" spans="1:22" x14ac:dyDescent="0.2">
      <c r="A132" s="46" t="s">
        <v>176</v>
      </c>
      <c r="B132" s="46" t="s">
        <v>48</v>
      </c>
      <c r="C132" s="46" t="s">
        <v>88</v>
      </c>
      <c r="D132" s="46" t="s">
        <v>178</v>
      </c>
      <c r="E132" s="46">
        <v>5</v>
      </c>
      <c r="F132" s="46" t="s">
        <v>60</v>
      </c>
      <c r="G132" s="46">
        <v>1</v>
      </c>
      <c r="H132" s="47">
        <v>1</v>
      </c>
      <c r="I132" s="47" t="s">
        <v>101</v>
      </c>
      <c r="J132" s="48">
        <v>2</v>
      </c>
      <c r="K132" s="48">
        <v>1</v>
      </c>
      <c r="R132" s="46">
        <f t="shared" si="33"/>
        <v>0</v>
      </c>
      <c r="S132" s="46">
        <f t="shared" si="34"/>
        <v>0</v>
      </c>
      <c r="T132" s="46">
        <f t="shared" si="32"/>
        <v>40</v>
      </c>
      <c r="U132" s="46">
        <f t="shared" si="35"/>
        <v>40</v>
      </c>
      <c r="V132" s="54">
        <f t="shared" si="36"/>
        <v>69.833333333333329</v>
      </c>
    </row>
    <row r="133" spans="1:22" x14ac:dyDescent="0.2">
      <c r="A133" s="46" t="s">
        <v>176</v>
      </c>
      <c r="B133" s="46" t="s">
        <v>48</v>
      </c>
      <c r="C133" s="46" t="s">
        <v>88</v>
      </c>
      <c r="D133" s="46" t="s">
        <v>178</v>
      </c>
      <c r="E133" s="46">
        <v>5</v>
      </c>
      <c r="F133" s="46" t="s">
        <v>60</v>
      </c>
      <c r="G133" s="46">
        <v>4</v>
      </c>
      <c r="H133" s="47">
        <v>8</v>
      </c>
      <c r="I133" s="47" t="s">
        <v>102</v>
      </c>
      <c r="J133" s="48">
        <v>4</v>
      </c>
      <c r="K133" s="48">
        <v>0</v>
      </c>
      <c r="R133" s="46">
        <f t="shared" si="33"/>
        <v>1</v>
      </c>
      <c r="S133" s="46">
        <f t="shared" si="34"/>
        <v>0</v>
      </c>
      <c r="T133" s="46">
        <f t="shared" si="32"/>
        <v>90</v>
      </c>
      <c r="U133" s="46">
        <f t="shared" si="35"/>
        <v>90</v>
      </c>
      <c r="V133" s="54">
        <f t="shared" si="36"/>
        <v>69.833333333333329</v>
      </c>
    </row>
    <row r="134" spans="1:22" x14ac:dyDescent="0.2">
      <c r="A134" s="46" t="s">
        <v>176</v>
      </c>
      <c r="B134" s="46" t="s">
        <v>48</v>
      </c>
      <c r="C134" s="46" t="s">
        <v>88</v>
      </c>
      <c r="D134" s="46" t="s">
        <v>178</v>
      </c>
      <c r="E134" s="46">
        <v>5</v>
      </c>
      <c r="F134" s="46" t="s">
        <v>60</v>
      </c>
      <c r="G134" s="46">
        <v>2</v>
      </c>
      <c r="H134" s="47">
        <v>14</v>
      </c>
      <c r="I134" s="47" t="s">
        <v>127</v>
      </c>
      <c r="J134" s="48">
        <v>4</v>
      </c>
      <c r="K134" s="48">
        <v>1</v>
      </c>
      <c r="R134" s="46">
        <f t="shared" si="33"/>
        <v>1</v>
      </c>
      <c r="S134" s="46">
        <f t="shared" si="34"/>
        <v>0</v>
      </c>
      <c r="T134" s="46">
        <f t="shared" si="32"/>
        <v>80</v>
      </c>
      <c r="U134" s="46">
        <f t="shared" si="35"/>
        <v>80</v>
      </c>
      <c r="V134" s="54">
        <f t="shared" si="36"/>
        <v>69.833333333333329</v>
      </c>
    </row>
    <row r="135" spans="1:22" x14ac:dyDescent="0.2">
      <c r="A135" s="46" t="s">
        <v>176</v>
      </c>
      <c r="B135" s="46" t="s">
        <v>48</v>
      </c>
      <c r="C135" s="46" t="s">
        <v>88</v>
      </c>
      <c r="D135" s="46" t="s">
        <v>178</v>
      </c>
      <c r="E135" s="46">
        <v>5</v>
      </c>
      <c r="F135" s="46" t="s">
        <v>60</v>
      </c>
      <c r="G135" s="46">
        <v>3</v>
      </c>
      <c r="H135" s="47">
        <v>27</v>
      </c>
      <c r="I135" s="47" t="s">
        <v>159</v>
      </c>
      <c r="J135" s="48">
        <v>4</v>
      </c>
      <c r="K135" s="48">
        <v>0</v>
      </c>
      <c r="R135" s="46">
        <f t="shared" si="33"/>
        <v>1</v>
      </c>
      <c r="S135" s="46">
        <f t="shared" si="34"/>
        <v>0</v>
      </c>
      <c r="T135" s="46">
        <f t="shared" si="32"/>
        <v>90</v>
      </c>
      <c r="U135" s="46">
        <f t="shared" si="35"/>
        <v>90</v>
      </c>
      <c r="V135" s="54">
        <f t="shared" si="36"/>
        <v>69.833333333333329</v>
      </c>
    </row>
    <row r="136" spans="1:22" x14ac:dyDescent="0.2">
      <c r="A136" s="46" t="s">
        <v>176</v>
      </c>
      <c r="B136" s="46" t="s">
        <v>48</v>
      </c>
      <c r="C136" s="46" t="s">
        <v>88</v>
      </c>
      <c r="D136" s="46" t="s">
        <v>178</v>
      </c>
      <c r="E136" s="46">
        <v>5</v>
      </c>
      <c r="F136" s="46" t="s">
        <v>60</v>
      </c>
      <c r="G136" s="46">
        <v>3</v>
      </c>
      <c r="H136" s="47">
        <v>39</v>
      </c>
      <c r="I136" s="47" t="s">
        <v>159</v>
      </c>
      <c r="J136" s="48">
        <v>4</v>
      </c>
      <c r="K136" s="48">
        <v>0</v>
      </c>
      <c r="R136" s="46">
        <f t="shared" si="33"/>
        <v>1</v>
      </c>
      <c r="S136" s="46">
        <f t="shared" si="34"/>
        <v>0</v>
      </c>
      <c r="T136" s="46">
        <f t="shared" si="32"/>
        <v>90</v>
      </c>
      <c r="U136" s="46">
        <f t="shared" si="35"/>
        <v>90</v>
      </c>
      <c r="V136" s="54">
        <f t="shared" si="36"/>
        <v>69.833333333333329</v>
      </c>
    </row>
    <row r="137" spans="1:22" x14ac:dyDescent="0.2">
      <c r="A137" s="46" t="s">
        <v>176</v>
      </c>
      <c r="B137" s="46" t="s">
        <v>48</v>
      </c>
      <c r="C137" s="46" t="s">
        <v>88</v>
      </c>
      <c r="D137" s="46" t="s">
        <v>178</v>
      </c>
      <c r="E137" s="46">
        <v>5</v>
      </c>
      <c r="F137" s="46" t="s">
        <v>60</v>
      </c>
      <c r="G137" s="46">
        <v>1</v>
      </c>
      <c r="H137" s="47">
        <v>45</v>
      </c>
      <c r="I137" s="47" t="s">
        <v>101</v>
      </c>
      <c r="J137" s="48">
        <v>4</v>
      </c>
      <c r="K137" s="48">
        <v>0</v>
      </c>
      <c r="M137" s="48">
        <v>1</v>
      </c>
      <c r="R137" s="46">
        <f t="shared" si="33"/>
        <v>1</v>
      </c>
      <c r="S137" s="46">
        <f t="shared" si="34"/>
        <v>0</v>
      </c>
      <c r="T137" s="46">
        <f t="shared" si="32"/>
        <v>90</v>
      </c>
      <c r="U137" s="46">
        <f t="shared" si="35"/>
        <v>110</v>
      </c>
      <c r="V137" s="54">
        <f t="shared" si="36"/>
        <v>69.833333333333329</v>
      </c>
    </row>
    <row r="138" spans="1:22" x14ac:dyDescent="0.2">
      <c r="A138" s="46" t="s">
        <v>176</v>
      </c>
      <c r="B138" s="46" t="s">
        <v>48</v>
      </c>
      <c r="C138" s="46" t="s">
        <v>88</v>
      </c>
      <c r="D138" s="46" t="s">
        <v>178</v>
      </c>
      <c r="E138" s="46">
        <v>5</v>
      </c>
      <c r="F138" s="46" t="s">
        <v>61</v>
      </c>
      <c r="G138" s="46">
        <v>1</v>
      </c>
      <c r="H138" s="47" t="s">
        <v>74</v>
      </c>
      <c r="I138" s="47" t="s">
        <v>101</v>
      </c>
      <c r="J138" s="48">
        <v>3</v>
      </c>
      <c r="K138" s="48">
        <v>2</v>
      </c>
      <c r="R138" s="46">
        <f t="shared" si="33"/>
        <v>0</v>
      </c>
      <c r="S138" s="46">
        <f t="shared" si="34"/>
        <v>0</v>
      </c>
      <c r="T138" s="46">
        <f t="shared" si="32"/>
        <v>50</v>
      </c>
      <c r="U138" s="46">
        <f t="shared" si="35"/>
        <v>50</v>
      </c>
      <c r="V138" s="54">
        <f t="shared" si="36"/>
        <v>69.833333333333329</v>
      </c>
    </row>
    <row r="139" spans="1:22" x14ac:dyDescent="0.2">
      <c r="A139" s="46" t="s">
        <v>176</v>
      </c>
      <c r="B139" s="46" t="s">
        <v>48</v>
      </c>
      <c r="C139" s="46" t="s">
        <v>88</v>
      </c>
      <c r="D139" s="46" t="s">
        <v>178</v>
      </c>
      <c r="E139" s="46">
        <v>5</v>
      </c>
      <c r="F139" s="46" t="s">
        <v>61</v>
      </c>
      <c r="G139" s="46">
        <v>2</v>
      </c>
      <c r="H139" s="47" t="s">
        <v>76</v>
      </c>
      <c r="I139" s="47" t="s">
        <v>127</v>
      </c>
      <c r="J139" s="48">
        <v>4</v>
      </c>
      <c r="K139" s="48">
        <v>1</v>
      </c>
      <c r="R139" s="46">
        <f t="shared" si="33"/>
        <v>1</v>
      </c>
      <c r="S139" s="46">
        <f t="shared" si="34"/>
        <v>0</v>
      </c>
      <c r="T139" s="46">
        <f t="shared" si="32"/>
        <v>80</v>
      </c>
      <c r="U139" s="46">
        <f t="shared" si="35"/>
        <v>80</v>
      </c>
      <c r="V139" s="54">
        <f t="shared" si="36"/>
        <v>69.833333333333329</v>
      </c>
    </row>
    <row r="140" spans="1:22" x14ac:dyDescent="0.2">
      <c r="A140" s="46" t="s">
        <v>176</v>
      </c>
      <c r="B140" s="46" t="s">
        <v>48</v>
      </c>
      <c r="C140" s="46" t="s">
        <v>88</v>
      </c>
      <c r="D140" s="46" t="s">
        <v>178</v>
      </c>
      <c r="E140" s="46">
        <v>5</v>
      </c>
      <c r="F140" s="46" t="s">
        <v>61</v>
      </c>
      <c r="G140" s="46">
        <v>2</v>
      </c>
      <c r="H140" s="47" t="s">
        <v>66</v>
      </c>
      <c r="I140" s="47" t="s">
        <v>127</v>
      </c>
      <c r="J140" s="48">
        <v>4</v>
      </c>
      <c r="K140" s="48">
        <v>1</v>
      </c>
      <c r="R140" s="46">
        <f t="shared" si="33"/>
        <v>1</v>
      </c>
      <c r="S140" s="46">
        <f t="shared" si="34"/>
        <v>0</v>
      </c>
      <c r="T140" s="46">
        <f t="shared" si="32"/>
        <v>80</v>
      </c>
      <c r="U140" s="46">
        <f t="shared" si="35"/>
        <v>80</v>
      </c>
      <c r="V140" s="54">
        <f t="shared" si="36"/>
        <v>69.833333333333329</v>
      </c>
    </row>
    <row r="141" spans="1:22" x14ac:dyDescent="0.2">
      <c r="A141" s="46" t="s">
        <v>176</v>
      </c>
      <c r="B141" s="46" t="s">
        <v>48</v>
      </c>
      <c r="C141" s="46" t="s">
        <v>88</v>
      </c>
      <c r="D141" s="46" t="s">
        <v>178</v>
      </c>
      <c r="E141" s="46">
        <v>5</v>
      </c>
      <c r="F141" s="46" t="s">
        <v>61</v>
      </c>
      <c r="G141" s="46">
        <v>1</v>
      </c>
      <c r="H141" s="47" t="s">
        <v>71</v>
      </c>
      <c r="I141" s="47" t="s">
        <v>101</v>
      </c>
      <c r="J141" s="48">
        <v>4</v>
      </c>
      <c r="K141" s="48">
        <v>1</v>
      </c>
      <c r="R141" s="46">
        <f t="shared" si="33"/>
        <v>1</v>
      </c>
      <c r="S141" s="46">
        <f t="shared" si="34"/>
        <v>0</v>
      </c>
      <c r="T141" s="46">
        <f t="shared" si="32"/>
        <v>80</v>
      </c>
      <c r="U141" s="46">
        <f t="shared" si="35"/>
        <v>80</v>
      </c>
      <c r="V141" s="54">
        <f t="shared" si="36"/>
        <v>69.833333333333329</v>
      </c>
    </row>
    <row r="142" spans="1:22" x14ac:dyDescent="0.2">
      <c r="A142" s="46" t="s">
        <v>193</v>
      </c>
      <c r="B142" s="46" t="s">
        <v>56</v>
      </c>
      <c r="C142" s="46" t="s">
        <v>89</v>
      </c>
      <c r="D142" s="46" t="s">
        <v>178</v>
      </c>
      <c r="E142" s="46">
        <v>2</v>
      </c>
      <c r="F142" s="46" t="s">
        <v>60</v>
      </c>
      <c r="G142" s="46">
        <v>4</v>
      </c>
      <c r="H142" s="47">
        <v>4</v>
      </c>
      <c r="I142" s="47" t="s">
        <v>102</v>
      </c>
      <c r="J142" s="48">
        <v>0</v>
      </c>
      <c r="K142" s="48">
        <v>0</v>
      </c>
      <c r="L142" s="48">
        <v>1</v>
      </c>
      <c r="R142" s="46">
        <f t="shared" si="33"/>
        <v>0</v>
      </c>
      <c r="S142" s="46">
        <f t="shared" si="34"/>
        <v>0</v>
      </c>
      <c r="T142" s="46">
        <f t="shared" si="32"/>
        <v>0</v>
      </c>
      <c r="U142" s="46">
        <f t="shared" si="35"/>
        <v>-5</v>
      </c>
      <c r="V142" s="54">
        <f t="shared" si="36"/>
        <v>5.166666666666667</v>
      </c>
    </row>
    <row r="143" spans="1:22" x14ac:dyDescent="0.2">
      <c r="A143" s="46" t="s">
        <v>193</v>
      </c>
      <c r="B143" s="46" t="s">
        <v>56</v>
      </c>
      <c r="C143" s="46" t="s">
        <v>89</v>
      </c>
      <c r="D143" s="46" t="s">
        <v>178</v>
      </c>
      <c r="E143" s="46">
        <v>3</v>
      </c>
      <c r="F143" s="46" t="s">
        <v>60</v>
      </c>
      <c r="G143" s="46">
        <v>4</v>
      </c>
      <c r="H143" s="47">
        <v>4</v>
      </c>
      <c r="I143" s="47" t="s">
        <v>102</v>
      </c>
      <c r="J143" s="48">
        <v>0</v>
      </c>
      <c r="K143" s="48">
        <v>0</v>
      </c>
      <c r="R143" s="46">
        <f t="shared" si="33"/>
        <v>0</v>
      </c>
      <c r="S143" s="46">
        <f t="shared" si="34"/>
        <v>0</v>
      </c>
      <c r="T143" s="46">
        <f t="shared" si="32"/>
        <v>0</v>
      </c>
      <c r="U143" s="46">
        <f t="shared" si="35"/>
        <v>0</v>
      </c>
      <c r="V143" s="54">
        <f t="shared" si="36"/>
        <v>5.166666666666667</v>
      </c>
    </row>
    <row r="144" spans="1:22" x14ac:dyDescent="0.2">
      <c r="A144" s="46" t="s">
        <v>193</v>
      </c>
      <c r="B144" s="46" t="s">
        <v>56</v>
      </c>
      <c r="C144" s="46" t="s">
        <v>89</v>
      </c>
      <c r="D144" s="46" t="s">
        <v>178</v>
      </c>
      <c r="E144" s="46">
        <v>1</v>
      </c>
      <c r="F144" s="46" t="s">
        <v>60</v>
      </c>
      <c r="G144" s="46">
        <v>4</v>
      </c>
      <c r="H144" s="47">
        <v>8</v>
      </c>
      <c r="I144" s="47" t="s">
        <v>102</v>
      </c>
      <c r="J144" s="48">
        <v>0</v>
      </c>
      <c r="K144" s="48">
        <v>0</v>
      </c>
      <c r="R144" s="46">
        <f t="shared" si="33"/>
        <v>0</v>
      </c>
      <c r="S144" s="46">
        <f t="shared" si="34"/>
        <v>0</v>
      </c>
      <c r="T144" s="46">
        <f t="shared" si="32"/>
        <v>0</v>
      </c>
      <c r="U144" s="46">
        <f t="shared" si="35"/>
        <v>0</v>
      </c>
      <c r="V144" s="54">
        <f t="shared" si="36"/>
        <v>5.166666666666667</v>
      </c>
    </row>
    <row r="145" spans="1:22" x14ac:dyDescent="0.2">
      <c r="A145" s="46" t="s">
        <v>193</v>
      </c>
      <c r="B145" s="46" t="s">
        <v>56</v>
      </c>
      <c r="C145" s="46" t="s">
        <v>89</v>
      </c>
      <c r="D145" s="46" t="s">
        <v>178</v>
      </c>
      <c r="E145" s="46">
        <v>4</v>
      </c>
      <c r="F145" s="46" t="s">
        <v>60</v>
      </c>
      <c r="G145" s="46">
        <v>2</v>
      </c>
      <c r="H145" s="47">
        <v>10</v>
      </c>
      <c r="I145" s="47" t="s">
        <v>127</v>
      </c>
      <c r="J145" s="48">
        <v>0</v>
      </c>
      <c r="K145" s="48">
        <v>0</v>
      </c>
      <c r="R145" s="46">
        <f t="shared" si="33"/>
        <v>0</v>
      </c>
      <c r="S145" s="46">
        <f t="shared" si="34"/>
        <v>0</v>
      </c>
      <c r="T145" s="46">
        <f t="shared" si="32"/>
        <v>0</v>
      </c>
      <c r="U145" s="46">
        <f t="shared" si="35"/>
        <v>0</v>
      </c>
      <c r="V145" s="54">
        <f t="shared" si="36"/>
        <v>5.166666666666667</v>
      </c>
    </row>
    <row r="146" spans="1:22" x14ac:dyDescent="0.2">
      <c r="A146" s="46" t="s">
        <v>193</v>
      </c>
      <c r="B146" s="46" t="s">
        <v>56</v>
      </c>
      <c r="C146" s="46" t="s">
        <v>89</v>
      </c>
      <c r="D146" s="46" t="s">
        <v>178</v>
      </c>
      <c r="E146" s="46">
        <v>2</v>
      </c>
      <c r="F146" s="46" t="s">
        <v>60</v>
      </c>
      <c r="G146" s="46">
        <v>3</v>
      </c>
      <c r="H146" s="47">
        <v>11</v>
      </c>
      <c r="I146" s="47" t="s">
        <v>116</v>
      </c>
      <c r="J146" s="48">
        <v>0</v>
      </c>
      <c r="K146" s="48">
        <v>0</v>
      </c>
      <c r="R146" s="46">
        <f t="shared" si="33"/>
        <v>0</v>
      </c>
      <c r="S146" s="46">
        <f t="shared" si="34"/>
        <v>0</v>
      </c>
      <c r="T146" s="46">
        <f t="shared" si="32"/>
        <v>0</v>
      </c>
      <c r="U146" s="46">
        <f t="shared" si="35"/>
        <v>0</v>
      </c>
      <c r="V146" s="54">
        <f t="shared" si="36"/>
        <v>5.166666666666667</v>
      </c>
    </row>
    <row r="147" spans="1:22" x14ac:dyDescent="0.2">
      <c r="A147" s="46" t="s">
        <v>193</v>
      </c>
      <c r="B147" s="46" t="s">
        <v>56</v>
      </c>
      <c r="C147" s="46" t="s">
        <v>89</v>
      </c>
      <c r="D147" s="46" t="s">
        <v>178</v>
      </c>
      <c r="E147" s="46">
        <v>3</v>
      </c>
      <c r="F147" s="46" t="s">
        <v>60</v>
      </c>
      <c r="G147" s="46">
        <v>4</v>
      </c>
      <c r="H147" s="47">
        <v>12</v>
      </c>
      <c r="I147" s="47" t="s">
        <v>102</v>
      </c>
      <c r="J147" s="48">
        <v>0</v>
      </c>
      <c r="K147" s="48">
        <v>0</v>
      </c>
      <c r="R147" s="46">
        <f t="shared" si="33"/>
        <v>0</v>
      </c>
      <c r="S147" s="46">
        <f t="shared" si="34"/>
        <v>0</v>
      </c>
      <c r="T147" s="46">
        <f t="shared" si="32"/>
        <v>0</v>
      </c>
      <c r="U147" s="46">
        <f t="shared" si="35"/>
        <v>0</v>
      </c>
      <c r="V147" s="54">
        <f t="shared" si="36"/>
        <v>5.166666666666667</v>
      </c>
    </row>
    <row r="148" spans="1:22" x14ac:dyDescent="0.2">
      <c r="A148" s="46" t="s">
        <v>193</v>
      </c>
      <c r="B148" s="46" t="s">
        <v>56</v>
      </c>
      <c r="C148" s="46" t="s">
        <v>89</v>
      </c>
      <c r="D148" s="46" t="s">
        <v>178</v>
      </c>
      <c r="E148" s="46">
        <v>1</v>
      </c>
      <c r="F148" s="46" t="s">
        <v>60</v>
      </c>
      <c r="G148" s="46">
        <v>2</v>
      </c>
      <c r="H148" s="47">
        <v>14</v>
      </c>
      <c r="I148" s="47" t="s">
        <v>127</v>
      </c>
      <c r="J148" s="48">
        <v>0</v>
      </c>
      <c r="K148" s="48">
        <v>0</v>
      </c>
      <c r="M148" s="48">
        <v>1</v>
      </c>
      <c r="R148" s="46">
        <f t="shared" si="33"/>
        <v>0</v>
      </c>
      <c r="S148" s="46">
        <f t="shared" si="34"/>
        <v>0</v>
      </c>
      <c r="T148" s="46">
        <f t="shared" si="32"/>
        <v>0</v>
      </c>
      <c r="U148" s="46">
        <f t="shared" si="35"/>
        <v>20</v>
      </c>
      <c r="V148" s="54">
        <f t="shared" si="36"/>
        <v>5.166666666666667</v>
      </c>
    </row>
    <row r="149" spans="1:22" x14ac:dyDescent="0.2">
      <c r="A149" s="46" t="s">
        <v>193</v>
      </c>
      <c r="B149" s="46" t="s">
        <v>56</v>
      </c>
      <c r="C149" s="46" t="s">
        <v>89</v>
      </c>
      <c r="D149" s="46" t="s">
        <v>178</v>
      </c>
      <c r="E149" s="46">
        <v>4</v>
      </c>
      <c r="F149" s="46" t="s">
        <v>60</v>
      </c>
      <c r="G149" s="46">
        <v>3</v>
      </c>
      <c r="H149" s="47">
        <v>15</v>
      </c>
      <c r="I149" s="47" t="s">
        <v>159</v>
      </c>
      <c r="J149" s="48">
        <v>0</v>
      </c>
      <c r="K149" s="48">
        <v>0</v>
      </c>
      <c r="R149" s="46">
        <f t="shared" si="33"/>
        <v>0</v>
      </c>
      <c r="S149" s="46">
        <f t="shared" si="34"/>
        <v>0</v>
      </c>
      <c r="T149" s="46">
        <f t="shared" si="32"/>
        <v>0</v>
      </c>
      <c r="U149" s="46">
        <f t="shared" si="35"/>
        <v>0</v>
      </c>
      <c r="V149" s="54">
        <f t="shared" si="36"/>
        <v>5.166666666666667</v>
      </c>
    </row>
    <row r="150" spans="1:22" x14ac:dyDescent="0.2">
      <c r="A150" s="46" t="s">
        <v>193</v>
      </c>
      <c r="B150" s="46" t="s">
        <v>56</v>
      </c>
      <c r="C150" s="46" t="s">
        <v>89</v>
      </c>
      <c r="D150" s="46" t="s">
        <v>178</v>
      </c>
      <c r="E150" s="46">
        <v>3</v>
      </c>
      <c r="F150" s="46" t="s">
        <v>60</v>
      </c>
      <c r="G150" s="46">
        <v>2</v>
      </c>
      <c r="H150" s="47">
        <v>18</v>
      </c>
      <c r="I150" s="47" t="s">
        <v>127</v>
      </c>
      <c r="J150" s="48">
        <v>0</v>
      </c>
      <c r="K150" s="48">
        <v>0</v>
      </c>
      <c r="M150" s="48">
        <v>1</v>
      </c>
      <c r="R150" s="46">
        <f t="shared" si="33"/>
        <v>0</v>
      </c>
      <c r="S150" s="46">
        <f t="shared" si="34"/>
        <v>0</v>
      </c>
      <c r="T150" s="46">
        <f t="shared" si="32"/>
        <v>0</v>
      </c>
      <c r="U150" s="46">
        <f t="shared" si="35"/>
        <v>20</v>
      </c>
      <c r="V150" s="54">
        <f t="shared" si="36"/>
        <v>5.166666666666667</v>
      </c>
    </row>
    <row r="151" spans="1:22" x14ac:dyDescent="0.2">
      <c r="A151" s="46" t="s">
        <v>193</v>
      </c>
      <c r="B151" s="46" t="s">
        <v>56</v>
      </c>
      <c r="C151" s="46" t="s">
        <v>89</v>
      </c>
      <c r="D151" s="46" t="s">
        <v>178</v>
      </c>
      <c r="E151" s="46">
        <v>2</v>
      </c>
      <c r="F151" s="46" t="s">
        <v>60</v>
      </c>
      <c r="G151" s="46">
        <v>3</v>
      </c>
      <c r="H151" s="47">
        <v>19</v>
      </c>
      <c r="I151" s="47" t="s">
        <v>116</v>
      </c>
      <c r="J151" s="48">
        <v>0</v>
      </c>
      <c r="K151" s="48">
        <v>1</v>
      </c>
      <c r="R151" s="46">
        <f t="shared" si="33"/>
        <v>0</v>
      </c>
      <c r="S151" s="46">
        <f t="shared" si="34"/>
        <v>0</v>
      </c>
      <c r="T151" s="46">
        <f t="shared" si="32"/>
        <v>0</v>
      </c>
      <c r="U151" s="46">
        <f t="shared" si="35"/>
        <v>0</v>
      </c>
      <c r="V151" s="54">
        <f t="shared" si="36"/>
        <v>5.166666666666667</v>
      </c>
    </row>
    <row r="152" spans="1:22" x14ac:dyDescent="0.2">
      <c r="A152" s="46" t="s">
        <v>193</v>
      </c>
      <c r="B152" s="46" t="s">
        <v>56</v>
      </c>
      <c r="C152" s="46" t="s">
        <v>89</v>
      </c>
      <c r="D152" s="46" t="s">
        <v>178</v>
      </c>
      <c r="E152" s="46">
        <v>1</v>
      </c>
      <c r="F152" s="46" t="s">
        <v>60</v>
      </c>
      <c r="G152" s="46">
        <v>3</v>
      </c>
      <c r="H152" s="47">
        <v>27</v>
      </c>
      <c r="I152" s="47" t="s">
        <v>116</v>
      </c>
      <c r="J152" s="48">
        <v>0</v>
      </c>
      <c r="K152" s="48">
        <v>0</v>
      </c>
      <c r="R152" s="46">
        <f t="shared" si="33"/>
        <v>0</v>
      </c>
      <c r="S152" s="46">
        <f t="shared" si="34"/>
        <v>0</v>
      </c>
      <c r="T152" s="46">
        <f t="shared" si="32"/>
        <v>0</v>
      </c>
      <c r="U152" s="46">
        <f t="shared" si="35"/>
        <v>0</v>
      </c>
      <c r="V152" s="54">
        <f t="shared" si="36"/>
        <v>5.166666666666667</v>
      </c>
    </row>
    <row r="153" spans="1:22" x14ac:dyDescent="0.2">
      <c r="A153" s="46" t="s">
        <v>193</v>
      </c>
      <c r="B153" s="46" t="s">
        <v>56</v>
      </c>
      <c r="C153" s="46" t="s">
        <v>89</v>
      </c>
      <c r="D153" s="46" t="s">
        <v>178</v>
      </c>
      <c r="E153" s="46">
        <v>3</v>
      </c>
      <c r="F153" s="46" t="s">
        <v>60</v>
      </c>
      <c r="G153" s="46">
        <v>3</v>
      </c>
      <c r="H153" s="47">
        <v>27</v>
      </c>
      <c r="I153" s="47" t="s">
        <v>116</v>
      </c>
      <c r="J153" s="48">
        <v>0</v>
      </c>
      <c r="K153" s="48">
        <v>1</v>
      </c>
      <c r="R153" s="46">
        <f t="shared" si="33"/>
        <v>0</v>
      </c>
      <c r="S153" s="46">
        <f t="shared" si="34"/>
        <v>0</v>
      </c>
      <c r="T153" s="46">
        <f t="shared" si="32"/>
        <v>0</v>
      </c>
      <c r="U153" s="46">
        <f t="shared" si="35"/>
        <v>0</v>
      </c>
      <c r="V153" s="54">
        <f t="shared" si="36"/>
        <v>5.166666666666667</v>
      </c>
    </row>
    <row r="154" spans="1:22" x14ac:dyDescent="0.2">
      <c r="A154" s="46" t="s">
        <v>193</v>
      </c>
      <c r="B154" s="46" t="s">
        <v>56</v>
      </c>
      <c r="C154" s="46" t="s">
        <v>89</v>
      </c>
      <c r="D154" s="46" t="s">
        <v>178</v>
      </c>
      <c r="E154" s="46">
        <v>2</v>
      </c>
      <c r="F154" s="46" t="s">
        <v>60</v>
      </c>
      <c r="G154" s="46">
        <v>1</v>
      </c>
      <c r="H154" s="47">
        <v>29</v>
      </c>
      <c r="I154" s="47" t="s">
        <v>101</v>
      </c>
      <c r="J154" s="48">
        <v>0</v>
      </c>
      <c r="K154" s="48">
        <v>0</v>
      </c>
      <c r="R154" s="46">
        <f t="shared" si="33"/>
        <v>0</v>
      </c>
      <c r="S154" s="46">
        <f t="shared" si="34"/>
        <v>0</v>
      </c>
      <c r="T154" s="46">
        <f t="shared" si="32"/>
        <v>0</v>
      </c>
      <c r="U154" s="46">
        <f t="shared" si="35"/>
        <v>0</v>
      </c>
      <c r="V154" s="54">
        <f t="shared" si="36"/>
        <v>5.166666666666667</v>
      </c>
    </row>
    <row r="155" spans="1:22" x14ac:dyDescent="0.2">
      <c r="A155" s="46" t="s">
        <v>193</v>
      </c>
      <c r="B155" s="46" t="s">
        <v>56</v>
      </c>
      <c r="C155" s="46" t="s">
        <v>89</v>
      </c>
      <c r="D155" s="46" t="s">
        <v>178</v>
      </c>
      <c r="E155" s="46">
        <v>4</v>
      </c>
      <c r="F155" s="46" t="s">
        <v>60</v>
      </c>
      <c r="G155" s="46">
        <v>2</v>
      </c>
      <c r="H155" s="47">
        <v>30</v>
      </c>
      <c r="I155" s="47" t="s">
        <v>127</v>
      </c>
      <c r="J155" s="48">
        <v>0</v>
      </c>
      <c r="K155" s="48">
        <v>0</v>
      </c>
      <c r="R155" s="46">
        <f t="shared" si="33"/>
        <v>0</v>
      </c>
      <c r="S155" s="46">
        <f t="shared" si="34"/>
        <v>0</v>
      </c>
      <c r="T155" s="46">
        <f t="shared" si="32"/>
        <v>0</v>
      </c>
      <c r="U155" s="46">
        <f t="shared" si="35"/>
        <v>0</v>
      </c>
      <c r="V155" s="54">
        <f t="shared" si="36"/>
        <v>5.166666666666667</v>
      </c>
    </row>
    <row r="156" spans="1:22" x14ac:dyDescent="0.2">
      <c r="A156" s="46" t="s">
        <v>193</v>
      </c>
      <c r="B156" s="46" t="s">
        <v>56</v>
      </c>
      <c r="C156" s="46" t="s">
        <v>89</v>
      </c>
      <c r="D156" s="46" t="s">
        <v>178</v>
      </c>
      <c r="E156" s="46">
        <v>3</v>
      </c>
      <c r="F156" s="46" t="s">
        <v>60</v>
      </c>
      <c r="G156" s="46">
        <v>1</v>
      </c>
      <c r="H156" s="47">
        <v>33</v>
      </c>
      <c r="I156" s="47" t="s">
        <v>101</v>
      </c>
      <c r="J156" s="48">
        <v>0</v>
      </c>
      <c r="K156" s="48">
        <v>1</v>
      </c>
      <c r="R156" s="46">
        <f t="shared" si="33"/>
        <v>0</v>
      </c>
      <c r="S156" s="46">
        <f t="shared" si="34"/>
        <v>0</v>
      </c>
      <c r="T156" s="46">
        <f t="shared" si="32"/>
        <v>0</v>
      </c>
      <c r="U156" s="46">
        <f t="shared" si="35"/>
        <v>0</v>
      </c>
      <c r="V156" s="54">
        <f t="shared" si="36"/>
        <v>5.166666666666667</v>
      </c>
    </row>
    <row r="157" spans="1:22" x14ac:dyDescent="0.2">
      <c r="A157" s="46" t="s">
        <v>193</v>
      </c>
      <c r="B157" s="46" t="s">
        <v>56</v>
      </c>
      <c r="C157" s="46" t="s">
        <v>89</v>
      </c>
      <c r="D157" s="46" t="s">
        <v>178</v>
      </c>
      <c r="E157" s="46">
        <v>2</v>
      </c>
      <c r="F157" s="46" t="s">
        <v>60</v>
      </c>
      <c r="G157" s="46">
        <v>4</v>
      </c>
      <c r="H157" s="47">
        <v>40</v>
      </c>
      <c r="I157" s="47" t="s">
        <v>102</v>
      </c>
      <c r="J157" s="48">
        <v>0</v>
      </c>
      <c r="K157" s="48">
        <v>0</v>
      </c>
      <c r="L157" s="48">
        <v>1</v>
      </c>
      <c r="M157" s="48">
        <v>1</v>
      </c>
      <c r="R157" s="46">
        <f t="shared" si="33"/>
        <v>0</v>
      </c>
      <c r="S157" s="46">
        <f t="shared" si="34"/>
        <v>0</v>
      </c>
      <c r="T157" s="46">
        <f t="shared" si="32"/>
        <v>0</v>
      </c>
      <c r="U157" s="46">
        <f t="shared" si="35"/>
        <v>15</v>
      </c>
      <c r="V157" s="54">
        <f t="shared" si="36"/>
        <v>5.166666666666667</v>
      </c>
    </row>
    <row r="158" spans="1:22" x14ac:dyDescent="0.2">
      <c r="A158" s="46" t="s">
        <v>193</v>
      </c>
      <c r="B158" s="46" t="s">
        <v>56</v>
      </c>
      <c r="C158" s="46" t="s">
        <v>89</v>
      </c>
      <c r="D158" s="46" t="s">
        <v>178</v>
      </c>
      <c r="E158" s="46">
        <v>3</v>
      </c>
      <c r="F158" s="46" t="s">
        <v>60</v>
      </c>
      <c r="G158" s="46">
        <v>1</v>
      </c>
      <c r="H158" s="47">
        <v>41</v>
      </c>
      <c r="I158" s="47" t="s">
        <v>101</v>
      </c>
      <c r="J158" s="48">
        <v>0</v>
      </c>
      <c r="K158" s="48">
        <v>1</v>
      </c>
      <c r="R158" s="46">
        <f t="shared" si="33"/>
        <v>0</v>
      </c>
      <c r="S158" s="46">
        <f t="shared" si="34"/>
        <v>0</v>
      </c>
      <c r="T158" s="46">
        <f t="shared" si="32"/>
        <v>0</v>
      </c>
      <c r="U158" s="46">
        <f t="shared" si="35"/>
        <v>0</v>
      </c>
      <c r="V158" s="54">
        <f t="shared" si="36"/>
        <v>5.166666666666667</v>
      </c>
    </row>
    <row r="159" spans="1:22" x14ac:dyDescent="0.2">
      <c r="A159" s="46" t="s">
        <v>193</v>
      </c>
      <c r="B159" s="46" t="s">
        <v>56</v>
      </c>
      <c r="C159" s="46" t="s">
        <v>89</v>
      </c>
      <c r="D159" s="46" t="s">
        <v>178</v>
      </c>
      <c r="E159" s="46">
        <v>1</v>
      </c>
      <c r="F159" s="46" t="s">
        <v>60</v>
      </c>
      <c r="G159" s="46">
        <v>3</v>
      </c>
      <c r="H159" s="47">
        <v>43</v>
      </c>
      <c r="I159" s="47" t="s">
        <v>116</v>
      </c>
      <c r="J159" s="48">
        <v>0</v>
      </c>
      <c r="K159" s="48">
        <v>1</v>
      </c>
      <c r="R159" s="46">
        <f t="shared" si="33"/>
        <v>0</v>
      </c>
      <c r="S159" s="46">
        <f t="shared" si="34"/>
        <v>0</v>
      </c>
      <c r="T159" s="46">
        <f t="shared" si="32"/>
        <v>0</v>
      </c>
      <c r="U159" s="46">
        <f t="shared" si="35"/>
        <v>0</v>
      </c>
      <c r="V159" s="54">
        <f t="shared" si="36"/>
        <v>5.166666666666667</v>
      </c>
    </row>
    <row r="160" spans="1:22" x14ac:dyDescent="0.2">
      <c r="A160" s="46" t="s">
        <v>193</v>
      </c>
      <c r="B160" s="46" t="s">
        <v>56</v>
      </c>
      <c r="C160" s="46" t="s">
        <v>89</v>
      </c>
      <c r="D160" s="46" t="s">
        <v>178</v>
      </c>
      <c r="E160" s="46">
        <v>1</v>
      </c>
      <c r="F160" s="46" t="s">
        <v>60</v>
      </c>
      <c r="G160" s="46">
        <v>1</v>
      </c>
      <c r="H160" s="47">
        <v>49</v>
      </c>
      <c r="I160" s="47" t="s">
        <v>101</v>
      </c>
      <c r="J160" s="48">
        <v>0</v>
      </c>
      <c r="K160" s="48">
        <v>0</v>
      </c>
      <c r="L160" s="48">
        <v>1</v>
      </c>
      <c r="R160" s="46">
        <f t="shared" si="33"/>
        <v>0</v>
      </c>
      <c r="S160" s="46">
        <f t="shared" si="34"/>
        <v>0</v>
      </c>
      <c r="T160" s="46">
        <f t="shared" si="32"/>
        <v>0</v>
      </c>
      <c r="U160" s="46">
        <f t="shared" si="35"/>
        <v>-5</v>
      </c>
      <c r="V160" s="54">
        <f t="shared" si="36"/>
        <v>5.166666666666667</v>
      </c>
    </row>
    <row r="161" spans="1:22" x14ac:dyDescent="0.2">
      <c r="A161" s="46" t="s">
        <v>193</v>
      </c>
      <c r="B161" s="46" t="s">
        <v>56</v>
      </c>
      <c r="C161" s="46" t="s">
        <v>89</v>
      </c>
      <c r="D161" s="46" t="s">
        <v>178</v>
      </c>
      <c r="E161" s="46">
        <v>1</v>
      </c>
      <c r="F161" s="46" t="s">
        <v>62</v>
      </c>
      <c r="G161" s="46">
        <v>2</v>
      </c>
      <c r="H161" s="47" t="s">
        <v>79</v>
      </c>
      <c r="I161" s="47" t="s">
        <v>127</v>
      </c>
      <c r="J161" s="48">
        <v>0</v>
      </c>
      <c r="K161" s="48">
        <v>0</v>
      </c>
      <c r="R161" s="46">
        <f t="shared" si="33"/>
        <v>0</v>
      </c>
      <c r="S161" s="46">
        <f t="shared" si="34"/>
        <v>0</v>
      </c>
      <c r="T161" s="46">
        <f t="shared" si="32"/>
        <v>0</v>
      </c>
      <c r="U161" s="46">
        <f t="shared" si="35"/>
        <v>0</v>
      </c>
      <c r="V161" s="54">
        <f t="shared" si="36"/>
        <v>5.166666666666667</v>
      </c>
    </row>
    <row r="162" spans="1:22" x14ac:dyDescent="0.2">
      <c r="A162" s="46" t="s">
        <v>193</v>
      </c>
      <c r="B162" s="46" t="s">
        <v>56</v>
      </c>
      <c r="C162" s="46" t="s">
        <v>89</v>
      </c>
      <c r="D162" s="46" t="s">
        <v>178</v>
      </c>
      <c r="E162" s="46">
        <v>2</v>
      </c>
      <c r="F162" s="46" t="s">
        <v>62</v>
      </c>
      <c r="G162" s="46">
        <v>2</v>
      </c>
      <c r="H162" s="47" t="s">
        <v>82</v>
      </c>
      <c r="I162" s="47" t="s">
        <v>127</v>
      </c>
      <c r="J162" s="48">
        <v>0</v>
      </c>
      <c r="K162" s="48">
        <v>0</v>
      </c>
      <c r="R162" s="46">
        <f t="shared" si="33"/>
        <v>0</v>
      </c>
      <c r="S162" s="46">
        <f t="shared" si="34"/>
        <v>0</v>
      </c>
      <c r="T162" s="46">
        <f t="shared" si="32"/>
        <v>0</v>
      </c>
      <c r="U162" s="46">
        <f t="shared" si="35"/>
        <v>0</v>
      </c>
      <c r="V162" s="54">
        <f t="shared" si="36"/>
        <v>5.166666666666667</v>
      </c>
    </row>
    <row r="163" spans="1:22" x14ac:dyDescent="0.2">
      <c r="A163" s="46" t="s">
        <v>193</v>
      </c>
      <c r="B163" s="46" t="s">
        <v>56</v>
      </c>
      <c r="C163" s="46" t="s">
        <v>89</v>
      </c>
      <c r="D163" s="46" t="s">
        <v>178</v>
      </c>
      <c r="E163" s="46">
        <v>1</v>
      </c>
      <c r="F163" s="46" t="s">
        <v>62</v>
      </c>
      <c r="G163" s="46">
        <v>3</v>
      </c>
      <c r="H163" s="47" t="s">
        <v>84</v>
      </c>
      <c r="I163" s="47" t="s">
        <v>116</v>
      </c>
      <c r="J163" s="48">
        <v>0</v>
      </c>
      <c r="K163" s="48">
        <v>0</v>
      </c>
      <c r="L163" s="48">
        <v>1</v>
      </c>
      <c r="R163" s="46">
        <f t="shared" si="33"/>
        <v>0</v>
      </c>
      <c r="S163" s="46">
        <f t="shared" si="34"/>
        <v>0</v>
      </c>
      <c r="T163" s="46">
        <f t="shared" si="32"/>
        <v>0</v>
      </c>
      <c r="U163" s="46">
        <f t="shared" si="35"/>
        <v>-5</v>
      </c>
      <c r="V163" s="54">
        <f t="shared" si="36"/>
        <v>5.166666666666667</v>
      </c>
    </row>
    <row r="164" spans="1:22" x14ac:dyDescent="0.2">
      <c r="A164" s="46" t="s">
        <v>193</v>
      </c>
      <c r="B164" s="46" t="s">
        <v>56</v>
      </c>
      <c r="C164" s="46" t="s">
        <v>89</v>
      </c>
      <c r="D164" s="46" t="s">
        <v>178</v>
      </c>
      <c r="E164" s="46">
        <v>4</v>
      </c>
      <c r="F164" s="46" t="s">
        <v>62</v>
      </c>
      <c r="G164" s="46">
        <v>3</v>
      </c>
      <c r="H164" s="47" t="s">
        <v>84</v>
      </c>
      <c r="I164" s="47" t="s">
        <v>219</v>
      </c>
      <c r="J164" s="48">
        <v>0</v>
      </c>
      <c r="K164" s="48">
        <v>1</v>
      </c>
      <c r="R164" s="46">
        <f t="shared" si="33"/>
        <v>0</v>
      </c>
      <c r="S164" s="46">
        <f t="shared" si="34"/>
        <v>0</v>
      </c>
      <c r="T164" s="46">
        <f t="shared" si="32"/>
        <v>0</v>
      </c>
      <c r="U164" s="46">
        <f t="shared" si="35"/>
        <v>0</v>
      </c>
      <c r="V164" s="54">
        <f t="shared" si="36"/>
        <v>5.166666666666667</v>
      </c>
    </row>
    <row r="165" spans="1:22" x14ac:dyDescent="0.2">
      <c r="A165" s="46" t="s">
        <v>193</v>
      </c>
      <c r="B165" s="46" t="s">
        <v>56</v>
      </c>
      <c r="C165" s="46" t="s">
        <v>89</v>
      </c>
      <c r="D165" s="46" t="s">
        <v>178</v>
      </c>
      <c r="E165" s="46">
        <v>1</v>
      </c>
      <c r="F165" s="46" t="s">
        <v>62</v>
      </c>
      <c r="G165" s="46">
        <v>3</v>
      </c>
      <c r="H165" s="47" t="s">
        <v>87</v>
      </c>
      <c r="I165" s="47" t="s">
        <v>116</v>
      </c>
      <c r="J165" s="48">
        <v>0</v>
      </c>
      <c r="K165" s="48">
        <v>0</v>
      </c>
      <c r="R165" s="46">
        <f t="shared" si="33"/>
        <v>0</v>
      </c>
      <c r="S165" s="46">
        <f t="shared" si="34"/>
        <v>0</v>
      </c>
      <c r="T165" s="46">
        <f t="shared" si="32"/>
        <v>0</v>
      </c>
      <c r="U165" s="46">
        <f t="shared" si="35"/>
        <v>0</v>
      </c>
      <c r="V165" s="54">
        <f t="shared" si="36"/>
        <v>5.166666666666667</v>
      </c>
    </row>
    <row r="166" spans="1:22" x14ac:dyDescent="0.2">
      <c r="A166" s="46" t="s">
        <v>193</v>
      </c>
      <c r="B166" s="46" t="s">
        <v>56</v>
      </c>
      <c r="C166" s="46" t="s">
        <v>89</v>
      </c>
      <c r="D166" s="46" t="s">
        <v>178</v>
      </c>
      <c r="E166" s="46">
        <v>4</v>
      </c>
      <c r="F166" s="46" t="s">
        <v>62</v>
      </c>
      <c r="G166" s="46">
        <v>3</v>
      </c>
      <c r="H166" s="47" t="s">
        <v>87</v>
      </c>
      <c r="I166" s="47" t="s">
        <v>219</v>
      </c>
      <c r="J166" s="48">
        <v>0</v>
      </c>
      <c r="K166" s="48">
        <v>0</v>
      </c>
      <c r="R166" s="46">
        <f t="shared" si="33"/>
        <v>0</v>
      </c>
      <c r="S166" s="46">
        <f t="shared" si="34"/>
        <v>0</v>
      </c>
      <c r="T166" s="46">
        <f t="shared" si="32"/>
        <v>0</v>
      </c>
      <c r="U166" s="46">
        <f t="shared" si="35"/>
        <v>0</v>
      </c>
      <c r="V166" s="54">
        <f t="shared" si="36"/>
        <v>5.166666666666667</v>
      </c>
    </row>
    <row r="167" spans="1:22" x14ac:dyDescent="0.2">
      <c r="A167" s="46" t="s">
        <v>193</v>
      </c>
      <c r="B167" s="46" t="s">
        <v>56</v>
      </c>
      <c r="C167" s="46" t="s">
        <v>89</v>
      </c>
      <c r="D167" s="46" t="s">
        <v>178</v>
      </c>
      <c r="E167" s="46">
        <v>2</v>
      </c>
      <c r="F167" s="46" t="s">
        <v>62</v>
      </c>
      <c r="G167" s="46">
        <v>2</v>
      </c>
      <c r="H167" s="47" t="s">
        <v>83</v>
      </c>
      <c r="I167" s="47" t="s">
        <v>127</v>
      </c>
      <c r="J167" s="48">
        <v>0</v>
      </c>
      <c r="K167" s="48">
        <v>0</v>
      </c>
      <c r="R167" s="46">
        <f t="shared" si="33"/>
        <v>0</v>
      </c>
      <c r="S167" s="46">
        <f t="shared" si="34"/>
        <v>0</v>
      </c>
      <c r="T167" s="46">
        <f t="shared" si="32"/>
        <v>0</v>
      </c>
      <c r="U167" s="46">
        <f t="shared" si="35"/>
        <v>0</v>
      </c>
      <c r="V167" s="54">
        <f t="shared" si="36"/>
        <v>5.166666666666667</v>
      </c>
    </row>
    <row r="168" spans="1:22" x14ac:dyDescent="0.2">
      <c r="A168" s="46" t="s">
        <v>193</v>
      </c>
      <c r="B168" s="46" t="s">
        <v>56</v>
      </c>
      <c r="C168" s="46" t="s">
        <v>89</v>
      </c>
      <c r="D168" s="46" t="s">
        <v>178</v>
      </c>
      <c r="E168" s="46">
        <v>3</v>
      </c>
      <c r="F168" s="46" t="s">
        <v>63</v>
      </c>
      <c r="G168" s="46">
        <v>4</v>
      </c>
      <c r="H168" s="47" t="s">
        <v>148</v>
      </c>
      <c r="I168" s="47" t="s">
        <v>102</v>
      </c>
      <c r="J168" s="48">
        <v>0</v>
      </c>
      <c r="K168" s="48">
        <v>0</v>
      </c>
      <c r="R168" s="46">
        <f t="shared" si="33"/>
        <v>0</v>
      </c>
      <c r="S168" s="46">
        <f t="shared" si="34"/>
        <v>0</v>
      </c>
      <c r="T168" s="46">
        <f t="shared" si="32"/>
        <v>0</v>
      </c>
      <c r="U168" s="46">
        <f t="shared" si="35"/>
        <v>0</v>
      </c>
      <c r="V168" s="54">
        <f t="shared" si="36"/>
        <v>5.166666666666667</v>
      </c>
    </row>
    <row r="169" spans="1:22" x14ac:dyDescent="0.2">
      <c r="A169" s="46" t="s">
        <v>193</v>
      </c>
      <c r="B169" s="46" t="s">
        <v>56</v>
      </c>
      <c r="C169" s="46" t="s">
        <v>89</v>
      </c>
      <c r="D169" s="46" t="s">
        <v>178</v>
      </c>
      <c r="E169" s="46">
        <v>3</v>
      </c>
      <c r="F169" s="46" t="s">
        <v>63</v>
      </c>
      <c r="G169" s="46">
        <v>4</v>
      </c>
      <c r="H169" s="47" t="s">
        <v>172</v>
      </c>
      <c r="I169" s="47" t="s">
        <v>102</v>
      </c>
      <c r="J169" s="48">
        <v>0</v>
      </c>
      <c r="K169" s="48">
        <v>1</v>
      </c>
      <c r="R169" s="46">
        <f t="shared" si="33"/>
        <v>0</v>
      </c>
      <c r="S169" s="46">
        <f t="shared" si="34"/>
        <v>0</v>
      </c>
      <c r="T169" s="46">
        <f t="shared" si="32"/>
        <v>0</v>
      </c>
      <c r="U169" s="46">
        <f t="shared" si="35"/>
        <v>0</v>
      </c>
      <c r="V169" s="54">
        <f t="shared" si="36"/>
        <v>5.166666666666667</v>
      </c>
    </row>
    <row r="170" spans="1:22" x14ac:dyDescent="0.2">
      <c r="A170" s="46" t="s">
        <v>193</v>
      </c>
      <c r="B170" s="46" t="s">
        <v>56</v>
      </c>
      <c r="C170" s="46" t="s">
        <v>89</v>
      </c>
      <c r="D170" s="46" t="s">
        <v>178</v>
      </c>
      <c r="E170" s="46">
        <v>4</v>
      </c>
      <c r="F170" s="46" t="s">
        <v>60</v>
      </c>
      <c r="G170" s="46">
        <v>4</v>
      </c>
      <c r="H170" s="47">
        <v>24</v>
      </c>
      <c r="I170" s="47" t="s">
        <v>102</v>
      </c>
      <c r="J170" s="48">
        <v>1</v>
      </c>
      <c r="K170" s="48">
        <v>0</v>
      </c>
      <c r="L170" s="48">
        <v>1</v>
      </c>
      <c r="R170" s="46">
        <f t="shared" si="33"/>
        <v>0</v>
      </c>
      <c r="S170" s="46">
        <f t="shared" si="34"/>
        <v>0</v>
      </c>
      <c r="T170" s="46">
        <f t="shared" si="32"/>
        <v>20</v>
      </c>
      <c r="U170" s="46">
        <f t="shared" si="35"/>
        <v>15</v>
      </c>
      <c r="V170" s="54">
        <f t="shared" si="36"/>
        <v>5.166666666666667</v>
      </c>
    </row>
    <row r="171" spans="1:22" x14ac:dyDescent="0.2">
      <c r="A171" s="46" t="s">
        <v>193</v>
      </c>
      <c r="B171" s="46" t="s">
        <v>56</v>
      </c>
      <c r="C171" s="46" t="s">
        <v>89</v>
      </c>
      <c r="D171" s="46" t="s">
        <v>178</v>
      </c>
      <c r="E171" s="46">
        <v>1</v>
      </c>
      <c r="F171" s="46" t="s">
        <v>60</v>
      </c>
      <c r="G171" s="46">
        <v>4</v>
      </c>
      <c r="H171" s="47">
        <v>36</v>
      </c>
      <c r="I171" s="47" t="s">
        <v>102</v>
      </c>
      <c r="J171" s="48">
        <v>1</v>
      </c>
      <c r="K171" s="48">
        <v>0</v>
      </c>
      <c r="R171" s="46">
        <f t="shared" si="33"/>
        <v>0</v>
      </c>
      <c r="S171" s="46">
        <f t="shared" si="34"/>
        <v>0</v>
      </c>
      <c r="T171" s="46">
        <f t="shared" si="32"/>
        <v>20</v>
      </c>
      <c r="U171" s="46">
        <f t="shared" si="35"/>
        <v>20</v>
      </c>
      <c r="V171" s="54">
        <f t="shared" si="36"/>
        <v>5.166666666666667</v>
      </c>
    </row>
    <row r="172" spans="1:22" x14ac:dyDescent="0.2">
      <c r="A172" s="46" t="s">
        <v>193</v>
      </c>
      <c r="B172" s="46" t="s">
        <v>56</v>
      </c>
      <c r="C172" s="46" t="s">
        <v>89</v>
      </c>
      <c r="D172" s="46" t="s">
        <v>178</v>
      </c>
      <c r="E172" s="46">
        <v>4</v>
      </c>
      <c r="F172" s="46" t="s">
        <v>60</v>
      </c>
      <c r="G172" s="46">
        <v>1</v>
      </c>
      <c r="H172" s="47">
        <v>37</v>
      </c>
      <c r="I172" s="47" t="s">
        <v>101</v>
      </c>
      <c r="J172" s="48">
        <v>1</v>
      </c>
      <c r="K172" s="48">
        <v>0</v>
      </c>
      <c r="R172" s="46">
        <f t="shared" si="33"/>
        <v>0</v>
      </c>
      <c r="S172" s="46">
        <f t="shared" si="34"/>
        <v>0</v>
      </c>
      <c r="T172" s="46">
        <f t="shared" si="32"/>
        <v>20</v>
      </c>
      <c r="U172" s="46">
        <f t="shared" si="35"/>
        <v>20</v>
      </c>
      <c r="V172" s="54">
        <f t="shared" si="36"/>
        <v>5.166666666666667</v>
      </c>
    </row>
    <row r="173" spans="1:22" x14ac:dyDescent="0.2">
      <c r="A173" s="46" t="s">
        <v>193</v>
      </c>
      <c r="B173" s="46" t="s">
        <v>56</v>
      </c>
      <c r="C173" s="46" t="s">
        <v>89</v>
      </c>
      <c r="D173" s="46" t="s">
        <v>178</v>
      </c>
      <c r="E173" s="46">
        <v>2</v>
      </c>
      <c r="F173" s="46" t="s">
        <v>60</v>
      </c>
      <c r="G173" s="46">
        <v>2</v>
      </c>
      <c r="H173" s="47">
        <v>46</v>
      </c>
      <c r="I173" s="47" t="s">
        <v>127</v>
      </c>
      <c r="J173" s="48">
        <v>1</v>
      </c>
      <c r="K173" s="48">
        <v>0</v>
      </c>
      <c r="R173" s="46">
        <f t="shared" si="33"/>
        <v>0</v>
      </c>
      <c r="S173" s="46">
        <f t="shared" si="34"/>
        <v>0</v>
      </c>
      <c r="T173" s="46">
        <f t="shared" si="32"/>
        <v>20</v>
      </c>
      <c r="U173" s="46">
        <f t="shared" si="35"/>
        <v>20</v>
      </c>
      <c r="V173" s="54">
        <f t="shared" si="36"/>
        <v>5.166666666666667</v>
      </c>
    </row>
    <row r="174" spans="1:22" x14ac:dyDescent="0.2">
      <c r="A174" s="46" t="s">
        <v>193</v>
      </c>
      <c r="B174" s="46" t="s">
        <v>56</v>
      </c>
      <c r="C174" s="46" t="s">
        <v>89</v>
      </c>
      <c r="D174" s="46" t="s">
        <v>178</v>
      </c>
      <c r="E174" s="46">
        <v>4</v>
      </c>
      <c r="F174" s="46" t="s">
        <v>60</v>
      </c>
      <c r="G174" s="46">
        <v>4</v>
      </c>
      <c r="H174" s="47">
        <v>48</v>
      </c>
      <c r="I174" s="47" t="s">
        <v>102</v>
      </c>
      <c r="J174" s="48">
        <v>1</v>
      </c>
      <c r="K174" s="48">
        <v>0</v>
      </c>
      <c r="R174" s="46">
        <f t="shared" si="33"/>
        <v>0</v>
      </c>
      <c r="S174" s="46">
        <f t="shared" si="34"/>
        <v>0</v>
      </c>
      <c r="T174" s="46">
        <f t="shared" si="32"/>
        <v>20</v>
      </c>
      <c r="U174" s="46">
        <f t="shared" si="35"/>
        <v>20</v>
      </c>
      <c r="V174" s="54">
        <f t="shared" si="36"/>
        <v>5.166666666666667</v>
      </c>
    </row>
    <row r="175" spans="1:22" x14ac:dyDescent="0.2">
      <c r="A175" s="46" t="s">
        <v>193</v>
      </c>
      <c r="B175" s="46" t="s">
        <v>56</v>
      </c>
      <c r="C175" s="46" t="s">
        <v>89</v>
      </c>
      <c r="D175" s="46" t="s">
        <v>178</v>
      </c>
      <c r="E175" s="46">
        <v>2</v>
      </c>
      <c r="F175" s="46" t="s">
        <v>62</v>
      </c>
      <c r="G175" s="46">
        <v>2</v>
      </c>
      <c r="H175" s="47" t="s">
        <v>79</v>
      </c>
      <c r="I175" s="47" t="s">
        <v>127</v>
      </c>
      <c r="J175" s="48">
        <v>1</v>
      </c>
      <c r="K175" s="48">
        <v>0</v>
      </c>
      <c r="O175" s="48">
        <v>1</v>
      </c>
      <c r="R175" s="46">
        <f t="shared" si="33"/>
        <v>0</v>
      </c>
      <c r="S175" s="46">
        <f t="shared" si="34"/>
        <v>0</v>
      </c>
      <c r="T175" s="46">
        <f t="shared" si="32"/>
        <v>20</v>
      </c>
      <c r="U175" s="46">
        <f t="shared" si="35"/>
        <v>30</v>
      </c>
      <c r="V175" s="54">
        <f t="shared" si="36"/>
        <v>5.166666666666667</v>
      </c>
    </row>
    <row r="176" spans="1:22" x14ac:dyDescent="0.2">
      <c r="A176" s="46" t="s">
        <v>193</v>
      </c>
      <c r="B176" s="46" t="s">
        <v>56</v>
      </c>
      <c r="C176" s="46" t="s">
        <v>89</v>
      </c>
      <c r="D176" s="46" t="s">
        <v>178</v>
      </c>
      <c r="E176" s="46">
        <v>4</v>
      </c>
      <c r="F176" s="46" t="s">
        <v>62</v>
      </c>
      <c r="G176" s="46">
        <v>2</v>
      </c>
      <c r="H176" s="47" t="s">
        <v>81</v>
      </c>
      <c r="I176" s="47" t="s">
        <v>127</v>
      </c>
      <c r="J176" s="48">
        <v>1</v>
      </c>
      <c r="K176" s="48">
        <v>0</v>
      </c>
      <c r="L176" s="48">
        <v>1</v>
      </c>
      <c r="R176" s="46">
        <f t="shared" si="33"/>
        <v>0</v>
      </c>
      <c r="S176" s="46">
        <f t="shared" si="34"/>
        <v>0</v>
      </c>
      <c r="T176" s="46">
        <f t="shared" ref="T176:T239" si="37">quizscore(J176,K176)</f>
        <v>20</v>
      </c>
      <c r="U176" s="46">
        <f t="shared" si="35"/>
        <v>15</v>
      </c>
      <c r="V176" s="54">
        <f t="shared" si="36"/>
        <v>5.166666666666667</v>
      </c>
    </row>
    <row r="177" spans="1:22" x14ac:dyDescent="0.2">
      <c r="A177" s="46" t="s">
        <v>193</v>
      </c>
      <c r="B177" s="46" t="s">
        <v>56</v>
      </c>
      <c r="C177" s="46" t="s">
        <v>89</v>
      </c>
      <c r="D177" s="46" t="s">
        <v>178</v>
      </c>
      <c r="E177" s="46">
        <v>3</v>
      </c>
      <c r="F177" s="46" t="s">
        <v>63</v>
      </c>
      <c r="G177" s="46">
        <v>4</v>
      </c>
      <c r="H177" s="47" t="s">
        <v>149</v>
      </c>
      <c r="I177" s="47" t="s">
        <v>102</v>
      </c>
      <c r="J177" s="48">
        <v>1</v>
      </c>
      <c r="K177" s="48">
        <v>0</v>
      </c>
      <c r="O177" s="48">
        <v>1</v>
      </c>
      <c r="R177" s="46">
        <f t="shared" si="33"/>
        <v>0</v>
      </c>
      <c r="S177" s="46">
        <f t="shared" si="34"/>
        <v>0</v>
      </c>
      <c r="T177" s="46">
        <f t="shared" si="37"/>
        <v>20</v>
      </c>
      <c r="U177" s="46">
        <f t="shared" si="35"/>
        <v>30</v>
      </c>
      <c r="V177" s="54">
        <f t="shared" si="36"/>
        <v>5.166666666666667</v>
      </c>
    </row>
    <row r="178" spans="1:22" x14ac:dyDescent="0.2">
      <c r="A178" s="46" t="s">
        <v>193</v>
      </c>
      <c r="B178" s="46" t="s">
        <v>56</v>
      </c>
      <c r="C178" s="46" t="s">
        <v>89</v>
      </c>
      <c r="D178" s="46" t="s">
        <v>178</v>
      </c>
      <c r="E178" s="46">
        <v>3</v>
      </c>
      <c r="F178" s="46" t="s">
        <v>63</v>
      </c>
      <c r="G178" s="46">
        <v>4</v>
      </c>
      <c r="H178" s="47" t="s">
        <v>147</v>
      </c>
      <c r="I178" s="47" t="s">
        <v>102</v>
      </c>
      <c r="J178" s="48">
        <v>2</v>
      </c>
      <c r="K178" s="48">
        <v>0</v>
      </c>
      <c r="R178" s="46">
        <f t="shared" si="33"/>
        <v>0</v>
      </c>
      <c r="S178" s="46">
        <f t="shared" si="34"/>
        <v>0</v>
      </c>
      <c r="T178" s="46">
        <f t="shared" si="37"/>
        <v>40</v>
      </c>
      <c r="U178" s="46">
        <f t="shared" si="35"/>
        <v>40</v>
      </c>
      <c r="V178" s="54">
        <f t="shared" si="36"/>
        <v>5.166666666666667</v>
      </c>
    </row>
    <row r="179" spans="1:22" x14ac:dyDescent="0.2">
      <c r="A179" s="46" t="s">
        <v>193</v>
      </c>
      <c r="B179" s="46" t="s">
        <v>56</v>
      </c>
      <c r="C179" s="46" t="s">
        <v>89</v>
      </c>
      <c r="D179" s="46" t="s">
        <v>178</v>
      </c>
      <c r="E179" s="46">
        <v>5</v>
      </c>
      <c r="F179" s="46" t="s">
        <v>60</v>
      </c>
      <c r="G179" s="46">
        <v>1</v>
      </c>
      <c r="H179" s="47">
        <v>5</v>
      </c>
      <c r="I179" s="47" t="s">
        <v>101</v>
      </c>
      <c r="J179" s="48">
        <v>0</v>
      </c>
      <c r="K179" s="48">
        <v>0</v>
      </c>
      <c r="L179" s="48">
        <v>1</v>
      </c>
      <c r="R179" s="46">
        <f t="shared" si="33"/>
        <v>0</v>
      </c>
      <c r="S179" s="46">
        <f t="shared" si="34"/>
        <v>0</v>
      </c>
      <c r="T179" s="46">
        <f t="shared" si="37"/>
        <v>0</v>
      </c>
      <c r="U179" s="46">
        <f t="shared" si="35"/>
        <v>-5</v>
      </c>
      <c r="V179" s="54">
        <f t="shared" si="36"/>
        <v>5.166666666666667</v>
      </c>
    </row>
    <row r="180" spans="1:22" x14ac:dyDescent="0.2">
      <c r="A180" s="46" t="s">
        <v>193</v>
      </c>
      <c r="B180" s="46" t="s">
        <v>56</v>
      </c>
      <c r="C180" s="46" t="s">
        <v>89</v>
      </c>
      <c r="D180" s="46" t="s">
        <v>178</v>
      </c>
      <c r="E180" s="46">
        <v>5</v>
      </c>
      <c r="F180" s="46" t="s">
        <v>60</v>
      </c>
      <c r="G180" s="46">
        <v>4</v>
      </c>
      <c r="H180" s="47">
        <v>20</v>
      </c>
      <c r="I180" s="47" t="s">
        <v>102</v>
      </c>
      <c r="J180" s="48">
        <v>1</v>
      </c>
      <c r="K180" s="48">
        <v>0</v>
      </c>
      <c r="R180" s="46">
        <f t="shared" si="33"/>
        <v>0</v>
      </c>
      <c r="S180" s="46">
        <f t="shared" si="34"/>
        <v>0</v>
      </c>
      <c r="T180" s="46">
        <f t="shared" si="37"/>
        <v>20</v>
      </c>
      <c r="U180" s="46">
        <f t="shared" si="35"/>
        <v>20</v>
      </c>
      <c r="V180" s="54">
        <f t="shared" si="36"/>
        <v>5.166666666666667</v>
      </c>
    </row>
    <row r="181" spans="1:22" x14ac:dyDescent="0.2">
      <c r="A181" s="46" t="s">
        <v>193</v>
      </c>
      <c r="B181" s="46" t="s">
        <v>56</v>
      </c>
      <c r="C181" s="46" t="s">
        <v>89</v>
      </c>
      <c r="D181" s="46" t="s">
        <v>178</v>
      </c>
      <c r="E181" s="46">
        <v>5</v>
      </c>
      <c r="F181" s="46" t="s">
        <v>60</v>
      </c>
      <c r="G181" s="46">
        <v>2</v>
      </c>
      <c r="H181" s="47">
        <v>26</v>
      </c>
      <c r="I181" s="47" t="s">
        <v>127</v>
      </c>
      <c r="J181" s="48">
        <v>0</v>
      </c>
      <c r="K181" s="48">
        <v>0</v>
      </c>
      <c r="R181" s="46">
        <f t="shared" si="33"/>
        <v>0</v>
      </c>
      <c r="S181" s="46">
        <f t="shared" si="34"/>
        <v>0</v>
      </c>
      <c r="T181" s="46">
        <f t="shared" si="37"/>
        <v>0</v>
      </c>
      <c r="U181" s="46">
        <f t="shared" si="35"/>
        <v>0</v>
      </c>
      <c r="V181" s="54">
        <f t="shared" si="36"/>
        <v>5.166666666666667</v>
      </c>
    </row>
    <row r="182" spans="1:22" x14ac:dyDescent="0.2">
      <c r="A182" s="46" t="s">
        <v>193</v>
      </c>
      <c r="B182" s="46" t="s">
        <v>56</v>
      </c>
      <c r="C182" s="46" t="s">
        <v>89</v>
      </c>
      <c r="D182" s="46" t="s">
        <v>178</v>
      </c>
      <c r="E182" s="46">
        <v>5</v>
      </c>
      <c r="F182" s="46" t="s">
        <v>60</v>
      </c>
      <c r="G182" s="46">
        <v>2</v>
      </c>
      <c r="H182" s="47">
        <v>34</v>
      </c>
      <c r="I182" s="47" t="s">
        <v>127</v>
      </c>
      <c r="J182" s="48">
        <v>0</v>
      </c>
      <c r="K182" s="48">
        <v>0</v>
      </c>
      <c r="R182" s="46">
        <f t="shared" si="33"/>
        <v>0</v>
      </c>
      <c r="S182" s="46">
        <f t="shared" si="34"/>
        <v>0</v>
      </c>
      <c r="T182" s="46">
        <f t="shared" si="37"/>
        <v>0</v>
      </c>
      <c r="U182" s="46">
        <f t="shared" si="35"/>
        <v>0</v>
      </c>
      <c r="V182" s="54">
        <f t="shared" si="36"/>
        <v>5.166666666666667</v>
      </c>
    </row>
    <row r="183" spans="1:22" x14ac:dyDescent="0.2">
      <c r="A183" s="46" t="s">
        <v>193</v>
      </c>
      <c r="B183" s="46" t="s">
        <v>56</v>
      </c>
      <c r="C183" s="46" t="s">
        <v>89</v>
      </c>
      <c r="D183" s="46" t="s">
        <v>178</v>
      </c>
      <c r="E183" s="46">
        <v>5</v>
      </c>
      <c r="F183" s="46" t="s">
        <v>60</v>
      </c>
      <c r="G183" s="46">
        <v>3</v>
      </c>
      <c r="H183" s="47">
        <v>39</v>
      </c>
      <c r="I183" s="47" t="s">
        <v>159</v>
      </c>
      <c r="J183" s="48">
        <v>0</v>
      </c>
      <c r="K183" s="48">
        <v>1</v>
      </c>
      <c r="R183" s="46">
        <f t="shared" si="33"/>
        <v>0</v>
      </c>
      <c r="S183" s="46">
        <f t="shared" si="34"/>
        <v>0</v>
      </c>
      <c r="T183" s="46">
        <f t="shared" si="37"/>
        <v>0</v>
      </c>
      <c r="U183" s="46">
        <f t="shared" si="35"/>
        <v>0</v>
      </c>
      <c r="V183" s="54">
        <f t="shared" si="36"/>
        <v>5.166666666666667</v>
      </c>
    </row>
    <row r="184" spans="1:22" x14ac:dyDescent="0.2">
      <c r="A184" s="46" t="s">
        <v>193</v>
      </c>
      <c r="B184" s="46" t="s">
        <v>56</v>
      </c>
      <c r="C184" s="46" t="s">
        <v>89</v>
      </c>
      <c r="D184" s="46" t="s">
        <v>178</v>
      </c>
      <c r="E184" s="46">
        <v>5</v>
      </c>
      <c r="F184" s="46" t="s">
        <v>60</v>
      </c>
      <c r="G184" s="46">
        <v>4</v>
      </c>
      <c r="H184" s="47">
        <v>48</v>
      </c>
      <c r="I184" s="47" t="s">
        <v>102</v>
      </c>
      <c r="J184" s="48">
        <v>0</v>
      </c>
      <c r="K184" s="48">
        <v>0</v>
      </c>
      <c r="R184" s="46">
        <f t="shared" si="33"/>
        <v>0</v>
      </c>
      <c r="S184" s="46">
        <f t="shared" si="34"/>
        <v>0</v>
      </c>
      <c r="T184" s="46">
        <f t="shared" si="37"/>
        <v>0</v>
      </c>
      <c r="U184" s="46">
        <f t="shared" si="35"/>
        <v>0</v>
      </c>
      <c r="V184" s="54">
        <f t="shared" si="36"/>
        <v>5.166666666666667</v>
      </c>
    </row>
    <row r="185" spans="1:22" x14ac:dyDescent="0.2">
      <c r="A185" s="46" t="s">
        <v>193</v>
      </c>
      <c r="B185" s="46" t="s">
        <v>56</v>
      </c>
      <c r="C185" s="46" t="s">
        <v>89</v>
      </c>
      <c r="D185" s="46" t="s">
        <v>178</v>
      </c>
      <c r="E185" s="46">
        <v>5</v>
      </c>
      <c r="F185" s="46" t="s">
        <v>62</v>
      </c>
      <c r="G185" s="46">
        <v>2</v>
      </c>
      <c r="H185" s="47" t="s">
        <v>81</v>
      </c>
      <c r="I185" s="47" t="s">
        <v>127</v>
      </c>
      <c r="J185" s="48">
        <v>1</v>
      </c>
      <c r="K185" s="48">
        <v>0</v>
      </c>
      <c r="R185" s="46">
        <f t="shared" si="33"/>
        <v>0</v>
      </c>
      <c r="S185" s="46">
        <f t="shared" si="34"/>
        <v>0</v>
      </c>
      <c r="T185" s="46">
        <f t="shared" si="37"/>
        <v>20</v>
      </c>
      <c r="U185" s="46">
        <f t="shared" si="35"/>
        <v>20</v>
      </c>
      <c r="V185" s="54">
        <f t="shared" si="36"/>
        <v>5.166666666666667</v>
      </c>
    </row>
    <row r="186" spans="1:22" x14ac:dyDescent="0.2">
      <c r="A186" s="46" t="s">
        <v>193</v>
      </c>
      <c r="B186" s="46" t="s">
        <v>56</v>
      </c>
      <c r="C186" s="46" t="s">
        <v>89</v>
      </c>
      <c r="D186" s="46" t="s">
        <v>178</v>
      </c>
      <c r="E186" s="46">
        <v>5</v>
      </c>
      <c r="F186" s="46" t="s">
        <v>62</v>
      </c>
      <c r="G186" s="46">
        <v>3</v>
      </c>
      <c r="H186" s="47" t="s">
        <v>84</v>
      </c>
      <c r="I186" s="47" t="s">
        <v>219</v>
      </c>
      <c r="J186" s="48">
        <v>0</v>
      </c>
      <c r="K186" s="48">
        <v>0</v>
      </c>
      <c r="R186" s="46">
        <f t="shared" si="33"/>
        <v>0</v>
      </c>
      <c r="S186" s="46">
        <f t="shared" si="34"/>
        <v>0</v>
      </c>
      <c r="T186" s="46">
        <f t="shared" si="37"/>
        <v>0</v>
      </c>
      <c r="U186" s="46">
        <f t="shared" si="35"/>
        <v>0</v>
      </c>
      <c r="V186" s="54">
        <f t="shared" si="36"/>
        <v>5.166666666666667</v>
      </c>
    </row>
    <row r="187" spans="1:22" x14ac:dyDescent="0.2">
      <c r="A187" s="46" t="s">
        <v>193</v>
      </c>
      <c r="B187" s="46" t="s">
        <v>56</v>
      </c>
      <c r="C187" s="46" t="s">
        <v>89</v>
      </c>
      <c r="D187" s="46" t="s">
        <v>178</v>
      </c>
      <c r="E187" s="46">
        <v>5</v>
      </c>
      <c r="F187" s="46" t="s">
        <v>62</v>
      </c>
      <c r="G187" s="46">
        <v>3</v>
      </c>
      <c r="H187" s="47" t="s">
        <v>87</v>
      </c>
      <c r="I187" s="47" t="s">
        <v>219</v>
      </c>
      <c r="J187" s="48">
        <v>0</v>
      </c>
      <c r="K187" s="48">
        <v>1</v>
      </c>
      <c r="R187" s="46">
        <f t="shared" si="33"/>
        <v>0</v>
      </c>
      <c r="S187" s="46">
        <f t="shared" si="34"/>
        <v>0</v>
      </c>
      <c r="T187" s="46">
        <f t="shared" si="37"/>
        <v>0</v>
      </c>
      <c r="U187" s="46">
        <f t="shared" si="35"/>
        <v>0</v>
      </c>
      <c r="V187" s="54">
        <f t="shared" si="36"/>
        <v>5.166666666666667</v>
      </c>
    </row>
    <row r="188" spans="1:22" x14ac:dyDescent="0.2">
      <c r="A188" s="46" t="s">
        <v>193</v>
      </c>
      <c r="B188" s="46" t="s">
        <v>56</v>
      </c>
      <c r="C188" s="46" t="str">
        <f>VLOOKUP(B188,$B$2:$C$3219,2,FALSE)</f>
        <v>Chapel Hill</v>
      </c>
      <c r="D188" s="46" t="s">
        <v>178</v>
      </c>
      <c r="E188" s="46">
        <v>5</v>
      </c>
      <c r="F188" s="46" t="s">
        <v>62</v>
      </c>
      <c r="G188" s="46">
        <v>3</v>
      </c>
      <c r="H188" s="47" t="s">
        <v>64</v>
      </c>
      <c r="I188" s="47" t="s">
        <v>219</v>
      </c>
      <c r="J188" s="48">
        <v>1</v>
      </c>
      <c r="K188" s="48">
        <v>0</v>
      </c>
      <c r="R188" s="46">
        <f t="shared" si="33"/>
        <v>0</v>
      </c>
      <c r="S188" s="46">
        <f t="shared" si="34"/>
        <v>0</v>
      </c>
      <c r="T188" s="46">
        <f t="shared" si="37"/>
        <v>20</v>
      </c>
      <c r="U188" s="46">
        <f t="shared" si="35"/>
        <v>20</v>
      </c>
      <c r="V188" s="54">
        <f t="shared" si="36"/>
        <v>5.166666666666667</v>
      </c>
    </row>
    <row r="189" spans="1:22" x14ac:dyDescent="0.2">
      <c r="A189" s="46" t="s">
        <v>112</v>
      </c>
      <c r="B189" s="46" t="s">
        <v>209</v>
      </c>
      <c r="C189" s="46" t="s">
        <v>93</v>
      </c>
      <c r="D189" s="46" t="s">
        <v>178</v>
      </c>
      <c r="E189" s="46">
        <v>1</v>
      </c>
      <c r="F189" s="46" t="s">
        <v>60</v>
      </c>
      <c r="G189" s="46">
        <v>3</v>
      </c>
      <c r="H189" s="47">
        <v>7</v>
      </c>
      <c r="I189" s="47" t="s">
        <v>116</v>
      </c>
      <c r="J189" s="48">
        <v>0</v>
      </c>
      <c r="K189" s="48">
        <v>2</v>
      </c>
      <c r="R189" s="46">
        <f t="shared" si="33"/>
        <v>0</v>
      </c>
      <c r="S189" s="46">
        <f t="shared" si="34"/>
        <v>0</v>
      </c>
      <c r="T189" s="46">
        <f t="shared" si="37"/>
        <v>-10</v>
      </c>
      <c r="U189" s="46">
        <f t="shared" si="35"/>
        <v>-10</v>
      </c>
      <c r="V189" s="54">
        <f t="shared" si="36"/>
        <v>26.5</v>
      </c>
    </row>
    <row r="190" spans="1:22" x14ac:dyDescent="0.2">
      <c r="A190" s="46" t="s">
        <v>112</v>
      </c>
      <c r="B190" s="46" t="s">
        <v>209</v>
      </c>
      <c r="C190" s="46" t="s">
        <v>93</v>
      </c>
      <c r="D190" s="46" t="s">
        <v>178</v>
      </c>
      <c r="E190" s="46">
        <v>2</v>
      </c>
      <c r="F190" s="46" t="s">
        <v>60</v>
      </c>
      <c r="G190" s="46">
        <v>2</v>
      </c>
      <c r="H190" s="47">
        <v>2</v>
      </c>
      <c r="I190" s="47" t="s">
        <v>127</v>
      </c>
      <c r="J190" s="48">
        <v>0</v>
      </c>
      <c r="K190" s="48">
        <v>0</v>
      </c>
      <c r="R190" s="46">
        <f t="shared" si="33"/>
        <v>0</v>
      </c>
      <c r="S190" s="46">
        <f t="shared" si="34"/>
        <v>0</v>
      </c>
      <c r="T190" s="46">
        <f t="shared" si="37"/>
        <v>0</v>
      </c>
      <c r="U190" s="46">
        <f t="shared" si="35"/>
        <v>0</v>
      </c>
      <c r="V190" s="54">
        <f t="shared" si="36"/>
        <v>26.5</v>
      </c>
    </row>
    <row r="191" spans="1:22" x14ac:dyDescent="0.2">
      <c r="A191" s="46" t="s">
        <v>112</v>
      </c>
      <c r="B191" s="46" t="s">
        <v>209</v>
      </c>
      <c r="C191" s="46" t="s">
        <v>93</v>
      </c>
      <c r="D191" s="46" t="s">
        <v>178</v>
      </c>
      <c r="E191" s="46">
        <v>2</v>
      </c>
      <c r="F191" s="46" t="s">
        <v>60</v>
      </c>
      <c r="G191" s="46">
        <v>4</v>
      </c>
      <c r="H191" s="47">
        <v>8</v>
      </c>
      <c r="I191" s="47" t="s">
        <v>102</v>
      </c>
      <c r="J191" s="48">
        <v>0</v>
      </c>
      <c r="K191" s="48">
        <v>0</v>
      </c>
      <c r="M191" s="48">
        <v>1</v>
      </c>
      <c r="R191" s="46">
        <f t="shared" si="33"/>
        <v>0</v>
      </c>
      <c r="S191" s="46">
        <f t="shared" si="34"/>
        <v>0</v>
      </c>
      <c r="T191" s="46">
        <f t="shared" si="37"/>
        <v>0</v>
      </c>
      <c r="U191" s="46">
        <f t="shared" si="35"/>
        <v>20</v>
      </c>
      <c r="V191" s="54">
        <f t="shared" si="36"/>
        <v>26.5</v>
      </c>
    </row>
    <row r="192" spans="1:22" x14ac:dyDescent="0.2">
      <c r="A192" s="46" t="s">
        <v>112</v>
      </c>
      <c r="B192" s="46" t="s">
        <v>209</v>
      </c>
      <c r="C192" s="46" t="s">
        <v>93</v>
      </c>
      <c r="D192" s="46" t="s">
        <v>178</v>
      </c>
      <c r="E192" s="46">
        <v>1</v>
      </c>
      <c r="F192" s="46" t="s">
        <v>60</v>
      </c>
      <c r="G192" s="46">
        <v>3</v>
      </c>
      <c r="H192" s="47">
        <v>15</v>
      </c>
      <c r="I192" s="47" t="s">
        <v>116</v>
      </c>
      <c r="J192" s="48">
        <v>0</v>
      </c>
      <c r="K192" s="48">
        <v>0</v>
      </c>
      <c r="R192" s="46">
        <f t="shared" si="33"/>
        <v>0</v>
      </c>
      <c r="S192" s="46">
        <f t="shared" si="34"/>
        <v>0</v>
      </c>
      <c r="T192" s="46">
        <f t="shared" si="37"/>
        <v>0</v>
      </c>
      <c r="U192" s="46">
        <f t="shared" si="35"/>
        <v>0</v>
      </c>
      <c r="V192" s="54">
        <f t="shared" si="36"/>
        <v>26.5</v>
      </c>
    </row>
    <row r="193" spans="1:22" x14ac:dyDescent="0.2">
      <c r="A193" s="46" t="s">
        <v>112</v>
      </c>
      <c r="B193" s="46" t="s">
        <v>209</v>
      </c>
      <c r="C193" s="46" t="s">
        <v>93</v>
      </c>
      <c r="D193" s="46" t="s">
        <v>178</v>
      </c>
      <c r="E193" s="46">
        <v>3</v>
      </c>
      <c r="F193" s="46" t="s">
        <v>60</v>
      </c>
      <c r="G193" s="46">
        <v>3</v>
      </c>
      <c r="H193" s="47">
        <v>15</v>
      </c>
      <c r="I193" s="47" t="s">
        <v>116</v>
      </c>
      <c r="J193" s="48">
        <v>0</v>
      </c>
      <c r="K193" s="48">
        <v>0</v>
      </c>
      <c r="R193" s="46">
        <f t="shared" si="33"/>
        <v>0</v>
      </c>
      <c r="S193" s="46">
        <f t="shared" si="34"/>
        <v>0</v>
      </c>
      <c r="T193" s="46">
        <f t="shared" si="37"/>
        <v>0</v>
      </c>
      <c r="U193" s="46">
        <f t="shared" si="35"/>
        <v>0</v>
      </c>
      <c r="V193" s="54">
        <f t="shared" si="36"/>
        <v>26.5</v>
      </c>
    </row>
    <row r="194" spans="1:22" x14ac:dyDescent="0.2">
      <c r="A194" s="46" t="s">
        <v>112</v>
      </c>
      <c r="B194" s="46" t="s">
        <v>209</v>
      </c>
      <c r="C194" s="46" t="s">
        <v>93</v>
      </c>
      <c r="D194" s="46" t="s">
        <v>178</v>
      </c>
      <c r="E194" s="46">
        <v>2</v>
      </c>
      <c r="F194" s="46" t="s">
        <v>60</v>
      </c>
      <c r="G194" s="46">
        <v>2</v>
      </c>
      <c r="H194" s="47">
        <v>22</v>
      </c>
      <c r="I194" s="47" t="s">
        <v>127</v>
      </c>
      <c r="J194" s="48">
        <v>0</v>
      </c>
      <c r="K194" s="48">
        <v>1</v>
      </c>
      <c r="R194" s="46">
        <f t="shared" ref="R194:R257" si="38">IF(J194=4,1,0)</f>
        <v>0</v>
      </c>
      <c r="S194" s="46">
        <f t="shared" ref="S194:S257" si="39">IF(K194=3,1,0)</f>
        <v>0</v>
      </c>
      <c r="T194" s="46">
        <f t="shared" si="37"/>
        <v>0</v>
      </c>
      <c r="U194" s="46">
        <f t="shared" ref="U194:U257" si="40">T194+M194*(20) + (SUM(O194:Q194)*(10)) - L194*(5) - N194*(5)</f>
        <v>0</v>
      </c>
      <c r="V194" s="54">
        <f t="shared" ref="V194:V257" si="41">AVERAGEIFS(U:U,A:A,A194,F:F,"Pre")</f>
        <v>26.5</v>
      </c>
    </row>
    <row r="195" spans="1:22" x14ac:dyDescent="0.2">
      <c r="A195" s="46" t="s">
        <v>112</v>
      </c>
      <c r="B195" s="46" t="s">
        <v>209</v>
      </c>
      <c r="C195" s="46" t="s">
        <v>93</v>
      </c>
      <c r="D195" s="46" t="s">
        <v>178</v>
      </c>
      <c r="E195" s="46">
        <v>3</v>
      </c>
      <c r="F195" s="46" t="s">
        <v>60</v>
      </c>
      <c r="G195" s="46">
        <v>4</v>
      </c>
      <c r="H195" s="47">
        <v>24</v>
      </c>
      <c r="I195" s="47" t="s">
        <v>102</v>
      </c>
      <c r="J195" s="48">
        <v>0</v>
      </c>
      <c r="K195" s="48">
        <v>0</v>
      </c>
      <c r="N195" s="48">
        <v>1</v>
      </c>
      <c r="R195" s="46">
        <f t="shared" si="38"/>
        <v>0</v>
      </c>
      <c r="S195" s="46">
        <f t="shared" si="39"/>
        <v>0</v>
      </c>
      <c r="T195" s="46">
        <f t="shared" si="37"/>
        <v>0</v>
      </c>
      <c r="U195" s="46">
        <f t="shared" si="40"/>
        <v>-5</v>
      </c>
      <c r="V195" s="54">
        <f t="shared" si="41"/>
        <v>26.5</v>
      </c>
    </row>
    <row r="196" spans="1:22" x14ac:dyDescent="0.2">
      <c r="A196" s="46" t="s">
        <v>112</v>
      </c>
      <c r="B196" s="46" t="s">
        <v>209</v>
      </c>
      <c r="C196" s="46" t="s">
        <v>93</v>
      </c>
      <c r="D196" s="46" t="s">
        <v>178</v>
      </c>
      <c r="E196" s="46">
        <v>1</v>
      </c>
      <c r="F196" s="46" t="s">
        <v>60</v>
      </c>
      <c r="G196" s="46">
        <v>1</v>
      </c>
      <c r="H196" s="47">
        <v>29</v>
      </c>
      <c r="I196" s="47" t="s">
        <v>101</v>
      </c>
      <c r="J196" s="48">
        <v>0</v>
      </c>
      <c r="K196" s="48">
        <v>1</v>
      </c>
      <c r="R196" s="46">
        <f t="shared" si="38"/>
        <v>0</v>
      </c>
      <c r="S196" s="46">
        <f t="shared" si="39"/>
        <v>0</v>
      </c>
      <c r="T196" s="46">
        <f t="shared" si="37"/>
        <v>0</v>
      </c>
      <c r="U196" s="46">
        <f t="shared" si="40"/>
        <v>0</v>
      </c>
      <c r="V196" s="54">
        <f t="shared" si="41"/>
        <v>26.5</v>
      </c>
    </row>
    <row r="197" spans="1:22" x14ac:dyDescent="0.2">
      <c r="A197" s="46" t="s">
        <v>112</v>
      </c>
      <c r="B197" s="46" t="s">
        <v>209</v>
      </c>
      <c r="C197" s="46" t="s">
        <v>93</v>
      </c>
      <c r="D197" s="46" t="s">
        <v>178</v>
      </c>
      <c r="E197" s="46">
        <v>3</v>
      </c>
      <c r="F197" s="46" t="s">
        <v>60</v>
      </c>
      <c r="G197" s="46">
        <v>2</v>
      </c>
      <c r="H197" s="47">
        <v>30</v>
      </c>
      <c r="I197" s="47" t="s">
        <v>127</v>
      </c>
      <c r="J197" s="48">
        <v>0</v>
      </c>
      <c r="K197" s="48">
        <v>0</v>
      </c>
      <c r="R197" s="46">
        <f t="shared" si="38"/>
        <v>0</v>
      </c>
      <c r="S197" s="46">
        <f t="shared" si="39"/>
        <v>0</v>
      </c>
      <c r="T197" s="46">
        <f t="shared" si="37"/>
        <v>0</v>
      </c>
      <c r="U197" s="46">
        <f t="shared" si="40"/>
        <v>0</v>
      </c>
      <c r="V197" s="54">
        <f t="shared" si="41"/>
        <v>26.5</v>
      </c>
    </row>
    <row r="198" spans="1:22" x14ac:dyDescent="0.2">
      <c r="A198" s="46" t="s">
        <v>112</v>
      </c>
      <c r="B198" s="46" t="s">
        <v>209</v>
      </c>
      <c r="C198" s="46" t="s">
        <v>93</v>
      </c>
      <c r="D198" s="46" t="s">
        <v>178</v>
      </c>
      <c r="E198" s="46">
        <v>2</v>
      </c>
      <c r="F198" s="46" t="s">
        <v>60</v>
      </c>
      <c r="G198" s="46">
        <v>1</v>
      </c>
      <c r="H198" s="47">
        <v>41</v>
      </c>
      <c r="I198" s="47" t="s">
        <v>101</v>
      </c>
      <c r="J198" s="48">
        <v>0</v>
      </c>
      <c r="K198" s="48">
        <v>1</v>
      </c>
      <c r="R198" s="46">
        <f t="shared" si="38"/>
        <v>0</v>
      </c>
      <c r="S198" s="46">
        <f t="shared" si="39"/>
        <v>0</v>
      </c>
      <c r="T198" s="46">
        <f t="shared" si="37"/>
        <v>0</v>
      </c>
      <c r="U198" s="46">
        <f t="shared" si="40"/>
        <v>0</v>
      </c>
      <c r="V198" s="54">
        <f t="shared" si="41"/>
        <v>26.5</v>
      </c>
    </row>
    <row r="199" spans="1:22" x14ac:dyDescent="0.2">
      <c r="A199" s="46" t="s">
        <v>112</v>
      </c>
      <c r="B199" s="46" t="s">
        <v>209</v>
      </c>
      <c r="C199" s="46" t="s">
        <v>93</v>
      </c>
      <c r="D199" s="46" t="s">
        <v>178</v>
      </c>
      <c r="E199" s="46">
        <v>3</v>
      </c>
      <c r="F199" s="46" t="s">
        <v>60</v>
      </c>
      <c r="G199" s="46">
        <v>2</v>
      </c>
      <c r="H199" s="47">
        <v>50</v>
      </c>
      <c r="I199" s="47" t="s">
        <v>127</v>
      </c>
      <c r="J199" s="48">
        <v>0</v>
      </c>
      <c r="K199" s="48">
        <v>0</v>
      </c>
      <c r="R199" s="46">
        <f t="shared" si="38"/>
        <v>0</v>
      </c>
      <c r="S199" s="46">
        <f t="shared" si="39"/>
        <v>0</v>
      </c>
      <c r="T199" s="46">
        <f t="shared" si="37"/>
        <v>0</v>
      </c>
      <c r="U199" s="46">
        <f t="shared" si="40"/>
        <v>0</v>
      </c>
      <c r="V199" s="54">
        <f t="shared" si="41"/>
        <v>26.5</v>
      </c>
    </row>
    <row r="200" spans="1:22" x14ac:dyDescent="0.2">
      <c r="A200" s="46" t="s">
        <v>112</v>
      </c>
      <c r="B200" s="46" t="s">
        <v>209</v>
      </c>
      <c r="C200" s="46" t="s">
        <v>93</v>
      </c>
      <c r="D200" s="46" t="s">
        <v>178</v>
      </c>
      <c r="E200" s="46">
        <v>1</v>
      </c>
      <c r="F200" s="46" t="s">
        <v>62</v>
      </c>
      <c r="G200" s="46">
        <v>3</v>
      </c>
      <c r="H200" s="47" t="s">
        <v>84</v>
      </c>
      <c r="I200" s="47" t="s">
        <v>116</v>
      </c>
      <c r="J200" s="48">
        <v>0</v>
      </c>
      <c r="K200" s="48">
        <v>0</v>
      </c>
      <c r="M200" s="48">
        <v>1</v>
      </c>
      <c r="R200" s="46">
        <f t="shared" si="38"/>
        <v>0</v>
      </c>
      <c r="S200" s="46">
        <f t="shared" si="39"/>
        <v>0</v>
      </c>
      <c r="T200" s="46">
        <f t="shared" si="37"/>
        <v>0</v>
      </c>
      <c r="U200" s="46">
        <f t="shared" si="40"/>
        <v>20</v>
      </c>
      <c r="V200" s="54">
        <f t="shared" si="41"/>
        <v>26.5</v>
      </c>
    </row>
    <row r="201" spans="1:22" x14ac:dyDescent="0.2">
      <c r="A201" s="46" t="s">
        <v>112</v>
      </c>
      <c r="B201" s="46" t="s">
        <v>209</v>
      </c>
      <c r="C201" s="46" t="s">
        <v>93</v>
      </c>
      <c r="D201" s="46" t="s">
        <v>178</v>
      </c>
      <c r="E201" s="46">
        <v>2</v>
      </c>
      <c r="F201" s="46" t="s">
        <v>63</v>
      </c>
      <c r="G201" s="46">
        <v>4</v>
      </c>
      <c r="H201" s="47" t="s">
        <v>147</v>
      </c>
      <c r="I201" s="47" t="s">
        <v>102</v>
      </c>
      <c r="J201" s="48">
        <v>0</v>
      </c>
      <c r="K201" s="48">
        <v>0</v>
      </c>
      <c r="R201" s="46">
        <f t="shared" si="38"/>
        <v>0</v>
      </c>
      <c r="S201" s="46">
        <f t="shared" si="39"/>
        <v>0</v>
      </c>
      <c r="T201" s="46">
        <f t="shared" si="37"/>
        <v>0</v>
      </c>
      <c r="U201" s="46">
        <f t="shared" si="40"/>
        <v>0</v>
      </c>
      <c r="V201" s="54">
        <f t="shared" si="41"/>
        <v>26.5</v>
      </c>
    </row>
    <row r="202" spans="1:22" x14ac:dyDescent="0.2">
      <c r="A202" s="46" t="s">
        <v>112</v>
      </c>
      <c r="B202" s="46" t="s">
        <v>209</v>
      </c>
      <c r="C202" s="46" t="s">
        <v>93</v>
      </c>
      <c r="D202" s="46" t="s">
        <v>178</v>
      </c>
      <c r="E202" s="46">
        <v>2</v>
      </c>
      <c r="F202" s="46" t="s">
        <v>63</v>
      </c>
      <c r="G202" s="46">
        <v>4</v>
      </c>
      <c r="H202" s="47" t="s">
        <v>148</v>
      </c>
      <c r="I202" s="47" t="s">
        <v>102</v>
      </c>
      <c r="J202" s="48">
        <v>0</v>
      </c>
      <c r="K202" s="48">
        <v>0</v>
      </c>
      <c r="R202" s="46">
        <f t="shared" si="38"/>
        <v>0</v>
      </c>
      <c r="S202" s="46">
        <f t="shared" si="39"/>
        <v>0</v>
      </c>
      <c r="T202" s="46">
        <f t="shared" si="37"/>
        <v>0</v>
      </c>
      <c r="U202" s="46">
        <f t="shared" si="40"/>
        <v>0</v>
      </c>
      <c r="V202" s="54">
        <f t="shared" si="41"/>
        <v>26.5</v>
      </c>
    </row>
    <row r="203" spans="1:22" x14ac:dyDescent="0.2">
      <c r="A203" s="46" t="s">
        <v>112</v>
      </c>
      <c r="B203" s="46" t="s">
        <v>209</v>
      </c>
      <c r="C203" s="46" t="s">
        <v>93</v>
      </c>
      <c r="D203" s="46" t="s">
        <v>178</v>
      </c>
      <c r="E203" s="46">
        <v>3</v>
      </c>
      <c r="F203" s="46" t="s">
        <v>63</v>
      </c>
      <c r="G203" s="46">
        <v>4</v>
      </c>
      <c r="H203" s="47" t="s">
        <v>148</v>
      </c>
      <c r="I203" s="47" t="s">
        <v>102</v>
      </c>
      <c r="J203" s="48">
        <v>0</v>
      </c>
      <c r="K203" s="48">
        <v>0</v>
      </c>
      <c r="N203" s="48">
        <v>1</v>
      </c>
      <c r="R203" s="46">
        <f t="shared" si="38"/>
        <v>0</v>
      </c>
      <c r="S203" s="46">
        <f t="shared" si="39"/>
        <v>0</v>
      </c>
      <c r="T203" s="46">
        <f t="shared" si="37"/>
        <v>0</v>
      </c>
      <c r="U203" s="46">
        <f t="shared" si="40"/>
        <v>-5</v>
      </c>
      <c r="V203" s="54">
        <f t="shared" si="41"/>
        <v>26.5</v>
      </c>
    </row>
    <row r="204" spans="1:22" x14ac:dyDescent="0.2">
      <c r="A204" s="46" t="s">
        <v>112</v>
      </c>
      <c r="B204" s="46" t="s">
        <v>209</v>
      </c>
      <c r="C204" s="46" t="s">
        <v>93</v>
      </c>
      <c r="D204" s="46" t="s">
        <v>178</v>
      </c>
      <c r="E204" s="46">
        <v>2</v>
      </c>
      <c r="F204" s="46" t="s">
        <v>63</v>
      </c>
      <c r="G204" s="46">
        <v>4</v>
      </c>
      <c r="H204" s="47" t="s">
        <v>149</v>
      </c>
      <c r="I204" s="47" t="s">
        <v>102</v>
      </c>
      <c r="J204" s="48">
        <v>0</v>
      </c>
      <c r="K204" s="48">
        <v>0</v>
      </c>
      <c r="R204" s="46">
        <f t="shared" si="38"/>
        <v>0</v>
      </c>
      <c r="S204" s="46">
        <f t="shared" si="39"/>
        <v>0</v>
      </c>
      <c r="T204" s="46">
        <f t="shared" si="37"/>
        <v>0</v>
      </c>
      <c r="U204" s="46">
        <f t="shared" si="40"/>
        <v>0</v>
      </c>
      <c r="V204" s="54">
        <f t="shared" si="41"/>
        <v>26.5</v>
      </c>
    </row>
    <row r="205" spans="1:22" x14ac:dyDescent="0.2">
      <c r="A205" s="46" t="s">
        <v>112</v>
      </c>
      <c r="B205" s="46" t="s">
        <v>209</v>
      </c>
      <c r="C205" s="46" t="s">
        <v>93</v>
      </c>
      <c r="D205" s="46" t="s">
        <v>178</v>
      </c>
      <c r="E205" s="46">
        <v>2</v>
      </c>
      <c r="F205" s="46" t="s">
        <v>63</v>
      </c>
      <c r="G205" s="46">
        <v>4</v>
      </c>
      <c r="H205" s="47" t="s">
        <v>172</v>
      </c>
      <c r="I205" s="47" t="s">
        <v>102</v>
      </c>
      <c r="J205" s="48">
        <v>0</v>
      </c>
      <c r="K205" s="48">
        <v>0</v>
      </c>
      <c r="R205" s="46">
        <f t="shared" si="38"/>
        <v>0</v>
      </c>
      <c r="S205" s="46">
        <f t="shared" si="39"/>
        <v>0</v>
      </c>
      <c r="T205" s="46">
        <f t="shared" si="37"/>
        <v>0</v>
      </c>
      <c r="U205" s="46">
        <f t="shared" si="40"/>
        <v>0</v>
      </c>
      <c r="V205" s="54">
        <f t="shared" si="41"/>
        <v>26.5</v>
      </c>
    </row>
    <row r="206" spans="1:22" x14ac:dyDescent="0.2">
      <c r="A206" s="46" t="s">
        <v>112</v>
      </c>
      <c r="B206" s="46" t="s">
        <v>209</v>
      </c>
      <c r="C206" s="46" t="s">
        <v>93</v>
      </c>
      <c r="D206" s="46" t="s">
        <v>178</v>
      </c>
      <c r="E206" s="46">
        <v>4</v>
      </c>
      <c r="F206" s="46" t="s">
        <v>61</v>
      </c>
      <c r="G206" s="46">
        <v>1</v>
      </c>
      <c r="H206" s="47" t="s">
        <v>68</v>
      </c>
      <c r="I206" s="47" t="s">
        <v>101</v>
      </c>
      <c r="J206" s="48">
        <v>0</v>
      </c>
      <c r="K206" s="48">
        <v>0</v>
      </c>
      <c r="R206" s="46">
        <f t="shared" si="38"/>
        <v>0</v>
      </c>
      <c r="S206" s="46">
        <f t="shared" si="39"/>
        <v>0</v>
      </c>
      <c r="T206" s="46">
        <f t="shared" si="37"/>
        <v>0</v>
      </c>
      <c r="U206" s="46">
        <f t="shared" si="40"/>
        <v>0</v>
      </c>
      <c r="V206" s="54">
        <f t="shared" si="41"/>
        <v>26.5</v>
      </c>
    </row>
    <row r="207" spans="1:22" x14ac:dyDescent="0.2">
      <c r="A207" s="46" t="s">
        <v>112</v>
      </c>
      <c r="B207" s="46" t="s">
        <v>209</v>
      </c>
      <c r="C207" s="46" t="s">
        <v>93</v>
      </c>
      <c r="D207" s="46" t="s">
        <v>178</v>
      </c>
      <c r="E207" s="46">
        <v>1</v>
      </c>
      <c r="F207" s="46" t="s">
        <v>60</v>
      </c>
      <c r="G207" s="46">
        <v>1</v>
      </c>
      <c r="H207" s="47">
        <v>21</v>
      </c>
      <c r="I207" s="47" t="s">
        <v>101</v>
      </c>
      <c r="J207" s="48">
        <v>1</v>
      </c>
      <c r="K207" s="48">
        <v>2</v>
      </c>
      <c r="R207" s="46">
        <f t="shared" si="38"/>
        <v>0</v>
      </c>
      <c r="S207" s="46">
        <f t="shared" si="39"/>
        <v>0</v>
      </c>
      <c r="T207" s="46">
        <f t="shared" si="37"/>
        <v>10</v>
      </c>
      <c r="U207" s="46">
        <f t="shared" si="40"/>
        <v>10</v>
      </c>
      <c r="V207" s="54">
        <f t="shared" si="41"/>
        <v>26.5</v>
      </c>
    </row>
    <row r="208" spans="1:22" x14ac:dyDescent="0.2">
      <c r="A208" s="46" t="s">
        <v>112</v>
      </c>
      <c r="B208" s="46" t="s">
        <v>209</v>
      </c>
      <c r="C208" s="46" t="s">
        <v>93</v>
      </c>
      <c r="D208" s="46" t="s">
        <v>178</v>
      </c>
      <c r="E208" s="46">
        <v>2</v>
      </c>
      <c r="F208" s="46" t="s">
        <v>60</v>
      </c>
      <c r="G208" s="46">
        <v>3</v>
      </c>
      <c r="H208" s="47">
        <v>39</v>
      </c>
      <c r="I208" s="47" t="s">
        <v>116</v>
      </c>
      <c r="J208" s="48">
        <v>1</v>
      </c>
      <c r="K208" s="48">
        <v>2</v>
      </c>
      <c r="O208" s="48">
        <v>1</v>
      </c>
      <c r="R208" s="46">
        <f t="shared" si="38"/>
        <v>0</v>
      </c>
      <c r="S208" s="46">
        <f t="shared" si="39"/>
        <v>0</v>
      </c>
      <c r="T208" s="46">
        <f t="shared" si="37"/>
        <v>10</v>
      </c>
      <c r="U208" s="46">
        <f t="shared" si="40"/>
        <v>20</v>
      </c>
      <c r="V208" s="54">
        <f t="shared" si="41"/>
        <v>26.5</v>
      </c>
    </row>
    <row r="209" spans="1:22" x14ac:dyDescent="0.2">
      <c r="A209" s="46" t="s">
        <v>112</v>
      </c>
      <c r="B209" s="46" t="s">
        <v>209</v>
      </c>
      <c r="C209" s="46" t="s">
        <v>93</v>
      </c>
      <c r="D209" s="46" t="s">
        <v>178</v>
      </c>
      <c r="E209" s="46">
        <v>3</v>
      </c>
      <c r="F209" s="46" t="s">
        <v>60</v>
      </c>
      <c r="G209" s="46">
        <v>2</v>
      </c>
      <c r="H209" s="47">
        <v>42</v>
      </c>
      <c r="I209" s="47" t="s">
        <v>127</v>
      </c>
      <c r="J209" s="48">
        <v>1</v>
      </c>
      <c r="K209" s="48">
        <v>0</v>
      </c>
      <c r="R209" s="46">
        <f t="shared" si="38"/>
        <v>0</v>
      </c>
      <c r="S209" s="46">
        <f t="shared" si="39"/>
        <v>0</v>
      </c>
      <c r="T209" s="46">
        <f t="shared" si="37"/>
        <v>20</v>
      </c>
      <c r="U209" s="46">
        <f t="shared" si="40"/>
        <v>20</v>
      </c>
      <c r="V209" s="54">
        <f t="shared" si="41"/>
        <v>26.5</v>
      </c>
    </row>
    <row r="210" spans="1:22" x14ac:dyDescent="0.2">
      <c r="A210" s="46" t="s">
        <v>112</v>
      </c>
      <c r="B210" s="46" t="s">
        <v>209</v>
      </c>
      <c r="C210" s="46" t="s">
        <v>93</v>
      </c>
      <c r="D210" s="46" t="s">
        <v>178</v>
      </c>
      <c r="E210" s="46">
        <v>1</v>
      </c>
      <c r="F210" s="46" t="s">
        <v>60</v>
      </c>
      <c r="G210" s="46">
        <v>2</v>
      </c>
      <c r="H210" s="47">
        <v>46</v>
      </c>
      <c r="I210" s="47" t="s">
        <v>127</v>
      </c>
      <c r="J210" s="48">
        <v>1</v>
      </c>
      <c r="K210" s="48">
        <v>0</v>
      </c>
      <c r="R210" s="46">
        <f t="shared" si="38"/>
        <v>0</v>
      </c>
      <c r="S210" s="46">
        <f t="shared" si="39"/>
        <v>0</v>
      </c>
      <c r="T210" s="46">
        <f t="shared" si="37"/>
        <v>20</v>
      </c>
      <c r="U210" s="46">
        <f t="shared" si="40"/>
        <v>20</v>
      </c>
      <c r="V210" s="54">
        <f t="shared" si="41"/>
        <v>26.5</v>
      </c>
    </row>
    <row r="211" spans="1:22" x14ac:dyDescent="0.2">
      <c r="A211" s="46" t="s">
        <v>112</v>
      </c>
      <c r="B211" s="46" t="s">
        <v>209</v>
      </c>
      <c r="C211" s="46" t="s">
        <v>93</v>
      </c>
      <c r="D211" s="46" t="s">
        <v>178</v>
      </c>
      <c r="E211" s="46">
        <v>1</v>
      </c>
      <c r="F211" s="46" t="s">
        <v>62</v>
      </c>
      <c r="G211" s="46">
        <v>2</v>
      </c>
      <c r="H211" s="47" t="s">
        <v>81</v>
      </c>
      <c r="I211" s="47" t="s">
        <v>127</v>
      </c>
      <c r="J211" s="48">
        <v>1</v>
      </c>
      <c r="K211" s="48">
        <v>0</v>
      </c>
      <c r="P211" s="48">
        <v>1</v>
      </c>
      <c r="R211" s="46">
        <f t="shared" si="38"/>
        <v>0</v>
      </c>
      <c r="S211" s="46">
        <f t="shared" si="39"/>
        <v>0</v>
      </c>
      <c r="T211" s="46">
        <f t="shared" si="37"/>
        <v>20</v>
      </c>
      <c r="U211" s="46">
        <f t="shared" si="40"/>
        <v>30</v>
      </c>
      <c r="V211" s="54">
        <f t="shared" si="41"/>
        <v>26.5</v>
      </c>
    </row>
    <row r="212" spans="1:22" x14ac:dyDescent="0.2">
      <c r="A212" s="46" t="s">
        <v>112</v>
      </c>
      <c r="B212" s="46" t="s">
        <v>209</v>
      </c>
      <c r="C212" s="46" t="s">
        <v>93</v>
      </c>
      <c r="D212" s="46" t="s">
        <v>178</v>
      </c>
      <c r="E212" s="46">
        <v>1</v>
      </c>
      <c r="F212" s="46" t="s">
        <v>62</v>
      </c>
      <c r="G212" s="46">
        <v>2</v>
      </c>
      <c r="H212" s="47" t="s">
        <v>86</v>
      </c>
      <c r="I212" s="47" t="s">
        <v>127</v>
      </c>
      <c r="J212" s="48">
        <v>1</v>
      </c>
      <c r="K212" s="48">
        <v>0</v>
      </c>
      <c r="R212" s="46">
        <f t="shared" si="38"/>
        <v>0</v>
      </c>
      <c r="S212" s="46">
        <f t="shared" si="39"/>
        <v>0</v>
      </c>
      <c r="T212" s="46">
        <f t="shared" si="37"/>
        <v>20</v>
      </c>
      <c r="U212" s="46">
        <f t="shared" si="40"/>
        <v>20</v>
      </c>
      <c r="V212" s="54">
        <f t="shared" si="41"/>
        <v>26.5</v>
      </c>
    </row>
    <row r="213" spans="1:22" x14ac:dyDescent="0.2">
      <c r="A213" s="46" t="s">
        <v>112</v>
      </c>
      <c r="B213" s="46" t="s">
        <v>209</v>
      </c>
      <c r="C213" s="46" t="s">
        <v>93</v>
      </c>
      <c r="D213" s="46" t="s">
        <v>178</v>
      </c>
      <c r="E213" s="46">
        <v>1</v>
      </c>
      <c r="F213" s="46" t="s">
        <v>62</v>
      </c>
      <c r="G213" s="46">
        <v>3</v>
      </c>
      <c r="H213" s="47" t="s">
        <v>64</v>
      </c>
      <c r="I213" s="47" t="s">
        <v>116</v>
      </c>
      <c r="J213" s="48">
        <v>1</v>
      </c>
      <c r="K213" s="48">
        <v>0</v>
      </c>
      <c r="R213" s="46">
        <f t="shared" si="38"/>
        <v>0</v>
      </c>
      <c r="S213" s="46">
        <f t="shared" si="39"/>
        <v>0</v>
      </c>
      <c r="T213" s="46">
        <f t="shared" si="37"/>
        <v>20</v>
      </c>
      <c r="U213" s="46">
        <f t="shared" si="40"/>
        <v>20</v>
      </c>
      <c r="V213" s="54">
        <f t="shared" si="41"/>
        <v>26.5</v>
      </c>
    </row>
    <row r="214" spans="1:22" x14ac:dyDescent="0.2">
      <c r="A214" s="46" t="s">
        <v>112</v>
      </c>
      <c r="B214" s="46" t="s">
        <v>209</v>
      </c>
      <c r="C214" s="46" t="s">
        <v>93</v>
      </c>
      <c r="D214" s="46" t="s">
        <v>178</v>
      </c>
      <c r="E214" s="46">
        <v>4</v>
      </c>
      <c r="F214" s="46" t="s">
        <v>61</v>
      </c>
      <c r="G214" s="46">
        <v>2</v>
      </c>
      <c r="H214" s="47" t="s">
        <v>66</v>
      </c>
      <c r="I214" s="47" t="s">
        <v>127</v>
      </c>
      <c r="J214" s="48">
        <v>1</v>
      </c>
      <c r="K214" s="48">
        <v>0</v>
      </c>
      <c r="N214" s="48">
        <v>1</v>
      </c>
      <c r="R214" s="46">
        <f t="shared" si="38"/>
        <v>0</v>
      </c>
      <c r="S214" s="46">
        <f t="shared" si="39"/>
        <v>0</v>
      </c>
      <c r="T214" s="46">
        <f t="shared" si="37"/>
        <v>20</v>
      </c>
      <c r="U214" s="46">
        <f t="shared" si="40"/>
        <v>15</v>
      </c>
      <c r="V214" s="54">
        <f t="shared" si="41"/>
        <v>26.5</v>
      </c>
    </row>
    <row r="215" spans="1:22" x14ac:dyDescent="0.2">
      <c r="A215" s="46" t="s">
        <v>112</v>
      </c>
      <c r="B215" s="46" t="s">
        <v>209</v>
      </c>
      <c r="C215" s="46" t="s">
        <v>93</v>
      </c>
      <c r="D215" s="46" t="s">
        <v>178</v>
      </c>
      <c r="E215" s="46">
        <v>3</v>
      </c>
      <c r="F215" s="46" t="s">
        <v>60</v>
      </c>
      <c r="G215" s="46">
        <v>1</v>
      </c>
      <c r="H215" s="47">
        <v>1</v>
      </c>
      <c r="I215" s="47" t="s">
        <v>101</v>
      </c>
      <c r="J215" s="48">
        <v>2</v>
      </c>
      <c r="K215" s="48">
        <v>0</v>
      </c>
      <c r="R215" s="46">
        <f t="shared" si="38"/>
        <v>0</v>
      </c>
      <c r="S215" s="46">
        <f t="shared" si="39"/>
        <v>0</v>
      </c>
      <c r="T215" s="46">
        <f t="shared" si="37"/>
        <v>40</v>
      </c>
      <c r="U215" s="46">
        <f t="shared" si="40"/>
        <v>40</v>
      </c>
      <c r="V215" s="54">
        <f t="shared" si="41"/>
        <v>26.5</v>
      </c>
    </row>
    <row r="216" spans="1:22" x14ac:dyDescent="0.2">
      <c r="A216" s="46" t="s">
        <v>112</v>
      </c>
      <c r="B216" s="46" t="s">
        <v>209</v>
      </c>
      <c r="C216" s="46" t="s">
        <v>93</v>
      </c>
      <c r="D216" s="46" t="s">
        <v>178</v>
      </c>
      <c r="E216" s="46">
        <v>4</v>
      </c>
      <c r="F216" s="46" t="s">
        <v>60</v>
      </c>
      <c r="G216" s="46">
        <v>3</v>
      </c>
      <c r="H216" s="47">
        <v>11</v>
      </c>
      <c r="I216" s="47" t="s">
        <v>159</v>
      </c>
      <c r="J216" s="48">
        <v>2</v>
      </c>
      <c r="K216" s="48">
        <v>0</v>
      </c>
      <c r="R216" s="46">
        <f t="shared" si="38"/>
        <v>0</v>
      </c>
      <c r="S216" s="46">
        <f t="shared" si="39"/>
        <v>0</v>
      </c>
      <c r="T216" s="46">
        <f t="shared" si="37"/>
        <v>40</v>
      </c>
      <c r="U216" s="46">
        <f t="shared" si="40"/>
        <v>40</v>
      </c>
      <c r="V216" s="54">
        <f t="shared" si="41"/>
        <v>26.5</v>
      </c>
    </row>
    <row r="217" spans="1:22" x14ac:dyDescent="0.2">
      <c r="A217" s="46" t="s">
        <v>112</v>
      </c>
      <c r="B217" s="46" t="s">
        <v>209</v>
      </c>
      <c r="C217" s="46" t="s">
        <v>93</v>
      </c>
      <c r="D217" s="46" t="s">
        <v>178</v>
      </c>
      <c r="E217" s="46">
        <v>4</v>
      </c>
      <c r="F217" s="46" t="s">
        <v>60</v>
      </c>
      <c r="G217" s="46">
        <v>1</v>
      </c>
      <c r="H217" s="47">
        <v>37</v>
      </c>
      <c r="I217" s="47" t="s">
        <v>101</v>
      </c>
      <c r="J217" s="48">
        <v>2</v>
      </c>
      <c r="K217" s="48">
        <v>0</v>
      </c>
      <c r="R217" s="46">
        <f t="shared" si="38"/>
        <v>0</v>
      </c>
      <c r="S217" s="46">
        <f t="shared" si="39"/>
        <v>0</v>
      </c>
      <c r="T217" s="46">
        <f t="shared" si="37"/>
        <v>40</v>
      </c>
      <c r="U217" s="46">
        <f t="shared" si="40"/>
        <v>40</v>
      </c>
      <c r="V217" s="54">
        <f t="shared" si="41"/>
        <v>26.5</v>
      </c>
    </row>
    <row r="218" spans="1:22" x14ac:dyDescent="0.2">
      <c r="A218" s="46" t="s">
        <v>112</v>
      </c>
      <c r="B218" s="46" t="s">
        <v>209</v>
      </c>
      <c r="C218" s="46" t="s">
        <v>93</v>
      </c>
      <c r="D218" s="46" t="s">
        <v>178</v>
      </c>
      <c r="E218" s="46">
        <v>4</v>
      </c>
      <c r="F218" s="46" t="s">
        <v>60</v>
      </c>
      <c r="G218" s="46">
        <v>2</v>
      </c>
      <c r="H218" s="47">
        <v>46</v>
      </c>
      <c r="I218" s="47" t="s">
        <v>127</v>
      </c>
      <c r="J218" s="48">
        <v>2</v>
      </c>
      <c r="K218" s="48">
        <v>0</v>
      </c>
      <c r="R218" s="46">
        <f t="shared" si="38"/>
        <v>0</v>
      </c>
      <c r="S218" s="46">
        <f t="shared" si="39"/>
        <v>0</v>
      </c>
      <c r="T218" s="46">
        <f t="shared" si="37"/>
        <v>40</v>
      </c>
      <c r="U218" s="46">
        <f t="shared" si="40"/>
        <v>40</v>
      </c>
      <c r="V218" s="54">
        <f t="shared" si="41"/>
        <v>26.5</v>
      </c>
    </row>
    <row r="219" spans="1:22" x14ac:dyDescent="0.2">
      <c r="A219" s="46" t="s">
        <v>112</v>
      </c>
      <c r="B219" s="46" t="s">
        <v>209</v>
      </c>
      <c r="C219" s="46" t="s">
        <v>93</v>
      </c>
      <c r="D219" s="46" t="s">
        <v>178</v>
      </c>
      <c r="E219" s="46">
        <v>4</v>
      </c>
      <c r="F219" s="46" t="s">
        <v>61</v>
      </c>
      <c r="G219" s="46">
        <v>1</v>
      </c>
      <c r="H219" s="47" t="s">
        <v>67</v>
      </c>
      <c r="I219" s="47" t="s">
        <v>101</v>
      </c>
      <c r="J219" s="48">
        <v>2</v>
      </c>
      <c r="K219" s="48">
        <v>0</v>
      </c>
      <c r="R219" s="46">
        <f t="shared" si="38"/>
        <v>0</v>
      </c>
      <c r="S219" s="46">
        <f t="shared" si="39"/>
        <v>0</v>
      </c>
      <c r="T219" s="46">
        <f t="shared" si="37"/>
        <v>40</v>
      </c>
      <c r="U219" s="46">
        <f t="shared" si="40"/>
        <v>40</v>
      </c>
      <c r="V219" s="54">
        <f t="shared" si="41"/>
        <v>26.5</v>
      </c>
    </row>
    <row r="220" spans="1:22" x14ac:dyDescent="0.2">
      <c r="A220" s="46" t="s">
        <v>112</v>
      </c>
      <c r="B220" s="46" t="s">
        <v>209</v>
      </c>
      <c r="C220" s="46" t="s">
        <v>93</v>
      </c>
      <c r="D220" s="46" t="s">
        <v>178</v>
      </c>
      <c r="E220" s="46">
        <v>3</v>
      </c>
      <c r="F220" s="46" t="s">
        <v>63</v>
      </c>
      <c r="G220" s="46">
        <v>4</v>
      </c>
      <c r="H220" s="47" t="s">
        <v>150</v>
      </c>
      <c r="I220" s="47" t="s">
        <v>102</v>
      </c>
      <c r="J220" s="48">
        <v>2</v>
      </c>
      <c r="K220" s="48">
        <v>1</v>
      </c>
      <c r="R220" s="46">
        <f t="shared" si="38"/>
        <v>0</v>
      </c>
      <c r="S220" s="46">
        <f t="shared" si="39"/>
        <v>0</v>
      </c>
      <c r="T220" s="46">
        <f t="shared" si="37"/>
        <v>40</v>
      </c>
      <c r="U220" s="46">
        <f t="shared" si="40"/>
        <v>40</v>
      </c>
      <c r="V220" s="54">
        <f t="shared" si="41"/>
        <v>26.5</v>
      </c>
    </row>
    <row r="221" spans="1:22" x14ac:dyDescent="0.2">
      <c r="A221" s="46" t="s">
        <v>112</v>
      </c>
      <c r="B221" s="46" t="s">
        <v>209</v>
      </c>
      <c r="C221" s="46" t="s">
        <v>93</v>
      </c>
      <c r="D221" s="46" t="s">
        <v>178</v>
      </c>
      <c r="E221" s="46">
        <v>3</v>
      </c>
      <c r="F221" s="46" t="s">
        <v>63</v>
      </c>
      <c r="G221" s="46">
        <v>4</v>
      </c>
      <c r="H221" s="47" t="s">
        <v>152</v>
      </c>
      <c r="I221" s="47" t="s">
        <v>102</v>
      </c>
      <c r="J221" s="48">
        <v>2</v>
      </c>
      <c r="K221" s="48">
        <v>0</v>
      </c>
      <c r="O221" s="48">
        <v>1</v>
      </c>
      <c r="R221" s="46">
        <f t="shared" si="38"/>
        <v>0</v>
      </c>
      <c r="S221" s="46">
        <f t="shared" si="39"/>
        <v>0</v>
      </c>
      <c r="T221" s="46">
        <f t="shared" si="37"/>
        <v>40</v>
      </c>
      <c r="U221" s="46">
        <f t="shared" si="40"/>
        <v>50</v>
      </c>
      <c r="V221" s="54">
        <f t="shared" si="41"/>
        <v>26.5</v>
      </c>
    </row>
    <row r="222" spans="1:22" x14ac:dyDescent="0.2">
      <c r="A222" s="46" t="s">
        <v>112</v>
      </c>
      <c r="B222" s="46" t="s">
        <v>209</v>
      </c>
      <c r="C222" s="46" t="s">
        <v>93</v>
      </c>
      <c r="D222" s="46" t="s">
        <v>178</v>
      </c>
      <c r="E222" s="46">
        <v>3</v>
      </c>
      <c r="F222" s="46" t="s">
        <v>63</v>
      </c>
      <c r="G222" s="46">
        <v>4</v>
      </c>
      <c r="H222" s="47" t="s">
        <v>172</v>
      </c>
      <c r="I222" s="47" t="s">
        <v>102</v>
      </c>
      <c r="J222" s="48">
        <v>2</v>
      </c>
      <c r="K222" s="48">
        <v>0</v>
      </c>
      <c r="M222" s="48">
        <v>1</v>
      </c>
      <c r="R222" s="46">
        <f t="shared" si="38"/>
        <v>0</v>
      </c>
      <c r="S222" s="46">
        <f t="shared" si="39"/>
        <v>0</v>
      </c>
      <c r="T222" s="46">
        <f t="shared" si="37"/>
        <v>40</v>
      </c>
      <c r="U222" s="46">
        <f t="shared" si="40"/>
        <v>60</v>
      </c>
      <c r="V222" s="54">
        <f t="shared" si="41"/>
        <v>26.5</v>
      </c>
    </row>
    <row r="223" spans="1:22" x14ac:dyDescent="0.2">
      <c r="A223" s="46" t="s">
        <v>112</v>
      </c>
      <c r="B223" s="46" t="s">
        <v>209</v>
      </c>
      <c r="C223" s="46" t="s">
        <v>93</v>
      </c>
      <c r="D223" s="46" t="s">
        <v>178</v>
      </c>
      <c r="E223" s="46">
        <v>4</v>
      </c>
      <c r="F223" s="46" t="s">
        <v>60</v>
      </c>
      <c r="G223" s="46">
        <v>4</v>
      </c>
      <c r="H223" s="47">
        <v>8</v>
      </c>
      <c r="I223" s="47" t="s">
        <v>102</v>
      </c>
      <c r="J223" s="48">
        <v>3</v>
      </c>
      <c r="K223" s="48">
        <v>0</v>
      </c>
      <c r="R223" s="46">
        <f t="shared" si="38"/>
        <v>0</v>
      </c>
      <c r="S223" s="46">
        <f t="shared" si="39"/>
        <v>0</v>
      </c>
      <c r="T223" s="46">
        <f t="shared" si="37"/>
        <v>60</v>
      </c>
      <c r="U223" s="46">
        <f t="shared" si="40"/>
        <v>60</v>
      </c>
      <c r="V223" s="54">
        <f t="shared" si="41"/>
        <v>26.5</v>
      </c>
    </row>
    <row r="224" spans="1:22" x14ac:dyDescent="0.2">
      <c r="A224" s="46" t="s">
        <v>112</v>
      </c>
      <c r="B224" s="46" t="s">
        <v>209</v>
      </c>
      <c r="C224" s="46" t="s">
        <v>93</v>
      </c>
      <c r="D224" s="46" t="s">
        <v>178</v>
      </c>
      <c r="E224" s="46">
        <v>2</v>
      </c>
      <c r="F224" s="46" t="s">
        <v>60</v>
      </c>
      <c r="G224" s="46">
        <v>1</v>
      </c>
      <c r="H224" s="47">
        <v>29</v>
      </c>
      <c r="I224" s="47" t="s">
        <v>101</v>
      </c>
      <c r="J224" s="48">
        <v>3</v>
      </c>
      <c r="K224" s="48">
        <v>0</v>
      </c>
      <c r="R224" s="46">
        <f t="shared" si="38"/>
        <v>0</v>
      </c>
      <c r="S224" s="46">
        <f t="shared" si="39"/>
        <v>0</v>
      </c>
      <c r="T224" s="46">
        <f t="shared" si="37"/>
        <v>60</v>
      </c>
      <c r="U224" s="46">
        <f t="shared" si="40"/>
        <v>60</v>
      </c>
      <c r="V224" s="54">
        <f t="shared" si="41"/>
        <v>26.5</v>
      </c>
    </row>
    <row r="225" spans="1:22" x14ac:dyDescent="0.2">
      <c r="A225" s="46" t="s">
        <v>112</v>
      </c>
      <c r="B225" s="46" t="s">
        <v>209</v>
      </c>
      <c r="C225" s="46" t="s">
        <v>93</v>
      </c>
      <c r="D225" s="46" t="s">
        <v>178</v>
      </c>
      <c r="E225" s="46">
        <v>4</v>
      </c>
      <c r="F225" s="46" t="s">
        <v>60</v>
      </c>
      <c r="G225" s="46">
        <v>1</v>
      </c>
      <c r="H225" s="47">
        <v>33</v>
      </c>
      <c r="I225" s="47" t="s">
        <v>101</v>
      </c>
      <c r="J225" s="48">
        <v>3</v>
      </c>
      <c r="K225" s="48">
        <v>0</v>
      </c>
      <c r="R225" s="46">
        <f t="shared" si="38"/>
        <v>0</v>
      </c>
      <c r="S225" s="46">
        <f t="shared" si="39"/>
        <v>0</v>
      </c>
      <c r="T225" s="46">
        <f t="shared" si="37"/>
        <v>60</v>
      </c>
      <c r="U225" s="46">
        <f t="shared" si="40"/>
        <v>60</v>
      </c>
      <c r="V225" s="54">
        <f t="shared" si="41"/>
        <v>26.5</v>
      </c>
    </row>
    <row r="226" spans="1:22" x14ac:dyDescent="0.2">
      <c r="A226" s="46" t="s">
        <v>112</v>
      </c>
      <c r="B226" s="46" t="s">
        <v>209</v>
      </c>
      <c r="C226" s="46" t="s">
        <v>93</v>
      </c>
      <c r="D226" s="46" t="s">
        <v>178</v>
      </c>
      <c r="E226" s="46">
        <v>1</v>
      </c>
      <c r="F226" s="46" t="s">
        <v>60</v>
      </c>
      <c r="G226" s="46">
        <v>4</v>
      </c>
      <c r="H226" s="47">
        <v>40</v>
      </c>
      <c r="I226" s="47" t="s">
        <v>102</v>
      </c>
      <c r="J226" s="48">
        <v>3</v>
      </c>
      <c r="K226" s="48">
        <v>1</v>
      </c>
      <c r="R226" s="46">
        <f t="shared" si="38"/>
        <v>0</v>
      </c>
      <c r="S226" s="46">
        <f t="shared" si="39"/>
        <v>0</v>
      </c>
      <c r="T226" s="46">
        <f t="shared" si="37"/>
        <v>60</v>
      </c>
      <c r="U226" s="46">
        <f t="shared" si="40"/>
        <v>60</v>
      </c>
      <c r="V226" s="54">
        <f t="shared" si="41"/>
        <v>26.5</v>
      </c>
    </row>
    <row r="227" spans="1:22" x14ac:dyDescent="0.2">
      <c r="A227" s="46" t="s">
        <v>112</v>
      </c>
      <c r="B227" s="46" t="s">
        <v>209</v>
      </c>
      <c r="C227" s="46" t="s">
        <v>93</v>
      </c>
      <c r="D227" s="46" t="s">
        <v>178</v>
      </c>
      <c r="E227" s="46">
        <v>4</v>
      </c>
      <c r="F227" s="46" t="s">
        <v>60</v>
      </c>
      <c r="G227" s="46">
        <v>3</v>
      </c>
      <c r="H227" s="47">
        <v>19</v>
      </c>
      <c r="I227" s="47" t="s">
        <v>159</v>
      </c>
      <c r="J227" s="48">
        <v>4</v>
      </c>
      <c r="K227" s="48">
        <v>0</v>
      </c>
      <c r="R227" s="46">
        <f t="shared" si="38"/>
        <v>1</v>
      </c>
      <c r="S227" s="46">
        <f t="shared" si="39"/>
        <v>0</v>
      </c>
      <c r="T227" s="46">
        <f t="shared" si="37"/>
        <v>90</v>
      </c>
      <c r="U227" s="46">
        <f t="shared" si="40"/>
        <v>90</v>
      </c>
      <c r="V227" s="54">
        <f t="shared" si="41"/>
        <v>26.5</v>
      </c>
    </row>
    <row r="228" spans="1:22" x14ac:dyDescent="0.2">
      <c r="A228" s="46" t="s">
        <v>112</v>
      </c>
      <c r="B228" s="46" t="s">
        <v>209</v>
      </c>
      <c r="C228" s="46" t="s">
        <v>93</v>
      </c>
      <c r="D228" s="46" t="s">
        <v>178</v>
      </c>
      <c r="E228" s="46">
        <v>5</v>
      </c>
      <c r="F228" s="46" t="s">
        <v>60</v>
      </c>
      <c r="G228" s="46">
        <v>2</v>
      </c>
      <c r="H228" s="47">
        <v>6</v>
      </c>
      <c r="I228" s="47" t="s">
        <v>127</v>
      </c>
      <c r="J228" s="48">
        <v>4</v>
      </c>
      <c r="K228" s="48">
        <v>0</v>
      </c>
      <c r="R228" s="46">
        <f t="shared" si="38"/>
        <v>1</v>
      </c>
      <c r="S228" s="46">
        <f t="shared" si="39"/>
        <v>0</v>
      </c>
      <c r="T228" s="46">
        <f t="shared" si="37"/>
        <v>90</v>
      </c>
      <c r="U228" s="46">
        <f t="shared" si="40"/>
        <v>90</v>
      </c>
      <c r="V228" s="54">
        <f t="shared" si="41"/>
        <v>26.5</v>
      </c>
    </row>
    <row r="229" spans="1:22" x14ac:dyDescent="0.2">
      <c r="A229" s="46" t="s">
        <v>112</v>
      </c>
      <c r="B229" s="46" t="s">
        <v>209</v>
      </c>
      <c r="C229" s="46" t="s">
        <v>93</v>
      </c>
      <c r="D229" s="46" t="s">
        <v>178</v>
      </c>
      <c r="E229" s="46">
        <v>5</v>
      </c>
      <c r="F229" s="46" t="s">
        <v>60</v>
      </c>
      <c r="G229" s="46">
        <v>4</v>
      </c>
      <c r="H229" s="47">
        <v>16</v>
      </c>
      <c r="I229" s="47" t="s">
        <v>102</v>
      </c>
      <c r="J229" s="48">
        <v>0</v>
      </c>
      <c r="K229" s="48">
        <v>0</v>
      </c>
      <c r="R229" s="46">
        <f t="shared" si="38"/>
        <v>0</v>
      </c>
      <c r="S229" s="46">
        <f t="shared" si="39"/>
        <v>0</v>
      </c>
      <c r="T229" s="46">
        <f t="shared" si="37"/>
        <v>0</v>
      </c>
      <c r="U229" s="46">
        <f t="shared" si="40"/>
        <v>0</v>
      </c>
      <c r="V229" s="54">
        <f t="shared" si="41"/>
        <v>26.5</v>
      </c>
    </row>
    <row r="230" spans="1:22" x14ac:dyDescent="0.2">
      <c r="A230" s="46" t="s">
        <v>112</v>
      </c>
      <c r="B230" s="46" t="s">
        <v>209</v>
      </c>
      <c r="C230" s="46" t="s">
        <v>93</v>
      </c>
      <c r="D230" s="46" t="s">
        <v>178</v>
      </c>
      <c r="E230" s="46">
        <v>5</v>
      </c>
      <c r="F230" s="46" t="s">
        <v>60</v>
      </c>
      <c r="G230" s="46">
        <v>3</v>
      </c>
      <c r="H230" s="47">
        <v>23</v>
      </c>
      <c r="I230" s="47" t="s">
        <v>159</v>
      </c>
      <c r="J230" s="48">
        <v>3</v>
      </c>
      <c r="K230" s="48">
        <v>0</v>
      </c>
      <c r="R230" s="46">
        <f t="shared" si="38"/>
        <v>0</v>
      </c>
      <c r="S230" s="46">
        <f t="shared" si="39"/>
        <v>0</v>
      </c>
      <c r="T230" s="46">
        <f t="shared" si="37"/>
        <v>60</v>
      </c>
      <c r="U230" s="46">
        <f t="shared" si="40"/>
        <v>60</v>
      </c>
      <c r="V230" s="54">
        <f t="shared" si="41"/>
        <v>26.5</v>
      </c>
    </row>
    <row r="231" spans="1:22" x14ac:dyDescent="0.2">
      <c r="A231" s="46" t="s">
        <v>112</v>
      </c>
      <c r="B231" s="46" t="s">
        <v>209</v>
      </c>
      <c r="C231" s="46" t="s">
        <v>93</v>
      </c>
      <c r="D231" s="46" t="s">
        <v>178</v>
      </c>
      <c r="E231" s="46">
        <v>5</v>
      </c>
      <c r="F231" s="46" t="s">
        <v>60</v>
      </c>
      <c r="G231" s="46">
        <v>1</v>
      </c>
      <c r="H231" s="47">
        <v>29</v>
      </c>
      <c r="I231" s="47" t="s">
        <v>101</v>
      </c>
      <c r="J231" s="48">
        <v>0</v>
      </c>
      <c r="K231" s="48">
        <v>0</v>
      </c>
      <c r="R231" s="46">
        <f t="shared" si="38"/>
        <v>0</v>
      </c>
      <c r="S231" s="46">
        <f t="shared" si="39"/>
        <v>0</v>
      </c>
      <c r="T231" s="46">
        <f t="shared" si="37"/>
        <v>0</v>
      </c>
      <c r="U231" s="46">
        <f t="shared" si="40"/>
        <v>0</v>
      </c>
      <c r="V231" s="54">
        <f t="shared" si="41"/>
        <v>26.5</v>
      </c>
    </row>
    <row r="232" spans="1:22" x14ac:dyDescent="0.2">
      <c r="A232" s="46" t="s">
        <v>112</v>
      </c>
      <c r="B232" s="46" t="s">
        <v>209</v>
      </c>
      <c r="C232" s="46" t="s">
        <v>93</v>
      </c>
      <c r="D232" s="46" t="s">
        <v>178</v>
      </c>
      <c r="E232" s="46">
        <v>5</v>
      </c>
      <c r="F232" s="46" t="s">
        <v>60</v>
      </c>
      <c r="G232" s="46">
        <v>1</v>
      </c>
      <c r="H232" s="47">
        <v>41</v>
      </c>
      <c r="I232" s="47" t="s">
        <v>101</v>
      </c>
      <c r="J232" s="48">
        <v>3</v>
      </c>
      <c r="K232" s="48">
        <v>0</v>
      </c>
      <c r="R232" s="46">
        <f t="shared" si="38"/>
        <v>0</v>
      </c>
      <c r="S232" s="46">
        <f t="shared" si="39"/>
        <v>0</v>
      </c>
      <c r="T232" s="46">
        <f t="shared" si="37"/>
        <v>60</v>
      </c>
      <c r="U232" s="46">
        <f t="shared" si="40"/>
        <v>60</v>
      </c>
      <c r="V232" s="54">
        <f t="shared" si="41"/>
        <v>26.5</v>
      </c>
    </row>
    <row r="233" spans="1:22" x14ac:dyDescent="0.2">
      <c r="A233" s="46" t="s">
        <v>112</v>
      </c>
      <c r="B233" s="46" t="s">
        <v>209</v>
      </c>
      <c r="C233" s="46" t="s">
        <v>93</v>
      </c>
      <c r="D233" s="46" t="s">
        <v>178</v>
      </c>
      <c r="E233" s="46">
        <v>5</v>
      </c>
      <c r="F233" s="46" t="s">
        <v>60</v>
      </c>
      <c r="G233" s="46">
        <v>2</v>
      </c>
      <c r="H233" s="47">
        <v>46</v>
      </c>
      <c r="I233" s="47" t="s">
        <v>127</v>
      </c>
      <c r="J233" s="48">
        <v>1</v>
      </c>
      <c r="K233" s="48">
        <v>1</v>
      </c>
      <c r="R233" s="46">
        <f t="shared" si="38"/>
        <v>0</v>
      </c>
      <c r="S233" s="46">
        <f t="shared" si="39"/>
        <v>0</v>
      </c>
      <c r="T233" s="46">
        <f t="shared" si="37"/>
        <v>20</v>
      </c>
      <c r="U233" s="46">
        <f t="shared" si="40"/>
        <v>20</v>
      </c>
      <c r="V233" s="54">
        <f t="shared" si="41"/>
        <v>26.5</v>
      </c>
    </row>
    <row r="234" spans="1:22" x14ac:dyDescent="0.2">
      <c r="A234" s="46" t="s">
        <v>112</v>
      </c>
      <c r="B234" s="46" t="s">
        <v>209</v>
      </c>
      <c r="C234" s="46" t="s">
        <v>93</v>
      </c>
      <c r="D234" s="46" t="s">
        <v>178</v>
      </c>
      <c r="E234" s="46">
        <v>5</v>
      </c>
      <c r="F234" s="46" t="s">
        <v>62</v>
      </c>
      <c r="G234" s="46">
        <v>2</v>
      </c>
      <c r="H234" s="47" t="s">
        <v>81</v>
      </c>
      <c r="I234" s="47" t="s">
        <v>127</v>
      </c>
      <c r="J234" s="48">
        <v>0</v>
      </c>
      <c r="K234" s="48">
        <v>2</v>
      </c>
      <c r="R234" s="46">
        <f t="shared" si="38"/>
        <v>0</v>
      </c>
      <c r="S234" s="46">
        <f t="shared" si="39"/>
        <v>0</v>
      </c>
      <c r="T234" s="46">
        <f t="shared" si="37"/>
        <v>-10</v>
      </c>
      <c r="U234" s="46">
        <f t="shared" si="40"/>
        <v>-10</v>
      </c>
      <c r="V234" s="54">
        <f t="shared" si="41"/>
        <v>26.5</v>
      </c>
    </row>
    <row r="235" spans="1:22" x14ac:dyDescent="0.2">
      <c r="A235" s="46" t="s">
        <v>112</v>
      </c>
      <c r="B235" s="46" t="s">
        <v>209</v>
      </c>
      <c r="C235" s="46" t="s">
        <v>93</v>
      </c>
      <c r="D235" s="46" t="s">
        <v>178</v>
      </c>
      <c r="E235" s="46">
        <v>5</v>
      </c>
      <c r="F235" s="46" t="s">
        <v>62</v>
      </c>
      <c r="G235" s="46">
        <v>3</v>
      </c>
      <c r="H235" s="47" t="s">
        <v>85</v>
      </c>
      <c r="I235" s="47" t="s">
        <v>219</v>
      </c>
      <c r="J235" s="48">
        <v>2</v>
      </c>
      <c r="K235" s="48">
        <v>2</v>
      </c>
      <c r="R235" s="46">
        <f t="shared" si="38"/>
        <v>0</v>
      </c>
      <c r="S235" s="46">
        <f t="shared" si="39"/>
        <v>0</v>
      </c>
      <c r="T235" s="46">
        <f t="shared" si="37"/>
        <v>30</v>
      </c>
      <c r="U235" s="46">
        <f t="shared" si="40"/>
        <v>30</v>
      </c>
      <c r="V235" s="54">
        <f t="shared" si="41"/>
        <v>26.5</v>
      </c>
    </row>
    <row r="236" spans="1:22" x14ac:dyDescent="0.2">
      <c r="A236" s="46" t="s">
        <v>27</v>
      </c>
      <c r="B236" s="46" t="s">
        <v>57</v>
      </c>
      <c r="C236" s="46" t="s">
        <v>88</v>
      </c>
      <c r="D236" s="46" t="s">
        <v>178</v>
      </c>
      <c r="E236" s="46">
        <v>2</v>
      </c>
      <c r="F236" s="46" t="s">
        <v>60</v>
      </c>
      <c r="G236" s="46">
        <v>1</v>
      </c>
      <c r="H236" s="47">
        <v>49</v>
      </c>
      <c r="I236" s="47" t="s">
        <v>101</v>
      </c>
      <c r="J236" s="48">
        <v>0</v>
      </c>
      <c r="K236" s="48">
        <v>3</v>
      </c>
      <c r="R236" s="46">
        <f t="shared" si="38"/>
        <v>0</v>
      </c>
      <c r="S236" s="46">
        <f t="shared" si="39"/>
        <v>1</v>
      </c>
      <c r="T236" s="46">
        <f t="shared" si="37"/>
        <v>-20</v>
      </c>
      <c r="U236" s="46">
        <f t="shared" si="40"/>
        <v>-20</v>
      </c>
      <c r="V236" s="54">
        <f t="shared" si="41"/>
        <v>57.833333333333336</v>
      </c>
    </row>
    <row r="237" spans="1:22" x14ac:dyDescent="0.2">
      <c r="A237" s="46" t="s">
        <v>27</v>
      </c>
      <c r="B237" s="46" t="s">
        <v>57</v>
      </c>
      <c r="C237" s="46" t="s">
        <v>88</v>
      </c>
      <c r="D237" s="46" t="s">
        <v>178</v>
      </c>
      <c r="E237" s="46">
        <v>2</v>
      </c>
      <c r="F237" s="46" t="s">
        <v>62</v>
      </c>
      <c r="G237" s="46">
        <v>2</v>
      </c>
      <c r="H237" s="47" t="s">
        <v>82</v>
      </c>
      <c r="I237" s="47" t="s">
        <v>127</v>
      </c>
      <c r="J237" s="48">
        <v>0</v>
      </c>
      <c r="K237" s="48">
        <v>3</v>
      </c>
      <c r="R237" s="46">
        <f t="shared" si="38"/>
        <v>0</v>
      </c>
      <c r="S237" s="46">
        <f t="shared" si="39"/>
        <v>1</v>
      </c>
      <c r="T237" s="46">
        <f t="shared" si="37"/>
        <v>-20</v>
      </c>
      <c r="U237" s="46">
        <f t="shared" si="40"/>
        <v>-20</v>
      </c>
      <c r="V237" s="54">
        <f t="shared" si="41"/>
        <v>57.833333333333336</v>
      </c>
    </row>
    <row r="238" spans="1:22" x14ac:dyDescent="0.2">
      <c r="A238" s="46" t="s">
        <v>27</v>
      </c>
      <c r="B238" s="46" t="s">
        <v>57</v>
      </c>
      <c r="C238" s="46" t="s">
        <v>88</v>
      </c>
      <c r="D238" s="46" t="s">
        <v>178</v>
      </c>
      <c r="E238" s="46">
        <v>2</v>
      </c>
      <c r="F238" s="46" t="s">
        <v>62</v>
      </c>
      <c r="G238" s="46">
        <v>2</v>
      </c>
      <c r="H238" s="47" t="s">
        <v>83</v>
      </c>
      <c r="I238" s="47" t="s">
        <v>127</v>
      </c>
      <c r="J238" s="48">
        <v>0</v>
      </c>
      <c r="K238" s="48">
        <v>3</v>
      </c>
      <c r="R238" s="46">
        <f t="shared" si="38"/>
        <v>0</v>
      </c>
      <c r="S238" s="46">
        <f t="shared" si="39"/>
        <v>1</v>
      </c>
      <c r="T238" s="46">
        <f t="shared" si="37"/>
        <v>-20</v>
      </c>
      <c r="U238" s="46">
        <f t="shared" si="40"/>
        <v>-20</v>
      </c>
      <c r="V238" s="54">
        <f t="shared" si="41"/>
        <v>57.833333333333336</v>
      </c>
    </row>
    <row r="239" spans="1:22" x14ac:dyDescent="0.2">
      <c r="A239" s="46" t="s">
        <v>27</v>
      </c>
      <c r="B239" s="46" t="s">
        <v>57</v>
      </c>
      <c r="C239" s="46" t="s">
        <v>88</v>
      </c>
      <c r="D239" s="46" t="s">
        <v>178</v>
      </c>
      <c r="E239" s="46">
        <v>3</v>
      </c>
      <c r="F239" s="46" t="s">
        <v>61</v>
      </c>
      <c r="G239" s="46">
        <v>1</v>
      </c>
      <c r="H239" s="47" t="s">
        <v>69</v>
      </c>
      <c r="I239" s="47" t="s">
        <v>101</v>
      </c>
      <c r="J239" s="48">
        <v>0</v>
      </c>
      <c r="K239" s="48">
        <v>1</v>
      </c>
      <c r="R239" s="46">
        <f t="shared" si="38"/>
        <v>0</v>
      </c>
      <c r="S239" s="46">
        <f t="shared" si="39"/>
        <v>0</v>
      </c>
      <c r="T239" s="46">
        <f t="shared" si="37"/>
        <v>0</v>
      </c>
      <c r="U239" s="46">
        <f t="shared" si="40"/>
        <v>0</v>
      </c>
      <c r="V239" s="54">
        <f t="shared" si="41"/>
        <v>57.833333333333336</v>
      </c>
    </row>
    <row r="240" spans="1:22" x14ac:dyDescent="0.2">
      <c r="A240" s="46" t="s">
        <v>27</v>
      </c>
      <c r="B240" s="46" t="s">
        <v>57</v>
      </c>
      <c r="C240" s="46" t="s">
        <v>88</v>
      </c>
      <c r="D240" s="46" t="s">
        <v>178</v>
      </c>
      <c r="E240" s="46">
        <v>1</v>
      </c>
      <c r="F240" s="46" t="s">
        <v>61</v>
      </c>
      <c r="G240" s="46">
        <v>1</v>
      </c>
      <c r="H240" s="47" t="s">
        <v>71</v>
      </c>
      <c r="I240" s="47" t="s">
        <v>101</v>
      </c>
      <c r="J240" s="48">
        <v>1</v>
      </c>
      <c r="K240" s="48">
        <v>2</v>
      </c>
      <c r="R240" s="46">
        <f t="shared" si="38"/>
        <v>0</v>
      </c>
      <c r="S240" s="46">
        <f t="shared" si="39"/>
        <v>0</v>
      </c>
      <c r="T240" s="46">
        <f t="shared" ref="T240:T303" si="42">quizscore(J240,K240)</f>
        <v>10</v>
      </c>
      <c r="U240" s="46">
        <f t="shared" si="40"/>
        <v>10</v>
      </c>
      <c r="V240" s="54">
        <f t="shared" si="41"/>
        <v>57.833333333333336</v>
      </c>
    </row>
    <row r="241" spans="1:22" x14ac:dyDescent="0.2">
      <c r="A241" s="46" t="s">
        <v>27</v>
      </c>
      <c r="B241" s="46" t="s">
        <v>57</v>
      </c>
      <c r="C241" s="46" t="s">
        <v>88</v>
      </c>
      <c r="D241" s="46" t="s">
        <v>178</v>
      </c>
      <c r="E241" s="46">
        <v>3</v>
      </c>
      <c r="F241" s="46" t="s">
        <v>61</v>
      </c>
      <c r="G241" s="46">
        <v>1</v>
      </c>
      <c r="H241" s="47" t="s">
        <v>71</v>
      </c>
      <c r="I241" s="47" t="s">
        <v>101</v>
      </c>
      <c r="J241" s="48">
        <v>1</v>
      </c>
      <c r="K241" s="48">
        <v>2</v>
      </c>
      <c r="R241" s="46">
        <f t="shared" si="38"/>
        <v>0</v>
      </c>
      <c r="S241" s="46">
        <f t="shared" si="39"/>
        <v>0</v>
      </c>
      <c r="T241" s="46">
        <f t="shared" si="42"/>
        <v>10</v>
      </c>
      <c r="U241" s="46">
        <f t="shared" si="40"/>
        <v>10</v>
      </c>
      <c r="V241" s="54">
        <f t="shared" si="41"/>
        <v>57.833333333333336</v>
      </c>
    </row>
    <row r="242" spans="1:22" x14ac:dyDescent="0.2">
      <c r="A242" s="46" t="s">
        <v>27</v>
      </c>
      <c r="B242" s="46" t="s">
        <v>57</v>
      </c>
      <c r="C242" s="46" t="s">
        <v>88</v>
      </c>
      <c r="D242" s="46" t="s">
        <v>178</v>
      </c>
      <c r="E242" s="46">
        <v>3</v>
      </c>
      <c r="F242" s="46" t="s">
        <v>60</v>
      </c>
      <c r="G242" s="46">
        <v>2</v>
      </c>
      <c r="H242" s="47">
        <v>34</v>
      </c>
      <c r="I242" s="47" t="s">
        <v>127</v>
      </c>
      <c r="J242" s="48">
        <v>1</v>
      </c>
      <c r="K242" s="48">
        <v>0</v>
      </c>
      <c r="R242" s="46">
        <f t="shared" si="38"/>
        <v>0</v>
      </c>
      <c r="S242" s="46">
        <f t="shared" si="39"/>
        <v>0</v>
      </c>
      <c r="T242" s="46">
        <f t="shared" si="42"/>
        <v>20</v>
      </c>
      <c r="U242" s="46">
        <f t="shared" si="40"/>
        <v>20</v>
      </c>
      <c r="V242" s="54">
        <f t="shared" si="41"/>
        <v>57.833333333333336</v>
      </c>
    </row>
    <row r="243" spans="1:22" x14ac:dyDescent="0.2">
      <c r="A243" s="46" t="s">
        <v>27</v>
      </c>
      <c r="B243" s="46" t="s">
        <v>57</v>
      </c>
      <c r="C243" s="46" t="s">
        <v>88</v>
      </c>
      <c r="D243" s="46" t="s">
        <v>178</v>
      </c>
      <c r="E243" s="46">
        <v>1</v>
      </c>
      <c r="F243" s="46" t="s">
        <v>61</v>
      </c>
      <c r="G243" s="46">
        <v>1</v>
      </c>
      <c r="H243" s="47" t="s">
        <v>74</v>
      </c>
      <c r="I243" s="47" t="s">
        <v>101</v>
      </c>
      <c r="J243" s="48">
        <v>1</v>
      </c>
      <c r="K243" s="48">
        <v>0</v>
      </c>
      <c r="R243" s="46">
        <f t="shared" si="38"/>
        <v>0</v>
      </c>
      <c r="S243" s="46">
        <f t="shared" si="39"/>
        <v>0</v>
      </c>
      <c r="T243" s="46">
        <f t="shared" si="42"/>
        <v>20</v>
      </c>
      <c r="U243" s="46">
        <f t="shared" si="40"/>
        <v>20</v>
      </c>
      <c r="V243" s="54">
        <f t="shared" si="41"/>
        <v>57.833333333333336</v>
      </c>
    </row>
    <row r="244" spans="1:22" x14ac:dyDescent="0.2">
      <c r="A244" s="46" t="s">
        <v>27</v>
      </c>
      <c r="B244" s="46" t="s">
        <v>57</v>
      </c>
      <c r="C244" s="46" t="s">
        <v>88</v>
      </c>
      <c r="D244" s="46" t="s">
        <v>178</v>
      </c>
      <c r="E244" s="46">
        <v>3</v>
      </c>
      <c r="F244" s="46" t="s">
        <v>61</v>
      </c>
      <c r="G244" s="46">
        <v>1</v>
      </c>
      <c r="H244" s="47" t="s">
        <v>75</v>
      </c>
      <c r="I244" s="47" t="s">
        <v>101</v>
      </c>
      <c r="J244" s="48">
        <v>1</v>
      </c>
      <c r="K244" s="48">
        <v>1</v>
      </c>
      <c r="M244" s="48">
        <v>1</v>
      </c>
      <c r="R244" s="46">
        <f t="shared" si="38"/>
        <v>0</v>
      </c>
      <c r="S244" s="46">
        <f t="shared" si="39"/>
        <v>0</v>
      </c>
      <c r="T244" s="46">
        <f t="shared" si="42"/>
        <v>20</v>
      </c>
      <c r="U244" s="46">
        <f t="shared" si="40"/>
        <v>40</v>
      </c>
      <c r="V244" s="54">
        <f t="shared" si="41"/>
        <v>57.833333333333336</v>
      </c>
    </row>
    <row r="245" spans="1:22" x14ac:dyDescent="0.2">
      <c r="A245" s="46" t="s">
        <v>27</v>
      </c>
      <c r="B245" s="46" t="s">
        <v>57</v>
      </c>
      <c r="C245" s="46" t="s">
        <v>88</v>
      </c>
      <c r="D245" s="46" t="s">
        <v>178</v>
      </c>
      <c r="E245" s="46">
        <v>4</v>
      </c>
      <c r="F245" s="46" t="s">
        <v>60</v>
      </c>
      <c r="G245" s="46">
        <v>3</v>
      </c>
      <c r="H245" s="47">
        <v>35</v>
      </c>
      <c r="I245" s="47" t="s">
        <v>159</v>
      </c>
      <c r="J245" s="48">
        <v>2</v>
      </c>
      <c r="K245" s="48">
        <v>2</v>
      </c>
      <c r="R245" s="46">
        <f t="shared" si="38"/>
        <v>0</v>
      </c>
      <c r="S245" s="46">
        <f t="shared" si="39"/>
        <v>0</v>
      </c>
      <c r="T245" s="46">
        <f t="shared" si="42"/>
        <v>30</v>
      </c>
      <c r="U245" s="46">
        <f t="shared" si="40"/>
        <v>30</v>
      </c>
      <c r="V245" s="54">
        <f t="shared" si="41"/>
        <v>57.833333333333336</v>
      </c>
    </row>
    <row r="246" spans="1:22" x14ac:dyDescent="0.2">
      <c r="A246" s="46" t="s">
        <v>27</v>
      </c>
      <c r="B246" s="46" t="s">
        <v>57</v>
      </c>
      <c r="C246" s="46" t="s">
        <v>88</v>
      </c>
      <c r="D246" s="46" t="s">
        <v>178</v>
      </c>
      <c r="E246" s="46">
        <v>4</v>
      </c>
      <c r="F246" s="46" t="s">
        <v>61</v>
      </c>
      <c r="G246" s="46">
        <v>1</v>
      </c>
      <c r="H246" s="47" t="s">
        <v>68</v>
      </c>
      <c r="I246" s="47" t="s">
        <v>101</v>
      </c>
      <c r="J246" s="48">
        <v>2</v>
      </c>
      <c r="K246" s="48">
        <v>2</v>
      </c>
      <c r="R246" s="46">
        <f t="shared" si="38"/>
        <v>0</v>
      </c>
      <c r="S246" s="46">
        <f t="shared" si="39"/>
        <v>0</v>
      </c>
      <c r="T246" s="46">
        <f t="shared" si="42"/>
        <v>30</v>
      </c>
      <c r="U246" s="46">
        <f t="shared" si="40"/>
        <v>30</v>
      </c>
      <c r="V246" s="54">
        <f t="shared" si="41"/>
        <v>57.833333333333336</v>
      </c>
    </row>
    <row r="247" spans="1:22" x14ac:dyDescent="0.2">
      <c r="A247" s="46" t="s">
        <v>27</v>
      </c>
      <c r="B247" s="46" t="s">
        <v>57</v>
      </c>
      <c r="C247" s="46" t="s">
        <v>88</v>
      </c>
      <c r="D247" s="46" t="s">
        <v>178</v>
      </c>
      <c r="E247" s="46">
        <v>4</v>
      </c>
      <c r="F247" s="46" t="s">
        <v>61</v>
      </c>
      <c r="G247" s="46">
        <v>2</v>
      </c>
      <c r="H247" s="47" t="s">
        <v>66</v>
      </c>
      <c r="I247" s="47" t="s">
        <v>127</v>
      </c>
      <c r="J247" s="48">
        <v>2</v>
      </c>
      <c r="K247" s="48">
        <v>2</v>
      </c>
      <c r="R247" s="46">
        <f t="shared" si="38"/>
        <v>0</v>
      </c>
      <c r="S247" s="46">
        <f t="shared" si="39"/>
        <v>0</v>
      </c>
      <c r="T247" s="46">
        <f t="shared" si="42"/>
        <v>30</v>
      </c>
      <c r="U247" s="46">
        <f t="shared" si="40"/>
        <v>30</v>
      </c>
      <c r="V247" s="54">
        <f t="shared" si="41"/>
        <v>57.833333333333336</v>
      </c>
    </row>
    <row r="248" spans="1:22" x14ac:dyDescent="0.2">
      <c r="A248" s="46" t="s">
        <v>27</v>
      </c>
      <c r="B248" s="46" t="s">
        <v>57</v>
      </c>
      <c r="C248" s="46" t="s">
        <v>88</v>
      </c>
      <c r="D248" s="46" t="s">
        <v>178</v>
      </c>
      <c r="E248" s="46">
        <v>2</v>
      </c>
      <c r="F248" s="46" t="s">
        <v>60</v>
      </c>
      <c r="G248" s="46">
        <v>3</v>
      </c>
      <c r="H248" s="47">
        <v>3</v>
      </c>
      <c r="I248" s="47" t="s">
        <v>116</v>
      </c>
      <c r="J248" s="48">
        <v>2</v>
      </c>
      <c r="K248" s="48">
        <v>0</v>
      </c>
      <c r="L248" s="48">
        <v>1</v>
      </c>
      <c r="R248" s="46">
        <f t="shared" si="38"/>
        <v>0</v>
      </c>
      <c r="S248" s="46">
        <f t="shared" si="39"/>
        <v>0</v>
      </c>
      <c r="T248" s="46">
        <f t="shared" si="42"/>
        <v>40</v>
      </c>
      <c r="U248" s="46">
        <f t="shared" si="40"/>
        <v>35</v>
      </c>
      <c r="V248" s="54">
        <f t="shared" si="41"/>
        <v>57.833333333333336</v>
      </c>
    </row>
    <row r="249" spans="1:22" x14ac:dyDescent="0.2">
      <c r="A249" s="46" t="s">
        <v>27</v>
      </c>
      <c r="B249" s="46" t="s">
        <v>57</v>
      </c>
      <c r="C249" s="46" t="s">
        <v>88</v>
      </c>
      <c r="D249" s="46" t="s">
        <v>178</v>
      </c>
      <c r="E249" s="46">
        <v>1</v>
      </c>
      <c r="F249" s="46" t="s">
        <v>60</v>
      </c>
      <c r="G249" s="46">
        <v>4</v>
      </c>
      <c r="H249" s="47">
        <v>4</v>
      </c>
      <c r="I249" s="47" t="s">
        <v>102</v>
      </c>
      <c r="J249" s="48">
        <v>2</v>
      </c>
      <c r="K249" s="48">
        <v>0</v>
      </c>
      <c r="R249" s="46">
        <f t="shared" si="38"/>
        <v>0</v>
      </c>
      <c r="S249" s="46">
        <f t="shared" si="39"/>
        <v>0</v>
      </c>
      <c r="T249" s="46">
        <f t="shared" si="42"/>
        <v>40</v>
      </c>
      <c r="U249" s="46">
        <f t="shared" si="40"/>
        <v>40</v>
      </c>
      <c r="V249" s="54">
        <f t="shared" si="41"/>
        <v>57.833333333333336</v>
      </c>
    </row>
    <row r="250" spans="1:22" x14ac:dyDescent="0.2">
      <c r="A250" s="46" t="s">
        <v>27</v>
      </c>
      <c r="B250" s="46" t="s">
        <v>57</v>
      </c>
      <c r="C250" s="46" t="s">
        <v>88</v>
      </c>
      <c r="D250" s="46" t="s">
        <v>178</v>
      </c>
      <c r="E250" s="46">
        <v>2</v>
      </c>
      <c r="F250" s="46" t="s">
        <v>60</v>
      </c>
      <c r="G250" s="46">
        <v>3</v>
      </c>
      <c r="H250" s="47">
        <v>11</v>
      </c>
      <c r="I250" s="47" t="s">
        <v>116</v>
      </c>
      <c r="J250" s="48">
        <v>2</v>
      </c>
      <c r="K250" s="48">
        <v>0</v>
      </c>
      <c r="R250" s="46">
        <f t="shared" si="38"/>
        <v>0</v>
      </c>
      <c r="S250" s="46">
        <f t="shared" si="39"/>
        <v>0</v>
      </c>
      <c r="T250" s="46">
        <f t="shared" si="42"/>
        <v>40</v>
      </c>
      <c r="U250" s="46">
        <f t="shared" si="40"/>
        <v>40</v>
      </c>
      <c r="V250" s="54">
        <f t="shared" si="41"/>
        <v>57.833333333333336</v>
      </c>
    </row>
    <row r="251" spans="1:22" x14ac:dyDescent="0.2">
      <c r="A251" s="46" t="s">
        <v>27</v>
      </c>
      <c r="B251" s="46" t="s">
        <v>57</v>
      </c>
      <c r="C251" s="46" t="s">
        <v>88</v>
      </c>
      <c r="D251" s="46" t="s">
        <v>178</v>
      </c>
      <c r="E251" s="46">
        <v>2</v>
      </c>
      <c r="F251" s="46" t="s">
        <v>60</v>
      </c>
      <c r="G251" s="46">
        <v>2</v>
      </c>
      <c r="H251" s="47">
        <v>42</v>
      </c>
      <c r="I251" s="47" t="s">
        <v>127</v>
      </c>
      <c r="J251" s="48">
        <v>2</v>
      </c>
      <c r="K251" s="48">
        <v>1</v>
      </c>
      <c r="R251" s="46">
        <f t="shared" si="38"/>
        <v>0</v>
      </c>
      <c r="S251" s="46">
        <f t="shared" si="39"/>
        <v>0</v>
      </c>
      <c r="T251" s="46">
        <f t="shared" si="42"/>
        <v>40</v>
      </c>
      <c r="U251" s="46">
        <f t="shared" si="40"/>
        <v>40</v>
      </c>
      <c r="V251" s="54">
        <f t="shared" si="41"/>
        <v>57.833333333333336</v>
      </c>
    </row>
    <row r="252" spans="1:22" x14ac:dyDescent="0.2">
      <c r="A252" s="46" t="s">
        <v>27</v>
      </c>
      <c r="B252" s="46" t="s">
        <v>57</v>
      </c>
      <c r="C252" s="46" t="s">
        <v>88</v>
      </c>
      <c r="D252" s="46" t="s">
        <v>178</v>
      </c>
      <c r="E252" s="46">
        <v>4</v>
      </c>
      <c r="F252" s="46" t="s">
        <v>60</v>
      </c>
      <c r="G252" s="46">
        <v>2</v>
      </c>
      <c r="H252" s="47">
        <v>42</v>
      </c>
      <c r="I252" s="47" t="s">
        <v>127</v>
      </c>
      <c r="J252" s="48">
        <v>2</v>
      </c>
      <c r="K252" s="48">
        <v>1</v>
      </c>
      <c r="R252" s="46">
        <f t="shared" si="38"/>
        <v>0</v>
      </c>
      <c r="S252" s="46">
        <f t="shared" si="39"/>
        <v>0</v>
      </c>
      <c r="T252" s="46">
        <f t="shared" si="42"/>
        <v>40</v>
      </c>
      <c r="U252" s="46">
        <f t="shared" si="40"/>
        <v>40</v>
      </c>
      <c r="V252" s="54">
        <f t="shared" si="41"/>
        <v>57.833333333333336</v>
      </c>
    </row>
    <row r="253" spans="1:22" x14ac:dyDescent="0.2">
      <c r="A253" s="46" t="s">
        <v>27</v>
      </c>
      <c r="B253" s="46" t="s">
        <v>57</v>
      </c>
      <c r="C253" s="46" t="s">
        <v>88</v>
      </c>
      <c r="D253" s="46" t="s">
        <v>178</v>
      </c>
      <c r="E253" s="46">
        <v>1</v>
      </c>
      <c r="F253" s="46" t="s">
        <v>60</v>
      </c>
      <c r="G253" s="46">
        <v>2</v>
      </c>
      <c r="H253" s="47">
        <v>50</v>
      </c>
      <c r="I253" s="47" t="s">
        <v>127</v>
      </c>
      <c r="J253" s="48">
        <v>2</v>
      </c>
      <c r="K253" s="48">
        <v>0</v>
      </c>
      <c r="R253" s="46">
        <f t="shared" si="38"/>
        <v>0</v>
      </c>
      <c r="S253" s="46">
        <f t="shared" si="39"/>
        <v>0</v>
      </c>
      <c r="T253" s="46">
        <f t="shared" si="42"/>
        <v>40</v>
      </c>
      <c r="U253" s="46">
        <f t="shared" si="40"/>
        <v>40</v>
      </c>
      <c r="V253" s="54">
        <f t="shared" si="41"/>
        <v>57.833333333333336</v>
      </c>
    </row>
    <row r="254" spans="1:22" x14ac:dyDescent="0.2">
      <c r="A254" s="46" t="s">
        <v>27</v>
      </c>
      <c r="B254" s="46" t="s">
        <v>57</v>
      </c>
      <c r="C254" s="46" t="s">
        <v>88</v>
      </c>
      <c r="D254" s="46" t="s">
        <v>178</v>
      </c>
      <c r="E254" s="46">
        <v>3</v>
      </c>
      <c r="F254" s="46" t="s">
        <v>61</v>
      </c>
      <c r="G254" s="46">
        <v>1</v>
      </c>
      <c r="H254" s="47" t="s">
        <v>67</v>
      </c>
      <c r="I254" s="47" t="s">
        <v>101</v>
      </c>
      <c r="J254" s="48">
        <v>2</v>
      </c>
      <c r="K254" s="48">
        <v>0</v>
      </c>
      <c r="R254" s="46">
        <f t="shared" si="38"/>
        <v>0</v>
      </c>
      <c r="S254" s="46">
        <f t="shared" si="39"/>
        <v>0</v>
      </c>
      <c r="T254" s="46">
        <f t="shared" si="42"/>
        <v>40</v>
      </c>
      <c r="U254" s="46">
        <f t="shared" si="40"/>
        <v>40</v>
      </c>
      <c r="V254" s="54">
        <f t="shared" si="41"/>
        <v>57.833333333333336</v>
      </c>
    </row>
    <row r="255" spans="1:22" x14ac:dyDescent="0.2">
      <c r="A255" s="46" t="s">
        <v>27</v>
      </c>
      <c r="B255" s="46" t="s">
        <v>57</v>
      </c>
      <c r="C255" s="46" t="s">
        <v>88</v>
      </c>
      <c r="D255" s="46" t="s">
        <v>178</v>
      </c>
      <c r="E255" s="46">
        <v>4</v>
      </c>
      <c r="F255" s="46" t="s">
        <v>61</v>
      </c>
      <c r="G255" s="46">
        <v>1</v>
      </c>
      <c r="H255" s="47" t="s">
        <v>74</v>
      </c>
      <c r="I255" s="47" t="s">
        <v>101</v>
      </c>
      <c r="J255" s="48">
        <v>2</v>
      </c>
      <c r="K255" s="48">
        <v>1</v>
      </c>
      <c r="R255" s="46">
        <f t="shared" si="38"/>
        <v>0</v>
      </c>
      <c r="S255" s="46">
        <f t="shared" si="39"/>
        <v>0</v>
      </c>
      <c r="T255" s="46">
        <f t="shared" si="42"/>
        <v>40</v>
      </c>
      <c r="U255" s="46">
        <f t="shared" si="40"/>
        <v>40</v>
      </c>
      <c r="V255" s="54">
        <f t="shared" si="41"/>
        <v>57.833333333333336</v>
      </c>
    </row>
    <row r="256" spans="1:22" x14ac:dyDescent="0.2">
      <c r="A256" s="46" t="s">
        <v>27</v>
      </c>
      <c r="B256" s="46" t="s">
        <v>57</v>
      </c>
      <c r="C256" s="46" t="s">
        <v>88</v>
      </c>
      <c r="D256" s="46" t="s">
        <v>178</v>
      </c>
      <c r="E256" s="46">
        <v>1</v>
      </c>
      <c r="F256" s="46" t="s">
        <v>61</v>
      </c>
      <c r="G256" s="46">
        <v>2</v>
      </c>
      <c r="H256" s="47" t="s">
        <v>76</v>
      </c>
      <c r="I256" s="47" t="s">
        <v>127</v>
      </c>
      <c r="J256" s="48">
        <v>2</v>
      </c>
      <c r="K256" s="48">
        <v>1</v>
      </c>
      <c r="M256" s="48">
        <v>1</v>
      </c>
      <c r="R256" s="46">
        <f t="shared" si="38"/>
        <v>0</v>
      </c>
      <c r="S256" s="46">
        <f t="shared" si="39"/>
        <v>0</v>
      </c>
      <c r="T256" s="46">
        <f t="shared" si="42"/>
        <v>40</v>
      </c>
      <c r="U256" s="46">
        <f t="shared" si="40"/>
        <v>60</v>
      </c>
      <c r="V256" s="54">
        <f t="shared" si="41"/>
        <v>57.833333333333336</v>
      </c>
    </row>
    <row r="257" spans="1:22" x14ac:dyDescent="0.2">
      <c r="A257" s="46" t="s">
        <v>27</v>
      </c>
      <c r="B257" s="46" t="s">
        <v>57</v>
      </c>
      <c r="C257" s="46" t="s">
        <v>88</v>
      </c>
      <c r="D257" s="46" t="s">
        <v>178</v>
      </c>
      <c r="E257" s="46">
        <v>1</v>
      </c>
      <c r="F257" s="46" t="s">
        <v>60</v>
      </c>
      <c r="G257" s="46">
        <v>3</v>
      </c>
      <c r="H257" s="47">
        <v>7</v>
      </c>
      <c r="I257" s="47" t="s">
        <v>116</v>
      </c>
      <c r="J257" s="48">
        <v>3</v>
      </c>
      <c r="K257" s="48">
        <v>2</v>
      </c>
      <c r="R257" s="46">
        <f t="shared" si="38"/>
        <v>0</v>
      </c>
      <c r="S257" s="46">
        <f t="shared" si="39"/>
        <v>0</v>
      </c>
      <c r="T257" s="46">
        <f t="shared" si="42"/>
        <v>50</v>
      </c>
      <c r="U257" s="46">
        <f t="shared" si="40"/>
        <v>50</v>
      </c>
      <c r="V257" s="54">
        <f t="shared" si="41"/>
        <v>57.833333333333336</v>
      </c>
    </row>
    <row r="258" spans="1:22" x14ac:dyDescent="0.2">
      <c r="A258" s="46" t="s">
        <v>27</v>
      </c>
      <c r="B258" s="46" t="s">
        <v>57</v>
      </c>
      <c r="C258" s="46" t="s">
        <v>88</v>
      </c>
      <c r="D258" s="46" t="s">
        <v>178</v>
      </c>
      <c r="E258" s="46">
        <v>3</v>
      </c>
      <c r="F258" s="46" t="s">
        <v>60</v>
      </c>
      <c r="G258" s="46">
        <v>2</v>
      </c>
      <c r="H258" s="47">
        <v>10</v>
      </c>
      <c r="I258" s="47" t="s">
        <v>127</v>
      </c>
      <c r="J258" s="48">
        <v>3</v>
      </c>
      <c r="K258" s="48">
        <v>2</v>
      </c>
      <c r="R258" s="46">
        <f t="shared" ref="R258:R321" si="43">IF(J258=4,1,0)</f>
        <v>0</v>
      </c>
      <c r="S258" s="46">
        <f t="shared" ref="S258:S321" si="44">IF(K258=3,1,0)</f>
        <v>0</v>
      </c>
      <c r="T258" s="46">
        <f t="shared" si="42"/>
        <v>50</v>
      </c>
      <c r="U258" s="46">
        <f t="shared" ref="U258:U321" si="45">T258+M258*(20) + (SUM(O258:Q258)*(10)) - L258*(5) - N258*(5)</f>
        <v>50</v>
      </c>
      <c r="V258" s="54">
        <f t="shared" ref="V258:V321" si="46">AVERAGEIFS(U:U,A:A,A258,F:F,"Pre")</f>
        <v>57.833333333333336</v>
      </c>
    </row>
    <row r="259" spans="1:22" x14ac:dyDescent="0.2">
      <c r="A259" s="46" t="s">
        <v>27</v>
      </c>
      <c r="B259" s="46" t="s">
        <v>57</v>
      </c>
      <c r="C259" s="46" t="s">
        <v>88</v>
      </c>
      <c r="D259" s="46" t="s">
        <v>178</v>
      </c>
      <c r="E259" s="46">
        <v>1</v>
      </c>
      <c r="F259" s="46" t="s">
        <v>60</v>
      </c>
      <c r="G259" s="46">
        <v>2</v>
      </c>
      <c r="H259" s="47">
        <v>14</v>
      </c>
      <c r="I259" s="47" t="s">
        <v>127</v>
      </c>
      <c r="J259" s="48">
        <v>3</v>
      </c>
      <c r="K259" s="48">
        <v>0</v>
      </c>
      <c r="R259" s="46">
        <f t="shared" si="43"/>
        <v>0</v>
      </c>
      <c r="S259" s="46">
        <f t="shared" si="44"/>
        <v>0</v>
      </c>
      <c r="T259" s="46">
        <f t="shared" si="42"/>
        <v>60</v>
      </c>
      <c r="U259" s="46">
        <f t="shared" si="45"/>
        <v>60</v>
      </c>
      <c r="V259" s="54">
        <f t="shared" si="46"/>
        <v>57.833333333333336</v>
      </c>
    </row>
    <row r="260" spans="1:22" x14ac:dyDescent="0.2">
      <c r="A260" s="46" t="s">
        <v>27</v>
      </c>
      <c r="B260" s="46" t="s">
        <v>57</v>
      </c>
      <c r="C260" s="46" t="s">
        <v>88</v>
      </c>
      <c r="D260" s="46" t="s">
        <v>178</v>
      </c>
      <c r="E260" s="46">
        <v>3</v>
      </c>
      <c r="F260" s="46" t="s">
        <v>60</v>
      </c>
      <c r="G260" s="46">
        <v>3</v>
      </c>
      <c r="H260" s="47">
        <v>19</v>
      </c>
      <c r="I260" s="47" t="s">
        <v>116</v>
      </c>
      <c r="J260" s="48">
        <v>3</v>
      </c>
      <c r="K260" s="48">
        <v>0</v>
      </c>
      <c r="R260" s="46">
        <f t="shared" si="43"/>
        <v>0</v>
      </c>
      <c r="S260" s="46">
        <f t="shared" si="44"/>
        <v>0</v>
      </c>
      <c r="T260" s="46">
        <f t="shared" si="42"/>
        <v>60</v>
      </c>
      <c r="U260" s="46">
        <f t="shared" si="45"/>
        <v>60</v>
      </c>
      <c r="V260" s="54">
        <f t="shared" si="46"/>
        <v>57.833333333333336</v>
      </c>
    </row>
    <row r="261" spans="1:22" x14ac:dyDescent="0.2">
      <c r="A261" s="46" t="s">
        <v>27</v>
      </c>
      <c r="B261" s="46" t="s">
        <v>57</v>
      </c>
      <c r="C261" s="46" t="s">
        <v>88</v>
      </c>
      <c r="D261" s="46" t="s">
        <v>178</v>
      </c>
      <c r="E261" s="46">
        <v>2</v>
      </c>
      <c r="F261" s="46" t="s">
        <v>60</v>
      </c>
      <c r="G261" s="46">
        <v>1</v>
      </c>
      <c r="H261" s="47">
        <v>21</v>
      </c>
      <c r="I261" s="47" t="s">
        <v>101</v>
      </c>
      <c r="J261" s="48">
        <v>3</v>
      </c>
      <c r="K261" s="48">
        <v>1</v>
      </c>
      <c r="M261" s="48">
        <v>1</v>
      </c>
      <c r="R261" s="46">
        <f t="shared" si="43"/>
        <v>0</v>
      </c>
      <c r="S261" s="46">
        <f t="shared" si="44"/>
        <v>0</v>
      </c>
      <c r="T261" s="46">
        <f t="shared" si="42"/>
        <v>60</v>
      </c>
      <c r="U261" s="46">
        <f t="shared" si="45"/>
        <v>80</v>
      </c>
      <c r="V261" s="54">
        <f t="shared" si="46"/>
        <v>57.833333333333336</v>
      </c>
    </row>
    <row r="262" spans="1:22" x14ac:dyDescent="0.2">
      <c r="A262" s="46" t="s">
        <v>27</v>
      </c>
      <c r="B262" s="46" t="s">
        <v>57</v>
      </c>
      <c r="C262" s="46" t="s">
        <v>88</v>
      </c>
      <c r="D262" s="46" t="s">
        <v>178</v>
      </c>
      <c r="E262" s="46">
        <v>4</v>
      </c>
      <c r="F262" s="46" t="s">
        <v>60</v>
      </c>
      <c r="G262" s="46">
        <v>1</v>
      </c>
      <c r="H262" s="47">
        <v>25</v>
      </c>
      <c r="I262" s="47" t="s">
        <v>101</v>
      </c>
      <c r="J262" s="48">
        <v>3</v>
      </c>
      <c r="K262" s="48">
        <v>0</v>
      </c>
      <c r="R262" s="46">
        <f t="shared" si="43"/>
        <v>0</v>
      </c>
      <c r="S262" s="46">
        <f t="shared" si="44"/>
        <v>0</v>
      </c>
      <c r="T262" s="46">
        <f t="shared" si="42"/>
        <v>60</v>
      </c>
      <c r="U262" s="46">
        <f t="shared" si="45"/>
        <v>60</v>
      </c>
      <c r="V262" s="54">
        <f t="shared" si="46"/>
        <v>57.833333333333336</v>
      </c>
    </row>
    <row r="263" spans="1:22" x14ac:dyDescent="0.2">
      <c r="A263" s="46" t="s">
        <v>27</v>
      </c>
      <c r="B263" s="46" t="s">
        <v>57</v>
      </c>
      <c r="C263" s="46" t="s">
        <v>88</v>
      </c>
      <c r="D263" s="46" t="s">
        <v>178</v>
      </c>
      <c r="E263" s="46">
        <v>2</v>
      </c>
      <c r="F263" s="46" t="s">
        <v>60</v>
      </c>
      <c r="G263" s="46">
        <v>4</v>
      </c>
      <c r="H263" s="47">
        <v>36</v>
      </c>
      <c r="I263" s="47" t="s">
        <v>102</v>
      </c>
      <c r="J263" s="48">
        <v>3</v>
      </c>
      <c r="K263" s="48">
        <v>1</v>
      </c>
      <c r="R263" s="46">
        <f t="shared" si="43"/>
        <v>0</v>
      </c>
      <c r="S263" s="46">
        <f t="shared" si="44"/>
        <v>0</v>
      </c>
      <c r="T263" s="46">
        <f t="shared" si="42"/>
        <v>60</v>
      </c>
      <c r="U263" s="46">
        <f t="shared" si="45"/>
        <v>60</v>
      </c>
      <c r="V263" s="54">
        <f t="shared" si="46"/>
        <v>57.833333333333336</v>
      </c>
    </row>
    <row r="264" spans="1:22" x14ac:dyDescent="0.2">
      <c r="A264" s="46" t="s">
        <v>27</v>
      </c>
      <c r="B264" s="46" t="s">
        <v>57</v>
      </c>
      <c r="C264" s="46" t="s">
        <v>88</v>
      </c>
      <c r="D264" s="46" t="s">
        <v>178</v>
      </c>
      <c r="E264" s="46">
        <v>1</v>
      </c>
      <c r="F264" s="46" t="s">
        <v>61</v>
      </c>
      <c r="G264" s="46">
        <v>2</v>
      </c>
      <c r="H264" s="47" t="s">
        <v>66</v>
      </c>
      <c r="I264" s="47" t="s">
        <v>127</v>
      </c>
      <c r="J264" s="48">
        <v>3</v>
      </c>
      <c r="K264" s="48">
        <v>0</v>
      </c>
      <c r="R264" s="46">
        <f t="shared" si="43"/>
        <v>0</v>
      </c>
      <c r="S264" s="46">
        <f t="shared" si="44"/>
        <v>0</v>
      </c>
      <c r="T264" s="46">
        <f t="shared" si="42"/>
        <v>60</v>
      </c>
      <c r="U264" s="46">
        <f t="shared" si="45"/>
        <v>60</v>
      </c>
      <c r="V264" s="54">
        <f t="shared" si="46"/>
        <v>57.833333333333336</v>
      </c>
    </row>
    <row r="265" spans="1:22" x14ac:dyDescent="0.2">
      <c r="A265" s="46" t="s">
        <v>27</v>
      </c>
      <c r="B265" s="46" t="s">
        <v>57</v>
      </c>
      <c r="C265" s="46" t="s">
        <v>88</v>
      </c>
      <c r="D265" s="46" t="s">
        <v>178</v>
      </c>
      <c r="E265" s="46">
        <v>4</v>
      </c>
      <c r="F265" s="46" t="s">
        <v>60</v>
      </c>
      <c r="G265" s="46">
        <v>4</v>
      </c>
      <c r="H265" s="47">
        <v>12</v>
      </c>
      <c r="I265" s="47" t="s">
        <v>102</v>
      </c>
      <c r="J265" s="48">
        <v>4</v>
      </c>
      <c r="K265" s="48">
        <v>2</v>
      </c>
      <c r="R265" s="46">
        <f t="shared" si="43"/>
        <v>1</v>
      </c>
      <c r="S265" s="46">
        <f t="shared" si="44"/>
        <v>0</v>
      </c>
      <c r="T265" s="46">
        <f t="shared" si="42"/>
        <v>70</v>
      </c>
      <c r="U265" s="46">
        <f t="shared" si="45"/>
        <v>70</v>
      </c>
      <c r="V265" s="54">
        <f t="shared" si="46"/>
        <v>57.833333333333336</v>
      </c>
    </row>
    <row r="266" spans="1:22" x14ac:dyDescent="0.2">
      <c r="A266" s="46" t="s">
        <v>27</v>
      </c>
      <c r="B266" s="46" t="s">
        <v>57</v>
      </c>
      <c r="C266" s="46" t="s">
        <v>88</v>
      </c>
      <c r="D266" s="46" t="s">
        <v>178</v>
      </c>
      <c r="E266" s="46">
        <v>4</v>
      </c>
      <c r="F266" s="46" t="s">
        <v>60</v>
      </c>
      <c r="G266" s="46">
        <v>3</v>
      </c>
      <c r="H266" s="47">
        <v>3</v>
      </c>
      <c r="I266" s="47" t="s">
        <v>159</v>
      </c>
      <c r="J266" s="48">
        <v>4</v>
      </c>
      <c r="K266" s="48">
        <v>1</v>
      </c>
      <c r="R266" s="46">
        <f t="shared" si="43"/>
        <v>1</v>
      </c>
      <c r="S266" s="46">
        <f t="shared" si="44"/>
        <v>0</v>
      </c>
      <c r="T266" s="46">
        <f t="shared" si="42"/>
        <v>80</v>
      </c>
      <c r="U266" s="46">
        <f t="shared" si="45"/>
        <v>80</v>
      </c>
      <c r="V266" s="54">
        <f t="shared" si="46"/>
        <v>57.833333333333336</v>
      </c>
    </row>
    <row r="267" spans="1:22" x14ac:dyDescent="0.2">
      <c r="A267" s="46" t="s">
        <v>27</v>
      </c>
      <c r="B267" s="46" t="s">
        <v>57</v>
      </c>
      <c r="C267" s="46" t="s">
        <v>88</v>
      </c>
      <c r="D267" s="46" t="s">
        <v>178</v>
      </c>
      <c r="E267" s="46">
        <v>1</v>
      </c>
      <c r="F267" s="46" t="s">
        <v>60</v>
      </c>
      <c r="G267" s="46">
        <v>1</v>
      </c>
      <c r="H267" s="47">
        <v>25</v>
      </c>
      <c r="I267" s="47" t="s">
        <v>101</v>
      </c>
      <c r="J267" s="48">
        <v>4</v>
      </c>
      <c r="K267" s="48">
        <v>1</v>
      </c>
      <c r="R267" s="46">
        <f t="shared" si="43"/>
        <v>1</v>
      </c>
      <c r="S267" s="46">
        <f t="shared" si="44"/>
        <v>0</v>
      </c>
      <c r="T267" s="46">
        <f t="shared" si="42"/>
        <v>80</v>
      </c>
      <c r="U267" s="46">
        <f t="shared" si="45"/>
        <v>80</v>
      </c>
      <c r="V267" s="54">
        <f t="shared" si="46"/>
        <v>57.833333333333336</v>
      </c>
    </row>
    <row r="268" spans="1:22" x14ac:dyDescent="0.2">
      <c r="A268" s="46" t="s">
        <v>27</v>
      </c>
      <c r="B268" s="46" t="s">
        <v>57</v>
      </c>
      <c r="C268" s="46" t="s">
        <v>88</v>
      </c>
      <c r="D268" s="46" t="s">
        <v>178</v>
      </c>
      <c r="E268" s="46">
        <v>3</v>
      </c>
      <c r="F268" s="46" t="s">
        <v>60</v>
      </c>
      <c r="G268" s="46">
        <v>1</v>
      </c>
      <c r="H268" s="47">
        <v>1</v>
      </c>
      <c r="I268" s="47" t="s">
        <v>101</v>
      </c>
      <c r="J268" s="48">
        <v>4</v>
      </c>
      <c r="K268" s="48">
        <v>0</v>
      </c>
      <c r="R268" s="46">
        <f t="shared" si="43"/>
        <v>1</v>
      </c>
      <c r="S268" s="46">
        <f t="shared" si="44"/>
        <v>0</v>
      </c>
      <c r="T268" s="46">
        <f t="shared" si="42"/>
        <v>90</v>
      </c>
      <c r="U268" s="46">
        <f t="shared" si="45"/>
        <v>90</v>
      </c>
      <c r="V268" s="54">
        <f t="shared" si="46"/>
        <v>57.833333333333336</v>
      </c>
    </row>
    <row r="269" spans="1:22" x14ac:dyDescent="0.2">
      <c r="A269" s="46" t="s">
        <v>27</v>
      </c>
      <c r="B269" s="46" t="s">
        <v>57</v>
      </c>
      <c r="C269" s="46" t="s">
        <v>88</v>
      </c>
      <c r="D269" s="46" t="s">
        <v>178</v>
      </c>
      <c r="E269" s="46">
        <v>4</v>
      </c>
      <c r="F269" s="46" t="s">
        <v>60</v>
      </c>
      <c r="G269" s="46">
        <v>1</v>
      </c>
      <c r="H269" s="47">
        <v>17</v>
      </c>
      <c r="I269" s="47" t="s">
        <v>101</v>
      </c>
      <c r="J269" s="48">
        <v>4</v>
      </c>
      <c r="K269" s="48">
        <v>0</v>
      </c>
      <c r="R269" s="46">
        <f t="shared" si="43"/>
        <v>1</v>
      </c>
      <c r="S269" s="46">
        <f t="shared" si="44"/>
        <v>0</v>
      </c>
      <c r="T269" s="46">
        <f t="shared" si="42"/>
        <v>90</v>
      </c>
      <c r="U269" s="46">
        <f t="shared" si="45"/>
        <v>90</v>
      </c>
      <c r="V269" s="54">
        <f t="shared" si="46"/>
        <v>57.833333333333336</v>
      </c>
    </row>
    <row r="270" spans="1:22" x14ac:dyDescent="0.2">
      <c r="A270" s="46" t="s">
        <v>27</v>
      </c>
      <c r="B270" s="46" t="s">
        <v>57</v>
      </c>
      <c r="C270" s="46" t="s">
        <v>88</v>
      </c>
      <c r="D270" s="46" t="s">
        <v>178</v>
      </c>
      <c r="E270" s="46">
        <v>3</v>
      </c>
      <c r="F270" s="46" t="s">
        <v>60</v>
      </c>
      <c r="G270" s="46">
        <v>4</v>
      </c>
      <c r="H270" s="47">
        <v>28</v>
      </c>
      <c r="I270" s="47" t="s">
        <v>102</v>
      </c>
      <c r="J270" s="48">
        <v>4</v>
      </c>
      <c r="K270" s="48">
        <v>0</v>
      </c>
      <c r="M270" s="48">
        <v>1</v>
      </c>
      <c r="R270" s="46">
        <f t="shared" si="43"/>
        <v>1</v>
      </c>
      <c r="S270" s="46">
        <f t="shared" si="44"/>
        <v>0</v>
      </c>
      <c r="T270" s="46">
        <f t="shared" si="42"/>
        <v>90</v>
      </c>
      <c r="U270" s="46">
        <f t="shared" si="45"/>
        <v>110</v>
      </c>
      <c r="V270" s="54">
        <f t="shared" si="46"/>
        <v>57.833333333333336</v>
      </c>
    </row>
    <row r="271" spans="1:22" x14ac:dyDescent="0.2">
      <c r="A271" s="46" t="s">
        <v>27</v>
      </c>
      <c r="B271" s="46" t="s">
        <v>57</v>
      </c>
      <c r="C271" s="46" t="s">
        <v>88</v>
      </c>
      <c r="D271" s="46" t="s">
        <v>178</v>
      </c>
      <c r="E271" s="46">
        <v>1</v>
      </c>
      <c r="F271" s="46" t="s">
        <v>60</v>
      </c>
      <c r="G271" s="46">
        <v>1</v>
      </c>
      <c r="H271" s="47">
        <v>41</v>
      </c>
      <c r="I271" s="47" t="s">
        <v>101</v>
      </c>
      <c r="J271" s="48">
        <v>4</v>
      </c>
      <c r="K271" s="48">
        <v>0</v>
      </c>
      <c r="R271" s="46">
        <f t="shared" si="43"/>
        <v>1</v>
      </c>
      <c r="S271" s="46">
        <f t="shared" si="44"/>
        <v>0</v>
      </c>
      <c r="T271" s="46">
        <f t="shared" si="42"/>
        <v>90</v>
      </c>
      <c r="U271" s="46">
        <f t="shared" si="45"/>
        <v>90</v>
      </c>
      <c r="V271" s="54">
        <f t="shared" si="46"/>
        <v>57.833333333333336</v>
      </c>
    </row>
    <row r="272" spans="1:22" x14ac:dyDescent="0.2">
      <c r="A272" s="46" t="s">
        <v>27</v>
      </c>
      <c r="B272" s="46" t="s">
        <v>57</v>
      </c>
      <c r="C272" s="46" t="s">
        <v>88</v>
      </c>
      <c r="D272" s="46" t="s">
        <v>178</v>
      </c>
      <c r="E272" s="46">
        <v>3</v>
      </c>
      <c r="F272" s="46" t="s">
        <v>60</v>
      </c>
      <c r="G272" s="46">
        <v>4</v>
      </c>
      <c r="H272" s="47">
        <v>48</v>
      </c>
      <c r="I272" s="47" t="s">
        <v>102</v>
      </c>
      <c r="J272" s="48">
        <v>4</v>
      </c>
      <c r="K272" s="48">
        <v>0</v>
      </c>
      <c r="R272" s="46">
        <f t="shared" si="43"/>
        <v>1</v>
      </c>
      <c r="S272" s="46">
        <f t="shared" si="44"/>
        <v>0</v>
      </c>
      <c r="T272" s="46">
        <f t="shared" si="42"/>
        <v>90</v>
      </c>
      <c r="U272" s="46">
        <f t="shared" si="45"/>
        <v>90</v>
      </c>
      <c r="V272" s="54">
        <f t="shared" si="46"/>
        <v>57.833333333333336</v>
      </c>
    </row>
    <row r="273" spans="1:22" x14ac:dyDescent="0.2">
      <c r="A273" s="46" t="s">
        <v>27</v>
      </c>
      <c r="B273" s="46" t="s">
        <v>57</v>
      </c>
      <c r="C273" s="46" t="s">
        <v>88</v>
      </c>
      <c r="D273" s="46" t="s">
        <v>178</v>
      </c>
      <c r="E273" s="46">
        <v>2</v>
      </c>
      <c r="F273" s="46" t="s">
        <v>62</v>
      </c>
      <c r="G273" s="46">
        <v>3</v>
      </c>
      <c r="H273" s="47" t="s">
        <v>80</v>
      </c>
      <c r="I273" s="47" t="s">
        <v>116</v>
      </c>
      <c r="J273" s="48">
        <v>4</v>
      </c>
      <c r="K273" s="48">
        <v>0</v>
      </c>
      <c r="M273" s="48">
        <v>1</v>
      </c>
      <c r="R273" s="46">
        <f t="shared" si="43"/>
        <v>1</v>
      </c>
      <c r="S273" s="46">
        <f t="shared" si="44"/>
        <v>0</v>
      </c>
      <c r="T273" s="46">
        <f t="shared" si="42"/>
        <v>90</v>
      </c>
      <c r="U273" s="46">
        <f t="shared" si="45"/>
        <v>110</v>
      </c>
      <c r="V273" s="54">
        <f t="shared" si="46"/>
        <v>57.833333333333336</v>
      </c>
    </row>
    <row r="274" spans="1:22" x14ac:dyDescent="0.2">
      <c r="A274" s="46" t="s">
        <v>27</v>
      </c>
      <c r="B274" s="46" t="s">
        <v>57</v>
      </c>
      <c r="C274" s="46" t="s">
        <v>88</v>
      </c>
      <c r="D274" s="46" t="s">
        <v>178</v>
      </c>
      <c r="E274" s="46">
        <v>2</v>
      </c>
      <c r="F274" s="46" t="s">
        <v>62</v>
      </c>
      <c r="G274" s="46">
        <v>2</v>
      </c>
      <c r="H274" s="47" t="s">
        <v>86</v>
      </c>
      <c r="I274" s="47" t="s">
        <v>127</v>
      </c>
      <c r="J274" s="48">
        <v>4</v>
      </c>
      <c r="K274" s="48">
        <v>0</v>
      </c>
      <c r="R274" s="46">
        <f t="shared" si="43"/>
        <v>1</v>
      </c>
      <c r="S274" s="46">
        <f t="shared" si="44"/>
        <v>0</v>
      </c>
      <c r="T274" s="46">
        <f t="shared" si="42"/>
        <v>90</v>
      </c>
      <c r="U274" s="46">
        <f t="shared" si="45"/>
        <v>90</v>
      </c>
      <c r="V274" s="54">
        <f t="shared" si="46"/>
        <v>57.833333333333336</v>
      </c>
    </row>
    <row r="275" spans="1:22" x14ac:dyDescent="0.2">
      <c r="A275" s="46" t="s">
        <v>27</v>
      </c>
      <c r="B275" s="46" t="s">
        <v>57</v>
      </c>
      <c r="C275" s="46" t="s">
        <v>88</v>
      </c>
      <c r="D275" s="46" t="s">
        <v>178</v>
      </c>
      <c r="E275" s="46">
        <v>5</v>
      </c>
      <c r="F275" s="46" t="s">
        <v>60</v>
      </c>
      <c r="G275" s="46">
        <v>3</v>
      </c>
      <c r="H275" s="47">
        <v>7</v>
      </c>
      <c r="I275" s="47" t="s">
        <v>159</v>
      </c>
      <c r="J275" s="48">
        <v>2</v>
      </c>
      <c r="K275" s="48">
        <v>1</v>
      </c>
      <c r="R275" s="46">
        <f t="shared" si="43"/>
        <v>0</v>
      </c>
      <c r="S275" s="46">
        <f t="shared" si="44"/>
        <v>0</v>
      </c>
      <c r="T275" s="46">
        <f t="shared" si="42"/>
        <v>40</v>
      </c>
      <c r="U275" s="46">
        <f t="shared" si="45"/>
        <v>40</v>
      </c>
      <c r="V275" s="54">
        <f t="shared" si="46"/>
        <v>57.833333333333336</v>
      </c>
    </row>
    <row r="276" spans="1:22" x14ac:dyDescent="0.2">
      <c r="A276" s="46" t="s">
        <v>27</v>
      </c>
      <c r="B276" s="46" t="s">
        <v>57</v>
      </c>
      <c r="C276" s="46" t="s">
        <v>88</v>
      </c>
      <c r="D276" s="46" t="s">
        <v>178</v>
      </c>
      <c r="E276" s="46">
        <v>5</v>
      </c>
      <c r="F276" s="46" t="s">
        <v>60</v>
      </c>
      <c r="G276" s="46">
        <v>4</v>
      </c>
      <c r="H276" s="47">
        <v>16</v>
      </c>
      <c r="I276" s="47" t="s">
        <v>102</v>
      </c>
      <c r="J276" s="48">
        <v>0</v>
      </c>
      <c r="K276" s="48">
        <v>3</v>
      </c>
      <c r="R276" s="46">
        <f t="shared" si="43"/>
        <v>0</v>
      </c>
      <c r="S276" s="46">
        <f t="shared" si="44"/>
        <v>1</v>
      </c>
      <c r="T276" s="46">
        <f t="shared" si="42"/>
        <v>-20</v>
      </c>
      <c r="U276" s="46">
        <f t="shared" si="45"/>
        <v>-20</v>
      </c>
      <c r="V276" s="54">
        <f t="shared" si="46"/>
        <v>57.833333333333336</v>
      </c>
    </row>
    <row r="277" spans="1:22" x14ac:dyDescent="0.2">
      <c r="A277" s="46" t="s">
        <v>27</v>
      </c>
      <c r="B277" s="46" t="s">
        <v>57</v>
      </c>
      <c r="C277" s="46" t="s">
        <v>88</v>
      </c>
      <c r="D277" s="46" t="s">
        <v>178</v>
      </c>
      <c r="E277" s="46">
        <v>5</v>
      </c>
      <c r="F277" s="46" t="s">
        <v>60</v>
      </c>
      <c r="G277" s="46">
        <v>4</v>
      </c>
      <c r="H277" s="47">
        <v>24</v>
      </c>
      <c r="I277" s="47" t="s">
        <v>102</v>
      </c>
      <c r="J277" s="48">
        <v>4</v>
      </c>
      <c r="K277" s="48">
        <v>0</v>
      </c>
      <c r="R277" s="46">
        <f t="shared" si="43"/>
        <v>1</v>
      </c>
      <c r="S277" s="46">
        <f t="shared" si="44"/>
        <v>0</v>
      </c>
      <c r="T277" s="46">
        <f t="shared" si="42"/>
        <v>90</v>
      </c>
      <c r="U277" s="46">
        <f t="shared" si="45"/>
        <v>90</v>
      </c>
      <c r="V277" s="54">
        <f t="shared" si="46"/>
        <v>57.833333333333336</v>
      </c>
    </row>
    <row r="278" spans="1:22" x14ac:dyDescent="0.2">
      <c r="A278" s="46" t="s">
        <v>27</v>
      </c>
      <c r="B278" s="46" t="s">
        <v>57</v>
      </c>
      <c r="C278" s="46" t="s">
        <v>88</v>
      </c>
      <c r="D278" s="46" t="s">
        <v>178</v>
      </c>
      <c r="E278" s="46">
        <v>5</v>
      </c>
      <c r="F278" s="46" t="s">
        <v>60</v>
      </c>
      <c r="G278" s="46">
        <v>3</v>
      </c>
      <c r="H278" s="47">
        <v>31</v>
      </c>
      <c r="I278" s="47" t="s">
        <v>159</v>
      </c>
      <c r="J278" s="48">
        <v>4</v>
      </c>
      <c r="K278" s="48">
        <v>1</v>
      </c>
      <c r="R278" s="46">
        <f t="shared" si="43"/>
        <v>1</v>
      </c>
      <c r="S278" s="46">
        <f t="shared" si="44"/>
        <v>0</v>
      </c>
      <c r="T278" s="46">
        <f t="shared" si="42"/>
        <v>80</v>
      </c>
      <c r="U278" s="46">
        <f t="shared" si="45"/>
        <v>80</v>
      </c>
      <c r="V278" s="54">
        <f t="shared" si="46"/>
        <v>57.833333333333336</v>
      </c>
    </row>
    <row r="279" spans="1:22" x14ac:dyDescent="0.2">
      <c r="A279" s="46" t="s">
        <v>27</v>
      </c>
      <c r="B279" s="46" t="s">
        <v>57</v>
      </c>
      <c r="C279" s="46" t="s">
        <v>88</v>
      </c>
      <c r="D279" s="46" t="s">
        <v>178</v>
      </c>
      <c r="E279" s="46">
        <v>5</v>
      </c>
      <c r="F279" s="46" t="s">
        <v>60</v>
      </c>
      <c r="G279" s="46">
        <v>2</v>
      </c>
      <c r="H279" s="47">
        <v>38</v>
      </c>
      <c r="I279" s="47" t="s">
        <v>127</v>
      </c>
      <c r="J279" s="48">
        <v>4</v>
      </c>
      <c r="K279" s="48">
        <v>1</v>
      </c>
      <c r="R279" s="46">
        <f t="shared" si="43"/>
        <v>1</v>
      </c>
      <c r="S279" s="46">
        <f t="shared" si="44"/>
        <v>0</v>
      </c>
      <c r="T279" s="46">
        <f t="shared" si="42"/>
        <v>80</v>
      </c>
      <c r="U279" s="46">
        <f t="shared" si="45"/>
        <v>80</v>
      </c>
      <c r="V279" s="54">
        <f t="shared" si="46"/>
        <v>57.833333333333336</v>
      </c>
    </row>
    <row r="280" spans="1:22" x14ac:dyDescent="0.2">
      <c r="A280" s="46" t="s">
        <v>27</v>
      </c>
      <c r="B280" s="46" t="s">
        <v>57</v>
      </c>
      <c r="C280" s="46" t="s">
        <v>88</v>
      </c>
      <c r="D280" s="46" t="s">
        <v>178</v>
      </c>
      <c r="E280" s="46">
        <v>5</v>
      </c>
      <c r="F280" s="46" t="s">
        <v>60</v>
      </c>
      <c r="G280" s="46">
        <v>4</v>
      </c>
      <c r="H280" s="47">
        <v>48</v>
      </c>
      <c r="I280" s="47" t="s">
        <v>102</v>
      </c>
      <c r="J280" s="48">
        <v>4</v>
      </c>
      <c r="K280" s="48">
        <v>1</v>
      </c>
      <c r="R280" s="46">
        <f t="shared" si="43"/>
        <v>1</v>
      </c>
      <c r="S280" s="46">
        <f t="shared" si="44"/>
        <v>0</v>
      </c>
      <c r="T280" s="46">
        <f t="shared" si="42"/>
        <v>80</v>
      </c>
      <c r="U280" s="46">
        <f t="shared" si="45"/>
        <v>80</v>
      </c>
      <c r="V280" s="54">
        <f t="shared" si="46"/>
        <v>57.833333333333336</v>
      </c>
    </row>
    <row r="281" spans="1:22" x14ac:dyDescent="0.2">
      <c r="A281" s="46" t="s">
        <v>27</v>
      </c>
      <c r="B281" s="46" t="s">
        <v>57</v>
      </c>
      <c r="C281" s="46" t="s">
        <v>88</v>
      </c>
      <c r="D281" s="46" t="s">
        <v>178</v>
      </c>
      <c r="E281" s="46">
        <v>5</v>
      </c>
      <c r="F281" s="46" t="s">
        <v>61</v>
      </c>
      <c r="G281" s="46">
        <v>1</v>
      </c>
      <c r="H281" s="47" t="s">
        <v>70</v>
      </c>
      <c r="I281" s="47" t="s">
        <v>101</v>
      </c>
      <c r="J281" s="48">
        <v>1</v>
      </c>
      <c r="K281" s="48">
        <v>2</v>
      </c>
      <c r="R281" s="46">
        <f t="shared" si="43"/>
        <v>0</v>
      </c>
      <c r="S281" s="46">
        <f t="shared" si="44"/>
        <v>0</v>
      </c>
      <c r="T281" s="46">
        <f t="shared" si="42"/>
        <v>10</v>
      </c>
      <c r="U281" s="46">
        <f t="shared" si="45"/>
        <v>10</v>
      </c>
      <c r="V281" s="54">
        <f t="shared" si="46"/>
        <v>57.833333333333336</v>
      </c>
    </row>
    <row r="282" spans="1:22" x14ac:dyDescent="0.2">
      <c r="A282" s="46" t="s">
        <v>27</v>
      </c>
      <c r="B282" s="46" t="s">
        <v>57</v>
      </c>
      <c r="C282" s="46" t="s">
        <v>88</v>
      </c>
      <c r="D282" s="46" t="s">
        <v>178</v>
      </c>
      <c r="E282" s="46">
        <v>5</v>
      </c>
      <c r="F282" s="46" t="s">
        <v>61</v>
      </c>
      <c r="G282" s="46">
        <v>1</v>
      </c>
      <c r="H282" s="47" t="s">
        <v>75</v>
      </c>
      <c r="I282" s="47" t="s">
        <v>101</v>
      </c>
      <c r="J282" s="48">
        <v>0</v>
      </c>
      <c r="K282" s="48">
        <v>1</v>
      </c>
      <c r="R282" s="46">
        <f t="shared" si="43"/>
        <v>0</v>
      </c>
      <c r="S282" s="46">
        <f t="shared" si="44"/>
        <v>0</v>
      </c>
      <c r="T282" s="46">
        <f t="shared" si="42"/>
        <v>0</v>
      </c>
      <c r="U282" s="46">
        <f t="shared" si="45"/>
        <v>0</v>
      </c>
      <c r="V282" s="54">
        <f t="shared" si="46"/>
        <v>57.833333333333336</v>
      </c>
    </row>
    <row r="283" spans="1:22" x14ac:dyDescent="0.2">
      <c r="A283" s="46" t="s">
        <v>27</v>
      </c>
      <c r="B283" s="46" t="s">
        <v>57</v>
      </c>
      <c r="C283" s="46" t="s">
        <v>88</v>
      </c>
      <c r="D283" s="46" t="s">
        <v>178</v>
      </c>
      <c r="E283" s="46">
        <v>5</v>
      </c>
      <c r="F283" s="46" t="s">
        <v>61</v>
      </c>
      <c r="G283" s="46">
        <v>1</v>
      </c>
      <c r="H283" s="47" t="s">
        <v>69</v>
      </c>
      <c r="I283" s="47" t="s">
        <v>101</v>
      </c>
      <c r="J283" s="48">
        <v>0</v>
      </c>
      <c r="K283" s="48">
        <v>1</v>
      </c>
      <c r="M283" s="48">
        <v>1</v>
      </c>
      <c r="R283" s="46">
        <f t="shared" si="43"/>
        <v>0</v>
      </c>
      <c r="S283" s="46">
        <f t="shared" si="44"/>
        <v>0</v>
      </c>
      <c r="T283" s="46">
        <f t="shared" si="42"/>
        <v>0</v>
      </c>
      <c r="U283" s="46">
        <f t="shared" si="45"/>
        <v>20</v>
      </c>
      <c r="V283" s="54">
        <f t="shared" si="46"/>
        <v>57.833333333333336</v>
      </c>
    </row>
    <row r="284" spans="1:22" x14ac:dyDescent="0.2">
      <c r="A284" s="46" t="s">
        <v>27</v>
      </c>
      <c r="B284" s="46" t="s">
        <v>57</v>
      </c>
      <c r="C284" s="46" t="s">
        <v>88</v>
      </c>
      <c r="D284" s="46" t="s">
        <v>178</v>
      </c>
      <c r="E284" s="46">
        <v>5</v>
      </c>
      <c r="F284" s="46" t="s">
        <v>61</v>
      </c>
      <c r="G284" s="46">
        <v>1</v>
      </c>
      <c r="H284" s="47" t="s">
        <v>71</v>
      </c>
      <c r="I284" s="47" t="s">
        <v>101</v>
      </c>
      <c r="J284" s="48">
        <v>2</v>
      </c>
      <c r="K284" s="48">
        <v>1</v>
      </c>
      <c r="R284" s="46">
        <f t="shared" si="43"/>
        <v>0</v>
      </c>
      <c r="S284" s="46">
        <f t="shared" si="44"/>
        <v>0</v>
      </c>
      <c r="T284" s="46">
        <f t="shared" si="42"/>
        <v>40</v>
      </c>
      <c r="U284" s="46">
        <f t="shared" si="45"/>
        <v>40</v>
      </c>
      <c r="V284" s="54">
        <f t="shared" si="46"/>
        <v>57.833333333333336</v>
      </c>
    </row>
    <row r="285" spans="1:22" x14ac:dyDescent="0.2">
      <c r="A285" s="46" t="s">
        <v>16</v>
      </c>
      <c r="B285" s="46" t="s">
        <v>177</v>
      </c>
      <c r="C285" s="46" t="s">
        <v>96</v>
      </c>
      <c r="D285" s="46" t="s">
        <v>178</v>
      </c>
      <c r="E285" s="46">
        <v>2</v>
      </c>
      <c r="F285" s="46" t="s">
        <v>60</v>
      </c>
      <c r="G285" s="46">
        <v>1</v>
      </c>
      <c r="H285" s="47">
        <v>29</v>
      </c>
      <c r="I285" s="47" t="s">
        <v>101</v>
      </c>
      <c r="J285" s="48">
        <v>0</v>
      </c>
      <c r="K285" s="48">
        <v>3</v>
      </c>
      <c r="R285" s="46">
        <f t="shared" si="43"/>
        <v>0</v>
      </c>
      <c r="S285" s="46">
        <f t="shared" si="44"/>
        <v>1</v>
      </c>
      <c r="T285" s="46">
        <f t="shared" si="42"/>
        <v>-20</v>
      </c>
      <c r="U285" s="46">
        <f t="shared" si="45"/>
        <v>-20</v>
      </c>
      <c r="V285" s="54">
        <f t="shared" si="46"/>
        <v>80.666666666666671</v>
      </c>
    </row>
    <row r="286" spans="1:22" x14ac:dyDescent="0.2">
      <c r="A286" s="46" t="s">
        <v>16</v>
      </c>
      <c r="B286" s="46" t="s">
        <v>177</v>
      </c>
      <c r="C286" s="46" t="s">
        <v>96</v>
      </c>
      <c r="D286" s="46" t="s">
        <v>178</v>
      </c>
      <c r="E286" s="46">
        <v>1</v>
      </c>
      <c r="F286" s="46" t="s">
        <v>61</v>
      </c>
      <c r="G286" s="46">
        <v>1</v>
      </c>
      <c r="H286" s="47" t="s">
        <v>78</v>
      </c>
      <c r="I286" s="47" t="s">
        <v>101</v>
      </c>
      <c r="J286" s="48">
        <v>1</v>
      </c>
      <c r="K286" s="48">
        <v>3</v>
      </c>
      <c r="R286" s="46">
        <f t="shared" si="43"/>
        <v>0</v>
      </c>
      <c r="S286" s="46">
        <f t="shared" si="44"/>
        <v>1</v>
      </c>
      <c r="T286" s="46">
        <f t="shared" si="42"/>
        <v>0</v>
      </c>
      <c r="U286" s="46">
        <f t="shared" si="45"/>
        <v>0</v>
      </c>
      <c r="V286" s="54">
        <f t="shared" si="46"/>
        <v>80.666666666666671</v>
      </c>
    </row>
    <row r="287" spans="1:22" x14ac:dyDescent="0.2">
      <c r="A287" s="46" t="s">
        <v>16</v>
      </c>
      <c r="B287" s="46" t="s">
        <v>177</v>
      </c>
      <c r="C287" s="46" t="s">
        <v>96</v>
      </c>
      <c r="D287" s="46" t="s">
        <v>178</v>
      </c>
      <c r="E287" s="46">
        <v>2</v>
      </c>
      <c r="F287" s="46" t="s">
        <v>61</v>
      </c>
      <c r="G287" s="46">
        <v>1</v>
      </c>
      <c r="H287" s="47" t="s">
        <v>68</v>
      </c>
      <c r="I287" s="47" t="s">
        <v>101</v>
      </c>
      <c r="J287" s="48">
        <v>2</v>
      </c>
      <c r="K287" s="48">
        <v>3</v>
      </c>
      <c r="R287" s="46">
        <f t="shared" si="43"/>
        <v>0</v>
      </c>
      <c r="S287" s="46">
        <f t="shared" si="44"/>
        <v>1</v>
      </c>
      <c r="T287" s="46">
        <f t="shared" si="42"/>
        <v>20</v>
      </c>
      <c r="U287" s="46">
        <f t="shared" si="45"/>
        <v>20</v>
      </c>
      <c r="V287" s="54">
        <f t="shared" si="46"/>
        <v>80.666666666666671</v>
      </c>
    </row>
    <row r="288" spans="1:22" x14ac:dyDescent="0.2">
      <c r="A288" s="46" t="s">
        <v>16</v>
      </c>
      <c r="B288" s="46" t="s">
        <v>177</v>
      </c>
      <c r="C288" s="46" t="s">
        <v>96</v>
      </c>
      <c r="D288" s="46" t="s">
        <v>178</v>
      </c>
      <c r="E288" s="46">
        <v>1</v>
      </c>
      <c r="F288" s="46" t="s">
        <v>61</v>
      </c>
      <c r="G288" s="46">
        <v>1</v>
      </c>
      <c r="H288" s="47" t="s">
        <v>71</v>
      </c>
      <c r="I288" s="47" t="s">
        <v>101</v>
      </c>
      <c r="J288" s="48">
        <v>2</v>
      </c>
      <c r="K288" s="48">
        <v>3</v>
      </c>
      <c r="M288" s="48">
        <v>1</v>
      </c>
      <c r="N288" s="48">
        <v>1</v>
      </c>
      <c r="R288" s="46">
        <f t="shared" si="43"/>
        <v>0</v>
      </c>
      <c r="S288" s="46">
        <f t="shared" si="44"/>
        <v>1</v>
      </c>
      <c r="T288" s="46">
        <f t="shared" si="42"/>
        <v>20</v>
      </c>
      <c r="U288" s="46">
        <f t="shared" si="45"/>
        <v>35</v>
      </c>
      <c r="V288" s="54">
        <f t="shared" si="46"/>
        <v>80.666666666666671</v>
      </c>
    </row>
    <row r="289" spans="1:22" x14ac:dyDescent="0.2">
      <c r="A289" s="46" t="s">
        <v>16</v>
      </c>
      <c r="B289" s="46" t="s">
        <v>177</v>
      </c>
      <c r="C289" s="46" t="s">
        <v>96</v>
      </c>
      <c r="D289" s="46" t="s">
        <v>178</v>
      </c>
      <c r="E289" s="46">
        <v>2</v>
      </c>
      <c r="F289" s="46" t="s">
        <v>61</v>
      </c>
      <c r="G289" s="46">
        <v>1</v>
      </c>
      <c r="H289" s="47" t="s">
        <v>71</v>
      </c>
      <c r="I289" s="47" t="s">
        <v>101</v>
      </c>
      <c r="J289" s="48">
        <v>2</v>
      </c>
      <c r="K289" s="48">
        <v>3</v>
      </c>
      <c r="R289" s="46">
        <f t="shared" si="43"/>
        <v>0</v>
      </c>
      <c r="S289" s="46">
        <f t="shared" si="44"/>
        <v>1</v>
      </c>
      <c r="T289" s="46">
        <f t="shared" si="42"/>
        <v>20</v>
      </c>
      <c r="U289" s="46">
        <f t="shared" si="45"/>
        <v>20</v>
      </c>
      <c r="V289" s="54">
        <f t="shared" si="46"/>
        <v>80.666666666666671</v>
      </c>
    </row>
    <row r="290" spans="1:22" x14ac:dyDescent="0.2">
      <c r="A290" s="46" t="s">
        <v>16</v>
      </c>
      <c r="B290" s="46" t="s">
        <v>177</v>
      </c>
      <c r="C290" s="46" t="s">
        <v>96</v>
      </c>
      <c r="D290" s="46" t="s">
        <v>178</v>
      </c>
      <c r="E290" s="46">
        <v>2</v>
      </c>
      <c r="F290" s="46" t="s">
        <v>60</v>
      </c>
      <c r="G290" s="46">
        <v>2</v>
      </c>
      <c r="H290" s="47">
        <v>38</v>
      </c>
      <c r="I290" s="47" t="s">
        <v>127</v>
      </c>
      <c r="J290" s="48">
        <v>2</v>
      </c>
      <c r="K290" s="48">
        <v>2</v>
      </c>
      <c r="M290" s="48">
        <v>1</v>
      </c>
      <c r="N290" s="48">
        <v>1</v>
      </c>
      <c r="R290" s="46">
        <f t="shared" si="43"/>
        <v>0</v>
      </c>
      <c r="S290" s="46">
        <f t="shared" si="44"/>
        <v>0</v>
      </c>
      <c r="T290" s="46">
        <f t="shared" si="42"/>
        <v>30</v>
      </c>
      <c r="U290" s="46">
        <f t="shared" si="45"/>
        <v>45</v>
      </c>
      <c r="V290" s="54">
        <f t="shared" si="46"/>
        <v>80.666666666666671</v>
      </c>
    </row>
    <row r="291" spans="1:22" x14ac:dyDescent="0.2">
      <c r="A291" s="46" t="s">
        <v>16</v>
      </c>
      <c r="B291" s="46" t="s">
        <v>177</v>
      </c>
      <c r="C291" s="46" t="s">
        <v>96</v>
      </c>
      <c r="D291" s="46" t="s">
        <v>178</v>
      </c>
      <c r="E291" s="46">
        <v>4</v>
      </c>
      <c r="F291" s="46" t="s">
        <v>61</v>
      </c>
      <c r="G291" s="46">
        <v>1</v>
      </c>
      <c r="H291" s="47" t="s">
        <v>69</v>
      </c>
      <c r="I291" s="47" t="s">
        <v>101</v>
      </c>
      <c r="J291" s="48">
        <v>3</v>
      </c>
      <c r="K291" s="48">
        <v>2</v>
      </c>
      <c r="R291" s="46">
        <f t="shared" si="43"/>
        <v>0</v>
      </c>
      <c r="S291" s="46">
        <f t="shared" si="44"/>
        <v>0</v>
      </c>
      <c r="T291" s="46">
        <f t="shared" si="42"/>
        <v>50</v>
      </c>
      <c r="U291" s="46">
        <f t="shared" si="45"/>
        <v>50</v>
      </c>
      <c r="V291" s="54">
        <f t="shared" si="46"/>
        <v>80.666666666666671</v>
      </c>
    </row>
    <row r="292" spans="1:22" x14ac:dyDescent="0.2">
      <c r="A292" s="46" t="s">
        <v>16</v>
      </c>
      <c r="B292" s="46" t="s">
        <v>177</v>
      </c>
      <c r="C292" s="46" t="s">
        <v>96</v>
      </c>
      <c r="D292" s="46" t="s">
        <v>178</v>
      </c>
      <c r="E292" s="46">
        <v>2</v>
      </c>
      <c r="F292" s="46" t="s">
        <v>60</v>
      </c>
      <c r="G292" s="46">
        <v>4</v>
      </c>
      <c r="H292" s="47">
        <v>16</v>
      </c>
      <c r="I292" s="47" t="s">
        <v>102</v>
      </c>
      <c r="J292" s="48">
        <v>3</v>
      </c>
      <c r="K292" s="48">
        <v>1</v>
      </c>
      <c r="M292" s="48">
        <v>1</v>
      </c>
      <c r="R292" s="46">
        <f t="shared" si="43"/>
        <v>0</v>
      </c>
      <c r="S292" s="46">
        <f t="shared" si="44"/>
        <v>0</v>
      </c>
      <c r="T292" s="46">
        <f t="shared" si="42"/>
        <v>60</v>
      </c>
      <c r="U292" s="46">
        <f t="shared" si="45"/>
        <v>80</v>
      </c>
      <c r="V292" s="54">
        <f t="shared" si="46"/>
        <v>80.666666666666671</v>
      </c>
    </row>
    <row r="293" spans="1:22" x14ac:dyDescent="0.2">
      <c r="A293" s="46" t="s">
        <v>16</v>
      </c>
      <c r="B293" s="46" t="s">
        <v>177</v>
      </c>
      <c r="C293" s="46" t="s">
        <v>96</v>
      </c>
      <c r="D293" s="46" t="s">
        <v>178</v>
      </c>
      <c r="E293" s="46">
        <v>2</v>
      </c>
      <c r="F293" s="46" t="s">
        <v>61</v>
      </c>
      <c r="G293" s="46">
        <v>1</v>
      </c>
      <c r="H293" s="47" t="s">
        <v>70</v>
      </c>
      <c r="I293" s="47" t="s">
        <v>101</v>
      </c>
      <c r="J293" s="48">
        <v>3</v>
      </c>
      <c r="K293" s="48">
        <v>0</v>
      </c>
      <c r="R293" s="46">
        <f t="shared" si="43"/>
        <v>0</v>
      </c>
      <c r="S293" s="46">
        <f t="shared" si="44"/>
        <v>0</v>
      </c>
      <c r="T293" s="46">
        <f t="shared" si="42"/>
        <v>60</v>
      </c>
      <c r="U293" s="46">
        <f t="shared" si="45"/>
        <v>60</v>
      </c>
      <c r="V293" s="54">
        <f t="shared" si="46"/>
        <v>80.666666666666671</v>
      </c>
    </row>
    <row r="294" spans="1:22" x14ac:dyDescent="0.2">
      <c r="A294" s="46" t="s">
        <v>16</v>
      </c>
      <c r="B294" s="46" t="s">
        <v>177</v>
      </c>
      <c r="C294" s="46" t="s">
        <v>96</v>
      </c>
      <c r="D294" s="46" t="s">
        <v>178</v>
      </c>
      <c r="E294" s="46">
        <v>4</v>
      </c>
      <c r="F294" s="46" t="s">
        <v>60</v>
      </c>
      <c r="G294" s="46">
        <v>1</v>
      </c>
      <c r="H294" s="47">
        <v>13</v>
      </c>
      <c r="I294" s="47" t="s">
        <v>101</v>
      </c>
      <c r="J294" s="48">
        <v>4</v>
      </c>
      <c r="K294" s="48">
        <v>2</v>
      </c>
      <c r="N294" s="48">
        <v>1</v>
      </c>
      <c r="R294" s="46">
        <f t="shared" si="43"/>
        <v>1</v>
      </c>
      <c r="S294" s="46">
        <f t="shared" si="44"/>
        <v>0</v>
      </c>
      <c r="T294" s="46">
        <f t="shared" si="42"/>
        <v>70</v>
      </c>
      <c r="U294" s="46">
        <f t="shared" si="45"/>
        <v>65</v>
      </c>
      <c r="V294" s="54">
        <f t="shared" si="46"/>
        <v>80.666666666666671</v>
      </c>
    </row>
    <row r="295" spans="1:22" x14ac:dyDescent="0.2">
      <c r="A295" s="46" t="s">
        <v>16</v>
      </c>
      <c r="B295" s="46" t="s">
        <v>177</v>
      </c>
      <c r="C295" s="46" t="s">
        <v>96</v>
      </c>
      <c r="D295" s="46" t="s">
        <v>178</v>
      </c>
      <c r="E295" s="46">
        <v>3</v>
      </c>
      <c r="F295" s="46" t="s">
        <v>61</v>
      </c>
      <c r="G295" s="46">
        <v>1</v>
      </c>
      <c r="H295" s="47" t="s">
        <v>74</v>
      </c>
      <c r="I295" s="47" t="s">
        <v>101</v>
      </c>
      <c r="J295" s="48">
        <v>4</v>
      </c>
      <c r="K295" s="48">
        <v>2</v>
      </c>
      <c r="R295" s="46">
        <f t="shared" si="43"/>
        <v>1</v>
      </c>
      <c r="S295" s="46">
        <f t="shared" si="44"/>
        <v>0</v>
      </c>
      <c r="T295" s="46">
        <f t="shared" si="42"/>
        <v>70</v>
      </c>
      <c r="U295" s="46">
        <f t="shared" si="45"/>
        <v>70</v>
      </c>
      <c r="V295" s="54">
        <f t="shared" si="46"/>
        <v>80.666666666666671</v>
      </c>
    </row>
    <row r="296" spans="1:22" x14ac:dyDescent="0.2">
      <c r="A296" s="46" t="s">
        <v>16</v>
      </c>
      <c r="B296" s="46" t="s">
        <v>177</v>
      </c>
      <c r="C296" s="46" t="s">
        <v>96</v>
      </c>
      <c r="D296" s="46" t="s">
        <v>178</v>
      </c>
      <c r="E296" s="46">
        <v>1</v>
      </c>
      <c r="F296" s="46" t="s">
        <v>61</v>
      </c>
      <c r="G296" s="46">
        <v>1</v>
      </c>
      <c r="H296" s="47" t="s">
        <v>69</v>
      </c>
      <c r="I296" s="47" t="s">
        <v>101</v>
      </c>
      <c r="J296" s="48">
        <v>4</v>
      </c>
      <c r="K296" s="48">
        <v>2</v>
      </c>
      <c r="R296" s="46">
        <f t="shared" si="43"/>
        <v>1</v>
      </c>
      <c r="S296" s="46">
        <f t="shared" si="44"/>
        <v>0</v>
      </c>
      <c r="T296" s="46">
        <f t="shared" si="42"/>
        <v>70</v>
      </c>
      <c r="U296" s="46">
        <f t="shared" si="45"/>
        <v>70</v>
      </c>
      <c r="V296" s="54">
        <f t="shared" si="46"/>
        <v>80.666666666666671</v>
      </c>
    </row>
    <row r="297" spans="1:22" x14ac:dyDescent="0.2">
      <c r="A297" s="46" t="s">
        <v>16</v>
      </c>
      <c r="B297" s="46" t="s">
        <v>177</v>
      </c>
      <c r="C297" s="46" t="s">
        <v>96</v>
      </c>
      <c r="D297" s="46" t="s">
        <v>178</v>
      </c>
      <c r="E297" s="46">
        <v>3</v>
      </c>
      <c r="F297" s="46" t="s">
        <v>61</v>
      </c>
      <c r="G297" s="46">
        <v>1</v>
      </c>
      <c r="H297" s="47" t="s">
        <v>71</v>
      </c>
      <c r="I297" s="47" t="s">
        <v>101</v>
      </c>
      <c r="J297" s="48">
        <v>4</v>
      </c>
      <c r="K297" s="48">
        <v>2</v>
      </c>
      <c r="R297" s="46">
        <f t="shared" si="43"/>
        <v>1</v>
      </c>
      <c r="S297" s="46">
        <f t="shared" si="44"/>
        <v>0</v>
      </c>
      <c r="T297" s="46">
        <f t="shared" si="42"/>
        <v>70</v>
      </c>
      <c r="U297" s="46">
        <f t="shared" si="45"/>
        <v>70</v>
      </c>
      <c r="V297" s="54">
        <f t="shared" si="46"/>
        <v>80.666666666666671</v>
      </c>
    </row>
    <row r="298" spans="1:22" x14ac:dyDescent="0.2">
      <c r="A298" s="46" t="s">
        <v>16</v>
      </c>
      <c r="B298" s="46" t="s">
        <v>177</v>
      </c>
      <c r="C298" s="46" t="s">
        <v>96</v>
      </c>
      <c r="D298" s="46" t="s">
        <v>178</v>
      </c>
      <c r="E298" s="46">
        <v>1</v>
      </c>
      <c r="F298" s="46" t="s">
        <v>61</v>
      </c>
      <c r="G298" s="46">
        <v>1</v>
      </c>
      <c r="H298" s="47" t="s">
        <v>78</v>
      </c>
      <c r="I298" s="47" t="s">
        <v>101</v>
      </c>
      <c r="J298" s="48">
        <v>4</v>
      </c>
      <c r="K298" s="48">
        <v>2</v>
      </c>
      <c r="R298" s="46">
        <f t="shared" si="43"/>
        <v>1</v>
      </c>
      <c r="S298" s="46">
        <f t="shared" si="44"/>
        <v>0</v>
      </c>
      <c r="T298" s="46">
        <f t="shared" si="42"/>
        <v>70</v>
      </c>
      <c r="U298" s="46">
        <f t="shared" si="45"/>
        <v>70</v>
      </c>
      <c r="V298" s="54">
        <f t="shared" si="46"/>
        <v>80.666666666666671</v>
      </c>
    </row>
    <row r="299" spans="1:22" x14ac:dyDescent="0.2">
      <c r="A299" s="46" t="s">
        <v>16</v>
      </c>
      <c r="B299" s="46" t="s">
        <v>177</v>
      </c>
      <c r="C299" s="46" t="s">
        <v>96</v>
      </c>
      <c r="D299" s="46" t="s">
        <v>178</v>
      </c>
      <c r="E299" s="46">
        <v>1</v>
      </c>
      <c r="F299" s="46" t="s">
        <v>60</v>
      </c>
      <c r="G299" s="46">
        <v>1</v>
      </c>
      <c r="H299" s="47">
        <v>1</v>
      </c>
      <c r="I299" s="47" t="s">
        <v>101</v>
      </c>
      <c r="J299" s="48">
        <v>4</v>
      </c>
      <c r="K299" s="48">
        <v>1</v>
      </c>
      <c r="R299" s="46">
        <f t="shared" si="43"/>
        <v>1</v>
      </c>
      <c r="S299" s="46">
        <f t="shared" si="44"/>
        <v>0</v>
      </c>
      <c r="T299" s="46">
        <f t="shared" si="42"/>
        <v>80</v>
      </c>
      <c r="U299" s="46">
        <f t="shared" si="45"/>
        <v>80</v>
      </c>
      <c r="V299" s="54">
        <f t="shared" si="46"/>
        <v>80.666666666666671</v>
      </c>
    </row>
    <row r="300" spans="1:22" x14ac:dyDescent="0.2">
      <c r="A300" s="46" t="s">
        <v>16</v>
      </c>
      <c r="B300" s="46" t="s">
        <v>177</v>
      </c>
      <c r="C300" s="46" t="s">
        <v>96</v>
      </c>
      <c r="D300" s="46" t="s">
        <v>178</v>
      </c>
      <c r="E300" s="46">
        <v>3</v>
      </c>
      <c r="F300" s="46" t="s">
        <v>60</v>
      </c>
      <c r="G300" s="46">
        <v>2</v>
      </c>
      <c r="H300" s="47">
        <v>10</v>
      </c>
      <c r="I300" s="47" t="s">
        <v>127</v>
      </c>
      <c r="J300" s="48">
        <v>4</v>
      </c>
      <c r="K300" s="48">
        <v>1</v>
      </c>
      <c r="M300" s="48">
        <v>2</v>
      </c>
      <c r="R300" s="46">
        <f t="shared" si="43"/>
        <v>1</v>
      </c>
      <c r="S300" s="46">
        <f t="shared" si="44"/>
        <v>0</v>
      </c>
      <c r="T300" s="46">
        <f t="shared" si="42"/>
        <v>80</v>
      </c>
      <c r="U300" s="46">
        <f t="shared" si="45"/>
        <v>120</v>
      </c>
      <c r="V300" s="54">
        <f t="shared" si="46"/>
        <v>80.666666666666671</v>
      </c>
    </row>
    <row r="301" spans="1:22" x14ac:dyDescent="0.2">
      <c r="A301" s="46" t="s">
        <v>16</v>
      </c>
      <c r="B301" s="46" t="s">
        <v>177</v>
      </c>
      <c r="C301" s="46" t="s">
        <v>96</v>
      </c>
      <c r="D301" s="46" t="s">
        <v>178</v>
      </c>
      <c r="E301" s="46">
        <v>2</v>
      </c>
      <c r="F301" s="46" t="s">
        <v>60</v>
      </c>
      <c r="G301" s="46">
        <v>4</v>
      </c>
      <c r="H301" s="47">
        <v>12</v>
      </c>
      <c r="I301" s="47" t="s">
        <v>102</v>
      </c>
      <c r="J301" s="48">
        <v>4</v>
      </c>
      <c r="K301" s="48">
        <v>1</v>
      </c>
      <c r="R301" s="46">
        <f t="shared" si="43"/>
        <v>1</v>
      </c>
      <c r="S301" s="46">
        <f t="shared" si="44"/>
        <v>0</v>
      </c>
      <c r="T301" s="46">
        <f t="shared" si="42"/>
        <v>80</v>
      </c>
      <c r="U301" s="46">
        <f t="shared" si="45"/>
        <v>80</v>
      </c>
      <c r="V301" s="54">
        <f t="shared" si="46"/>
        <v>80.666666666666671</v>
      </c>
    </row>
    <row r="302" spans="1:22" x14ac:dyDescent="0.2">
      <c r="A302" s="46" t="s">
        <v>16</v>
      </c>
      <c r="B302" s="46" t="s">
        <v>177</v>
      </c>
      <c r="C302" s="46" t="s">
        <v>96</v>
      </c>
      <c r="D302" s="46" t="s">
        <v>178</v>
      </c>
      <c r="E302" s="46">
        <v>3</v>
      </c>
      <c r="F302" s="46" t="s">
        <v>60</v>
      </c>
      <c r="G302" s="46">
        <v>4</v>
      </c>
      <c r="H302" s="47">
        <v>16</v>
      </c>
      <c r="I302" s="47" t="s">
        <v>102</v>
      </c>
      <c r="J302" s="48">
        <v>4</v>
      </c>
      <c r="K302" s="48">
        <v>1</v>
      </c>
      <c r="R302" s="46">
        <f t="shared" si="43"/>
        <v>1</v>
      </c>
      <c r="S302" s="46">
        <f t="shared" si="44"/>
        <v>0</v>
      </c>
      <c r="T302" s="46">
        <f t="shared" si="42"/>
        <v>80</v>
      </c>
      <c r="U302" s="46">
        <f t="shared" si="45"/>
        <v>80</v>
      </c>
      <c r="V302" s="54">
        <f t="shared" si="46"/>
        <v>80.666666666666671</v>
      </c>
    </row>
    <row r="303" spans="1:22" x14ac:dyDescent="0.2">
      <c r="A303" s="46" t="s">
        <v>16</v>
      </c>
      <c r="B303" s="46" t="s">
        <v>177</v>
      </c>
      <c r="C303" s="46" t="s">
        <v>96</v>
      </c>
      <c r="D303" s="46" t="s">
        <v>178</v>
      </c>
      <c r="E303" s="46">
        <v>4</v>
      </c>
      <c r="F303" s="46" t="s">
        <v>60</v>
      </c>
      <c r="G303" s="46">
        <v>3</v>
      </c>
      <c r="H303" s="47">
        <v>23</v>
      </c>
      <c r="I303" s="47" t="s">
        <v>159</v>
      </c>
      <c r="J303" s="48">
        <v>4</v>
      </c>
      <c r="K303" s="48">
        <v>1</v>
      </c>
      <c r="R303" s="46">
        <f t="shared" si="43"/>
        <v>1</v>
      </c>
      <c r="S303" s="46">
        <f t="shared" si="44"/>
        <v>0</v>
      </c>
      <c r="T303" s="46">
        <f t="shared" si="42"/>
        <v>80</v>
      </c>
      <c r="U303" s="46">
        <f t="shared" si="45"/>
        <v>80</v>
      </c>
      <c r="V303" s="54">
        <f t="shared" si="46"/>
        <v>80.666666666666671</v>
      </c>
    </row>
    <row r="304" spans="1:22" x14ac:dyDescent="0.2">
      <c r="A304" s="46" t="s">
        <v>16</v>
      </c>
      <c r="B304" s="46" t="s">
        <v>177</v>
      </c>
      <c r="C304" s="46" t="s">
        <v>96</v>
      </c>
      <c r="D304" s="46" t="s">
        <v>178</v>
      </c>
      <c r="E304" s="46">
        <v>4</v>
      </c>
      <c r="F304" s="46" t="s">
        <v>60</v>
      </c>
      <c r="G304" s="46">
        <v>1</v>
      </c>
      <c r="H304" s="47">
        <v>29</v>
      </c>
      <c r="I304" s="47" t="s">
        <v>101</v>
      </c>
      <c r="J304" s="48">
        <v>4</v>
      </c>
      <c r="K304" s="48">
        <v>1</v>
      </c>
      <c r="R304" s="46">
        <f t="shared" si="43"/>
        <v>1</v>
      </c>
      <c r="S304" s="46">
        <f t="shared" si="44"/>
        <v>0</v>
      </c>
      <c r="T304" s="46">
        <f t="shared" ref="T304:T339" si="47">quizscore(J304,K304)</f>
        <v>80</v>
      </c>
      <c r="U304" s="46">
        <f t="shared" si="45"/>
        <v>80</v>
      </c>
      <c r="V304" s="54">
        <f t="shared" si="46"/>
        <v>80.666666666666671</v>
      </c>
    </row>
    <row r="305" spans="1:22" x14ac:dyDescent="0.2">
      <c r="A305" s="46" t="s">
        <v>16</v>
      </c>
      <c r="B305" s="46" t="s">
        <v>177</v>
      </c>
      <c r="C305" s="46" t="s">
        <v>96</v>
      </c>
      <c r="D305" s="46" t="s">
        <v>178</v>
      </c>
      <c r="E305" s="46">
        <v>4</v>
      </c>
      <c r="F305" s="46" t="s">
        <v>61</v>
      </c>
      <c r="G305" s="46">
        <v>1</v>
      </c>
      <c r="H305" s="47" t="s">
        <v>70</v>
      </c>
      <c r="I305" s="47" t="s">
        <v>101</v>
      </c>
      <c r="J305" s="48">
        <v>4</v>
      </c>
      <c r="K305" s="48">
        <v>1</v>
      </c>
      <c r="M305" s="48">
        <v>1</v>
      </c>
      <c r="R305" s="46">
        <f t="shared" si="43"/>
        <v>1</v>
      </c>
      <c r="S305" s="46">
        <f t="shared" si="44"/>
        <v>0</v>
      </c>
      <c r="T305" s="46">
        <f t="shared" si="47"/>
        <v>80</v>
      </c>
      <c r="U305" s="46">
        <f t="shared" si="45"/>
        <v>100</v>
      </c>
      <c r="V305" s="54">
        <f t="shared" si="46"/>
        <v>80.666666666666671</v>
      </c>
    </row>
    <row r="306" spans="1:22" x14ac:dyDescent="0.2">
      <c r="A306" s="46" t="s">
        <v>16</v>
      </c>
      <c r="B306" s="46" t="s">
        <v>177</v>
      </c>
      <c r="C306" s="46" t="s">
        <v>96</v>
      </c>
      <c r="D306" s="46" t="s">
        <v>178</v>
      </c>
      <c r="E306" s="46">
        <v>2</v>
      </c>
      <c r="F306" s="46" t="s">
        <v>61</v>
      </c>
      <c r="G306" s="46">
        <v>2</v>
      </c>
      <c r="H306" s="47" t="s">
        <v>66</v>
      </c>
      <c r="I306" s="47" t="s">
        <v>127</v>
      </c>
      <c r="J306" s="48">
        <v>4</v>
      </c>
      <c r="K306" s="48">
        <v>1</v>
      </c>
      <c r="R306" s="46">
        <f t="shared" si="43"/>
        <v>1</v>
      </c>
      <c r="S306" s="46">
        <f t="shared" si="44"/>
        <v>0</v>
      </c>
      <c r="T306" s="46">
        <f t="shared" si="47"/>
        <v>80</v>
      </c>
      <c r="U306" s="46">
        <f t="shared" si="45"/>
        <v>80</v>
      </c>
      <c r="V306" s="54">
        <f t="shared" si="46"/>
        <v>80.666666666666671</v>
      </c>
    </row>
    <row r="307" spans="1:22" x14ac:dyDescent="0.2">
      <c r="A307" s="46" t="s">
        <v>16</v>
      </c>
      <c r="B307" s="46" t="s">
        <v>177</v>
      </c>
      <c r="C307" s="46" t="s">
        <v>96</v>
      </c>
      <c r="D307" s="46" t="s">
        <v>178</v>
      </c>
      <c r="E307" s="46">
        <v>4</v>
      </c>
      <c r="F307" s="46" t="s">
        <v>61</v>
      </c>
      <c r="G307" s="46">
        <v>1</v>
      </c>
      <c r="H307" s="47" t="s">
        <v>71</v>
      </c>
      <c r="I307" s="47" t="s">
        <v>101</v>
      </c>
      <c r="J307" s="48">
        <v>4</v>
      </c>
      <c r="K307" s="48">
        <v>1</v>
      </c>
      <c r="M307" s="48">
        <v>1</v>
      </c>
      <c r="R307" s="46">
        <f t="shared" si="43"/>
        <v>1</v>
      </c>
      <c r="S307" s="46">
        <f t="shared" si="44"/>
        <v>0</v>
      </c>
      <c r="T307" s="46">
        <f t="shared" si="47"/>
        <v>80</v>
      </c>
      <c r="U307" s="46">
        <f t="shared" si="45"/>
        <v>100</v>
      </c>
      <c r="V307" s="54">
        <f t="shared" si="46"/>
        <v>80.666666666666671</v>
      </c>
    </row>
    <row r="308" spans="1:22" x14ac:dyDescent="0.2">
      <c r="A308" s="46" t="s">
        <v>16</v>
      </c>
      <c r="B308" s="46" t="s">
        <v>177</v>
      </c>
      <c r="C308" s="46" t="s">
        <v>96</v>
      </c>
      <c r="D308" s="46" t="s">
        <v>178</v>
      </c>
      <c r="E308" s="46">
        <v>2</v>
      </c>
      <c r="F308" s="46" t="s">
        <v>60</v>
      </c>
      <c r="G308" s="46">
        <v>1</v>
      </c>
      <c r="H308" s="47">
        <v>1</v>
      </c>
      <c r="I308" s="47" t="s">
        <v>101</v>
      </c>
      <c r="J308" s="48">
        <v>4</v>
      </c>
      <c r="K308" s="48">
        <v>0</v>
      </c>
      <c r="R308" s="46">
        <f t="shared" si="43"/>
        <v>1</v>
      </c>
      <c r="S308" s="46">
        <f t="shared" si="44"/>
        <v>0</v>
      </c>
      <c r="T308" s="46">
        <f t="shared" si="47"/>
        <v>90</v>
      </c>
      <c r="U308" s="46">
        <f t="shared" si="45"/>
        <v>90</v>
      </c>
      <c r="V308" s="54">
        <f t="shared" si="46"/>
        <v>80.666666666666671</v>
      </c>
    </row>
    <row r="309" spans="1:22" x14ac:dyDescent="0.2">
      <c r="A309" s="46" t="s">
        <v>16</v>
      </c>
      <c r="B309" s="46" t="s">
        <v>177</v>
      </c>
      <c r="C309" s="46" t="s">
        <v>96</v>
      </c>
      <c r="D309" s="46" t="s">
        <v>178</v>
      </c>
      <c r="E309" s="46">
        <v>3</v>
      </c>
      <c r="F309" s="46" t="s">
        <v>60</v>
      </c>
      <c r="G309" s="46">
        <v>3</v>
      </c>
      <c r="H309" s="47">
        <v>3</v>
      </c>
      <c r="I309" s="47" t="s">
        <v>116</v>
      </c>
      <c r="J309" s="48">
        <v>4</v>
      </c>
      <c r="K309" s="48">
        <v>0</v>
      </c>
      <c r="M309" s="48">
        <v>1</v>
      </c>
      <c r="R309" s="46">
        <f t="shared" si="43"/>
        <v>1</v>
      </c>
      <c r="S309" s="46">
        <f t="shared" si="44"/>
        <v>0</v>
      </c>
      <c r="T309" s="46">
        <f t="shared" si="47"/>
        <v>90</v>
      </c>
      <c r="U309" s="46">
        <f t="shared" si="45"/>
        <v>110</v>
      </c>
      <c r="V309" s="54">
        <f t="shared" si="46"/>
        <v>80.666666666666671</v>
      </c>
    </row>
    <row r="310" spans="1:22" x14ac:dyDescent="0.2">
      <c r="A310" s="46" t="s">
        <v>16</v>
      </c>
      <c r="B310" s="46" t="s">
        <v>177</v>
      </c>
      <c r="C310" s="46" t="s">
        <v>96</v>
      </c>
      <c r="D310" s="46" t="s">
        <v>178</v>
      </c>
      <c r="E310" s="46">
        <v>4</v>
      </c>
      <c r="F310" s="46" t="s">
        <v>60</v>
      </c>
      <c r="G310" s="46">
        <v>4</v>
      </c>
      <c r="H310" s="47">
        <v>4</v>
      </c>
      <c r="I310" s="47" t="s">
        <v>102</v>
      </c>
      <c r="J310" s="48">
        <v>4</v>
      </c>
      <c r="K310" s="48">
        <v>0</v>
      </c>
      <c r="R310" s="46">
        <f t="shared" si="43"/>
        <v>1</v>
      </c>
      <c r="S310" s="46">
        <f t="shared" si="44"/>
        <v>0</v>
      </c>
      <c r="T310" s="46">
        <f t="shared" si="47"/>
        <v>90</v>
      </c>
      <c r="U310" s="46">
        <f t="shared" si="45"/>
        <v>90</v>
      </c>
      <c r="V310" s="54">
        <f t="shared" si="46"/>
        <v>80.666666666666671</v>
      </c>
    </row>
    <row r="311" spans="1:22" x14ac:dyDescent="0.2">
      <c r="A311" s="46" t="s">
        <v>16</v>
      </c>
      <c r="B311" s="46" t="s">
        <v>177</v>
      </c>
      <c r="C311" s="46" t="s">
        <v>96</v>
      </c>
      <c r="D311" s="46" t="s">
        <v>178</v>
      </c>
      <c r="E311" s="46">
        <v>1</v>
      </c>
      <c r="F311" s="46" t="s">
        <v>60</v>
      </c>
      <c r="G311" s="46">
        <v>4</v>
      </c>
      <c r="H311" s="47">
        <v>20</v>
      </c>
      <c r="I311" s="47" t="s">
        <v>102</v>
      </c>
      <c r="J311" s="48">
        <v>4</v>
      </c>
      <c r="K311" s="48">
        <v>0</v>
      </c>
      <c r="R311" s="46">
        <f t="shared" si="43"/>
        <v>1</v>
      </c>
      <c r="S311" s="46">
        <f t="shared" si="44"/>
        <v>0</v>
      </c>
      <c r="T311" s="46">
        <f t="shared" si="47"/>
        <v>90</v>
      </c>
      <c r="U311" s="46">
        <f t="shared" si="45"/>
        <v>90</v>
      </c>
      <c r="V311" s="54">
        <f t="shared" si="46"/>
        <v>80.666666666666671</v>
      </c>
    </row>
    <row r="312" spans="1:22" x14ac:dyDescent="0.2">
      <c r="A312" s="46" t="s">
        <v>16</v>
      </c>
      <c r="B312" s="46" t="s">
        <v>177</v>
      </c>
      <c r="C312" s="46" t="s">
        <v>96</v>
      </c>
      <c r="D312" s="46" t="s">
        <v>178</v>
      </c>
      <c r="E312" s="46">
        <v>2</v>
      </c>
      <c r="F312" s="46" t="s">
        <v>60</v>
      </c>
      <c r="G312" s="46">
        <v>3</v>
      </c>
      <c r="H312" s="47">
        <v>23</v>
      </c>
      <c r="I312" s="47" t="s">
        <v>116</v>
      </c>
      <c r="J312" s="48">
        <v>4</v>
      </c>
      <c r="K312" s="48">
        <v>0</v>
      </c>
      <c r="R312" s="46">
        <f t="shared" si="43"/>
        <v>1</v>
      </c>
      <c r="S312" s="46">
        <f t="shared" si="44"/>
        <v>0</v>
      </c>
      <c r="T312" s="46">
        <f t="shared" si="47"/>
        <v>90</v>
      </c>
      <c r="U312" s="46">
        <f t="shared" si="45"/>
        <v>90</v>
      </c>
      <c r="V312" s="54">
        <f t="shared" si="46"/>
        <v>80.666666666666671</v>
      </c>
    </row>
    <row r="313" spans="1:22" x14ac:dyDescent="0.2">
      <c r="A313" s="46" t="s">
        <v>16</v>
      </c>
      <c r="B313" s="46" t="s">
        <v>177</v>
      </c>
      <c r="C313" s="46" t="s">
        <v>96</v>
      </c>
      <c r="D313" s="46" t="s">
        <v>178</v>
      </c>
      <c r="E313" s="46">
        <v>3</v>
      </c>
      <c r="F313" s="46" t="s">
        <v>60</v>
      </c>
      <c r="G313" s="46">
        <v>1</v>
      </c>
      <c r="H313" s="47">
        <v>25</v>
      </c>
      <c r="I313" s="47" t="s">
        <v>116</v>
      </c>
      <c r="J313" s="48">
        <v>4</v>
      </c>
      <c r="K313" s="48">
        <v>0</v>
      </c>
      <c r="R313" s="46">
        <f t="shared" si="43"/>
        <v>1</v>
      </c>
      <c r="S313" s="46">
        <f t="shared" si="44"/>
        <v>0</v>
      </c>
      <c r="T313" s="46">
        <f t="shared" si="47"/>
        <v>90</v>
      </c>
      <c r="U313" s="46">
        <f t="shared" si="45"/>
        <v>90</v>
      </c>
      <c r="V313" s="54">
        <f t="shared" si="46"/>
        <v>80.666666666666671</v>
      </c>
    </row>
    <row r="314" spans="1:22" x14ac:dyDescent="0.2">
      <c r="A314" s="46" t="s">
        <v>16</v>
      </c>
      <c r="B314" s="46" t="s">
        <v>177</v>
      </c>
      <c r="C314" s="46" t="s">
        <v>96</v>
      </c>
      <c r="D314" s="46" t="s">
        <v>178</v>
      </c>
      <c r="E314" s="46">
        <v>1</v>
      </c>
      <c r="F314" s="46" t="s">
        <v>60</v>
      </c>
      <c r="G314" s="46">
        <v>4</v>
      </c>
      <c r="H314" s="47">
        <v>28</v>
      </c>
      <c r="I314" s="47" t="s">
        <v>102</v>
      </c>
      <c r="J314" s="48">
        <v>4</v>
      </c>
      <c r="K314" s="48">
        <v>0</v>
      </c>
      <c r="R314" s="46">
        <f t="shared" si="43"/>
        <v>1</v>
      </c>
      <c r="S314" s="46">
        <f t="shared" si="44"/>
        <v>0</v>
      </c>
      <c r="T314" s="46">
        <f t="shared" si="47"/>
        <v>90</v>
      </c>
      <c r="U314" s="46">
        <f t="shared" si="45"/>
        <v>90</v>
      </c>
      <c r="V314" s="54">
        <f t="shared" si="46"/>
        <v>80.666666666666671</v>
      </c>
    </row>
    <row r="315" spans="1:22" x14ac:dyDescent="0.2">
      <c r="A315" s="46" t="s">
        <v>16</v>
      </c>
      <c r="B315" s="46" t="s">
        <v>177</v>
      </c>
      <c r="C315" s="46" t="s">
        <v>96</v>
      </c>
      <c r="D315" s="46" t="s">
        <v>178</v>
      </c>
      <c r="E315" s="46">
        <v>3</v>
      </c>
      <c r="F315" s="46" t="s">
        <v>60</v>
      </c>
      <c r="G315" s="46">
        <v>1</v>
      </c>
      <c r="H315" s="47">
        <v>33</v>
      </c>
      <c r="I315" s="47" t="s">
        <v>101</v>
      </c>
      <c r="J315" s="48">
        <v>4</v>
      </c>
      <c r="K315" s="48">
        <v>0</v>
      </c>
      <c r="R315" s="46">
        <f t="shared" si="43"/>
        <v>1</v>
      </c>
      <c r="S315" s="46">
        <f t="shared" si="44"/>
        <v>0</v>
      </c>
      <c r="T315" s="46">
        <f t="shared" si="47"/>
        <v>90</v>
      </c>
      <c r="U315" s="46">
        <f t="shared" si="45"/>
        <v>90</v>
      </c>
      <c r="V315" s="54">
        <f t="shared" si="46"/>
        <v>80.666666666666671</v>
      </c>
    </row>
    <row r="316" spans="1:22" x14ac:dyDescent="0.2">
      <c r="A316" s="46" t="s">
        <v>16</v>
      </c>
      <c r="B316" s="46" t="s">
        <v>177</v>
      </c>
      <c r="C316" s="46" t="s">
        <v>96</v>
      </c>
      <c r="D316" s="46" t="s">
        <v>178</v>
      </c>
      <c r="E316" s="46">
        <v>1</v>
      </c>
      <c r="F316" s="46" t="s">
        <v>60</v>
      </c>
      <c r="G316" s="46">
        <v>3</v>
      </c>
      <c r="H316" s="47">
        <v>35</v>
      </c>
      <c r="I316" s="47" t="s">
        <v>116</v>
      </c>
      <c r="J316" s="48">
        <v>4</v>
      </c>
      <c r="K316" s="48">
        <v>0</v>
      </c>
      <c r="R316" s="46">
        <f t="shared" si="43"/>
        <v>1</v>
      </c>
      <c r="S316" s="46">
        <f t="shared" si="44"/>
        <v>0</v>
      </c>
      <c r="T316" s="46">
        <f t="shared" si="47"/>
        <v>90</v>
      </c>
      <c r="U316" s="46">
        <f t="shared" si="45"/>
        <v>90</v>
      </c>
      <c r="V316" s="54">
        <f t="shared" si="46"/>
        <v>80.666666666666671</v>
      </c>
    </row>
    <row r="317" spans="1:22" x14ac:dyDescent="0.2">
      <c r="A317" s="46" t="s">
        <v>16</v>
      </c>
      <c r="B317" s="46" t="s">
        <v>177</v>
      </c>
      <c r="C317" s="46" t="s">
        <v>96</v>
      </c>
      <c r="D317" s="46" t="s">
        <v>178</v>
      </c>
      <c r="E317" s="46">
        <v>4</v>
      </c>
      <c r="F317" s="46" t="s">
        <v>60</v>
      </c>
      <c r="G317" s="46">
        <v>2</v>
      </c>
      <c r="H317" s="47">
        <v>38</v>
      </c>
      <c r="I317" s="47" t="s">
        <v>127</v>
      </c>
      <c r="J317" s="48">
        <v>4</v>
      </c>
      <c r="K317" s="48">
        <v>0</v>
      </c>
      <c r="R317" s="46">
        <f t="shared" si="43"/>
        <v>1</v>
      </c>
      <c r="S317" s="46">
        <f t="shared" si="44"/>
        <v>0</v>
      </c>
      <c r="T317" s="46">
        <f t="shared" si="47"/>
        <v>90</v>
      </c>
      <c r="U317" s="46">
        <f t="shared" si="45"/>
        <v>90</v>
      </c>
      <c r="V317" s="54">
        <f t="shared" si="46"/>
        <v>80.666666666666671</v>
      </c>
    </row>
    <row r="318" spans="1:22" x14ac:dyDescent="0.2">
      <c r="A318" s="46" t="s">
        <v>16</v>
      </c>
      <c r="B318" s="46" t="s">
        <v>177</v>
      </c>
      <c r="C318" s="46" t="s">
        <v>96</v>
      </c>
      <c r="D318" s="46" t="s">
        <v>178</v>
      </c>
      <c r="E318" s="46">
        <v>1</v>
      </c>
      <c r="F318" s="46" t="s">
        <v>60</v>
      </c>
      <c r="G318" s="46">
        <v>2</v>
      </c>
      <c r="H318" s="47">
        <v>42</v>
      </c>
      <c r="I318" s="47" t="s">
        <v>127</v>
      </c>
      <c r="J318" s="48">
        <v>4</v>
      </c>
      <c r="K318" s="48">
        <v>0</v>
      </c>
      <c r="M318" s="48">
        <v>1</v>
      </c>
      <c r="R318" s="46">
        <f t="shared" si="43"/>
        <v>1</v>
      </c>
      <c r="S318" s="46">
        <f t="shared" si="44"/>
        <v>0</v>
      </c>
      <c r="T318" s="46">
        <f t="shared" si="47"/>
        <v>90</v>
      </c>
      <c r="U318" s="46">
        <f t="shared" si="45"/>
        <v>110</v>
      </c>
      <c r="V318" s="54">
        <f t="shared" si="46"/>
        <v>80.666666666666671</v>
      </c>
    </row>
    <row r="319" spans="1:22" x14ac:dyDescent="0.2">
      <c r="A319" s="46" t="s">
        <v>16</v>
      </c>
      <c r="B319" s="46" t="s">
        <v>177</v>
      </c>
      <c r="C319" s="46" t="s">
        <v>96</v>
      </c>
      <c r="D319" s="46" t="s">
        <v>178</v>
      </c>
      <c r="E319" s="46">
        <v>3</v>
      </c>
      <c r="F319" s="46" t="s">
        <v>60</v>
      </c>
      <c r="G319" s="46">
        <v>2</v>
      </c>
      <c r="H319" s="47">
        <v>42</v>
      </c>
      <c r="I319" s="47" t="s">
        <v>127</v>
      </c>
      <c r="J319" s="48">
        <v>4</v>
      </c>
      <c r="K319" s="48">
        <v>0</v>
      </c>
      <c r="R319" s="46">
        <f t="shared" si="43"/>
        <v>1</v>
      </c>
      <c r="S319" s="46">
        <f t="shared" si="44"/>
        <v>0</v>
      </c>
      <c r="T319" s="46">
        <f t="shared" si="47"/>
        <v>90</v>
      </c>
      <c r="U319" s="46">
        <f t="shared" si="45"/>
        <v>90</v>
      </c>
      <c r="V319" s="54">
        <f t="shared" si="46"/>
        <v>80.666666666666671</v>
      </c>
    </row>
    <row r="320" spans="1:22" x14ac:dyDescent="0.2">
      <c r="A320" s="46" t="s">
        <v>16</v>
      </c>
      <c r="B320" s="46" t="s">
        <v>177</v>
      </c>
      <c r="C320" s="46" t="s">
        <v>96</v>
      </c>
      <c r="D320" s="46" t="s">
        <v>178</v>
      </c>
      <c r="E320" s="46">
        <v>4</v>
      </c>
      <c r="F320" s="46" t="s">
        <v>60</v>
      </c>
      <c r="G320" s="46">
        <v>2</v>
      </c>
      <c r="H320" s="47">
        <v>42</v>
      </c>
      <c r="I320" s="47" t="s">
        <v>127</v>
      </c>
      <c r="J320" s="48">
        <v>4</v>
      </c>
      <c r="K320" s="48">
        <v>0</v>
      </c>
      <c r="R320" s="46">
        <f t="shared" si="43"/>
        <v>1</v>
      </c>
      <c r="S320" s="46">
        <f t="shared" si="44"/>
        <v>0</v>
      </c>
      <c r="T320" s="46">
        <f t="shared" si="47"/>
        <v>90</v>
      </c>
      <c r="U320" s="46">
        <f t="shared" si="45"/>
        <v>90</v>
      </c>
      <c r="V320" s="54">
        <f t="shared" si="46"/>
        <v>80.666666666666671</v>
      </c>
    </row>
    <row r="321" spans="1:22" x14ac:dyDescent="0.2">
      <c r="A321" s="46" t="s">
        <v>16</v>
      </c>
      <c r="B321" s="46" t="s">
        <v>177</v>
      </c>
      <c r="C321" s="46" t="s">
        <v>96</v>
      </c>
      <c r="D321" s="46" t="s">
        <v>178</v>
      </c>
      <c r="E321" s="46">
        <v>1</v>
      </c>
      <c r="F321" s="46" t="s">
        <v>60</v>
      </c>
      <c r="G321" s="46">
        <v>1</v>
      </c>
      <c r="H321" s="47">
        <v>49</v>
      </c>
      <c r="I321" s="47" t="s">
        <v>101</v>
      </c>
      <c r="J321" s="48">
        <v>4</v>
      </c>
      <c r="K321" s="48">
        <v>0</v>
      </c>
      <c r="M321" s="48">
        <v>1</v>
      </c>
      <c r="R321" s="46">
        <f t="shared" si="43"/>
        <v>1</v>
      </c>
      <c r="S321" s="46">
        <f t="shared" si="44"/>
        <v>0</v>
      </c>
      <c r="T321" s="46">
        <f t="shared" si="47"/>
        <v>90</v>
      </c>
      <c r="U321" s="46">
        <f t="shared" si="45"/>
        <v>110</v>
      </c>
      <c r="V321" s="54">
        <f t="shared" si="46"/>
        <v>80.666666666666671</v>
      </c>
    </row>
    <row r="322" spans="1:22" x14ac:dyDescent="0.2">
      <c r="A322" s="46" t="s">
        <v>16</v>
      </c>
      <c r="B322" s="46" t="s">
        <v>177</v>
      </c>
      <c r="C322" s="46" t="s">
        <v>96</v>
      </c>
      <c r="D322" s="46" t="s">
        <v>178</v>
      </c>
      <c r="E322" s="46">
        <v>1</v>
      </c>
      <c r="F322" s="46" t="s">
        <v>61</v>
      </c>
      <c r="G322" s="46">
        <v>1</v>
      </c>
      <c r="H322" s="47" t="s">
        <v>74</v>
      </c>
      <c r="I322" s="47" t="s">
        <v>101</v>
      </c>
      <c r="J322" s="48">
        <v>4</v>
      </c>
      <c r="K322" s="48">
        <v>0</v>
      </c>
      <c r="M322" s="48">
        <v>1</v>
      </c>
      <c r="R322" s="46">
        <f t="shared" ref="R322:R385" si="48">IF(J322=4,1,0)</f>
        <v>1</v>
      </c>
      <c r="S322" s="46">
        <f t="shared" ref="S322:S385" si="49">IF(K322=3,1,0)</f>
        <v>0</v>
      </c>
      <c r="T322" s="46">
        <f t="shared" si="47"/>
        <v>90</v>
      </c>
      <c r="U322" s="46">
        <f t="shared" ref="U322:U385" si="50">T322+M322*(20) + (SUM(O322:Q322)*(10)) - L322*(5) - N322*(5)</f>
        <v>110</v>
      </c>
      <c r="V322" s="54">
        <f t="shared" ref="V322:V385" si="51">AVERAGEIFS(U:U,A:A,A322,F:F,"Pre")</f>
        <v>80.666666666666671</v>
      </c>
    </row>
    <row r="323" spans="1:22" x14ac:dyDescent="0.2">
      <c r="A323" s="46" t="s">
        <v>16</v>
      </c>
      <c r="B323" s="46" t="s">
        <v>177</v>
      </c>
      <c r="C323" s="46" t="s">
        <v>96</v>
      </c>
      <c r="D323" s="46" t="s">
        <v>178</v>
      </c>
      <c r="E323" s="46">
        <v>1</v>
      </c>
      <c r="F323" s="46" t="s">
        <v>61</v>
      </c>
      <c r="G323" s="46">
        <v>1</v>
      </c>
      <c r="H323" s="47" t="s">
        <v>68</v>
      </c>
      <c r="I323" s="47" t="s">
        <v>101</v>
      </c>
      <c r="J323" s="48">
        <v>4</v>
      </c>
      <c r="K323" s="48">
        <v>0</v>
      </c>
      <c r="R323" s="46">
        <f t="shared" si="48"/>
        <v>1</v>
      </c>
      <c r="S323" s="46">
        <f t="shared" si="49"/>
        <v>0</v>
      </c>
      <c r="T323" s="46">
        <f t="shared" si="47"/>
        <v>90</v>
      </c>
      <c r="U323" s="46">
        <f t="shared" si="50"/>
        <v>90</v>
      </c>
      <c r="V323" s="54">
        <f t="shared" si="51"/>
        <v>80.666666666666671</v>
      </c>
    </row>
    <row r="324" spans="1:22" x14ac:dyDescent="0.2">
      <c r="A324" s="46" t="s">
        <v>16</v>
      </c>
      <c r="B324" s="46" t="s">
        <v>177</v>
      </c>
      <c r="C324" s="46" t="s">
        <v>96</v>
      </c>
      <c r="D324" s="46" t="s">
        <v>178</v>
      </c>
      <c r="E324" s="46">
        <v>3</v>
      </c>
      <c r="F324" s="46" t="s">
        <v>61</v>
      </c>
      <c r="G324" s="46">
        <v>1</v>
      </c>
      <c r="H324" s="47" t="s">
        <v>68</v>
      </c>
      <c r="I324" s="47" t="s">
        <v>101</v>
      </c>
      <c r="J324" s="48">
        <v>4</v>
      </c>
      <c r="K324" s="48">
        <v>0</v>
      </c>
      <c r="M324" s="48">
        <v>1</v>
      </c>
      <c r="R324" s="46">
        <f t="shared" si="48"/>
        <v>1</v>
      </c>
      <c r="S324" s="46">
        <f t="shared" si="49"/>
        <v>0</v>
      </c>
      <c r="T324" s="46">
        <f t="shared" si="47"/>
        <v>90</v>
      </c>
      <c r="U324" s="46">
        <f t="shared" si="50"/>
        <v>110</v>
      </c>
      <c r="V324" s="54">
        <f t="shared" si="51"/>
        <v>80.666666666666671</v>
      </c>
    </row>
    <row r="325" spans="1:22" x14ac:dyDescent="0.2">
      <c r="A325" s="46" t="s">
        <v>16</v>
      </c>
      <c r="B325" s="46" t="s">
        <v>177</v>
      </c>
      <c r="C325" s="46" t="s">
        <v>96</v>
      </c>
      <c r="D325" s="46" t="s">
        <v>178</v>
      </c>
      <c r="E325" s="46">
        <v>4</v>
      </c>
      <c r="F325" s="46" t="s">
        <v>61</v>
      </c>
      <c r="G325" s="46">
        <v>1</v>
      </c>
      <c r="H325" s="47" t="s">
        <v>68</v>
      </c>
      <c r="I325" s="47" t="s">
        <v>101</v>
      </c>
      <c r="J325" s="48">
        <v>4</v>
      </c>
      <c r="K325" s="48">
        <v>0</v>
      </c>
      <c r="R325" s="46">
        <f t="shared" si="48"/>
        <v>1</v>
      </c>
      <c r="S325" s="46">
        <f t="shared" si="49"/>
        <v>0</v>
      </c>
      <c r="T325" s="46">
        <f t="shared" si="47"/>
        <v>90</v>
      </c>
      <c r="U325" s="46">
        <f t="shared" si="50"/>
        <v>90</v>
      </c>
      <c r="V325" s="54">
        <f t="shared" si="51"/>
        <v>80.666666666666671</v>
      </c>
    </row>
    <row r="326" spans="1:22" x14ac:dyDescent="0.2">
      <c r="A326" s="46" t="s">
        <v>16</v>
      </c>
      <c r="B326" s="46" t="s">
        <v>177</v>
      </c>
      <c r="C326" s="46" t="s">
        <v>96</v>
      </c>
      <c r="D326" s="46" t="s">
        <v>178</v>
      </c>
      <c r="E326" s="46">
        <v>3</v>
      </c>
      <c r="F326" s="46" t="s">
        <v>61</v>
      </c>
      <c r="G326" s="46">
        <v>1</v>
      </c>
      <c r="H326" s="47" t="s">
        <v>69</v>
      </c>
      <c r="I326" s="47" t="s">
        <v>101</v>
      </c>
      <c r="J326" s="48">
        <v>4</v>
      </c>
      <c r="K326" s="48">
        <v>0</v>
      </c>
      <c r="R326" s="46">
        <f t="shared" si="48"/>
        <v>1</v>
      </c>
      <c r="S326" s="46">
        <f t="shared" si="49"/>
        <v>0</v>
      </c>
      <c r="T326" s="46">
        <f t="shared" si="47"/>
        <v>90</v>
      </c>
      <c r="U326" s="46">
        <f t="shared" si="50"/>
        <v>90</v>
      </c>
      <c r="V326" s="54">
        <f t="shared" si="51"/>
        <v>80.666666666666671</v>
      </c>
    </row>
    <row r="327" spans="1:22" x14ac:dyDescent="0.2">
      <c r="A327" s="46" t="s">
        <v>16</v>
      </c>
      <c r="B327" s="46" t="s">
        <v>177</v>
      </c>
      <c r="C327" s="46" t="s">
        <v>96</v>
      </c>
      <c r="D327" s="46" t="s">
        <v>178</v>
      </c>
      <c r="E327" s="46">
        <v>1</v>
      </c>
      <c r="F327" s="46" t="s">
        <v>61</v>
      </c>
      <c r="G327" s="46">
        <v>1</v>
      </c>
      <c r="H327" s="47" t="s">
        <v>78</v>
      </c>
      <c r="I327" s="47" t="s">
        <v>101</v>
      </c>
      <c r="J327" s="48">
        <v>4</v>
      </c>
      <c r="K327" s="48">
        <v>0</v>
      </c>
      <c r="M327" s="48">
        <v>2</v>
      </c>
      <c r="R327" s="46">
        <f t="shared" si="48"/>
        <v>1</v>
      </c>
      <c r="S327" s="46">
        <f t="shared" si="49"/>
        <v>0</v>
      </c>
      <c r="T327" s="46">
        <f t="shared" si="47"/>
        <v>90</v>
      </c>
      <c r="U327" s="46">
        <f t="shared" si="50"/>
        <v>130</v>
      </c>
      <c r="V327" s="54">
        <f t="shared" si="51"/>
        <v>80.666666666666671</v>
      </c>
    </row>
    <row r="328" spans="1:22" x14ac:dyDescent="0.2">
      <c r="A328" s="46" t="s">
        <v>16</v>
      </c>
      <c r="B328" s="46" t="s">
        <v>177</v>
      </c>
      <c r="C328" s="46" t="s">
        <v>96</v>
      </c>
      <c r="D328" s="46" t="s">
        <v>178</v>
      </c>
      <c r="E328" s="46">
        <v>1</v>
      </c>
      <c r="F328" s="46" t="s">
        <v>61</v>
      </c>
      <c r="G328" s="46">
        <v>1</v>
      </c>
      <c r="H328" s="47" t="s">
        <v>78</v>
      </c>
      <c r="I328" s="47" t="s">
        <v>101</v>
      </c>
      <c r="J328" s="48">
        <v>4</v>
      </c>
      <c r="K328" s="48">
        <v>0</v>
      </c>
      <c r="R328" s="46">
        <f t="shared" si="48"/>
        <v>1</v>
      </c>
      <c r="S328" s="46">
        <f t="shared" si="49"/>
        <v>0</v>
      </c>
      <c r="T328" s="46">
        <f t="shared" si="47"/>
        <v>90</v>
      </c>
      <c r="U328" s="46">
        <f t="shared" si="50"/>
        <v>90</v>
      </c>
      <c r="V328" s="54">
        <f t="shared" si="51"/>
        <v>80.666666666666671</v>
      </c>
    </row>
    <row r="329" spans="1:22" x14ac:dyDescent="0.2">
      <c r="A329" s="46" t="s">
        <v>16</v>
      </c>
      <c r="B329" s="46" t="s">
        <v>177</v>
      </c>
      <c r="C329" s="46" t="s">
        <v>96</v>
      </c>
      <c r="D329" s="46" t="s">
        <v>178</v>
      </c>
      <c r="E329" s="46">
        <v>4</v>
      </c>
      <c r="F329" s="46" t="s">
        <v>61</v>
      </c>
      <c r="G329" s="46">
        <v>1</v>
      </c>
      <c r="H329" s="47" t="s">
        <v>78</v>
      </c>
      <c r="I329" s="47" t="s">
        <v>101</v>
      </c>
      <c r="J329" s="48">
        <v>4</v>
      </c>
      <c r="K329" s="48">
        <v>0</v>
      </c>
      <c r="M329" s="48">
        <v>2</v>
      </c>
      <c r="R329" s="46">
        <f t="shared" si="48"/>
        <v>1</v>
      </c>
      <c r="S329" s="46">
        <f t="shared" si="49"/>
        <v>0</v>
      </c>
      <c r="T329" s="46">
        <f t="shared" si="47"/>
        <v>90</v>
      </c>
      <c r="U329" s="46">
        <f t="shared" si="50"/>
        <v>130</v>
      </c>
      <c r="V329" s="54">
        <f t="shared" si="51"/>
        <v>80.666666666666671</v>
      </c>
    </row>
    <row r="330" spans="1:22" x14ac:dyDescent="0.2">
      <c r="A330" s="46" t="s">
        <v>16</v>
      </c>
      <c r="B330" s="46" t="s">
        <v>177</v>
      </c>
      <c r="C330" s="46" t="s">
        <v>96</v>
      </c>
      <c r="D330" s="46" t="s">
        <v>178</v>
      </c>
      <c r="E330" s="46">
        <v>4</v>
      </c>
      <c r="F330" s="46" t="s">
        <v>61</v>
      </c>
      <c r="G330" s="46">
        <v>1</v>
      </c>
      <c r="H330" s="47" t="s">
        <v>78</v>
      </c>
      <c r="I330" s="47" t="s">
        <v>101</v>
      </c>
      <c r="J330" s="48">
        <v>4</v>
      </c>
      <c r="K330" s="48">
        <v>1</v>
      </c>
      <c r="M330" s="48">
        <v>1</v>
      </c>
      <c r="R330" s="46">
        <f t="shared" si="48"/>
        <v>1</v>
      </c>
      <c r="S330" s="46">
        <f t="shared" si="49"/>
        <v>0</v>
      </c>
      <c r="T330" s="46">
        <f t="shared" si="47"/>
        <v>80</v>
      </c>
      <c r="U330" s="46">
        <f t="shared" si="50"/>
        <v>100</v>
      </c>
      <c r="V330" s="54">
        <f t="shared" si="51"/>
        <v>80.666666666666671</v>
      </c>
    </row>
    <row r="331" spans="1:22" x14ac:dyDescent="0.2">
      <c r="A331" s="46" t="s">
        <v>16</v>
      </c>
      <c r="B331" s="46" t="s">
        <v>177</v>
      </c>
      <c r="C331" s="46" t="s">
        <v>96</v>
      </c>
      <c r="D331" s="46" t="s">
        <v>178</v>
      </c>
      <c r="E331" s="46">
        <v>4</v>
      </c>
      <c r="F331" s="46" t="s">
        <v>61</v>
      </c>
      <c r="G331" s="46">
        <v>1</v>
      </c>
      <c r="H331" s="47" t="s">
        <v>78</v>
      </c>
      <c r="I331" s="47" t="s">
        <v>101</v>
      </c>
      <c r="J331" s="48">
        <v>1</v>
      </c>
      <c r="K331" s="48">
        <v>3</v>
      </c>
      <c r="R331" s="46">
        <f t="shared" si="48"/>
        <v>0</v>
      </c>
      <c r="S331" s="46">
        <f t="shared" si="49"/>
        <v>1</v>
      </c>
      <c r="T331" s="46">
        <f t="shared" si="47"/>
        <v>0</v>
      </c>
      <c r="U331" s="46">
        <f t="shared" si="50"/>
        <v>0</v>
      </c>
      <c r="V331" s="54">
        <f t="shared" si="51"/>
        <v>80.666666666666671</v>
      </c>
    </row>
    <row r="332" spans="1:22" x14ac:dyDescent="0.2">
      <c r="A332" s="46" t="s">
        <v>16</v>
      </c>
      <c r="B332" s="46" t="s">
        <v>177</v>
      </c>
      <c r="C332" s="46" t="s">
        <v>96</v>
      </c>
      <c r="D332" s="46" t="s">
        <v>178</v>
      </c>
      <c r="E332" s="46">
        <v>5</v>
      </c>
      <c r="F332" s="46" t="s">
        <v>60</v>
      </c>
      <c r="G332" s="46">
        <v>4</v>
      </c>
      <c r="H332" s="47">
        <v>4</v>
      </c>
      <c r="I332" s="47" t="s">
        <v>102</v>
      </c>
      <c r="J332" s="48">
        <v>4</v>
      </c>
      <c r="K332" s="48">
        <v>1</v>
      </c>
      <c r="R332" s="46">
        <f t="shared" si="48"/>
        <v>1</v>
      </c>
      <c r="S332" s="46">
        <f t="shared" si="49"/>
        <v>0</v>
      </c>
      <c r="T332" s="46">
        <f t="shared" si="47"/>
        <v>80</v>
      </c>
      <c r="U332" s="46">
        <f t="shared" si="50"/>
        <v>80</v>
      </c>
      <c r="V332" s="54">
        <f t="shared" si="51"/>
        <v>80.666666666666671</v>
      </c>
    </row>
    <row r="333" spans="1:22" x14ac:dyDescent="0.2">
      <c r="A333" s="46" t="s">
        <v>16</v>
      </c>
      <c r="B333" s="46" t="s">
        <v>177</v>
      </c>
      <c r="C333" s="46" t="s">
        <v>96</v>
      </c>
      <c r="D333" s="46" t="s">
        <v>178</v>
      </c>
      <c r="E333" s="46">
        <v>5</v>
      </c>
      <c r="F333" s="46" t="s">
        <v>60</v>
      </c>
      <c r="G333" s="46">
        <v>2</v>
      </c>
      <c r="H333" s="47">
        <v>10</v>
      </c>
      <c r="I333" s="47" t="s">
        <v>127</v>
      </c>
      <c r="J333" s="48">
        <v>0</v>
      </c>
      <c r="K333" s="48">
        <v>3</v>
      </c>
      <c r="R333" s="46">
        <f t="shared" si="48"/>
        <v>0</v>
      </c>
      <c r="S333" s="46">
        <f t="shared" si="49"/>
        <v>1</v>
      </c>
      <c r="T333" s="46">
        <f t="shared" si="47"/>
        <v>-20</v>
      </c>
      <c r="U333" s="46">
        <f t="shared" si="50"/>
        <v>-20</v>
      </c>
      <c r="V333" s="54">
        <f t="shared" si="51"/>
        <v>80.666666666666671</v>
      </c>
    </row>
    <row r="334" spans="1:22" x14ac:dyDescent="0.2">
      <c r="A334" s="46" t="s">
        <v>16</v>
      </c>
      <c r="B334" s="46" t="s">
        <v>177</v>
      </c>
      <c r="C334" s="46" t="s">
        <v>96</v>
      </c>
      <c r="D334" s="46" t="s">
        <v>178</v>
      </c>
      <c r="E334" s="46">
        <v>5</v>
      </c>
      <c r="F334" s="46" t="s">
        <v>60</v>
      </c>
      <c r="G334" s="46">
        <v>2</v>
      </c>
      <c r="H334" s="47">
        <v>26</v>
      </c>
      <c r="I334" s="47" t="s">
        <v>127</v>
      </c>
      <c r="J334" s="48">
        <v>4</v>
      </c>
      <c r="K334" s="48">
        <v>0</v>
      </c>
      <c r="R334" s="46">
        <f t="shared" si="48"/>
        <v>1</v>
      </c>
      <c r="S334" s="46">
        <f t="shared" si="49"/>
        <v>0</v>
      </c>
      <c r="T334" s="46">
        <f t="shared" si="47"/>
        <v>90</v>
      </c>
      <c r="U334" s="46">
        <f t="shared" si="50"/>
        <v>90</v>
      </c>
      <c r="V334" s="54">
        <f t="shared" si="51"/>
        <v>80.666666666666671</v>
      </c>
    </row>
    <row r="335" spans="1:22" x14ac:dyDescent="0.2">
      <c r="A335" s="46" t="s">
        <v>16</v>
      </c>
      <c r="B335" s="46" t="s">
        <v>177</v>
      </c>
      <c r="C335" s="46" t="s">
        <v>96</v>
      </c>
      <c r="D335" s="46" t="s">
        <v>178</v>
      </c>
      <c r="E335" s="46">
        <v>5</v>
      </c>
      <c r="F335" s="46" t="s">
        <v>60</v>
      </c>
      <c r="G335" s="46">
        <v>3</v>
      </c>
      <c r="H335" s="47">
        <v>35</v>
      </c>
      <c r="I335" s="47" t="s">
        <v>159</v>
      </c>
      <c r="J335" s="48">
        <v>4</v>
      </c>
      <c r="K335" s="48">
        <v>0</v>
      </c>
      <c r="R335" s="46">
        <f t="shared" si="48"/>
        <v>1</v>
      </c>
      <c r="S335" s="46">
        <f t="shared" si="49"/>
        <v>0</v>
      </c>
      <c r="T335" s="46">
        <f t="shared" si="47"/>
        <v>90</v>
      </c>
      <c r="U335" s="46">
        <f t="shared" si="50"/>
        <v>90</v>
      </c>
      <c r="V335" s="54">
        <f t="shared" si="51"/>
        <v>80.666666666666671</v>
      </c>
    </row>
    <row r="336" spans="1:22" x14ac:dyDescent="0.2">
      <c r="A336" s="46" t="s">
        <v>16</v>
      </c>
      <c r="B336" s="46" t="s">
        <v>177</v>
      </c>
      <c r="C336" s="46" t="s">
        <v>96</v>
      </c>
      <c r="D336" s="46" t="s">
        <v>178</v>
      </c>
      <c r="E336" s="46">
        <v>5</v>
      </c>
      <c r="F336" s="46" t="s">
        <v>60</v>
      </c>
      <c r="G336" s="46">
        <v>1</v>
      </c>
      <c r="H336" s="47">
        <v>41</v>
      </c>
      <c r="I336" s="47" t="s">
        <v>101</v>
      </c>
      <c r="J336" s="48">
        <v>4</v>
      </c>
      <c r="K336" s="48">
        <v>1</v>
      </c>
      <c r="R336" s="46">
        <f t="shared" si="48"/>
        <v>1</v>
      </c>
      <c r="S336" s="46">
        <f t="shared" si="49"/>
        <v>0</v>
      </c>
      <c r="T336" s="46">
        <f t="shared" si="47"/>
        <v>80</v>
      </c>
      <c r="U336" s="46">
        <f t="shared" si="50"/>
        <v>80</v>
      </c>
      <c r="V336" s="54">
        <f t="shared" si="51"/>
        <v>80.666666666666671</v>
      </c>
    </row>
    <row r="337" spans="1:22" x14ac:dyDescent="0.2">
      <c r="A337" s="46" t="s">
        <v>16</v>
      </c>
      <c r="B337" s="46" t="s">
        <v>177</v>
      </c>
      <c r="C337" s="46" t="s">
        <v>96</v>
      </c>
      <c r="D337" s="46" t="s">
        <v>178</v>
      </c>
      <c r="E337" s="46">
        <v>5</v>
      </c>
      <c r="F337" s="46" t="s">
        <v>60</v>
      </c>
      <c r="G337" s="46">
        <v>1</v>
      </c>
      <c r="H337" s="47">
        <v>45</v>
      </c>
      <c r="I337" s="47" t="s">
        <v>101</v>
      </c>
      <c r="J337" s="48">
        <v>4</v>
      </c>
      <c r="K337" s="48">
        <v>0</v>
      </c>
      <c r="R337" s="46">
        <f t="shared" si="48"/>
        <v>1</v>
      </c>
      <c r="S337" s="46">
        <f t="shared" si="49"/>
        <v>0</v>
      </c>
      <c r="T337" s="46">
        <f t="shared" si="47"/>
        <v>90</v>
      </c>
      <c r="U337" s="46">
        <f t="shared" si="50"/>
        <v>90</v>
      </c>
      <c r="V337" s="54">
        <f t="shared" si="51"/>
        <v>80.666666666666671</v>
      </c>
    </row>
    <row r="338" spans="1:22" x14ac:dyDescent="0.2">
      <c r="A338" s="46" t="s">
        <v>16</v>
      </c>
      <c r="B338" s="46" t="s">
        <v>177</v>
      </c>
      <c r="C338" s="46" t="s">
        <v>96</v>
      </c>
      <c r="D338" s="46" t="s">
        <v>178</v>
      </c>
      <c r="E338" s="46">
        <v>5</v>
      </c>
      <c r="F338" s="46" t="s">
        <v>61</v>
      </c>
      <c r="G338" s="46">
        <v>1</v>
      </c>
      <c r="H338" s="47" t="s">
        <v>74</v>
      </c>
      <c r="I338" s="47" t="s">
        <v>101</v>
      </c>
      <c r="J338" s="48">
        <v>4</v>
      </c>
      <c r="K338" s="48">
        <v>0</v>
      </c>
      <c r="R338" s="46">
        <f t="shared" si="48"/>
        <v>1</v>
      </c>
      <c r="S338" s="46">
        <f t="shared" si="49"/>
        <v>0</v>
      </c>
      <c r="T338" s="46">
        <f t="shared" si="47"/>
        <v>90</v>
      </c>
      <c r="U338" s="46">
        <f t="shared" si="50"/>
        <v>90</v>
      </c>
      <c r="V338" s="54">
        <f t="shared" si="51"/>
        <v>80.666666666666671</v>
      </c>
    </row>
    <row r="339" spans="1:22" x14ac:dyDescent="0.2">
      <c r="A339" s="46" t="s">
        <v>16</v>
      </c>
      <c r="B339" s="46" t="s">
        <v>177</v>
      </c>
      <c r="C339" s="46" t="s">
        <v>96</v>
      </c>
      <c r="D339" s="46" t="s">
        <v>178</v>
      </c>
      <c r="E339" s="46">
        <v>5</v>
      </c>
      <c r="F339" s="46" t="s">
        <v>61</v>
      </c>
      <c r="G339" s="46">
        <v>1</v>
      </c>
      <c r="H339" s="47" t="s">
        <v>75</v>
      </c>
      <c r="I339" s="47" t="s">
        <v>101</v>
      </c>
      <c r="J339" s="48">
        <v>4</v>
      </c>
      <c r="K339" s="48">
        <v>1</v>
      </c>
      <c r="R339" s="46">
        <f t="shared" si="48"/>
        <v>1</v>
      </c>
      <c r="S339" s="46">
        <f t="shared" si="49"/>
        <v>0</v>
      </c>
      <c r="T339" s="46">
        <f t="shared" si="47"/>
        <v>80</v>
      </c>
      <c r="U339" s="46">
        <f t="shared" si="50"/>
        <v>80</v>
      </c>
      <c r="V339" s="54">
        <f t="shared" si="51"/>
        <v>80.666666666666671</v>
      </c>
    </row>
    <row r="340" spans="1:22" x14ac:dyDescent="0.2">
      <c r="A340" s="46" t="s">
        <v>16</v>
      </c>
      <c r="B340" s="46" t="s">
        <v>177</v>
      </c>
      <c r="C340" s="46" t="s">
        <v>96</v>
      </c>
      <c r="D340" s="46" t="s">
        <v>178</v>
      </c>
      <c r="E340" s="46">
        <v>5</v>
      </c>
      <c r="F340" s="46" t="s">
        <v>61</v>
      </c>
      <c r="G340" s="46">
        <v>1</v>
      </c>
      <c r="H340" s="47" t="s">
        <v>78</v>
      </c>
      <c r="I340" s="47" t="s">
        <v>101</v>
      </c>
      <c r="J340" s="48">
        <v>4</v>
      </c>
      <c r="K340" s="48">
        <v>2</v>
      </c>
      <c r="R340" s="46">
        <f t="shared" si="48"/>
        <v>1</v>
      </c>
      <c r="S340" s="46">
        <f t="shared" si="49"/>
        <v>0</v>
      </c>
      <c r="U340" s="46">
        <f t="shared" si="50"/>
        <v>0</v>
      </c>
      <c r="V340" s="54">
        <f t="shared" si="51"/>
        <v>80.666666666666671</v>
      </c>
    </row>
    <row r="341" spans="1:22" x14ac:dyDescent="0.2">
      <c r="A341" s="46" t="s">
        <v>16</v>
      </c>
      <c r="B341" s="46" t="s">
        <v>177</v>
      </c>
      <c r="C341" s="46" t="s">
        <v>96</v>
      </c>
      <c r="D341" s="46" t="s">
        <v>178</v>
      </c>
      <c r="E341" s="46">
        <v>5</v>
      </c>
      <c r="F341" s="46" t="s">
        <v>61</v>
      </c>
      <c r="G341" s="46">
        <v>1</v>
      </c>
      <c r="H341" s="47" t="s">
        <v>78</v>
      </c>
      <c r="I341" s="47" t="s">
        <v>101</v>
      </c>
      <c r="J341" s="48">
        <v>1</v>
      </c>
      <c r="K341" s="48">
        <v>3</v>
      </c>
      <c r="R341" s="46">
        <f t="shared" si="48"/>
        <v>0</v>
      </c>
      <c r="S341" s="46">
        <f t="shared" si="49"/>
        <v>1</v>
      </c>
      <c r="U341" s="46">
        <f t="shared" si="50"/>
        <v>0</v>
      </c>
      <c r="V341" s="54">
        <f t="shared" si="51"/>
        <v>80.666666666666671</v>
      </c>
    </row>
    <row r="342" spans="1:22" x14ac:dyDescent="0.2">
      <c r="A342" s="46" t="s">
        <v>190</v>
      </c>
      <c r="B342" s="46" t="s">
        <v>118</v>
      </c>
      <c r="C342" s="46" t="s">
        <v>95</v>
      </c>
      <c r="D342" s="46" t="s">
        <v>178</v>
      </c>
      <c r="E342" s="46">
        <v>1</v>
      </c>
      <c r="F342" s="46" t="s">
        <v>60</v>
      </c>
      <c r="G342" s="46">
        <v>1</v>
      </c>
      <c r="H342" s="47">
        <v>5</v>
      </c>
      <c r="I342" s="47" t="s">
        <v>101</v>
      </c>
      <c r="J342" s="48">
        <v>0</v>
      </c>
      <c r="K342" s="48">
        <v>0</v>
      </c>
      <c r="R342" s="46">
        <f t="shared" si="48"/>
        <v>0</v>
      </c>
      <c r="S342" s="46">
        <f t="shared" si="49"/>
        <v>0</v>
      </c>
      <c r="T342" s="46">
        <f t="shared" ref="T342:T373" si="52">quizscore(J342,K342)</f>
        <v>0</v>
      </c>
      <c r="U342" s="46">
        <f t="shared" si="50"/>
        <v>0</v>
      </c>
      <c r="V342" s="54">
        <f t="shared" si="51"/>
        <v>0.83333333333333337</v>
      </c>
    </row>
    <row r="343" spans="1:22" x14ac:dyDescent="0.2">
      <c r="A343" s="46" t="s">
        <v>190</v>
      </c>
      <c r="B343" s="46" t="s">
        <v>118</v>
      </c>
      <c r="C343" s="46" t="s">
        <v>95</v>
      </c>
      <c r="D343" s="46" t="s">
        <v>178</v>
      </c>
      <c r="E343" s="46">
        <v>2</v>
      </c>
      <c r="F343" s="46" t="s">
        <v>60</v>
      </c>
      <c r="G343" s="46">
        <v>1</v>
      </c>
      <c r="H343" s="47">
        <v>5</v>
      </c>
      <c r="I343" s="47" t="s">
        <v>101</v>
      </c>
      <c r="J343" s="48">
        <v>0</v>
      </c>
      <c r="K343" s="48">
        <v>1</v>
      </c>
      <c r="R343" s="46">
        <f t="shared" si="48"/>
        <v>0</v>
      </c>
      <c r="S343" s="46">
        <f t="shared" si="49"/>
        <v>0</v>
      </c>
      <c r="T343" s="46">
        <f t="shared" si="52"/>
        <v>0</v>
      </c>
      <c r="U343" s="46">
        <f t="shared" si="50"/>
        <v>0</v>
      </c>
      <c r="V343" s="54">
        <f t="shared" si="51"/>
        <v>0.83333333333333337</v>
      </c>
    </row>
    <row r="344" spans="1:22" x14ac:dyDescent="0.2">
      <c r="A344" s="46" t="s">
        <v>190</v>
      </c>
      <c r="B344" s="46" t="s">
        <v>118</v>
      </c>
      <c r="C344" s="46" t="s">
        <v>95</v>
      </c>
      <c r="D344" s="46" t="s">
        <v>178</v>
      </c>
      <c r="E344" s="46">
        <v>3</v>
      </c>
      <c r="F344" s="46" t="s">
        <v>60</v>
      </c>
      <c r="G344" s="46">
        <v>3</v>
      </c>
      <c r="H344" s="47">
        <v>7</v>
      </c>
      <c r="I344" s="47" t="s">
        <v>116</v>
      </c>
      <c r="J344" s="48">
        <v>0</v>
      </c>
      <c r="K344" s="48">
        <v>0</v>
      </c>
      <c r="R344" s="46">
        <f t="shared" si="48"/>
        <v>0</v>
      </c>
      <c r="S344" s="46">
        <f t="shared" si="49"/>
        <v>0</v>
      </c>
      <c r="T344" s="46">
        <f t="shared" si="52"/>
        <v>0</v>
      </c>
      <c r="U344" s="46">
        <f t="shared" si="50"/>
        <v>0</v>
      </c>
      <c r="V344" s="54">
        <f t="shared" si="51"/>
        <v>0.83333333333333337</v>
      </c>
    </row>
    <row r="345" spans="1:22" x14ac:dyDescent="0.2">
      <c r="A345" s="46" t="s">
        <v>190</v>
      </c>
      <c r="B345" s="46" t="s">
        <v>118</v>
      </c>
      <c r="C345" s="46" t="s">
        <v>95</v>
      </c>
      <c r="D345" s="46" t="s">
        <v>178</v>
      </c>
      <c r="E345" s="46">
        <v>4</v>
      </c>
      <c r="F345" s="46" t="s">
        <v>60</v>
      </c>
      <c r="G345" s="46">
        <v>4</v>
      </c>
      <c r="H345" s="47">
        <v>8</v>
      </c>
      <c r="I345" s="47" t="s">
        <v>102</v>
      </c>
      <c r="J345" s="48">
        <v>0</v>
      </c>
      <c r="K345" s="48">
        <v>0</v>
      </c>
      <c r="R345" s="46">
        <f t="shared" si="48"/>
        <v>0</v>
      </c>
      <c r="S345" s="46">
        <f t="shared" si="49"/>
        <v>0</v>
      </c>
      <c r="T345" s="46">
        <f t="shared" si="52"/>
        <v>0</v>
      </c>
      <c r="U345" s="46">
        <f t="shared" si="50"/>
        <v>0</v>
      </c>
      <c r="V345" s="54">
        <f t="shared" si="51"/>
        <v>0.83333333333333337</v>
      </c>
    </row>
    <row r="346" spans="1:22" x14ac:dyDescent="0.2">
      <c r="A346" s="46" t="s">
        <v>190</v>
      </c>
      <c r="B346" s="46" t="s">
        <v>118</v>
      </c>
      <c r="C346" s="46" t="s">
        <v>95</v>
      </c>
      <c r="D346" s="46" t="s">
        <v>178</v>
      </c>
      <c r="E346" s="46">
        <v>1</v>
      </c>
      <c r="F346" s="46" t="s">
        <v>60</v>
      </c>
      <c r="G346" s="46">
        <v>4</v>
      </c>
      <c r="H346" s="47">
        <v>12</v>
      </c>
      <c r="I346" s="47" t="s">
        <v>102</v>
      </c>
      <c r="J346" s="48">
        <v>0</v>
      </c>
      <c r="K346" s="48">
        <v>0</v>
      </c>
      <c r="R346" s="46">
        <f t="shared" si="48"/>
        <v>0</v>
      </c>
      <c r="S346" s="46">
        <f t="shared" si="49"/>
        <v>0</v>
      </c>
      <c r="T346" s="46">
        <f t="shared" si="52"/>
        <v>0</v>
      </c>
      <c r="U346" s="46">
        <f t="shared" si="50"/>
        <v>0</v>
      </c>
      <c r="V346" s="54">
        <f t="shared" si="51"/>
        <v>0.83333333333333337</v>
      </c>
    </row>
    <row r="347" spans="1:22" x14ac:dyDescent="0.2">
      <c r="A347" s="46" t="s">
        <v>190</v>
      </c>
      <c r="B347" s="46" t="s">
        <v>118</v>
      </c>
      <c r="C347" s="46" t="s">
        <v>95</v>
      </c>
      <c r="D347" s="46" t="s">
        <v>178</v>
      </c>
      <c r="E347" s="46">
        <v>3</v>
      </c>
      <c r="F347" s="46" t="s">
        <v>60</v>
      </c>
      <c r="G347" s="46">
        <v>4</v>
      </c>
      <c r="H347" s="47">
        <v>12</v>
      </c>
      <c r="I347" s="47" t="s">
        <v>102</v>
      </c>
      <c r="J347" s="48">
        <v>0</v>
      </c>
      <c r="K347" s="48">
        <v>0</v>
      </c>
      <c r="R347" s="46">
        <f t="shared" si="48"/>
        <v>0</v>
      </c>
      <c r="S347" s="46">
        <f t="shared" si="49"/>
        <v>0</v>
      </c>
      <c r="T347" s="46">
        <f t="shared" si="52"/>
        <v>0</v>
      </c>
      <c r="U347" s="46">
        <f t="shared" si="50"/>
        <v>0</v>
      </c>
      <c r="V347" s="54">
        <f t="shared" si="51"/>
        <v>0.83333333333333337</v>
      </c>
    </row>
    <row r="348" spans="1:22" x14ac:dyDescent="0.2">
      <c r="A348" s="46" t="s">
        <v>190</v>
      </c>
      <c r="B348" s="46" t="s">
        <v>118</v>
      </c>
      <c r="C348" s="46" t="s">
        <v>95</v>
      </c>
      <c r="D348" s="46" t="s">
        <v>178</v>
      </c>
      <c r="E348" s="46">
        <v>2</v>
      </c>
      <c r="F348" s="46" t="s">
        <v>60</v>
      </c>
      <c r="G348" s="46">
        <v>2</v>
      </c>
      <c r="H348" s="47">
        <v>14</v>
      </c>
      <c r="I348" s="47" t="s">
        <v>127</v>
      </c>
      <c r="J348" s="48">
        <v>0</v>
      </c>
      <c r="K348" s="48">
        <v>0</v>
      </c>
      <c r="R348" s="46">
        <f t="shared" si="48"/>
        <v>0</v>
      </c>
      <c r="S348" s="46">
        <f t="shared" si="49"/>
        <v>0</v>
      </c>
      <c r="T348" s="46">
        <f t="shared" si="52"/>
        <v>0</v>
      </c>
      <c r="U348" s="46">
        <f t="shared" si="50"/>
        <v>0</v>
      </c>
      <c r="V348" s="54">
        <f t="shared" si="51"/>
        <v>0.83333333333333337</v>
      </c>
    </row>
    <row r="349" spans="1:22" x14ac:dyDescent="0.2">
      <c r="A349" s="46" t="s">
        <v>190</v>
      </c>
      <c r="B349" s="46" t="s">
        <v>118</v>
      </c>
      <c r="C349" s="46" t="s">
        <v>95</v>
      </c>
      <c r="D349" s="46" t="s">
        <v>178</v>
      </c>
      <c r="E349" s="46">
        <v>4</v>
      </c>
      <c r="F349" s="46" t="s">
        <v>60</v>
      </c>
      <c r="G349" s="46">
        <v>3</v>
      </c>
      <c r="H349" s="47">
        <v>15</v>
      </c>
      <c r="I349" s="47" t="s">
        <v>159</v>
      </c>
      <c r="J349" s="48">
        <v>0</v>
      </c>
      <c r="K349" s="48">
        <v>0</v>
      </c>
      <c r="R349" s="46">
        <f t="shared" si="48"/>
        <v>0</v>
      </c>
      <c r="S349" s="46">
        <f t="shared" si="49"/>
        <v>0</v>
      </c>
      <c r="T349" s="46">
        <f t="shared" si="52"/>
        <v>0</v>
      </c>
      <c r="U349" s="46">
        <f t="shared" si="50"/>
        <v>0</v>
      </c>
      <c r="V349" s="54">
        <f t="shared" si="51"/>
        <v>0.83333333333333337</v>
      </c>
    </row>
    <row r="350" spans="1:22" x14ac:dyDescent="0.2">
      <c r="A350" s="46" t="s">
        <v>190</v>
      </c>
      <c r="B350" s="46" t="s">
        <v>118</v>
      </c>
      <c r="C350" s="46" t="s">
        <v>95</v>
      </c>
      <c r="D350" s="46" t="s">
        <v>178</v>
      </c>
      <c r="E350" s="46">
        <v>3</v>
      </c>
      <c r="F350" s="46" t="s">
        <v>60</v>
      </c>
      <c r="G350" s="46">
        <v>1</v>
      </c>
      <c r="H350" s="47">
        <v>17</v>
      </c>
      <c r="I350" s="47" t="s">
        <v>101</v>
      </c>
      <c r="J350" s="48">
        <v>0</v>
      </c>
      <c r="K350" s="48">
        <v>0</v>
      </c>
      <c r="N350" s="48">
        <v>1</v>
      </c>
      <c r="R350" s="46">
        <f t="shared" si="48"/>
        <v>0</v>
      </c>
      <c r="S350" s="46">
        <f t="shared" si="49"/>
        <v>0</v>
      </c>
      <c r="T350" s="46">
        <f t="shared" si="52"/>
        <v>0</v>
      </c>
      <c r="U350" s="46">
        <f t="shared" si="50"/>
        <v>-5</v>
      </c>
      <c r="V350" s="54">
        <f t="shared" si="51"/>
        <v>0.83333333333333337</v>
      </c>
    </row>
    <row r="351" spans="1:22" x14ac:dyDescent="0.2">
      <c r="A351" s="46" t="s">
        <v>190</v>
      </c>
      <c r="B351" s="46" t="s">
        <v>118</v>
      </c>
      <c r="C351" s="46" t="s">
        <v>95</v>
      </c>
      <c r="D351" s="46" t="s">
        <v>178</v>
      </c>
      <c r="E351" s="46">
        <v>4</v>
      </c>
      <c r="F351" s="46" t="s">
        <v>60</v>
      </c>
      <c r="G351" s="46">
        <v>1</v>
      </c>
      <c r="H351" s="47">
        <v>17</v>
      </c>
      <c r="I351" s="47" t="s">
        <v>101</v>
      </c>
      <c r="J351" s="48">
        <v>0</v>
      </c>
      <c r="K351" s="48">
        <v>0</v>
      </c>
      <c r="R351" s="46">
        <f t="shared" si="48"/>
        <v>0</v>
      </c>
      <c r="S351" s="46">
        <f t="shared" si="49"/>
        <v>0</v>
      </c>
      <c r="T351" s="46">
        <f t="shared" si="52"/>
        <v>0</v>
      </c>
      <c r="U351" s="46">
        <f t="shared" si="50"/>
        <v>0</v>
      </c>
      <c r="V351" s="54">
        <f t="shared" si="51"/>
        <v>0.83333333333333337</v>
      </c>
    </row>
    <row r="352" spans="1:22" x14ac:dyDescent="0.2">
      <c r="A352" s="46" t="s">
        <v>190</v>
      </c>
      <c r="B352" s="46" t="s">
        <v>118</v>
      </c>
      <c r="C352" s="46" t="s">
        <v>95</v>
      </c>
      <c r="D352" s="46" t="s">
        <v>178</v>
      </c>
      <c r="E352" s="46">
        <v>2</v>
      </c>
      <c r="F352" s="46" t="s">
        <v>60</v>
      </c>
      <c r="G352" s="46">
        <v>2</v>
      </c>
      <c r="H352" s="47">
        <v>18</v>
      </c>
      <c r="I352" s="47" t="s">
        <v>127</v>
      </c>
      <c r="J352" s="48">
        <v>0</v>
      </c>
      <c r="K352" s="48">
        <v>0</v>
      </c>
      <c r="R352" s="46">
        <f t="shared" si="48"/>
        <v>0</v>
      </c>
      <c r="S352" s="46">
        <f t="shared" si="49"/>
        <v>0</v>
      </c>
      <c r="T352" s="46">
        <f t="shared" si="52"/>
        <v>0</v>
      </c>
      <c r="U352" s="46">
        <f t="shared" si="50"/>
        <v>0</v>
      </c>
      <c r="V352" s="54">
        <f t="shared" si="51"/>
        <v>0.83333333333333337</v>
      </c>
    </row>
    <row r="353" spans="1:22" x14ac:dyDescent="0.2">
      <c r="A353" s="46" t="s">
        <v>190</v>
      </c>
      <c r="B353" s="46" t="s">
        <v>118</v>
      </c>
      <c r="C353" s="46" t="s">
        <v>95</v>
      </c>
      <c r="D353" s="46" t="s">
        <v>178</v>
      </c>
      <c r="E353" s="46">
        <v>1</v>
      </c>
      <c r="F353" s="46" t="s">
        <v>60</v>
      </c>
      <c r="G353" s="46">
        <v>3</v>
      </c>
      <c r="H353" s="47">
        <v>23</v>
      </c>
      <c r="I353" s="47" t="s">
        <v>116</v>
      </c>
      <c r="J353" s="48">
        <v>0</v>
      </c>
      <c r="K353" s="48">
        <v>0</v>
      </c>
      <c r="R353" s="46">
        <f t="shared" si="48"/>
        <v>0</v>
      </c>
      <c r="S353" s="46">
        <f t="shared" si="49"/>
        <v>0</v>
      </c>
      <c r="T353" s="46">
        <f t="shared" si="52"/>
        <v>0</v>
      </c>
      <c r="U353" s="46">
        <f t="shared" si="50"/>
        <v>0</v>
      </c>
      <c r="V353" s="54">
        <f t="shared" si="51"/>
        <v>0.83333333333333337</v>
      </c>
    </row>
    <row r="354" spans="1:22" x14ac:dyDescent="0.2">
      <c r="A354" s="46" t="s">
        <v>190</v>
      </c>
      <c r="B354" s="46" t="s">
        <v>118</v>
      </c>
      <c r="C354" s="46" t="s">
        <v>95</v>
      </c>
      <c r="D354" s="46" t="s">
        <v>178</v>
      </c>
      <c r="E354" s="46">
        <v>2</v>
      </c>
      <c r="F354" s="46" t="s">
        <v>60</v>
      </c>
      <c r="G354" s="46">
        <v>1</v>
      </c>
      <c r="H354" s="47">
        <v>25</v>
      </c>
      <c r="I354" s="47" t="s">
        <v>101</v>
      </c>
      <c r="J354" s="48">
        <v>0</v>
      </c>
      <c r="K354" s="48">
        <v>0</v>
      </c>
      <c r="L354" s="48">
        <v>1</v>
      </c>
      <c r="R354" s="46">
        <f t="shared" si="48"/>
        <v>0</v>
      </c>
      <c r="S354" s="46">
        <f t="shared" si="49"/>
        <v>0</v>
      </c>
      <c r="T354" s="46">
        <f t="shared" si="52"/>
        <v>0</v>
      </c>
      <c r="U354" s="46">
        <f t="shared" si="50"/>
        <v>-5</v>
      </c>
      <c r="V354" s="54">
        <f t="shared" si="51"/>
        <v>0.83333333333333337</v>
      </c>
    </row>
    <row r="355" spans="1:22" x14ac:dyDescent="0.2">
      <c r="A355" s="46" t="s">
        <v>190</v>
      </c>
      <c r="B355" s="46" t="s">
        <v>118</v>
      </c>
      <c r="C355" s="46" t="s">
        <v>95</v>
      </c>
      <c r="D355" s="46" t="s">
        <v>178</v>
      </c>
      <c r="E355" s="46">
        <v>3</v>
      </c>
      <c r="F355" s="46" t="s">
        <v>60</v>
      </c>
      <c r="G355" s="46">
        <v>2</v>
      </c>
      <c r="H355" s="47">
        <v>26</v>
      </c>
      <c r="I355" s="47" t="s">
        <v>127</v>
      </c>
      <c r="J355" s="48">
        <v>0</v>
      </c>
      <c r="K355" s="48">
        <v>0</v>
      </c>
      <c r="R355" s="46">
        <f t="shared" si="48"/>
        <v>0</v>
      </c>
      <c r="S355" s="46">
        <f t="shared" si="49"/>
        <v>0</v>
      </c>
      <c r="T355" s="46">
        <f t="shared" si="52"/>
        <v>0</v>
      </c>
      <c r="U355" s="46">
        <f t="shared" si="50"/>
        <v>0</v>
      </c>
      <c r="V355" s="54">
        <f t="shared" si="51"/>
        <v>0.83333333333333337</v>
      </c>
    </row>
    <row r="356" spans="1:22" x14ac:dyDescent="0.2">
      <c r="A356" s="46" t="s">
        <v>190</v>
      </c>
      <c r="B356" s="46" t="s">
        <v>118</v>
      </c>
      <c r="C356" s="46" t="s">
        <v>95</v>
      </c>
      <c r="D356" s="46" t="s">
        <v>178</v>
      </c>
      <c r="E356" s="46">
        <v>4</v>
      </c>
      <c r="F356" s="46" t="s">
        <v>60</v>
      </c>
      <c r="G356" s="46">
        <v>2</v>
      </c>
      <c r="H356" s="47">
        <v>26</v>
      </c>
      <c r="I356" s="47" t="s">
        <v>127</v>
      </c>
      <c r="J356" s="48">
        <v>0</v>
      </c>
      <c r="K356" s="48">
        <v>0</v>
      </c>
      <c r="R356" s="46">
        <f t="shared" si="48"/>
        <v>0</v>
      </c>
      <c r="S356" s="46">
        <f t="shared" si="49"/>
        <v>0</v>
      </c>
      <c r="T356" s="46">
        <f t="shared" si="52"/>
        <v>0</v>
      </c>
      <c r="U356" s="46">
        <f t="shared" si="50"/>
        <v>0</v>
      </c>
      <c r="V356" s="54">
        <f t="shared" si="51"/>
        <v>0.83333333333333337</v>
      </c>
    </row>
    <row r="357" spans="1:22" x14ac:dyDescent="0.2">
      <c r="A357" s="46" t="s">
        <v>190</v>
      </c>
      <c r="B357" s="46" t="s">
        <v>118</v>
      </c>
      <c r="C357" s="46" t="s">
        <v>95</v>
      </c>
      <c r="D357" s="46" t="s">
        <v>178</v>
      </c>
      <c r="E357" s="46">
        <v>1</v>
      </c>
      <c r="F357" s="46" t="s">
        <v>60</v>
      </c>
      <c r="G357" s="46">
        <v>3</v>
      </c>
      <c r="H357" s="47">
        <v>31</v>
      </c>
      <c r="I357" s="47" t="s">
        <v>116</v>
      </c>
      <c r="J357" s="48">
        <v>0</v>
      </c>
      <c r="K357" s="48">
        <v>0</v>
      </c>
      <c r="R357" s="46">
        <f t="shared" si="48"/>
        <v>0</v>
      </c>
      <c r="S357" s="46">
        <f t="shared" si="49"/>
        <v>0</v>
      </c>
      <c r="T357" s="46">
        <f t="shared" si="52"/>
        <v>0</v>
      </c>
      <c r="U357" s="46">
        <f t="shared" si="50"/>
        <v>0</v>
      </c>
      <c r="V357" s="54">
        <f t="shared" si="51"/>
        <v>0.83333333333333337</v>
      </c>
    </row>
    <row r="358" spans="1:22" x14ac:dyDescent="0.2">
      <c r="A358" s="46" t="s">
        <v>190</v>
      </c>
      <c r="B358" s="46" t="s">
        <v>118</v>
      </c>
      <c r="C358" s="46" t="s">
        <v>95</v>
      </c>
      <c r="D358" s="46" t="s">
        <v>178</v>
      </c>
      <c r="E358" s="46">
        <v>2</v>
      </c>
      <c r="F358" s="46" t="s">
        <v>60</v>
      </c>
      <c r="G358" s="46">
        <v>3</v>
      </c>
      <c r="H358" s="47">
        <v>35</v>
      </c>
      <c r="I358" s="47" t="s">
        <v>116</v>
      </c>
      <c r="J358" s="48">
        <v>0</v>
      </c>
      <c r="K358" s="48">
        <v>0</v>
      </c>
      <c r="M358" s="48">
        <v>1</v>
      </c>
      <c r="R358" s="46">
        <f t="shared" si="48"/>
        <v>0</v>
      </c>
      <c r="S358" s="46">
        <f t="shared" si="49"/>
        <v>0</v>
      </c>
      <c r="T358" s="46">
        <f t="shared" si="52"/>
        <v>0</v>
      </c>
      <c r="U358" s="46">
        <f t="shared" si="50"/>
        <v>20</v>
      </c>
      <c r="V358" s="54">
        <f t="shared" si="51"/>
        <v>0.83333333333333337</v>
      </c>
    </row>
    <row r="359" spans="1:22" x14ac:dyDescent="0.2">
      <c r="A359" s="46" t="s">
        <v>190</v>
      </c>
      <c r="B359" s="46" t="s">
        <v>118</v>
      </c>
      <c r="C359" s="46" t="s">
        <v>95</v>
      </c>
      <c r="D359" s="46" t="s">
        <v>178</v>
      </c>
      <c r="E359" s="46">
        <v>1</v>
      </c>
      <c r="F359" s="46" t="s">
        <v>60</v>
      </c>
      <c r="G359" s="46">
        <v>2</v>
      </c>
      <c r="H359" s="47">
        <v>38</v>
      </c>
      <c r="I359" s="47" t="s">
        <v>127</v>
      </c>
      <c r="J359" s="48">
        <v>0</v>
      </c>
      <c r="K359" s="48">
        <v>0</v>
      </c>
      <c r="R359" s="46">
        <f t="shared" si="48"/>
        <v>0</v>
      </c>
      <c r="S359" s="46">
        <f t="shared" si="49"/>
        <v>0</v>
      </c>
      <c r="T359" s="46">
        <f t="shared" si="52"/>
        <v>0</v>
      </c>
      <c r="U359" s="46">
        <f t="shared" si="50"/>
        <v>0</v>
      </c>
      <c r="V359" s="54">
        <f t="shared" si="51"/>
        <v>0.83333333333333337</v>
      </c>
    </row>
    <row r="360" spans="1:22" x14ac:dyDescent="0.2">
      <c r="A360" s="46" t="s">
        <v>190</v>
      </c>
      <c r="B360" s="46" t="s">
        <v>118</v>
      </c>
      <c r="C360" s="46" t="s">
        <v>95</v>
      </c>
      <c r="D360" s="46" t="s">
        <v>178</v>
      </c>
      <c r="E360" s="46">
        <v>4</v>
      </c>
      <c r="F360" s="46" t="s">
        <v>60</v>
      </c>
      <c r="G360" s="46">
        <v>2</v>
      </c>
      <c r="H360" s="47">
        <v>38</v>
      </c>
      <c r="I360" s="47" t="s">
        <v>127</v>
      </c>
      <c r="J360" s="48">
        <v>0</v>
      </c>
      <c r="K360" s="48">
        <v>0</v>
      </c>
      <c r="R360" s="46">
        <f t="shared" si="48"/>
        <v>0</v>
      </c>
      <c r="S360" s="46">
        <f t="shared" si="49"/>
        <v>0</v>
      </c>
      <c r="T360" s="46">
        <f t="shared" si="52"/>
        <v>0</v>
      </c>
      <c r="U360" s="46">
        <f t="shared" si="50"/>
        <v>0</v>
      </c>
      <c r="V360" s="54">
        <f t="shared" si="51"/>
        <v>0.83333333333333337</v>
      </c>
    </row>
    <row r="361" spans="1:22" x14ac:dyDescent="0.2">
      <c r="A361" s="46" t="s">
        <v>190</v>
      </c>
      <c r="B361" s="46" t="s">
        <v>118</v>
      </c>
      <c r="C361" s="46" t="s">
        <v>95</v>
      </c>
      <c r="D361" s="46" t="s">
        <v>178</v>
      </c>
      <c r="E361" s="46">
        <v>3</v>
      </c>
      <c r="F361" s="46" t="s">
        <v>60</v>
      </c>
      <c r="G361" s="46">
        <v>4</v>
      </c>
      <c r="H361" s="47">
        <v>40</v>
      </c>
      <c r="I361" s="47" t="s">
        <v>102</v>
      </c>
      <c r="J361" s="48">
        <v>0</v>
      </c>
      <c r="K361" s="48">
        <v>1</v>
      </c>
      <c r="N361" s="48">
        <v>1</v>
      </c>
      <c r="R361" s="46">
        <f t="shared" si="48"/>
        <v>0</v>
      </c>
      <c r="S361" s="46">
        <f t="shared" si="49"/>
        <v>0</v>
      </c>
      <c r="T361" s="46">
        <f t="shared" si="52"/>
        <v>0</v>
      </c>
      <c r="U361" s="46">
        <f t="shared" si="50"/>
        <v>-5</v>
      </c>
      <c r="V361" s="54">
        <f t="shared" si="51"/>
        <v>0.83333333333333337</v>
      </c>
    </row>
    <row r="362" spans="1:22" x14ac:dyDescent="0.2">
      <c r="A362" s="46" t="s">
        <v>190</v>
      </c>
      <c r="B362" s="46" t="s">
        <v>118</v>
      </c>
      <c r="C362" s="46" t="s">
        <v>95</v>
      </c>
      <c r="D362" s="46" t="s">
        <v>178</v>
      </c>
      <c r="E362" s="46">
        <v>3</v>
      </c>
      <c r="F362" s="46" t="s">
        <v>60</v>
      </c>
      <c r="G362" s="46">
        <v>1</v>
      </c>
      <c r="H362" s="47">
        <v>45</v>
      </c>
      <c r="I362" s="47" t="s">
        <v>101</v>
      </c>
      <c r="J362" s="48">
        <v>0</v>
      </c>
      <c r="K362" s="48">
        <v>0</v>
      </c>
      <c r="R362" s="46">
        <f t="shared" si="48"/>
        <v>0</v>
      </c>
      <c r="S362" s="46">
        <f t="shared" si="49"/>
        <v>0</v>
      </c>
      <c r="T362" s="46">
        <f t="shared" si="52"/>
        <v>0</v>
      </c>
      <c r="U362" s="46">
        <f t="shared" si="50"/>
        <v>0</v>
      </c>
      <c r="V362" s="54">
        <f t="shared" si="51"/>
        <v>0.83333333333333337</v>
      </c>
    </row>
    <row r="363" spans="1:22" x14ac:dyDescent="0.2">
      <c r="A363" s="46" t="s">
        <v>190</v>
      </c>
      <c r="B363" s="46" t="s">
        <v>118</v>
      </c>
      <c r="C363" s="46" t="s">
        <v>95</v>
      </c>
      <c r="D363" s="46" t="s">
        <v>178</v>
      </c>
      <c r="E363" s="46">
        <v>1</v>
      </c>
      <c r="F363" s="46" t="s">
        <v>60</v>
      </c>
      <c r="G363" s="46">
        <v>4</v>
      </c>
      <c r="H363" s="47">
        <v>48</v>
      </c>
      <c r="I363" s="47" t="s">
        <v>102</v>
      </c>
      <c r="J363" s="48">
        <v>0</v>
      </c>
      <c r="K363" s="48">
        <v>0</v>
      </c>
      <c r="R363" s="46">
        <f t="shared" si="48"/>
        <v>0</v>
      </c>
      <c r="S363" s="46">
        <f t="shared" si="49"/>
        <v>0</v>
      </c>
      <c r="T363" s="46">
        <f t="shared" si="52"/>
        <v>0</v>
      </c>
      <c r="U363" s="46">
        <f t="shared" si="50"/>
        <v>0</v>
      </c>
      <c r="V363" s="54">
        <f t="shared" si="51"/>
        <v>0.83333333333333337</v>
      </c>
    </row>
    <row r="364" spans="1:22" x14ac:dyDescent="0.2">
      <c r="A364" s="46" t="s">
        <v>190</v>
      </c>
      <c r="B364" s="46" t="s">
        <v>118</v>
      </c>
      <c r="C364" s="46" t="s">
        <v>95</v>
      </c>
      <c r="D364" s="46" t="s">
        <v>178</v>
      </c>
      <c r="E364" s="46">
        <v>4</v>
      </c>
      <c r="F364" s="46" t="s">
        <v>60</v>
      </c>
      <c r="G364" s="46">
        <v>1</v>
      </c>
      <c r="H364" s="47">
        <v>49</v>
      </c>
      <c r="I364" s="47" t="s">
        <v>101</v>
      </c>
      <c r="J364" s="48">
        <v>0</v>
      </c>
      <c r="K364" s="48">
        <v>0</v>
      </c>
      <c r="R364" s="46">
        <f t="shared" si="48"/>
        <v>0</v>
      </c>
      <c r="S364" s="46">
        <f t="shared" si="49"/>
        <v>0</v>
      </c>
      <c r="T364" s="46">
        <f t="shared" si="52"/>
        <v>0</v>
      </c>
      <c r="U364" s="46">
        <f t="shared" si="50"/>
        <v>0</v>
      </c>
      <c r="V364" s="54">
        <f t="shared" si="51"/>
        <v>0.83333333333333337</v>
      </c>
    </row>
    <row r="365" spans="1:22" x14ac:dyDescent="0.2">
      <c r="A365" s="46" t="s">
        <v>190</v>
      </c>
      <c r="B365" s="46" t="s">
        <v>118</v>
      </c>
      <c r="C365" s="46" t="s">
        <v>95</v>
      </c>
      <c r="D365" s="46" t="s">
        <v>178</v>
      </c>
      <c r="E365" s="46">
        <v>2</v>
      </c>
      <c r="F365" s="46" t="s">
        <v>62</v>
      </c>
      <c r="G365" s="46">
        <v>2</v>
      </c>
      <c r="H365" s="47" t="s">
        <v>81</v>
      </c>
      <c r="I365" s="47" t="s">
        <v>127</v>
      </c>
      <c r="J365" s="48">
        <v>0</v>
      </c>
      <c r="K365" s="48">
        <v>0</v>
      </c>
      <c r="R365" s="46">
        <f t="shared" si="48"/>
        <v>0</v>
      </c>
      <c r="S365" s="46">
        <f t="shared" si="49"/>
        <v>0</v>
      </c>
      <c r="T365" s="46">
        <f t="shared" si="52"/>
        <v>0</v>
      </c>
      <c r="U365" s="46">
        <f t="shared" si="50"/>
        <v>0</v>
      </c>
      <c r="V365" s="54">
        <f t="shared" si="51"/>
        <v>0.83333333333333337</v>
      </c>
    </row>
    <row r="366" spans="1:22" x14ac:dyDescent="0.2">
      <c r="A366" s="46" t="s">
        <v>190</v>
      </c>
      <c r="B366" s="46" t="s">
        <v>118</v>
      </c>
      <c r="C366" s="46" t="s">
        <v>95</v>
      </c>
      <c r="D366" s="46" t="s">
        <v>178</v>
      </c>
      <c r="E366" s="46">
        <v>2</v>
      </c>
      <c r="F366" s="46" t="s">
        <v>62</v>
      </c>
      <c r="G366" s="46">
        <v>3</v>
      </c>
      <c r="H366" s="47" t="s">
        <v>84</v>
      </c>
      <c r="I366" s="47" t="s">
        <v>116</v>
      </c>
      <c r="J366" s="48">
        <v>0</v>
      </c>
      <c r="K366" s="48">
        <v>0</v>
      </c>
      <c r="L366" s="48">
        <v>1</v>
      </c>
      <c r="R366" s="46">
        <f t="shared" si="48"/>
        <v>0</v>
      </c>
      <c r="S366" s="46">
        <f t="shared" si="49"/>
        <v>0</v>
      </c>
      <c r="T366" s="46">
        <f t="shared" si="52"/>
        <v>0</v>
      </c>
      <c r="U366" s="46">
        <f t="shared" si="50"/>
        <v>-5</v>
      </c>
      <c r="V366" s="54">
        <f t="shared" si="51"/>
        <v>0.83333333333333337</v>
      </c>
    </row>
    <row r="367" spans="1:22" x14ac:dyDescent="0.2">
      <c r="A367" s="46" t="s">
        <v>190</v>
      </c>
      <c r="B367" s="46" t="s">
        <v>118</v>
      </c>
      <c r="C367" s="46" t="s">
        <v>95</v>
      </c>
      <c r="D367" s="46" t="s">
        <v>178</v>
      </c>
      <c r="E367" s="46">
        <v>1</v>
      </c>
      <c r="F367" s="46" t="s">
        <v>62</v>
      </c>
      <c r="G367" s="46">
        <v>3</v>
      </c>
      <c r="H367" s="47" t="s">
        <v>85</v>
      </c>
      <c r="I367" s="47" t="s">
        <v>116</v>
      </c>
      <c r="J367" s="48">
        <v>0</v>
      </c>
      <c r="K367" s="48">
        <v>0</v>
      </c>
      <c r="R367" s="46">
        <f t="shared" si="48"/>
        <v>0</v>
      </c>
      <c r="S367" s="46">
        <f t="shared" si="49"/>
        <v>0</v>
      </c>
      <c r="T367" s="46">
        <f t="shared" si="52"/>
        <v>0</v>
      </c>
      <c r="U367" s="46">
        <f t="shared" si="50"/>
        <v>0</v>
      </c>
      <c r="V367" s="54">
        <f t="shared" si="51"/>
        <v>0.83333333333333337</v>
      </c>
    </row>
    <row r="368" spans="1:22" x14ac:dyDescent="0.2">
      <c r="A368" s="46" t="s">
        <v>190</v>
      </c>
      <c r="B368" s="46" t="s">
        <v>118</v>
      </c>
      <c r="C368" s="46" t="s">
        <v>95</v>
      </c>
      <c r="D368" s="46" t="s">
        <v>178</v>
      </c>
      <c r="E368" s="46">
        <v>1</v>
      </c>
      <c r="F368" s="46" t="s">
        <v>62</v>
      </c>
      <c r="G368" s="46">
        <v>3</v>
      </c>
      <c r="H368" s="47" t="s">
        <v>87</v>
      </c>
      <c r="I368" s="47" t="s">
        <v>116</v>
      </c>
      <c r="J368" s="48">
        <v>0</v>
      </c>
      <c r="K368" s="48">
        <v>0</v>
      </c>
      <c r="R368" s="46">
        <f t="shared" si="48"/>
        <v>0</v>
      </c>
      <c r="S368" s="46">
        <f t="shared" si="49"/>
        <v>0</v>
      </c>
      <c r="T368" s="46">
        <f t="shared" si="52"/>
        <v>0</v>
      </c>
      <c r="U368" s="46">
        <f t="shared" si="50"/>
        <v>0</v>
      </c>
      <c r="V368" s="54">
        <f t="shared" si="51"/>
        <v>0.83333333333333337</v>
      </c>
    </row>
    <row r="369" spans="1:22" x14ac:dyDescent="0.2">
      <c r="A369" s="46" t="s">
        <v>190</v>
      </c>
      <c r="B369" s="46" t="s">
        <v>118</v>
      </c>
      <c r="C369" s="46" t="s">
        <v>95</v>
      </c>
      <c r="D369" s="46" t="s">
        <v>178</v>
      </c>
      <c r="E369" s="46">
        <v>2</v>
      </c>
      <c r="F369" s="46" t="s">
        <v>62</v>
      </c>
      <c r="G369" s="46">
        <v>3</v>
      </c>
      <c r="H369" s="47" t="s">
        <v>87</v>
      </c>
      <c r="I369" s="47" t="s">
        <v>116</v>
      </c>
      <c r="J369" s="48">
        <v>0</v>
      </c>
      <c r="K369" s="48">
        <v>0</v>
      </c>
      <c r="R369" s="46">
        <f t="shared" si="48"/>
        <v>0</v>
      </c>
      <c r="S369" s="46">
        <f t="shared" si="49"/>
        <v>0</v>
      </c>
      <c r="T369" s="46">
        <f t="shared" si="52"/>
        <v>0</v>
      </c>
      <c r="U369" s="46">
        <f t="shared" si="50"/>
        <v>0</v>
      </c>
      <c r="V369" s="54">
        <f t="shared" si="51"/>
        <v>0.83333333333333337</v>
      </c>
    </row>
    <row r="370" spans="1:22" x14ac:dyDescent="0.2">
      <c r="A370" s="46" t="s">
        <v>190</v>
      </c>
      <c r="B370" s="46" t="s">
        <v>118</v>
      </c>
      <c r="C370" s="46" t="s">
        <v>95</v>
      </c>
      <c r="D370" s="46" t="s">
        <v>178</v>
      </c>
      <c r="E370" s="46">
        <v>1</v>
      </c>
      <c r="F370" s="46" t="s">
        <v>62</v>
      </c>
      <c r="G370" s="46">
        <v>3</v>
      </c>
      <c r="H370" s="47" t="s">
        <v>64</v>
      </c>
      <c r="I370" s="47" t="s">
        <v>116</v>
      </c>
      <c r="J370" s="48">
        <v>0</v>
      </c>
      <c r="K370" s="48">
        <v>0</v>
      </c>
      <c r="R370" s="46">
        <f t="shared" si="48"/>
        <v>0</v>
      </c>
      <c r="S370" s="46">
        <f t="shared" si="49"/>
        <v>0</v>
      </c>
      <c r="T370" s="46">
        <f t="shared" si="52"/>
        <v>0</v>
      </c>
      <c r="U370" s="46">
        <f t="shared" si="50"/>
        <v>0</v>
      </c>
      <c r="V370" s="54">
        <f t="shared" si="51"/>
        <v>0.83333333333333337</v>
      </c>
    </row>
    <row r="371" spans="1:22" x14ac:dyDescent="0.2">
      <c r="A371" s="46" t="s">
        <v>190</v>
      </c>
      <c r="B371" s="46" t="s">
        <v>118</v>
      </c>
      <c r="C371" s="46" t="s">
        <v>95</v>
      </c>
      <c r="D371" s="46" t="s">
        <v>178</v>
      </c>
      <c r="E371" s="46">
        <v>2</v>
      </c>
      <c r="F371" s="46" t="s">
        <v>62</v>
      </c>
      <c r="G371" s="46">
        <v>3</v>
      </c>
      <c r="H371" s="47" t="s">
        <v>64</v>
      </c>
      <c r="I371" s="47" t="s">
        <v>116</v>
      </c>
      <c r="J371" s="48">
        <v>0</v>
      </c>
      <c r="K371" s="48">
        <v>0</v>
      </c>
      <c r="R371" s="46">
        <f t="shared" si="48"/>
        <v>0</v>
      </c>
      <c r="S371" s="46">
        <f t="shared" si="49"/>
        <v>0</v>
      </c>
      <c r="T371" s="46">
        <f t="shared" si="52"/>
        <v>0</v>
      </c>
      <c r="U371" s="46">
        <f t="shared" si="50"/>
        <v>0</v>
      </c>
      <c r="V371" s="54">
        <f t="shared" si="51"/>
        <v>0.83333333333333337</v>
      </c>
    </row>
    <row r="372" spans="1:22" x14ac:dyDescent="0.2">
      <c r="A372" s="46" t="s">
        <v>190</v>
      </c>
      <c r="B372" s="46" t="s">
        <v>118</v>
      </c>
      <c r="C372" s="46" t="s">
        <v>95</v>
      </c>
      <c r="D372" s="46" t="s">
        <v>178</v>
      </c>
      <c r="E372" s="46">
        <v>2</v>
      </c>
      <c r="F372" s="46" t="s">
        <v>62</v>
      </c>
      <c r="G372" s="46">
        <v>2</v>
      </c>
      <c r="H372" s="47" t="s">
        <v>83</v>
      </c>
      <c r="I372" s="47" t="s">
        <v>127</v>
      </c>
      <c r="J372" s="48">
        <v>0</v>
      </c>
      <c r="K372" s="48">
        <v>0</v>
      </c>
      <c r="R372" s="46">
        <f t="shared" si="48"/>
        <v>0</v>
      </c>
      <c r="S372" s="46">
        <f t="shared" si="49"/>
        <v>0</v>
      </c>
      <c r="T372" s="46">
        <f t="shared" si="52"/>
        <v>0</v>
      </c>
      <c r="U372" s="46">
        <f t="shared" si="50"/>
        <v>0</v>
      </c>
      <c r="V372" s="54">
        <f t="shared" si="51"/>
        <v>0.83333333333333337</v>
      </c>
    </row>
    <row r="373" spans="1:22" x14ac:dyDescent="0.2">
      <c r="A373" s="46" t="s">
        <v>190</v>
      </c>
      <c r="B373" s="46" t="s">
        <v>118</v>
      </c>
      <c r="C373" s="46" t="s">
        <v>95</v>
      </c>
      <c r="D373" s="46" t="s">
        <v>178</v>
      </c>
      <c r="E373" s="46">
        <v>4</v>
      </c>
      <c r="F373" s="46" t="s">
        <v>63</v>
      </c>
      <c r="G373" s="46">
        <v>4</v>
      </c>
      <c r="H373" s="47" t="s">
        <v>146</v>
      </c>
      <c r="I373" s="47" t="s">
        <v>102</v>
      </c>
      <c r="J373" s="48">
        <v>0</v>
      </c>
      <c r="K373" s="48">
        <v>0</v>
      </c>
      <c r="R373" s="46">
        <f t="shared" si="48"/>
        <v>0</v>
      </c>
      <c r="S373" s="46">
        <f t="shared" si="49"/>
        <v>0</v>
      </c>
      <c r="T373" s="46">
        <f t="shared" si="52"/>
        <v>0</v>
      </c>
      <c r="U373" s="46">
        <f t="shared" si="50"/>
        <v>0</v>
      </c>
      <c r="V373" s="54">
        <f t="shared" si="51"/>
        <v>0.83333333333333337</v>
      </c>
    </row>
    <row r="374" spans="1:22" x14ac:dyDescent="0.2">
      <c r="A374" s="46" t="s">
        <v>190</v>
      </c>
      <c r="B374" s="46" t="s">
        <v>118</v>
      </c>
      <c r="C374" s="46" t="s">
        <v>95</v>
      </c>
      <c r="D374" s="46" t="s">
        <v>178</v>
      </c>
      <c r="E374" s="46">
        <v>4</v>
      </c>
      <c r="F374" s="46" t="s">
        <v>63</v>
      </c>
      <c r="G374" s="46">
        <v>4</v>
      </c>
      <c r="H374" s="47" t="s">
        <v>149</v>
      </c>
      <c r="I374" s="47" t="s">
        <v>102</v>
      </c>
      <c r="J374" s="48">
        <v>0</v>
      </c>
      <c r="K374" s="48">
        <v>0</v>
      </c>
      <c r="R374" s="46">
        <f t="shared" si="48"/>
        <v>0</v>
      </c>
      <c r="S374" s="46">
        <f t="shared" si="49"/>
        <v>0</v>
      </c>
      <c r="T374" s="46">
        <f t="shared" ref="T374:T405" si="53">quizscore(J374,K374)</f>
        <v>0</v>
      </c>
      <c r="U374" s="46">
        <f t="shared" si="50"/>
        <v>0</v>
      </c>
      <c r="V374" s="54">
        <f t="shared" si="51"/>
        <v>0.83333333333333337</v>
      </c>
    </row>
    <row r="375" spans="1:22" x14ac:dyDescent="0.2">
      <c r="A375" s="46" t="s">
        <v>190</v>
      </c>
      <c r="B375" s="46" t="s">
        <v>118</v>
      </c>
      <c r="C375" s="46" t="s">
        <v>95</v>
      </c>
      <c r="D375" s="46" t="s">
        <v>178</v>
      </c>
      <c r="E375" s="46">
        <v>3</v>
      </c>
      <c r="F375" s="46" t="s">
        <v>63</v>
      </c>
      <c r="G375" s="46">
        <v>4</v>
      </c>
      <c r="H375" s="47" t="s">
        <v>152</v>
      </c>
      <c r="I375" s="47" t="s">
        <v>102</v>
      </c>
      <c r="J375" s="48">
        <v>0</v>
      </c>
      <c r="K375" s="48">
        <v>0</v>
      </c>
      <c r="R375" s="46">
        <f t="shared" si="48"/>
        <v>0</v>
      </c>
      <c r="S375" s="46">
        <f t="shared" si="49"/>
        <v>0</v>
      </c>
      <c r="T375" s="46">
        <f t="shared" si="53"/>
        <v>0</v>
      </c>
      <c r="U375" s="46">
        <f t="shared" si="50"/>
        <v>0</v>
      </c>
      <c r="V375" s="54">
        <f t="shared" si="51"/>
        <v>0.83333333333333337</v>
      </c>
    </row>
    <row r="376" spans="1:22" x14ac:dyDescent="0.2">
      <c r="A376" s="46" t="s">
        <v>190</v>
      </c>
      <c r="B376" s="46" t="s">
        <v>118</v>
      </c>
      <c r="C376" s="46" t="s">
        <v>95</v>
      </c>
      <c r="D376" s="46" t="s">
        <v>178</v>
      </c>
      <c r="E376" s="46">
        <v>4</v>
      </c>
      <c r="F376" s="46" t="s">
        <v>63</v>
      </c>
      <c r="G376" s="46">
        <v>4</v>
      </c>
      <c r="H376" s="47" t="s">
        <v>152</v>
      </c>
      <c r="I376" s="47" t="s">
        <v>102</v>
      </c>
      <c r="J376" s="48">
        <v>0</v>
      </c>
      <c r="K376" s="48">
        <v>0</v>
      </c>
      <c r="R376" s="46">
        <f t="shared" si="48"/>
        <v>0</v>
      </c>
      <c r="S376" s="46">
        <f t="shared" si="49"/>
        <v>0</v>
      </c>
      <c r="T376" s="46">
        <f t="shared" si="53"/>
        <v>0</v>
      </c>
      <c r="U376" s="46">
        <f t="shared" si="50"/>
        <v>0</v>
      </c>
      <c r="V376" s="54">
        <f t="shared" si="51"/>
        <v>0.83333333333333337</v>
      </c>
    </row>
    <row r="377" spans="1:22" x14ac:dyDescent="0.2">
      <c r="A377" s="46" t="s">
        <v>190</v>
      </c>
      <c r="B377" s="46" t="s">
        <v>118</v>
      </c>
      <c r="C377" s="46" t="s">
        <v>95</v>
      </c>
      <c r="D377" s="46" t="s">
        <v>178</v>
      </c>
      <c r="E377" s="46">
        <v>2</v>
      </c>
      <c r="F377" s="46" t="s">
        <v>60</v>
      </c>
      <c r="G377" s="46">
        <v>4</v>
      </c>
      <c r="H377" s="47">
        <v>44</v>
      </c>
      <c r="I377" s="47" t="s">
        <v>102</v>
      </c>
      <c r="J377" s="48">
        <v>1</v>
      </c>
      <c r="K377" s="48">
        <v>1</v>
      </c>
      <c r="R377" s="46">
        <f t="shared" si="48"/>
        <v>0</v>
      </c>
      <c r="S377" s="46">
        <f t="shared" si="49"/>
        <v>0</v>
      </c>
      <c r="T377" s="46">
        <f t="shared" si="53"/>
        <v>20</v>
      </c>
      <c r="U377" s="46">
        <f t="shared" si="50"/>
        <v>20</v>
      </c>
      <c r="V377" s="54">
        <f t="shared" si="51"/>
        <v>0.83333333333333337</v>
      </c>
    </row>
    <row r="378" spans="1:22" x14ac:dyDescent="0.2">
      <c r="A378" s="46" t="s">
        <v>190</v>
      </c>
      <c r="B378" s="46" t="s">
        <v>118</v>
      </c>
      <c r="C378" s="46" t="s">
        <v>95</v>
      </c>
      <c r="D378" s="46" t="s">
        <v>178</v>
      </c>
      <c r="E378" s="46">
        <v>1</v>
      </c>
      <c r="F378" s="46" t="s">
        <v>62</v>
      </c>
      <c r="G378" s="46">
        <v>2</v>
      </c>
      <c r="H378" s="47" t="s">
        <v>79</v>
      </c>
      <c r="I378" s="47" t="s">
        <v>127</v>
      </c>
      <c r="J378" s="48">
        <v>1</v>
      </c>
      <c r="K378" s="48">
        <v>0</v>
      </c>
      <c r="P378" s="48">
        <v>1</v>
      </c>
      <c r="R378" s="46">
        <f t="shared" si="48"/>
        <v>0</v>
      </c>
      <c r="S378" s="46">
        <f t="shared" si="49"/>
        <v>0</v>
      </c>
      <c r="T378" s="46">
        <f t="shared" si="53"/>
        <v>20</v>
      </c>
      <c r="U378" s="46">
        <f t="shared" si="50"/>
        <v>30</v>
      </c>
      <c r="V378" s="54">
        <f t="shared" si="51"/>
        <v>0.83333333333333337</v>
      </c>
    </row>
    <row r="379" spans="1:22" x14ac:dyDescent="0.2">
      <c r="A379" s="46" t="s">
        <v>190</v>
      </c>
      <c r="B379" s="46" t="s">
        <v>118</v>
      </c>
      <c r="C379" s="46" t="s">
        <v>95</v>
      </c>
      <c r="D379" s="46" t="s">
        <v>178</v>
      </c>
      <c r="E379" s="46">
        <v>3</v>
      </c>
      <c r="F379" s="46" t="s">
        <v>63</v>
      </c>
      <c r="G379" s="46">
        <v>4</v>
      </c>
      <c r="H379" s="47" t="s">
        <v>146</v>
      </c>
      <c r="I379" s="47" t="s">
        <v>102</v>
      </c>
      <c r="J379" s="48">
        <v>1</v>
      </c>
      <c r="K379" s="48">
        <v>1</v>
      </c>
      <c r="O379" s="48">
        <v>1</v>
      </c>
      <c r="R379" s="46">
        <f t="shared" si="48"/>
        <v>0</v>
      </c>
      <c r="S379" s="46">
        <f t="shared" si="49"/>
        <v>0</v>
      </c>
      <c r="T379" s="46">
        <f t="shared" si="53"/>
        <v>20</v>
      </c>
      <c r="U379" s="46">
        <f t="shared" si="50"/>
        <v>30</v>
      </c>
      <c r="V379" s="54">
        <f t="shared" si="51"/>
        <v>0.83333333333333337</v>
      </c>
    </row>
    <row r="380" spans="1:22" x14ac:dyDescent="0.2">
      <c r="A380" s="46" t="s">
        <v>190</v>
      </c>
      <c r="B380" s="46" t="s">
        <v>118</v>
      </c>
      <c r="C380" s="46" t="s">
        <v>95</v>
      </c>
      <c r="D380" s="46" t="s">
        <v>178</v>
      </c>
      <c r="E380" s="46">
        <v>3</v>
      </c>
      <c r="F380" s="46" t="s">
        <v>63</v>
      </c>
      <c r="G380" s="46">
        <v>4</v>
      </c>
      <c r="H380" s="47" t="s">
        <v>149</v>
      </c>
      <c r="I380" s="47" t="s">
        <v>102</v>
      </c>
      <c r="J380" s="48">
        <v>1</v>
      </c>
      <c r="K380" s="48">
        <v>1</v>
      </c>
      <c r="P380" s="48">
        <v>1</v>
      </c>
      <c r="R380" s="46">
        <f t="shared" si="48"/>
        <v>0</v>
      </c>
      <c r="S380" s="46">
        <f t="shared" si="49"/>
        <v>0</v>
      </c>
      <c r="T380" s="46">
        <f t="shared" si="53"/>
        <v>20</v>
      </c>
      <c r="U380" s="46">
        <f t="shared" si="50"/>
        <v>30</v>
      </c>
      <c r="V380" s="54">
        <f t="shared" si="51"/>
        <v>0.83333333333333337</v>
      </c>
    </row>
    <row r="381" spans="1:22" x14ac:dyDescent="0.2">
      <c r="A381" s="46" t="s">
        <v>190</v>
      </c>
      <c r="B381" s="46" t="s">
        <v>118</v>
      </c>
      <c r="C381" s="46" t="s">
        <v>95</v>
      </c>
      <c r="D381" s="46" t="s">
        <v>178</v>
      </c>
      <c r="E381" s="46">
        <v>3</v>
      </c>
      <c r="F381" s="46" t="s">
        <v>63</v>
      </c>
      <c r="G381" s="46">
        <v>4</v>
      </c>
      <c r="H381" s="47" t="s">
        <v>172</v>
      </c>
      <c r="I381" s="47" t="s">
        <v>102</v>
      </c>
      <c r="J381" s="48">
        <v>1</v>
      </c>
      <c r="K381" s="48">
        <v>1</v>
      </c>
      <c r="R381" s="46">
        <f t="shared" si="48"/>
        <v>0</v>
      </c>
      <c r="S381" s="46">
        <f t="shared" si="49"/>
        <v>0</v>
      </c>
      <c r="T381" s="46">
        <f t="shared" si="53"/>
        <v>20</v>
      </c>
      <c r="U381" s="46">
        <f t="shared" si="50"/>
        <v>20</v>
      </c>
      <c r="V381" s="54">
        <f t="shared" si="51"/>
        <v>0.83333333333333337</v>
      </c>
    </row>
    <row r="382" spans="1:22" x14ac:dyDescent="0.2">
      <c r="A382" s="46" t="s">
        <v>190</v>
      </c>
      <c r="B382" s="46" t="s">
        <v>118</v>
      </c>
      <c r="C382" s="46" t="s">
        <v>95</v>
      </c>
      <c r="D382" s="46" t="s">
        <v>178</v>
      </c>
      <c r="E382" s="46">
        <v>5</v>
      </c>
      <c r="F382" s="46" t="s">
        <v>60</v>
      </c>
      <c r="G382" s="46">
        <v>2</v>
      </c>
      <c r="H382" s="47">
        <v>6</v>
      </c>
      <c r="I382" s="47" t="s">
        <v>127</v>
      </c>
      <c r="J382" s="48">
        <v>0</v>
      </c>
      <c r="K382" s="48">
        <v>0</v>
      </c>
      <c r="R382" s="46">
        <f t="shared" si="48"/>
        <v>0</v>
      </c>
      <c r="S382" s="46">
        <f t="shared" si="49"/>
        <v>0</v>
      </c>
      <c r="T382" s="46">
        <f t="shared" si="53"/>
        <v>0</v>
      </c>
      <c r="U382" s="46">
        <f t="shared" si="50"/>
        <v>0</v>
      </c>
      <c r="V382" s="54">
        <f t="shared" si="51"/>
        <v>0.83333333333333337</v>
      </c>
    </row>
    <row r="383" spans="1:22" x14ac:dyDescent="0.2">
      <c r="A383" s="46" t="s">
        <v>190</v>
      </c>
      <c r="B383" s="46" t="s">
        <v>118</v>
      </c>
      <c r="C383" s="46" t="s">
        <v>95</v>
      </c>
      <c r="D383" s="46" t="s">
        <v>178</v>
      </c>
      <c r="E383" s="46">
        <v>5</v>
      </c>
      <c r="F383" s="46" t="s">
        <v>60</v>
      </c>
      <c r="G383" s="46">
        <v>1</v>
      </c>
      <c r="H383" s="47">
        <v>13</v>
      </c>
      <c r="I383" s="47" t="s">
        <v>101</v>
      </c>
      <c r="J383" s="48">
        <v>0</v>
      </c>
      <c r="K383" s="48">
        <v>0</v>
      </c>
      <c r="R383" s="46">
        <f t="shared" si="48"/>
        <v>0</v>
      </c>
      <c r="S383" s="46">
        <f t="shared" si="49"/>
        <v>0</v>
      </c>
      <c r="T383" s="46">
        <f t="shared" si="53"/>
        <v>0</v>
      </c>
      <c r="U383" s="46">
        <f t="shared" si="50"/>
        <v>0</v>
      </c>
      <c r="V383" s="54">
        <f t="shared" si="51"/>
        <v>0.83333333333333337</v>
      </c>
    </row>
    <row r="384" spans="1:22" x14ac:dyDescent="0.2">
      <c r="A384" s="46" t="s">
        <v>190</v>
      </c>
      <c r="B384" s="46" t="s">
        <v>118</v>
      </c>
      <c r="C384" s="46" t="s">
        <v>95</v>
      </c>
      <c r="D384" s="46" t="s">
        <v>178</v>
      </c>
      <c r="E384" s="46">
        <v>5</v>
      </c>
      <c r="F384" s="46" t="s">
        <v>60</v>
      </c>
      <c r="G384" s="46">
        <v>4</v>
      </c>
      <c r="H384" s="47">
        <v>24</v>
      </c>
      <c r="I384" s="47" t="s">
        <v>102</v>
      </c>
      <c r="J384" s="48">
        <v>0</v>
      </c>
      <c r="K384" s="48">
        <v>0</v>
      </c>
      <c r="R384" s="46">
        <f t="shared" si="48"/>
        <v>0</v>
      </c>
      <c r="S384" s="46">
        <f t="shared" si="49"/>
        <v>0</v>
      </c>
      <c r="T384" s="46">
        <f t="shared" si="53"/>
        <v>0</v>
      </c>
      <c r="U384" s="46">
        <f t="shared" si="50"/>
        <v>0</v>
      </c>
      <c r="V384" s="54">
        <f t="shared" si="51"/>
        <v>0.83333333333333337</v>
      </c>
    </row>
    <row r="385" spans="1:22" x14ac:dyDescent="0.2">
      <c r="A385" s="46" t="s">
        <v>190</v>
      </c>
      <c r="B385" s="46" t="s">
        <v>118</v>
      </c>
      <c r="C385" s="46" t="s">
        <v>95</v>
      </c>
      <c r="D385" s="46" t="s">
        <v>178</v>
      </c>
      <c r="E385" s="46">
        <v>5</v>
      </c>
      <c r="F385" s="46" t="s">
        <v>60</v>
      </c>
      <c r="G385" s="46">
        <v>2</v>
      </c>
      <c r="H385" s="47">
        <v>26</v>
      </c>
      <c r="I385" s="47" t="s">
        <v>127</v>
      </c>
      <c r="J385" s="48">
        <v>0</v>
      </c>
      <c r="K385" s="48">
        <v>0</v>
      </c>
      <c r="R385" s="46">
        <f t="shared" si="48"/>
        <v>0</v>
      </c>
      <c r="S385" s="46">
        <f t="shared" si="49"/>
        <v>0</v>
      </c>
      <c r="T385" s="46">
        <f t="shared" si="53"/>
        <v>0</v>
      </c>
      <c r="U385" s="46">
        <f t="shared" si="50"/>
        <v>0</v>
      </c>
      <c r="V385" s="54">
        <f t="shared" si="51"/>
        <v>0.83333333333333337</v>
      </c>
    </row>
    <row r="386" spans="1:22" x14ac:dyDescent="0.2">
      <c r="A386" s="46" t="s">
        <v>190</v>
      </c>
      <c r="B386" s="46" t="s">
        <v>118</v>
      </c>
      <c r="C386" s="46" t="s">
        <v>95</v>
      </c>
      <c r="D386" s="46" t="s">
        <v>178</v>
      </c>
      <c r="E386" s="46">
        <v>5</v>
      </c>
      <c r="F386" s="46" t="s">
        <v>60</v>
      </c>
      <c r="G386" s="46">
        <v>1</v>
      </c>
      <c r="H386" s="47">
        <v>37</v>
      </c>
      <c r="I386" s="47" t="s">
        <v>101</v>
      </c>
      <c r="J386" s="48">
        <v>0</v>
      </c>
      <c r="K386" s="48">
        <v>1</v>
      </c>
      <c r="R386" s="46">
        <f t="shared" ref="R386:R449" si="54">IF(J386=4,1,0)</f>
        <v>0</v>
      </c>
      <c r="S386" s="46">
        <f t="shared" ref="S386:S449" si="55">IF(K386=3,1,0)</f>
        <v>0</v>
      </c>
      <c r="T386" s="46">
        <f t="shared" si="53"/>
        <v>0</v>
      </c>
      <c r="U386" s="46">
        <f t="shared" ref="U386:U449" si="56">T386+M386*(20) + (SUM(O386:Q386)*(10)) - L386*(5) - N386*(5)</f>
        <v>0</v>
      </c>
      <c r="V386" s="54">
        <f t="shared" ref="V386:V449" si="57">AVERAGEIFS(U:U,A:A,A386,F:F,"Pre")</f>
        <v>0.83333333333333337</v>
      </c>
    </row>
    <row r="387" spans="1:22" x14ac:dyDescent="0.2">
      <c r="A387" s="46" t="s">
        <v>190</v>
      </c>
      <c r="B387" s="46" t="s">
        <v>118</v>
      </c>
      <c r="C387" s="46" t="s">
        <v>95</v>
      </c>
      <c r="D387" s="46" t="s">
        <v>178</v>
      </c>
      <c r="E387" s="46">
        <v>5</v>
      </c>
      <c r="F387" s="46" t="s">
        <v>60</v>
      </c>
      <c r="G387" s="46">
        <v>3</v>
      </c>
      <c r="H387" s="47">
        <v>47</v>
      </c>
      <c r="I387" s="47" t="s">
        <v>159</v>
      </c>
      <c r="J387" s="48">
        <v>0</v>
      </c>
      <c r="K387" s="48">
        <v>0</v>
      </c>
      <c r="R387" s="46">
        <f t="shared" si="54"/>
        <v>0</v>
      </c>
      <c r="S387" s="46">
        <f t="shared" si="55"/>
        <v>0</v>
      </c>
      <c r="T387" s="46">
        <f t="shared" si="53"/>
        <v>0</v>
      </c>
      <c r="U387" s="46">
        <f t="shared" si="56"/>
        <v>0</v>
      </c>
      <c r="V387" s="54">
        <f t="shared" si="57"/>
        <v>0.83333333333333337</v>
      </c>
    </row>
    <row r="388" spans="1:22" x14ac:dyDescent="0.2">
      <c r="A388" s="46" t="s">
        <v>190</v>
      </c>
      <c r="B388" s="46" t="s">
        <v>118</v>
      </c>
      <c r="C388" s="46" t="str">
        <f>VLOOKUP(B388,$B$2:$C$3219,2,FALSE)</f>
        <v>Tacoma</v>
      </c>
      <c r="D388" s="46" t="s">
        <v>178</v>
      </c>
      <c r="E388" s="46">
        <v>5</v>
      </c>
      <c r="F388" s="46" t="s">
        <v>63</v>
      </c>
      <c r="G388" s="46">
        <v>4</v>
      </c>
      <c r="H388" s="47" t="s">
        <v>146</v>
      </c>
      <c r="I388" s="47" t="s">
        <v>102</v>
      </c>
      <c r="J388" s="48">
        <v>1</v>
      </c>
      <c r="K388" s="48">
        <v>0</v>
      </c>
      <c r="R388" s="46">
        <f t="shared" si="54"/>
        <v>0</v>
      </c>
      <c r="S388" s="46">
        <f t="shared" si="55"/>
        <v>0</v>
      </c>
      <c r="T388" s="46">
        <f t="shared" si="53"/>
        <v>20</v>
      </c>
      <c r="U388" s="46">
        <f t="shared" si="56"/>
        <v>20</v>
      </c>
      <c r="V388" s="54">
        <f t="shared" si="57"/>
        <v>0.83333333333333337</v>
      </c>
    </row>
    <row r="389" spans="1:22" x14ac:dyDescent="0.2">
      <c r="A389" s="46" t="s">
        <v>190</v>
      </c>
      <c r="B389" s="46" t="s">
        <v>118</v>
      </c>
      <c r="C389" s="46" t="str">
        <f>VLOOKUP(B389,$B$2:$C$3219,2,FALSE)</f>
        <v>Tacoma</v>
      </c>
      <c r="D389" s="46" t="s">
        <v>178</v>
      </c>
      <c r="E389" s="46">
        <v>5</v>
      </c>
      <c r="F389" s="46" t="s">
        <v>63</v>
      </c>
      <c r="G389" s="46">
        <v>4</v>
      </c>
      <c r="H389" s="47" t="s">
        <v>149</v>
      </c>
      <c r="I389" s="47" t="s">
        <v>102</v>
      </c>
      <c r="J389" s="48">
        <v>0</v>
      </c>
      <c r="K389" s="48">
        <v>1</v>
      </c>
      <c r="R389" s="46">
        <f t="shared" si="54"/>
        <v>0</v>
      </c>
      <c r="S389" s="46">
        <f t="shared" si="55"/>
        <v>0</v>
      </c>
      <c r="T389" s="46">
        <f t="shared" si="53"/>
        <v>0</v>
      </c>
      <c r="U389" s="46">
        <f t="shared" si="56"/>
        <v>0</v>
      </c>
      <c r="V389" s="54">
        <f t="shared" si="57"/>
        <v>0.83333333333333337</v>
      </c>
    </row>
    <row r="390" spans="1:22" x14ac:dyDescent="0.2">
      <c r="A390" s="46" t="s">
        <v>190</v>
      </c>
      <c r="B390" s="46" t="s">
        <v>118</v>
      </c>
      <c r="C390" s="46" t="str">
        <f>VLOOKUP(B390,$B$2:$C$3219,2,FALSE)</f>
        <v>Tacoma</v>
      </c>
      <c r="D390" s="46" t="s">
        <v>178</v>
      </c>
      <c r="E390" s="46">
        <v>5</v>
      </c>
      <c r="F390" s="46" t="s">
        <v>63</v>
      </c>
      <c r="G390" s="46">
        <v>4</v>
      </c>
      <c r="H390" s="47" t="s">
        <v>152</v>
      </c>
      <c r="I390" s="47" t="s">
        <v>102</v>
      </c>
      <c r="J390" s="48">
        <v>1</v>
      </c>
      <c r="K390" s="48">
        <v>0</v>
      </c>
      <c r="R390" s="46">
        <f t="shared" si="54"/>
        <v>0</v>
      </c>
      <c r="S390" s="46">
        <f t="shared" si="55"/>
        <v>0</v>
      </c>
      <c r="T390" s="46">
        <f t="shared" si="53"/>
        <v>20</v>
      </c>
      <c r="U390" s="46">
        <f t="shared" si="56"/>
        <v>20</v>
      </c>
      <c r="V390" s="54">
        <f t="shared" si="57"/>
        <v>0.83333333333333337</v>
      </c>
    </row>
    <row r="391" spans="1:22" x14ac:dyDescent="0.2">
      <c r="A391" s="46" t="s">
        <v>182</v>
      </c>
      <c r="B391" s="46" t="s">
        <v>49</v>
      </c>
      <c r="C391" s="46" t="s">
        <v>93</v>
      </c>
      <c r="D391" s="46" t="s">
        <v>178</v>
      </c>
      <c r="E391" s="46">
        <v>2</v>
      </c>
      <c r="F391" s="46" t="s">
        <v>60</v>
      </c>
      <c r="G391" s="46">
        <v>2</v>
      </c>
      <c r="H391" s="47">
        <v>6</v>
      </c>
      <c r="I391" s="47" t="s">
        <v>127</v>
      </c>
      <c r="J391" s="48">
        <v>0</v>
      </c>
      <c r="K391" s="48">
        <v>3</v>
      </c>
      <c r="R391" s="46">
        <f t="shared" si="54"/>
        <v>0</v>
      </c>
      <c r="S391" s="46">
        <f t="shared" si="55"/>
        <v>1</v>
      </c>
      <c r="T391" s="46">
        <f t="shared" si="53"/>
        <v>-20</v>
      </c>
      <c r="U391" s="46">
        <f t="shared" si="56"/>
        <v>-20</v>
      </c>
      <c r="V391" s="54">
        <f t="shared" si="57"/>
        <v>6</v>
      </c>
    </row>
    <row r="392" spans="1:22" x14ac:dyDescent="0.2">
      <c r="A392" s="46" t="s">
        <v>182</v>
      </c>
      <c r="B392" s="46" t="s">
        <v>49</v>
      </c>
      <c r="C392" s="46" t="s">
        <v>93</v>
      </c>
      <c r="D392" s="46" t="s">
        <v>178</v>
      </c>
      <c r="E392" s="46">
        <v>2</v>
      </c>
      <c r="F392" s="46" t="s">
        <v>60</v>
      </c>
      <c r="G392" s="46">
        <v>3</v>
      </c>
      <c r="H392" s="47">
        <v>35</v>
      </c>
      <c r="I392" s="47" t="s">
        <v>116</v>
      </c>
      <c r="J392" s="48">
        <v>0</v>
      </c>
      <c r="K392" s="48">
        <v>2</v>
      </c>
      <c r="R392" s="46">
        <f t="shared" si="54"/>
        <v>0</v>
      </c>
      <c r="S392" s="46">
        <f t="shared" si="55"/>
        <v>0</v>
      </c>
      <c r="T392" s="46">
        <f t="shared" si="53"/>
        <v>-10</v>
      </c>
      <c r="U392" s="46">
        <f t="shared" si="56"/>
        <v>-10</v>
      </c>
      <c r="V392" s="54">
        <f t="shared" si="57"/>
        <v>6</v>
      </c>
    </row>
    <row r="393" spans="1:22" x14ac:dyDescent="0.2">
      <c r="A393" s="46" t="s">
        <v>182</v>
      </c>
      <c r="B393" s="46" t="s">
        <v>49</v>
      </c>
      <c r="C393" s="46" t="s">
        <v>93</v>
      </c>
      <c r="D393" s="46" t="s">
        <v>178</v>
      </c>
      <c r="E393" s="46">
        <v>2</v>
      </c>
      <c r="F393" s="46" t="s">
        <v>60</v>
      </c>
      <c r="G393" s="46">
        <v>2</v>
      </c>
      <c r="H393" s="47">
        <v>2</v>
      </c>
      <c r="I393" s="47" t="s">
        <v>127</v>
      </c>
      <c r="J393" s="48">
        <v>0</v>
      </c>
      <c r="K393" s="48">
        <v>1</v>
      </c>
      <c r="R393" s="46">
        <f t="shared" si="54"/>
        <v>0</v>
      </c>
      <c r="S393" s="46">
        <f t="shared" si="55"/>
        <v>0</v>
      </c>
      <c r="T393" s="46">
        <f t="shared" si="53"/>
        <v>0</v>
      </c>
      <c r="U393" s="46">
        <f t="shared" si="56"/>
        <v>0</v>
      </c>
      <c r="V393" s="54">
        <f t="shared" si="57"/>
        <v>6</v>
      </c>
    </row>
    <row r="394" spans="1:22" x14ac:dyDescent="0.2">
      <c r="A394" s="46" t="s">
        <v>182</v>
      </c>
      <c r="B394" s="46" t="s">
        <v>49</v>
      </c>
      <c r="C394" s="46" t="s">
        <v>93</v>
      </c>
      <c r="D394" s="46" t="s">
        <v>178</v>
      </c>
      <c r="E394" s="46">
        <v>3</v>
      </c>
      <c r="F394" s="46" t="s">
        <v>60</v>
      </c>
      <c r="G394" s="46">
        <v>4</v>
      </c>
      <c r="H394" s="47">
        <v>8</v>
      </c>
      <c r="I394" s="47" t="s">
        <v>102</v>
      </c>
      <c r="J394" s="48">
        <v>0</v>
      </c>
      <c r="K394" s="48">
        <v>0</v>
      </c>
      <c r="R394" s="46">
        <f t="shared" si="54"/>
        <v>0</v>
      </c>
      <c r="S394" s="46">
        <f t="shared" si="55"/>
        <v>0</v>
      </c>
      <c r="T394" s="46">
        <f t="shared" si="53"/>
        <v>0</v>
      </c>
      <c r="U394" s="46">
        <f t="shared" si="56"/>
        <v>0</v>
      </c>
      <c r="V394" s="54">
        <f t="shared" si="57"/>
        <v>6</v>
      </c>
    </row>
    <row r="395" spans="1:22" x14ac:dyDescent="0.2">
      <c r="A395" s="46" t="s">
        <v>182</v>
      </c>
      <c r="B395" s="46" t="s">
        <v>49</v>
      </c>
      <c r="C395" s="46" t="s">
        <v>93</v>
      </c>
      <c r="D395" s="46" t="s">
        <v>178</v>
      </c>
      <c r="E395" s="46">
        <v>4</v>
      </c>
      <c r="F395" s="46" t="s">
        <v>60</v>
      </c>
      <c r="G395" s="46">
        <v>4</v>
      </c>
      <c r="H395" s="47">
        <v>8</v>
      </c>
      <c r="I395" s="47" t="s">
        <v>102</v>
      </c>
      <c r="J395" s="48">
        <v>0</v>
      </c>
      <c r="K395" s="48">
        <v>0</v>
      </c>
      <c r="R395" s="46">
        <f t="shared" si="54"/>
        <v>0</v>
      </c>
      <c r="S395" s="46">
        <f t="shared" si="55"/>
        <v>0</v>
      </c>
      <c r="T395" s="46">
        <f t="shared" si="53"/>
        <v>0</v>
      </c>
      <c r="U395" s="46">
        <f t="shared" si="56"/>
        <v>0</v>
      </c>
      <c r="V395" s="54">
        <f t="shared" si="57"/>
        <v>6</v>
      </c>
    </row>
    <row r="396" spans="1:22" x14ac:dyDescent="0.2">
      <c r="A396" s="46" t="s">
        <v>182</v>
      </c>
      <c r="B396" s="46" t="s">
        <v>49</v>
      </c>
      <c r="C396" s="46" t="s">
        <v>93</v>
      </c>
      <c r="D396" s="46" t="s">
        <v>178</v>
      </c>
      <c r="E396" s="46">
        <v>4</v>
      </c>
      <c r="F396" s="46" t="s">
        <v>60</v>
      </c>
      <c r="G396" s="46">
        <v>1</v>
      </c>
      <c r="H396" s="47">
        <v>13</v>
      </c>
      <c r="I396" s="47" t="s">
        <v>101</v>
      </c>
      <c r="J396" s="48">
        <v>0</v>
      </c>
      <c r="K396" s="48">
        <v>0</v>
      </c>
      <c r="N396" s="48">
        <v>1</v>
      </c>
      <c r="R396" s="46">
        <f t="shared" si="54"/>
        <v>0</v>
      </c>
      <c r="S396" s="46">
        <f t="shared" si="55"/>
        <v>0</v>
      </c>
      <c r="T396" s="46">
        <f t="shared" si="53"/>
        <v>0</v>
      </c>
      <c r="U396" s="46">
        <f t="shared" si="56"/>
        <v>-5</v>
      </c>
      <c r="V396" s="54">
        <f t="shared" si="57"/>
        <v>6</v>
      </c>
    </row>
    <row r="397" spans="1:22" x14ac:dyDescent="0.2">
      <c r="A397" s="46" t="s">
        <v>182</v>
      </c>
      <c r="B397" s="46" t="s">
        <v>49</v>
      </c>
      <c r="C397" s="46" t="s">
        <v>93</v>
      </c>
      <c r="D397" s="46" t="s">
        <v>178</v>
      </c>
      <c r="E397" s="46">
        <v>3</v>
      </c>
      <c r="F397" s="46" t="s">
        <v>60</v>
      </c>
      <c r="G397" s="46">
        <v>4</v>
      </c>
      <c r="H397" s="47">
        <v>16</v>
      </c>
      <c r="I397" s="47" t="s">
        <v>102</v>
      </c>
      <c r="J397" s="48">
        <v>0</v>
      </c>
      <c r="K397" s="48">
        <v>0</v>
      </c>
      <c r="R397" s="46">
        <f t="shared" si="54"/>
        <v>0</v>
      </c>
      <c r="S397" s="46">
        <f t="shared" si="55"/>
        <v>0</v>
      </c>
      <c r="T397" s="46">
        <f t="shared" si="53"/>
        <v>0</v>
      </c>
      <c r="U397" s="46">
        <f t="shared" si="56"/>
        <v>0</v>
      </c>
      <c r="V397" s="54">
        <f t="shared" si="57"/>
        <v>6</v>
      </c>
    </row>
    <row r="398" spans="1:22" x14ac:dyDescent="0.2">
      <c r="A398" s="46" t="s">
        <v>182</v>
      </c>
      <c r="B398" s="46" t="s">
        <v>58</v>
      </c>
      <c r="C398" s="46" t="s">
        <v>93</v>
      </c>
      <c r="D398" s="46" t="s">
        <v>178</v>
      </c>
      <c r="E398" s="46">
        <v>1</v>
      </c>
      <c r="F398" s="46" t="s">
        <v>60</v>
      </c>
      <c r="G398" s="46">
        <v>2</v>
      </c>
      <c r="H398" s="47">
        <v>18</v>
      </c>
      <c r="I398" s="47" t="s">
        <v>127</v>
      </c>
      <c r="J398" s="48">
        <v>0</v>
      </c>
      <c r="K398" s="48">
        <v>1</v>
      </c>
      <c r="M398" s="48">
        <v>1</v>
      </c>
      <c r="R398" s="46">
        <f t="shared" si="54"/>
        <v>0</v>
      </c>
      <c r="S398" s="46">
        <f t="shared" si="55"/>
        <v>0</v>
      </c>
      <c r="T398" s="46">
        <f t="shared" si="53"/>
        <v>0</v>
      </c>
      <c r="U398" s="46">
        <f t="shared" si="56"/>
        <v>20</v>
      </c>
      <c r="V398" s="54">
        <f t="shared" si="57"/>
        <v>6</v>
      </c>
    </row>
    <row r="399" spans="1:22" x14ac:dyDescent="0.2">
      <c r="A399" s="46" t="s">
        <v>182</v>
      </c>
      <c r="B399" s="46" t="s">
        <v>49</v>
      </c>
      <c r="C399" s="46" t="s">
        <v>93</v>
      </c>
      <c r="D399" s="46" t="s">
        <v>178</v>
      </c>
      <c r="E399" s="46">
        <v>4</v>
      </c>
      <c r="F399" s="46" t="s">
        <v>60</v>
      </c>
      <c r="G399" s="46">
        <v>2</v>
      </c>
      <c r="H399" s="47">
        <v>22</v>
      </c>
      <c r="I399" s="47" t="s">
        <v>127</v>
      </c>
      <c r="J399" s="48">
        <v>0</v>
      </c>
      <c r="K399" s="48">
        <v>0</v>
      </c>
      <c r="L399" s="48">
        <v>1</v>
      </c>
      <c r="R399" s="46">
        <f t="shared" si="54"/>
        <v>0</v>
      </c>
      <c r="S399" s="46">
        <f t="shared" si="55"/>
        <v>0</v>
      </c>
      <c r="T399" s="46">
        <f t="shared" si="53"/>
        <v>0</v>
      </c>
      <c r="U399" s="46">
        <f t="shared" si="56"/>
        <v>-5</v>
      </c>
      <c r="V399" s="54">
        <f t="shared" si="57"/>
        <v>6</v>
      </c>
    </row>
    <row r="400" spans="1:22" x14ac:dyDescent="0.2">
      <c r="A400" s="46" t="s">
        <v>182</v>
      </c>
      <c r="B400" s="46" t="s">
        <v>49</v>
      </c>
      <c r="C400" s="46" t="s">
        <v>93</v>
      </c>
      <c r="D400" s="46" t="s">
        <v>178</v>
      </c>
      <c r="E400" s="46">
        <v>3</v>
      </c>
      <c r="F400" s="46" t="s">
        <v>60</v>
      </c>
      <c r="G400" s="46">
        <v>3</v>
      </c>
      <c r="H400" s="47">
        <v>23</v>
      </c>
      <c r="I400" s="47" t="s">
        <v>116</v>
      </c>
      <c r="J400" s="48">
        <v>0</v>
      </c>
      <c r="K400" s="48">
        <v>0</v>
      </c>
      <c r="N400" s="48">
        <v>1</v>
      </c>
      <c r="R400" s="46">
        <f t="shared" si="54"/>
        <v>0</v>
      </c>
      <c r="S400" s="46">
        <f t="shared" si="55"/>
        <v>0</v>
      </c>
      <c r="T400" s="46">
        <f t="shared" si="53"/>
        <v>0</v>
      </c>
      <c r="U400" s="46">
        <f t="shared" si="56"/>
        <v>-5</v>
      </c>
      <c r="V400" s="54">
        <f t="shared" si="57"/>
        <v>6</v>
      </c>
    </row>
    <row r="401" spans="1:22" x14ac:dyDescent="0.2">
      <c r="A401" s="46" t="s">
        <v>182</v>
      </c>
      <c r="B401" s="46" t="s">
        <v>58</v>
      </c>
      <c r="C401" s="46" t="s">
        <v>93</v>
      </c>
      <c r="D401" s="46" t="s">
        <v>178</v>
      </c>
      <c r="E401" s="46">
        <v>1</v>
      </c>
      <c r="F401" s="46" t="s">
        <v>60</v>
      </c>
      <c r="G401" s="46">
        <v>1</v>
      </c>
      <c r="H401" s="47">
        <v>25</v>
      </c>
      <c r="I401" s="47" t="s">
        <v>101</v>
      </c>
      <c r="J401" s="48">
        <v>0</v>
      </c>
      <c r="K401" s="48">
        <v>1</v>
      </c>
      <c r="R401" s="46">
        <f t="shared" si="54"/>
        <v>0</v>
      </c>
      <c r="S401" s="46">
        <f t="shared" si="55"/>
        <v>0</v>
      </c>
      <c r="T401" s="46">
        <f t="shared" si="53"/>
        <v>0</v>
      </c>
      <c r="U401" s="46">
        <f t="shared" si="56"/>
        <v>0</v>
      </c>
      <c r="V401" s="54">
        <f t="shared" si="57"/>
        <v>6</v>
      </c>
    </row>
    <row r="402" spans="1:22" x14ac:dyDescent="0.2">
      <c r="A402" s="46" t="s">
        <v>182</v>
      </c>
      <c r="B402" s="46" t="s">
        <v>49</v>
      </c>
      <c r="C402" s="46" t="s">
        <v>93</v>
      </c>
      <c r="D402" s="46" t="s">
        <v>178</v>
      </c>
      <c r="E402" s="46">
        <v>3</v>
      </c>
      <c r="F402" s="46" t="s">
        <v>60</v>
      </c>
      <c r="G402" s="46">
        <v>3</v>
      </c>
      <c r="H402" s="47">
        <v>31</v>
      </c>
      <c r="I402" s="47" t="s">
        <v>116</v>
      </c>
      <c r="J402" s="48">
        <v>0</v>
      </c>
      <c r="K402" s="48">
        <v>0</v>
      </c>
      <c r="R402" s="46">
        <f t="shared" si="54"/>
        <v>0</v>
      </c>
      <c r="S402" s="46">
        <f t="shared" si="55"/>
        <v>0</v>
      </c>
      <c r="T402" s="46">
        <f t="shared" si="53"/>
        <v>0</v>
      </c>
      <c r="U402" s="46">
        <f t="shared" si="56"/>
        <v>0</v>
      </c>
      <c r="V402" s="54">
        <f t="shared" si="57"/>
        <v>6</v>
      </c>
    </row>
    <row r="403" spans="1:22" x14ac:dyDescent="0.2">
      <c r="A403" s="46" t="s">
        <v>182</v>
      </c>
      <c r="B403" s="46" t="s">
        <v>49</v>
      </c>
      <c r="C403" s="46" t="s">
        <v>93</v>
      </c>
      <c r="D403" s="46" t="s">
        <v>178</v>
      </c>
      <c r="E403" s="46">
        <v>4</v>
      </c>
      <c r="F403" s="46" t="s">
        <v>60</v>
      </c>
      <c r="G403" s="46">
        <v>3</v>
      </c>
      <c r="H403" s="47">
        <v>31</v>
      </c>
      <c r="I403" s="47" t="s">
        <v>159</v>
      </c>
      <c r="J403" s="48">
        <v>0</v>
      </c>
      <c r="K403" s="48">
        <v>0</v>
      </c>
      <c r="R403" s="46">
        <f t="shared" si="54"/>
        <v>0</v>
      </c>
      <c r="S403" s="46">
        <f t="shared" si="55"/>
        <v>0</v>
      </c>
      <c r="T403" s="46">
        <f t="shared" si="53"/>
        <v>0</v>
      </c>
      <c r="U403" s="46">
        <f t="shared" si="56"/>
        <v>0</v>
      </c>
      <c r="V403" s="54">
        <f t="shared" si="57"/>
        <v>6</v>
      </c>
    </row>
    <row r="404" spans="1:22" x14ac:dyDescent="0.2">
      <c r="A404" s="46" t="s">
        <v>182</v>
      </c>
      <c r="B404" s="46" t="s">
        <v>58</v>
      </c>
      <c r="C404" s="46" t="s">
        <v>93</v>
      </c>
      <c r="D404" s="46" t="s">
        <v>178</v>
      </c>
      <c r="E404" s="46">
        <v>1</v>
      </c>
      <c r="F404" s="46" t="s">
        <v>60</v>
      </c>
      <c r="G404" s="46">
        <v>3</v>
      </c>
      <c r="H404" s="47">
        <v>35</v>
      </c>
      <c r="I404" s="47" t="s">
        <v>116</v>
      </c>
      <c r="J404" s="48">
        <v>0</v>
      </c>
      <c r="K404" s="48">
        <v>0</v>
      </c>
      <c r="R404" s="46">
        <f t="shared" si="54"/>
        <v>0</v>
      </c>
      <c r="S404" s="46">
        <f t="shared" si="55"/>
        <v>0</v>
      </c>
      <c r="T404" s="46">
        <f t="shared" si="53"/>
        <v>0</v>
      </c>
      <c r="U404" s="46">
        <f t="shared" si="56"/>
        <v>0</v>
      </c>
      <c r="V404" s="54">
        <f t="shared" si="57"/>
        <v>6</v>
      </c>
    </row>
    <row r="405" spans="1:22" x14ac:dyDescent="0.2">
      <c r="A405" s="46" t="s">
        <v>182</v>
      </c>
      <c r="B405" s="46" t="s">
        <v>49</v>
      </c>
      <c r="C405" s="46" t="s">
        <v>93</v>
      </c>
      <c r="D405" s="46" t="s">
        <v>178</v>
      </c>
      <c r="E405" s="46">
        <v>3</v>
      </c>
      <c r="F405" s="46" t="s">
        <v>60</v>
      </c>
      <c r="G405" s="46">
        <v>1</v>
      </c>
      <c r="H405" s="47">
        <v>37</v>
      </c>
      <c r="I405" s="47" t="s">
        <v>101</v>
      </c>
      <c r="J405" s="48">
        <v>0</v>
      </c>
      <c r="K405" s="48">
        <v>1</v>
      </c>
      <c r="R405" s="46">
        <f t="shared" si="54"/>
        <v>0</v>
      </c>
      <c r="S405" s="46">
        <f t="shared" si="55"/>
        <v>0</v>
      </c>
      <c r="T405" s="46">
        <f t="shared" si="53"/>
        <v>0</v>
      </c>
      <c r="U405" s="46">
        <f t="shared" si="56"/>
        <v>0</v>
      </c>
      <c r="V405" s="54">
        <f t="shared" si="57"/>
        <v>6</v>
      </c>
    </row>
    <row r="406" spans="1:22" x14ac:dyDescent="0.2">
      <c r="A406" s="46" t="s">
        <v>182</v>
      </c>
      <c r="B406" s="46" t="s">
        <v>49</v>
      </c>
      <c r="C406" s="46" t="s">
        <v>93</v>
      </c>
      <c r="D406" s="46" t="s">
        <v>178</v>
      </c>
      <c r="E406" s="46">
        <v>2</v>
      </c>
      <c r="F406" s="46" t="s">
        <v>60</v>
      </c>
      <c r="G406" s="46">
        <v>1</v>
      </c>
      <c r="H406" s="47">
        <v>45</v>
      </c>
      <c r="I406" s="47" t="s">
        <v>101</v>
      </c>
      <c r="J406" s="48">
        <v>0</v>
      </c>
      <c r="K406" s="48">
        <v>0</v>
      </c>
      <c r="N406" s="48">
        <v>1</v>
      </c>
      <c r="R406" s="46">
        <f t="shared" si="54"/>
        <v>0</v>
      </c>
      <c r="S406" s="46">
        <f t="shared" si="55"/>
        <v>0</v>
      </c>
      <c r="T406" s="46">
        <f t="shared" ref="T406:T438" si="58">quizscore(J406,K406)</f>
        <v>0</v>
      </c>
      <c r="U406" s="46">
        <f t="shared" si="56"/>
        <v>-5</v>
      </c>
      <c r="V406" s="54">
        <f t="shared" si="57"/>
        <v>6</v>
      </c>
    </row>
    <row r="407" spans="1:22" x14ac:dyDescent="0.2">
      <c r="A407" s="46" t="s">
        <v>182</v>
      </c>
      <c r="B407" s="46" t="s">
        <v>49</v>
      </c>
      <c r="C407" s="46" t="s">
        <v>93</v>
      </c>
      <c r="D407" s="46" t="s">
        <v>178</v>
      </c>
      <c r="E407" s="46">
        <v>3</v>
      </c>
      <c r="F407" s="46" t="s">
        <v>60</v>
      </c>
      <c r="G407" s="46">
        <v>2</v>
      </c>
      <c r="H407" s="47">
        <v>46</v>
      </c>
      <c r="I407" s="47" t="s">
        <v>127</v>
      </c>
      <c r="J407" s="48">
        <v>0</v>
      </c>
      <c r="K407" s="48">
        <v>0</v>
      </c>
      <c r="R407" s="46">
        <f t="shared" si="54"/>
        <v>0</v>
      </c>
      <c r="S407" s="46">
        <f t="shared" si="55"/>
        <v>0</v>
      </c>
      <c r="T407" s="46">
        <f t="shared" si="58"/>
        <v>0</v>
      </c>
      <c r="U407" s="46">
        <f t="shared" si="56"/>
        <v>0</v>
      </c>
      <c r="V407" s="54">
        <f t="shared" si="57"/>
        <v>6</v>
      </c>
    </row>
    <row r="408" spans="1:22" x14ac:dyDescent="0.2">
      <c r="A408" s="46" t="s">
        <v>182</v>
      </c>
      <c r="B408" s="46" t="s">
        <v>58</v>
      </c>
      <c r="C408" s="46" t="s">
        <v>93</v>
      </c>
      <c r="D408" s="46" t="s">
        <v>178</v>
      </c>
      <c r="E408" s="46">
        <v>1</v>
      </c>
      <c r="F408" s="46" t="s">
        <v>60</v>
      </c>
      <c r="G408" s="46">
        <v>4</v>
      </c>
      <c r="H408" s="47">
        <v>48</v>
      </c>
      <c r="I408" s="47" t="s">
        <v>102</v>
      </c>
      <c r="J408" s="48">
        <v>0</v>
      </c>
      <c r="K408" s="48">
        <v>0</v>
      </c>
      <c r="R408" s="46">
        <f t="shared" si="54"/>
        <v>0</v>
      </c>
      <c r="S408" s="46">
        <f t="shared" si="55"/>
        <v>0</v>
      </c>
      <c r="T408" s="46">
        <f t="shared" si="58"/>
        <v>0</v>
      </c>
      <c r="U408" s="46">
        <f t="shared" si="56"/>
        <v>0</v>
      </c>
      <c r="V408" s="54">
        <f t="shared" si="57"/>
        <v>6</v>
      </c>
    </row>
    <row r="409" spans="1:22" x14ac:dyDescent="0.2">
      <c r="A409" s="46" t="s">
        <v>182</v>
      </c>
      <c r="B409" s="46" t="s">
        <v>49</v>
      </c>
      <c r="C409" s="46" t="s">
        <v>93</v>
      </c>
      <c r="D409" s="46" t="s">
        <v>178</v>
      </c>
      <c r="E409" s="46">
        <v>4</v>
      </c>
      <c r="F409" s="46" t="s">
        <v>60</v>
      </c>
      <c r="G409" s="46">
        <v>4</v>
      </c>
      <c r="H409" s="47">
        <v>48</v>
      </c>
      <c r="I409" s="47" t="s">
        <v>102</v>
      </c>
      <c r="J409" s="48">
        <v>0</v>
      </c>
      <c r="K409" s="48">
        <v>0</v>
      </c>
      <c r="R409" s="46">
        <f t="shared" si="54"/>
        <v>0</v>
      </c>
      <c r="S409" s="46">
        <f t="shared" si="55"/>
        <v>0</v>
      </c>
      <c r="T409" s="46">
        <f t="shared" si="58"/>
        <v>0</v>
      </c>
      <c r="U409" s="46">
        <f t="shared" si="56"/>
        <v>0</v>
      </c>
      <c r="V409" s="54">
        <f t="shared" si="57"/>
        <v>6</v>
      </c>
    </row>
    <row r="410" spans="1:22" x14ac:dyDescent="0.2">
      <c r="A410" s="46" t="s">
        <v>182</v>
      </c>
      <c r="B410" s="46" t="s">
        <v>49</v>
      </c>
      <c r="C410" s="46" t="s">
        <v>93</v>
      </c>
      <c r="D410" s="46" t="s">
        <v>178</v>
      </c>
      <c r="E410" s="46">
        <v>3</v>
      </c>
      <c r="F410" s="46" t="s">
        <v>62</v>
      </c>
      <c r="G410" s="46">
        <v>2</v>
      </c>
      <c r="H410" s="47" t="s">
        <v>81</v>
      </c>
      <c r="I410" s="47" t="s">
        <v>127</v>
      </c>
      <c r="J410" s="48">
        <v>0</v>
      </c>
      <c r="K410" s="48">
        <v>0</v>
      </c>
      <c r="R410" s="46">
        <f t="shared" si="54"/>
        <v>0</v>
      </c>
      <c r="S410" s="46">
        <f t="shared" si="55"/>
        <v>0</v>
      </c>
      <c r="T410" s="46">
        <f t="shared" si="58"/>
        <v>0</v>
      </c>
      <c r="U410" s="46">
        <f t="shared" si="56"/>
        <v>0</v>
      </c>
      <c r="V410" s="54">
        <f t="shared" si="57"/>
        <v>6</v>
      </c>
    </row>
    <row r="411" spans="1:22" x14ac:dyDescent="0.2">
      <c r="A411" s="46" t="s">
        <v>182</v>
      </c>
      <c r="B411" s="46" t="s">
        <v>49</v>
      </c>
      <c r="C411" s="46" t="s">
        <v>93</v>
      </c>
      <c r="D411" s="46" t="s">
        <v>178</v>
      </c>
      <c r="E411" s="46">
        <v>3</v>
      </c>
      <c r="F411" s="46" t="s">
        <v>62</v>
      </c>
      <c r="G411" s="46">
        <v>2</v>
      </c>
      <c r="H411" s="47" t="s">
        <v>82</v>
      </c>
      <c r="I411" s="47" t="s">
        <v>127</v>
      </c>
      <c r="J411" s="48">
        <v>0</v>
      </c>
      <c r="K411" s="48">
        <v>0</v>
      </c>
      <c r="R411" s="46">
        <f t="shared" si="54"/>
        <v>0</v>
      </c>
      <c r="S411" s="46">
        <f t="shared" si="55"/>
        <v>0</v>
      </c>
      <c r="T411" s="46">
        <f t="shared" si="58"/>
        <v>0</v>
      </c>
      <c r="U411" s="46">
        <f t="shared" si="56"/>
        <v>0</v>
      </c>
      <c r="V411" s="54">
        <f t="shared" si="57"/>
        <v>6</v>
      </c>
    </row>
    <row r="412" spans="1:22" x14ac:dyDescent="0.2">
      <c r="A412" s="46" t="s">
        <v>182</v>
      </c>
      <c r="B412" s="46" t="s">
        <v>49</v>
      </c>
      <c r="C412" s="46" t="s">
        <v>93</v>
      </c>
      <c r="D412" s="46" t="s">
        <v>178</v>
      </c>
      <c r="E412" s="46">
        <v>4</v>
      </c>
      <c r="F412" s="46" t="s">
        <v>62</v>
      </c>
      <c r="G412" s="46">
        <v>2</v>
      </c>
      <c r="H412" s="47" t="s">
        <v>82</v>
      </c>
      <c r="I412" s="47" t="s">
        <v>127</v>
      </c>
      <c r="J412" s="48">
        <v>0</v>
      </c>
      <c r="K412" s="48">
        <v>1</v>
      </c>
      <c r="R412" s="46">
        <f t="shared" si="54"/>
        <v>0</v>
      </c>
      <c r="S412" s="46">
        <f t="shared" si="55"/>
        <v>0</v>
      </c>
      <c r="T412" s="46">
        <f t="shared" si="58"/>
        <v>0</v>
      </c>
      <c r="U412" s="46">
        <f t="shared" si="56"/>
        <v>0</v>
      </c>
      <c r="V412" s="54">
        <f t="shared" si="57"/>
        <v>6</v>
      </c>
    </row>
    <row r="413" spans="1:22" x14ac:dyDescent="0.2">
      <c r="A413" s="46" t="s">
        <v>182</v>
      </c>
      <c r="B413" s="46" t="s">
        <v>49</v>
      </c>
      <c r="C413" s="46" t="s">
        <v>93</v>
      </c>
      <c r="D413" s="46" t="s">
        <v>178</v>
      </c>
      <c r="E413" s="46">
        <v>2</v>
      </c>
      <c r="F413" s="46" t="s">
        <v>62</v>
      </c>
      <c r="G413" s="46">
        <v>3</v>
      </c>
      <c r="H413" s="47" t="s">
        <v>84</v>
      </c>
      <c r="I413" s="47" t="s">
        <v>116</v>
      </c>
      <c r="J413" s="48">
        <v>0</v>
      </c>
      <c r="K413" s="48">
        <v>1</v>
      </c>
      <c r="N413" s="48">
        <v>1</v>
      </c>
      <c r="R413" s="46">
        <f t="shared" si="54"/>
        <v>0</v>
      </c>
      <c r="S413" s="46">
        <f t="shared" si="55"/>
        <v>0</v>
      </c>
      <c r="T413" s="46">
        <f t="shared" si="58"/>
        <v>0</v>
      </c>
      <c r="U413" s="46">
        <f t="shared" si="56"/>
        <v>-5</v>
      </c>
      <c r="V413" s="54">
        <f t="shared" si="57"/>
        <v>6</v>
      </c>
    </row>
    <row r="414" spans="1:22" x14ac:dyDescent="0.2">
      <c r="A414" s="46" t="s">
        <v>182</v>
      </c>
      <c r="B414" s="46" t="s">
        <v>49</v>
      </c>
      <c r="C414" s="46" t="s">
        <v>93</v>
      </c>
      <c r="D414" s="46" t="s">
        <v>178</v>
      </c>
      <c r="E414" s="46">
        <v>3</v>
      </c>
      <c r="F414" s="46" t="s">
        <v>62</v>
      </c>
      <c r="G414" s="46">
        <v>2</v>
      </c>
      <c r="H414" s="47" t="s">
        <v>86</v>
      </c>
      <c r="I414" s="47" t="s">
        <v>127</v>
      </c>
      <c r="J414" s="48">
        <v>0</v>
      </c>
      <c r="K414" s="48">
        <v>0</v>
      </c>
      <c r="R414" s="46">
        <f t="shared" si="54"/>
        <v>0</v>
      </c>
      <c r="S414" s="46">
        <f t="shared" si="55"/>
        <v>0</v>
      </c>
      <c r="T414" s="46">
        <f t="shared" si="58"/>
        <v>0</v>
      </c>
      <c r="U414" s="46">
        <f t="shared" si="56"/>
        <v>0</v>
      </c>
      <c r="V414" s="54">
        <f t="shared" si="57"/>
        <v>6</v>
      </c>
    </row>
    <row r="415" spans="1:22" x14ac:dyDescent="0.2">
      <c r="A415" s="46" t="s">
        <v>182</v>
      </c>
      <c r="B415" s="46" t="s">
        <v>49</v>
      </c>
      <c r="C415" s="46" t="s">
        <v>93</v>
      </c>
      <c r="D415" s="46" t="s">
        <v>178</v>
      </c>
      <c r="E415" s="46">
        <v>4</v>
      </c>
      <c r="F415" s="46" t="s">
        <v>62</v>
      </c>
      <c r="G415" s="46">
        <v>2</v>
      </c>
      <c r="H415" s="47" t="s">
        <v>86</v>
      </c>
      <c r="I415" s="47" t="s">
        <v>127</v>
      </c>
      <c r="J415" s="48">
        <v>0</v>
      </c>
      <c r="K415" s="48">
        <v>0</v>
      </c>
      <c r="R415" s="46">
        <f t="shared" si="54"/>
        <v>0</v>
      </c>
      <c r="S415" s="46">
        <f t="shared" si="55"/>
        <v>0</v>
      </c>
      <c r="T415" s="46">
        <f t="shared" si="58"/>
        <v>0</v>
      </c>
      <c r="U415" s="46">
        <f t="shared" si="56"/>
        <v>0</v>
      </c>
      <c r="V415" s="54">
        <f t="shared" si="57"/>
        <v>6</v>
      </c>
    </row>
    <row r="416" spans="1:22" x14ac:dyDescent="0.2">
      <c r="A416" s="46" t="s">
        <v>182</v>
      </c>
      <c r="B416" s="46" t="s">
        <v>49</v>
      </c>
      <c r="C416" s="46" t="s">
        <v>93</v>
      </c>
      <c r="D416" s="46" t="s">
        <v>178</v>
      </c>
      <c r="E416" s="46">
        <v>2</v>
      </c>
      <c r="F416" s="46" t="s">
        <v>62</v>
      </c>
      <c r="G416" s="46">
        <v>3</v>
      </c>
      <c r="H416" s="47" t="s">
        <v>87</v>
      </c>
      <c r="I416" s="47" t="s">
        <v>116</v>
      </c>
      <c r="J416" s="48">
        <v>0</v>
      </c>
      <c r="K416" s="48">
        <v>0</v>
      </c>
      <c r="R416" s="46">
        <f t="shared" si="54"/>
        <v>0</v>
      </c>
      <c r="S416" s="46">
        <f t="shared" si="55"/>
        <v>0</v>
      </c>
      <c r="T416" s="46">
        <f t="shared" si="58"/>
        <v>0</v>
      </c>
      <c r="U416" s="46">
        <f t="shared" si="56"/>
        <v>0</v>
      </c>
      <c r="V416" s="54">
        <f t="shared" si="57"/>
        <v>6</v>
      </c>
    </row>
    <row r="417" spans="1:22" x14ac:dyDescent="0.2">
      <c r="A417" s="46" t="s">
        <v>182</v>
      </c>
      <c r="B417" s="46" t="s">
        <v>49</v>
      </c>
      <c r="C417" s="46" t="s">
        <v>93</v>
      </c>
      <c r="D417" s="46" t="s">
        <v>178</v>
      </c>
      <c r="E417" s="46">
        <v>4</v>
      </c>
      <c r="F417" s="46" t="s">
        <v>62</v>
      </c>
      <c r="G417" s="46">
        <v>3</v>
      </c>
      <c r="H417" s="47" t="s">
        <v>64</v>
      </c>
      <c r="I417" s="47" t="s">
        <v>219</v>
      </c>
      <c r="J417" s="48">
        <v>0</v>
      </c>
      <c r="K417" s="48">
        <v>0</v>
      </c>
      <c r="R417" s="46">
        <f t="shared" si="54"/>
        <v>0</v>
      </c>
      <c r="S417" s="46">
        <f t="shared" si="55"/>
        <v>0</v>
      </c>
      <c r="T417" s="46">
        <f t="shared" si="58"/>
        <v>0</v>
      </c>
      <c r="U417" s="46">
        <f t="shared" si="56"/>
        <v>0</v>
      </c>
      <c r="V417" s="54">
        <f t="shared" si="57"/>
        <v>6</v>
      </c>
    </row>
    <row r="418" spans="1:22" x14ac:dyDescent="0.2">
      <c r="A418" s="46" t="s">
        <v>182</v>
      </c>
      <c r="B418" s="46" t="s">
        <v>49</v>
      </c>
      <c r="C418" s="46" t="s">
        <v>93</v>
      </c>
      <c r="D418" s="46" t="s">
        <v>178</v>
      </c>
      <c r="E418" s="46">
        <v>3</v>
      </c>
      <c r="F418" s="46" t="s">
        <v>62</v>
      </c>
      <c r="G418" s="46">
        <v>2</v>
      </c>
      <c r="H418" s="47" t="s">
        <v>83</v>
      </c>
      <c r="I418" s="47" t="s">
        <v>127</v>
      </c>
      <c r="J418" s="48">
        <v>0</v>
      </c>
      <c r="K418" s="48">
        <v>0</v>
      </c>
      <c r="R418" s="46">
        <f t="shared" si="54"/>
        <v>0</v>
      </c>
      <c r="S418" s="46">
        <f t="shared" si="55"/>
        <v>0</v>
      </c>
      <c r="T418" s="46">
        <f t="shared" si="58"/>
        <v>0</v>
      </c>
      <c r="U418" s="46">
        <f t="shared" si="56"/>
        <v>0</v>
      </c>
      <c r="V418" s="54">
        <f t="shared" si="57"/>
        <v>6</v>
      </c>
    </row>
    <row r="419" spans="1:22" x14ac:dyDescent="0.2">
      <c r="A419" s="46" t="s">
        <v>182</v>
      </c>
      <c r="B419" s="46" t="s">
        <v>58</v>
      </c>
      <c r="C419" s="46" t="s">
        <v>93</v>
      </c>
      <c r="D419" s="46" t="s">
        <v>178</v>
      </c>
      <c r="E419" s="46">
        <v>1</v>
      </c>
      <c r="F419" s="46" t="s">
        <v>63</v>
      </c>
      <c r="G419" s="46">
        <v>4</v>
      </c>
      <c r="H419" s="47" t="s">
        <v>147</v>
      </c>
      <c r="I419" s="47" t="s">
        <v>102</v>
      </c>
      <c r="J419" s="48">
        <v>1</v>
      </c>
      <c r="K419" s="48">
        <v>2</v>
      </c>
      <c r="P419" s="48">
        <v>1</v>
      </c>
      <c r="R419" s="46">
        <f t="shared" si="54"/>
        <v>0</v>
      </c>
      <c r="S419" s="46">
        <f t="shared" si="55"/>
        <v>0</v>
      </c>
      <c r="T419" s="46">
        <f t="shared" si="58"/>
        <v>10</v>
      </c>
      <c r="U419" s="46">
        <f t="shared" si="56"/>
        <v>20</v>
      </c>
      <c r="V419" s="54">
        <f t="shared" si="57"/>
        <v>6</v>
      </c>
    </row>
    <row r="420" spans="1:22" x14ac:dyDescent="0.2">
      <c r="A420" s="46" t="s">
        <v>182</v>
      </c>
      <c r="B420" s="46" t="s">
        <v>49</v>
      </c>
      <c r="C420" s="46" t="s">
        <v>93</v>
      </c>
      <c r="D420" s="46" t="s">
        <v>178</v>
      </c>
      <c r="E420" s="46">
        <v>2</v>
      </c>
      <c r="F420" s="46" t="s">
        <v>60</v>
      </c>
      <c r="G420" s="46">
        <v>4</v>
      </c>
      <c r="H420" s="47">
        <v>28</v>
      </c>
      <c r="I420" s="47" t="s">
        <v>102</v>
      </c>
      <c r="J420" s="48">
        <v>1</v>
      </c>
      <c r="K420" s="48">
        <v>1</v>
      </c>
      <c r="R420" s="46">
        <f t="shared" si="54"/>
        <v>0</v>
      </c>
      <c r="S420" s="46">
        <f t="shared" si="55"/>
        <v>0</v>
      </c>
      <c r="T420" s="46">
        <f t="shared" si="58"/>
        <v>20</v>
      </c>
      <c r="U420" s="46">
        <f t="shared" si="56"/>
        <v>20</v>
      </c>
      <c r="V420" s="54">
        <f t="shared" si="57"/>
        <v>6</v>
      </c>
    </row>
    <row r="421" spans="1:22" x14ac:dyDescent="0.2">
      <c r="A421" s="46" t="s">
        <v>182</v>
      </c>
      <c r="B421" s="46" t="s">
        <v>49</v>
      </c>
      <c r="C421" s="46" t="s">
        <v>93</v>
      </c>
      <c r="D421" s="46" t="s">
        <v>178</v>
      </c>
      <c r="E421" s="46">
        <v>4</v>
      </c>
      <c r="F421" s="46" t="s">
        <v>60</v>
      </c>
      <c r="G421" s="46">
        <v>3</v>
      </c>
      <c r="H421" s="47">
        <v>39</v>
      </c>
      <c r="I421" s="47" t="s">
        <v>159</v>
      </c>
      <c r="J421" s="48">
        <v>1</v>
      </c>
      <c r="K421" s="48">
        <v>0</v>
      </c>
      <c r="R421" s="46">
        <f t="shared" si="54"/>
        <v>0</v>
      </c>
      <c r="S421" s="46">
        <f t="shared" si="55"/>
        <v>0</v>
      </c>
      <c r="T421" s="46">
        <f t="shared" si="58"/>
        <v>20</v>
      </c>
      <c r="U421" s="46">
        <f t="shared" si="56"/>
        <v>20</v>
      </c>
      <c r="V421" s="54">
        <f t="shared" si="57"/>
        <v>6</v>
      </c>
    </row>
    <row r="422" spans="1:22" x14ac:dyDescent="0.2">
      <c r="A422" s="46" t="s">
        <v>182</v>
      </c>
      <c r="B422" s="46" t="s">
        <v>58</v>
      </c>
      <c r="C422" s="46" t="s">
        <v>93</v>
      </c>
      <c r="D422" s="46" t="s">
        <v>178</v>
      </c>
      <c r="E422" s="46">
        <v>1</v>
      </c>
      <c r="F422" s="46" t="s">
        <v>60</v>
      </c>
      <c r="G422" s="46">
        <v>4</v>
      </c>
      <c r="H422" s="47">
        <v>40</v>
      </c>
      <c r="I422" s="47" t="s">
        <v>102</v>
      </c>
      <c r="J422" s="48">
        <v>1</v>
      </c>
      <c r="K422" s="48">
        <v>1</v>
      </c>
      <c r="R422" s="46">
        <f t="shared" si="54"/>
        <v>0</v>
      </c>
      <c r="S422" s="46">
        <f t="shared" si="55"/>
        <v>0</v>
      </c>
      <c r="T422" s="46">
        <f t="shared" si="58"/>
        <v>20</v>
      </c>
      <c r="U422" s="46">
        <f t="shared" si="56"/>
        <v>20</v>
      </c>
      <c r="V422" s="54">
        <f t="shared" si="57"/>
        <v>6</v>
      </c>
    </row>
    <row r="423" spans="1:22" x14ac:dyDescent="0.2">
      <c r="A423" s="46" t="s">
        <v>182</v>
      </c>
      <c r="B423" s="46" t="s">
        <v>49</v>
      </c>
      <c r="C423" s="46" t="s">
        <v>93</v>
      </c>
      <c r="D423" s="46" t="s">
        <v>178</v>
      </c>
      <c r="E423" s="46">
        <v>2</v>
      </c>
      <c r="F423" s="46" t="s">
        <v>62</v>
      </c>
      <c r="G423" s="46">
        <v>2</v>
      </c>
      <c r="H423" s="47" t="s">
        <v>79</v>
      </c>
      <c r="I423" s="47" t="s">
        <v>127</v>
      </c>
      <c r="J423" s="48">
        <v>1</v>
      </c>
      <c r="K423" s="48">
        <v>0</v>
      </c>
      <c r="L423" s="48">
        <v>1</v>
      </c>
      <c r="P423" s="48">
        <v>1</v>
      </c>
      <c r="R423" s="46">
        <f t="shared" si="54"/>
        <v>0</v>
      </c>
      <c r="S423" s="46">
        <f t="shared" si="55"/>
        <v>0</v>
      </c>
      <c r="T423" s="46">
        <f t="shared" si="58"/>
        <v>20</v>
      </c>
      <c r="U423" s="46">
        <f t="shared" si="56"/>
        <v>25</v>
      </c>
      <c r="V423" s="54">
        <f t="shared" si="57"/>
        <v>6</v>
      </c>
    </row>
    <row r="424" spans="1:22" x14ac:dyDescent="0.2">
      <c r="A424" s="46" t="s">
        <v>182</v>
      </c>
      <c r="B424" s="46" t="s">
        <v>49</v>
      </c>
      <c r="C424" s="46" t="s">
        <v>93</v>
      </c>
      <c r="D424" s="46" t="s">
        <v>178</v>
      </c>
      <c r="E424" s="46">
        <v>4</v>
      </c>
      <c r="F424" s="46" t="s">
        <v>62</v>
      </c>
      <c r="G424" s="46">
        <v>2</v>
      </c>
      <c r="H424" s="47" t="s">
        <v>81</v>
      </c>
      <c r="I424" s="47" t="s">
        <v>127</v>
      </c>
      <c r="J424" s="48">
        <v>1</v>
      </c>
      <c r="K424" s="48">
        <v>0</v>
      </c>
      <c r="P424" s="48">
        <v>1</v>
      </c>
      <c r="R424" s="46">
        <f t="shared" si="54"/>
        <v>0</v>
      </c>
      <c r="S424" s="46">
        <f t="shared" si="55"/>
        <v>0</v>
      </c>
      <c r="T424" s="46">
        <f t="shared" si="58"/>
        <v>20</v>
      </c>
      <c r="U424" s="46">
        <f t="shared" si="56"/>
        <v>30</v>
      </c>
      <c r="V424" s="54">
        <f t="shared" si="57"/>
        <v>6</v>
      </c>
    </row>
    <row r="425" spans="1:22" x14ac:dyDescent="0.2">
      <c r="A425" s="46" t="s">
        <v>182</v>
      </c>
      <c r="B425" s="46" t="s">
        <v>58</v>
      </c>
      <c r="C425" s="46" t="s">
        <v>93</v>
      </c>
      <c r="D425" s="46" t="s">
        <v>178</v>
      </c>
      <c r="E425" s="46">
        <v>1</v>
      </c>
      <c r="F425" s="46" t="s">
        <v>63</v>
      </c>
      <c r="G425" s="46">
        <v>4</v>
      </c>
      <c r="H425" s="47" t="s">
        <v>146</v>
      </c>
      <c r="I425" s="47" t="s">
        <v>102</v>
      </c>
      <c r="J425" s="48">
        <v>1</v>
      </c>
      <c r="K425" s="48">
        <v>1</v>
      </c>
      <c r="R425" s="46">
        <f t="shared" si="54"/>
        <v>0</v>
      </c>
      <c r="S425" s="46">
        <f t="shared" si="55"/>
        <v>0</v>
      </c>
      <c r="T425" s="46">
        <f t="shared" si="58"/>
        <v>20</v>
      </c>
      <c r="U425" s="46">
        <f t="shared" si="56"/>
        <v>20</v>
      </c>
      <c r="V425" s="54">
        <f t="shared" si="57"/>
        <v>6</v>
      </c>
    </row>
    <row r="426" spans="1:22" x14ac:dyDescent="0.2">
      <c r="A426" s="46" t="s">
        <v>182</v>
      </c>
      <c r="B426" s="46" t="s">
        <v>58</v>
      </c>
      <c r="C426" s="46" t="s">
        <v>93</v>
      </c>
      <c r="D426" s="46" t="s">
        <v>178</v>
      </c>
      <c r="E426" s="46">
        <v>1</v>
      </c>
      <c r="F426" s="46" t="s">
        <v>60</v>
      </c>
      <c r="G426" s="46">
        <v>2</v>
      </c>
      <c r="H426" s="47">
        <v>6</v>
      </c>
      <c r="I426" s="47" t="s">
        <v>127</v>
      </c>
      <c r="J426" s="48">
        <v>2</v>
      </c>
      <c r="K426" s="48">
        <v>1</v>
      </c>
      <c r="M426" s="48">
        <v>1</v>
      </c>
      <c r="R426" s="46">
        <f t="shared" si="54"/>
        <v>0</v>
      </c>
      <c r="S426" s="46">
        <f t="shared" si="55"/>
        <v>0</v>
      </c>
      <c r="T426" s="46">
        <f t="shared" si="58"/>
        <v>40</v>
      </c>
      <c r="U426" s="46">
        <f t="shared" si="56"/>
        <v>60</v>
      </c>
      <c r="V426" s="54">
        <f t="shared" si="57"/>
        <v>6</v>
      </c>
    </row>
    <row r="427" spans="1:22" x14ac:dyDescent="0.2">
      <c r="A427" s="46" t="s">
        <v>182</v>
      </c>
      <c r="B427" s="46" t="s">
        <v>49</v>
      </c>
      <c r="C427" s="46" t="s">
        <v>93</v>
      </c>
      <c r="D427" s="46" t="s">
        <v>178</v>
      </c>
      <c r="E427" s="46">
        <v>2</v>
      </c>
      <c r="F427" s="46" t="s">
        <v>60</v>
      </c>
      <c r="G427" s="46">
        <v>4</v>
      </c>
      <c r="H427" s="47">
        <v>20</v>
      </c>
      <c r="I427" s="47" t="s">
        <v>102</v>
      </c>
      <c r="J427" s="48">
        <v>2</v>
      </c>
      <c r="K427" s="48">
        <v>0</v>
      </c>
      <c r="R427" s="46">
        <f t="shared" si="54"/>
        <v>0</v>
      </c>
      <c r="S427" s="46">
        <f t="shared" si="55"/>
        <v>0</v>
      </c>
      <c r="T427" s="46">
        <f t="shared" si="58"/>
        <v>40</v>
      </c>
      <c r="U427" s="46">
        <f t="shared" si="56"/>
        <v>40</v>
      </c>
      <c r="V427" s="54">
        <f t="shared" si="57"/>
        <v>6</v>
      </c>
    </row>
    <row r="428" spans="1:22" x14ac:dyDescent="0.2">
      <c r="A428" s="46" t="s">
        <v>182</v>
      </c>
      <c r="B428" s="46" t="s">
        <v>58</v>
      </c>
      <c r="C428" s="46" t="s">
        <v>93</v>
      </c>
      <c r="D428" s="46" t="s">
        <v>178</v>
      </c>
      <c r="E428" s="46">
        <v>1</v>
      </c>
      <c r="F428" s="46" t="s">
        <v>63</v>
      </c>
      <c r="G428" s="46">
        <v>4</v>
      </c>
      <c r="H428" s="47" t="s">
        <v>150</v>
      </c>
      <c r="I428" s="47" t="s">
        <v>102</v>
      </c>
      <c r="J428" s="48">
        <v>2</v>
      </c>
      <c r="K428" s="48">
        <v>0</v>
      </c>
      <c r="R428" s="46">
        <f t="shared" si="54"/>
        <v>0</v>
      </c>
      <c r="S428" s="46">
        <f t="shared" si="55"/>
        <v>0</v>
      </c>
      <c r="T428" s="46">
        <f t="shared" si="58"/>
        <v>40</v>
      </c>
      <c r="U428" s="46">
        <f t="shared" si="56"/>
        <v>40</v>
      </c>
      <c r="V428" s="54">
        <f t="shared" si="57"/>
        <v>6</v>
      </c>
    </row>
    <row r="429" spans="1:22" x14ac:dyDescent="0.2">
      <c r="A429" s="46" t="s">
        <v>182</v>
      </c>
      <c r="B429" s="46" t="s">
        <v>58</v>
      </c>
      <c r="C429" s="46" t="s">
        <v>93</v>
      </c>
      <c r="D429" s="46" t="s">
        <v>178</v>
      </c>
      <c r="E429" s="46">
        <v>1</v>
      </c>
      <c r="F429" s="46" t="s">
        <v>63</v>
      </c>
      <c r="G429" s="46">
        <v>4</v>
      </c>
      <c r="H429" s="47" t="s">
        <v>172</v>
      </c>
      <c r="I429" s="47" t="s">
        <v>102</v>
      </c>
      <c r="J429" s="48">
        <v>2</v>
      </c>
      <c r="K429" s="48">
        <v>0</v>
      </c>
      <c r="R429" s="46">
        <f t="shared" si="54"/>
        <v>0</v>
      </c>
      <c r="S429" s="46">
        <f t="shared" si="55"/>
        <v>0</v>
      </c>
      <c r="T429" s="46">
        <f t="shared" si="58"/>
        <v>40</v>
      </c>
      <c r="U429" s="46">
        <f t="shared" si="56"/>
        <v>40</v>
      </c>
      <c r="V429" s="54">
        <f t="shared" si="57"/>
        <v>6</v>
      </c>
    </row>
    <row r="430" spans="1:22" x14ac:dyDescent="0.2">
      <c r="A430" s="46" t="s">
        <v>182</v>
      </c>
      <c r="B430" s="46" t="s">
        <v>49</v>
      </c>
      <c r="C430" s="46" t="s">
        <v>93</v>
      </c>
      <c r="D430" s="46" t="s">
        <v>178</v>
      </c>
      <c r="E430" s="46">
        <v>5</v>
      </c>
      <c r="F430" s="46" t="s">
        <v>60</v>
      </c>
      <c r="G430" s="46">
        <v>3</v>
      </c>
      <c r="H430" s="47">
        <v>7</v>
      </c>
      <c r="I430" s="47" t="s">
        <v>159</v>
      </c>
      <c r="J430" s="48">
        <v>1</v>
      </c>
      <c r="K430" s="48">
        <v>0</v>
      </c>
      <c r="R430" s="46">
        <f t="shared" si="54"/>
        <v>0</v>
      </c>
      <c r="S430" s="46">
        <f t="shared" si="55"/>
        <v>0</v>
      </c>
      <c r="T430" s="46">
        <f t="shared" si="58"/>
        <v>20</v>
      </c>
      <c r="U430" s="46">
        <f t="shared" si="56"/>
        <v>20</v>
      </c>
      <c r="V430" s="54">
        <f t="shared" si="57"/>
        <v>6</v>
      </c>
    </row>
    <row r="431" spans="1:22" x14ac:dyDescent="0.2">
      <c r="A431" s="46" t="s">
        <v>182</v>
      </c>
      <c r="B431" s="46" t="s">
        <v>49</v>
      </c>
      <c r="C431" s="46" t="s">
        <v>93</v>
      </c>
      <c r="D431" s="46" t="s">
        <v>178</v>
      </c>
      <c r="E431" s="46">
        <v>5</v>
      </c>
      <c r="F431" s="46" t="s">
        <v>60</v>
      </c>
      <c r="G431" s="46">
        <v>4</v>
      </c>
      <c r="H431" s="47">
        <v>20</v>
      </c>
      <c r="I431" s="47" t="s">
        <v>102</v>
      </c>
      <c r="J431" s="48">
        <v>0</v>
      </c>
      <c r="K431" s="48">
        <v>0</v>
      </c>
      <c r="R431" s="46">
        <f t="shared" si="54"/>
        <v>0</v>
      </c>
      <c r="S431" s="46">
        <f t="shared" si="55"/>
        <v>0</v>
      </c>
      <c r="T431" s="46">
        <f t="shared" si="58"/>
        <v>0</v>
      </c>
      <c r="U431" s="46">
        <f t="shared" si="56"/>
        <v>0</v>
      </c>
      <c r="V431" s="54">
        <f t="shared" si="57"/>
        <v>6</v>
      </c>
    </row>
    <row r="432" spans="1:22" x14ac:dyDescent="0.2">
      <c r="A432" s="46" t="s">
        <v>182</v>
      </c>
      <c r="B432" s="46" t="s">
        <v>49</v>
      </c>
      <c r="C432" s="46" t="s">
        <v>93</v>
      </c>
      <c r="D432" s="46" t="s">
        <v>178</v>
      </c>
      <c r="E432" s="46">
        <v>5</v>
      </c>
      <c r="F432" s="46" t="s">
        <v>60</v>
      </c>
      <c r="G432" s="46">
        <v>2</v>
      </c>
      <c r="H432" s="47">
        <v>22</v>
      </c>
      <c r="I432" s="47" t="s">
        <v>127</v>
      </c>
      <c r="J432" s="48">
        <v>0</v>
      </c>
      <c r="K432" s="48">
        <v>0</v>
      </c>
      <c r="R432" s="46">
        <f t="shared" si="54"/>
        <v>0</v>
      </c>
      <c r="S432" s="46">
        <f t="shared" si="55"/>
        <v>0</v>
      </c>
      <c r="T432" s="46">
        <f t="shared" si="58"/>
        <v>0</v>
      </c>
      <c r="U432" s="46">
        <f t="shared" si="56"/>
        <v>0</v>
      </c>
      <c r="V432" s="54">
        <f t="shared" si="57"/>
        <v>6</v>
      </c>
    </row>
    <row r="433" spans="1:22" x14ac:dyDescent="0.2">
      <c r="A433" s="46" t="s">
        <v>182</v>
      </c>
      <c r="B433" s="46" t="s">
        <v>49</v>
      </c>
      <c r="C433" s="46" t="s">
        <v>93</v>
      </c>
      <c r="D433" s="46" t="s">
        <v>178</v>
      </c>
      <c r="E433" s="46">
        <v>5</v>
      </c>
      <c r="F433" s="46" t="s">
        <v>60</v>
      </c>
      <c r="G433" s="46">
        <v>2</v>
      </c>
      <c r="H433" s="47">
        <v>30</v>
      </c>
      <c r="I433" s="47" t="s">
        <v>127</v>
      </c>
      <c r="J433" s="48">
        <v>0</v>
      </c>
      <c r="K433" s="48">
        <v>0</v>
      </c>
      <c r="R433" s="46">
        <f t="shared" si="54"/>
        <v>0</v>
      </c>
      <c r="S433" s="46">
        <f t="shared" si="55"/>
        <v>0</v>
      </c>
      <c r="T433" s="46">
        <f t="shared" si="58"/>
        <v>0</v>
      </c>
      <c r="U433" s="46">
        <f t="shared" si="56"/>
        <v>0</v>
      </c>
      <c r="V433" s="54">
        <f t="shared" si="57"/>
        <v>6</v>
      </c>
    </row>
    <row r="434" spans="1:22" x14ac:dyDescent="0.2">
      <c r="A434" s="46" t="s">
        <v>182</v>
      </c>
      <c r="B434" s="46" t="s">
        <v>49</v>
      </c>
      <c r="C434" s="46" t="s">
        <v>93</v>
      </c>
      <c r="D434" s="46" t="s">
        <v>178</v>
      </c>
      <c r="E434" s="46">
        <v>5</v>
      </c>
      <c r="F434" s="46" t="s">
        <v>60</v>
      </c>
      <c r="G434" s="46">
        <v>1</v>
      </c>
      <c r="H434" s="47">
        <v>37</v>
      </c>
      <c r="I434" s="47" t="s">
        <v>101</v>
      </c>
      <c r="J434" s="48">
        <v>1</v>
      </c>
      <c r="K434" s="48">
        <v>0</v>
      </c>
      <c r="O434" s="48">
        <v>1</v>
      </c>
      <c r="R434" s="46">
        <f t="shared" si="54"/>
        <v>0</v>
      </c>
      <c r="S434" s="46">
        <f t="shared" si="55"/>
        <v>0</v>
      </c>
      <c r="T434" s="46">
        <f t="shared" si="58"/>
        <v>20</v>
      </c>
      <c r="U434" s="46">
        <f t="shared" si="56"/>
        <v>30</v>
      </c>
      <c r="V434" s="54">
        <f t="shared" si="57"/>
        <v>6</v>
      </c>
    </row>
    <row r="435" spans="1:22" x14ac:dyDescent="0.2">
      <c r="A435" s="46" t="s">
        <v>182</v>
      </c>
      <c r="B435" s="46" t="s">
        <v>49</v>
      </c>
      <c r="C435" s="46" t="s">
        <v>93</v>
      </c>
      <c r="D435" s="46" t="s">
        <v>178</v>
      </c>
      <c r="E435" s="46">
        <v>5</v>
      </c>
      <c r="F435" s="46" t="s">
        <v>60</v>
      </c>
      <c r="G435" s="46">
        <v>1</v>
      </c>
      <c r="H435" s="47">
        <v>45</v>
      </c>
      <c r="I435" s="47" t="s">
        <v>101</v>
      </c>
      <c r="J435" s="48">
        <v>0</v>
      </c>
      <c r="K435" s="48">
        <v>0</v>
      </c>
      <c r="R435" s="46">
        <f t="shared" si="54"/>
        <v>0</v>
      </c>
      <c r="S435" s="46">
        <f t="shared" si="55"/>
        <v>0</v>
      </c>
      <c r="T435" s="46">
        <f t="shared" si="58"/>
        <v>0</v>
      </c>
      <c r="U435" s="46">
        <f t="shared" si="56"/>
        <v>0</v>
      </c>
      <c r="V435" s="54">
        <f t="shared" si="57"/>
        <v>6</v>
      </c>
    </row>
    <row r="436" spans="1:22" x14ac:dyDescent="0.2">
      <c r="A436" s="46" t="s">
        <v>182</v>
      </c>
      <c r="B436" s="46" t="s">
        <v>49</v>
      </c>
      <c r="C436" s="46" t="s">
        <v>93</v>
      </c>
      <c r="D436" s="46" t="s">
        <v>178</v>
      </c>
      <c r="E436" s="46">
        <v>5</v>
      </c>
      <c r="F436" s="46" t="s">
        <v>62</v>
      </c>
      <c r="G436" s="46">
        <v>2</v>
      </c>
      <c r="H436" s="47" t="s">
        <v>79</v>
      </c>
      <c r="I436" s="47" t="s">
        <v>127</v>
      </c>
      <c r="J436" s="48">
        <v>0</v>
      </c>
      <c r="K436" s="48">
        <v>0</v>
      </c>
      <c r="R436" s="46">
        <f t="shared" si="54"/>
        <v>0</v>
      </c>
      <c r="S436" s="46">
        <f t="shared" si="55"/>
        <v>0</v>
      </c>
      <c r="T436" s="46">
        <f t="shared" si="58"/>
        <v>0</v>
      </c>
      <c r="U436" s="46">
        <f t="shared" si="56"/>
        <v>0</v>
      </c>
      <c r="V436" s="54">
        <f t="shared" si="57"/>
        <v>6</v>
      </c>
    </row>
    <row r="437" spans="1:22" x14ac:dyDescent="0.2">
      <c r="A437" s="46" t="s">
        <v>182</v>
      </c>
      <c r="B437" s="46" t="s">
        <v>49</v>
      </c>
      <c r="C437" s="46" t="s">
        <v>93</v>
      </c>
      <c r="D437" s="46" t="s">
        <v>178</v>
      </c>
      <c r="E437" s="46">
        <v>5</v>
      </c>
      <c r="F437" s="46" t="s">
        <v>62</v>
      </c>
      <c r="G437" s="46">
        <v>2</v>
      </c>
      <c r="H437" s="47" t="s">
        <v>82</v>
      </c>
      <c r="I437" s="47" t="s">
        <v>127</v>
      </c>
      <c r="J437" s="48">
        <v>1</v>
      </c>
      <c r="K437" s="48">
        <v>1</v>
      </c>
      <c r="R437" s="46">
        <f t="shared" si="54"/>
        <v>0</v>
      </c>
      <c r="S437" s="46">
        <f t="shared" si="55"/>
        <v>0</v>
      </c>
      <c r="T437" s="46">
        <f t="shared" si="58"/>
        <v>20</v>
      </c>
      <c r="U437" s="46">
        <f t="shared" si="56"/>
        <v>20</v>
      </c>
      <c r="V437" s="54">
        <f t="shared" si="57"/>
        <v>6</v>
      </c>
    </row>
    <row r="438" spans="1:22" x14ac:dyDescent="0.2">
      <c r="A438" s="46" t="s">
        <v>182</v>
      </c>
      <c r="B438" s="46" t="s">
        <v>49</v>
      </c>
      <c r="C438" s="46" t="s">
        <v>93</v>
      </c>
      <c r="D438" s="46" t="s">
        <v>178</v>
      </c>
      <c r="E438" s="46">
        <v>5</v>
      </c>
      <c r="F438" s="46" t="s">
        <v>62</v>
      </c>
      <c r="G438" s="46">
        <v>2</v>
      </c>
      <c r="H438" s="47" t="s">
        <v>86</v>
      </c>
      <c r="I438" s="47" t="s">
        <v>127</v>
      </c>
      <c r="J438" s="48">
        <v>1</v>
      </c>
      <c r="K438" s="48">
        <v>1</v>
      </c>
      <c r="R438" s="46">
        <f t="shared" si="54"/>
        <v>0</v>
      </c>
      <c r="S438" s="46">
        <f t="shared" si="55"/>
        <v>0</v>
      </c>
      <c r="T438" s="46">
        <f t="shared" si="58"/>
        <v>20</v>
      </c>
      <c r="U438" s="46">
        <f t="shared" si="56"/>
        <v>20</v>
      </c>
      <c r="V438" s="54">
        <f t="shared" si="57"/>
        <v>6</v>
      </c>
    </row>
    <row r="439" spans="1:22" x14ac:dyDescent="0.2">
      <c r="A439" s="46" t="s">
        <v>182</v>
      </c>
      <c r="B439" s="46" t="s">
        <v>49</v>
      </c>
      <c r="C439" s="46" t="str">
        <f>VLOOKUP(B439,$B$2:$C$3219,2,FALSE)</f>
        <v>Lighthouse</v>
      </c>
      <c r="D439" s="46" t="s">
        <v>178</v>
      </c>
      <c r="E439" s="46">
        <v>5</v>
      </c>
      <c r="F439" s="46" t="s">
        <v>62</v>
      </c>
      <c r="G439" s="46">
        <v>3</v>
      </c>
      <c r="H439" s="47" t="s">
        <v>83</v>
      </c>
      <c r="I439" s="47" t="s">
        <v>219</v>
      </c>
      <c r="J439" s="48">
        <v>2</v>
      </c>
      <c r="K439" s="48">
        <v>0</v>
      </c>
      <c r="R439" s="46">
        <f t="shared" si="54"/>
        <v>0</v>
      </c>
      <c r="S439" s="46">
        <f t="shared" si="55"/>
        <v>0</v>
      </c>
      <c r="U439" s="46">
        <f t="shared" si="56"/>
        <v>0</v>
      </c>
      <c r="V439" s="54">
        <f t="shared" si="57"/>
        <v>6</v>
      </c>
    </row>
    <row r="440" spans="1:22" x14ac:dyDescent="0.2">
      <c r="A440" s="46" t="s">
        <v>200</v>
      </c>
      <c r="B440" s="46" t="s">
        <v>117</v>
      </c>
      <c r="C440" s="46" t="s">
        <v>54</v>
      </c>
      <c r="D440" s="46" t="s">
        <v>178</v>
      </c>
      <c r="E440" s="46">
        <v>2</v>
      </c>
      <c r="F440" s="46" t="s">
        <v>60</v>
      </c>
      <c r="G440" s="46">
        <v>3</v>
      </c>
      <c r="H440" s="47">
        <v>7</v>
      </c>
      <c r="I440" s="47" t="s">
        <v>116</v>
      </c>
      <c r="J440" s="48">
        <v>0</v>
      </c>
      <c r="K440" s="48">
        <v>0</v>
      </c>
      <c r="R440" s="46">
        <f t="shared" si="54"/>
        <v>0</v>
      </c>
      <c r="S440" s="46">
        <f t="shared" si="55"/>
        <v>0</v>
      </c>
      <c r="T440" s="46">
        <f t="shared" ref="T440:T471" si="59">quizscore(J440,K440)</f>
        <v>0</v>
      </c>
      <c r="U440" s="46">
        <f t="shared" si="56"/>
        <v>0</v>
      </c>
      <c r="V440" s="54">
        <f t="shared" si="57"/>
        <v>40.5</v>
      </c>
    </row>
    <row r="441" spans="1:22" x14ac:dyDescent="0.2">
      <c r="A441" s="46" t="s">
        <v>200</v>
      </c>
      <c r="B441" s="46" t="s">
        <v>117</v>
      </c>
      <c r="C441" s="46" t="s">
        <v>54</v>
      </c>
      <c r="D441" s="46" t="s">
        <v>178</v>
      </c>
      <c r="E441" s="46">
        <v>2</v>
      </c>
      <c r="F441" s="46" t="s">
        <v>60</v>
      </c>
      <c r="G441" s="46">
        <v>4</v>
      </c>
      <c r="H441" s="47">
        <v>16</v>
      </c>
      <c r="I441" s="47" t="s">
        <v>102</v>
      </c>
      <c r="J441" s="48">
        <v>0</v>
      </c>
      <c r="K441" s="48">
        <v>1</v>
      </c>
      <c r="R441" s="46">
        <f t="shared" si="54"/>
        <v>0</v>
      </c>
      <c r="S441" s="46">
        <f t="shared" si="55"/>
        <v>0</v>
      </c>
      <c r="T441" s="46">
        <f t="shared" si="59"/>
        <v>0</v>
      </c>
      <c r="U441" s="46">
        <f t="shared" si="56"/>
        <v>0</v>
      </c>
      <c r="V441" s="54">
        <f t="shared" si="57"/>
        <v>40.5</v>
      </c>
    </row>
    <row r="442" spans="1:22" x14ac:dyDescent="0.2">
      <c r="A442" s="46" t="s">
        <v>200</v>
      </c>
      <c r="B442" s="46" t="s">
        <v>117</v>
      </c>
      <c r="C442" s="46" t="s">
        <v>54</v>
      </c>
      <c r="D442" s="46" t="s">
        <v>178</v>
      </c>
      <c r="E442" s="46">
        <v>3</v>
      </c>
      <c r="F442" s="46" t="s">
        <v>60</v>
      </c>
      <c r="G442" s="46">
        <v>2</v>
      </c>
      <c r="H442" s="47">
        <v>22</v>
      </c>
      <c r="I442" s="47" t="s">
        <v>127</v>
      </c>
      <c r="J442" s="48">
        <v>0</v>
      </c>
      <c r="K442" s="48">
        <v>1</v>
      </c>
      <c r="R442" s="46">
        <f t="shared" si="54"/>
        <v>0</v>
      </c>
      <c r="S442" s="46">
        <f t="shared" si="55"/>
        <v>0</v>
      </c>
      <c r="T442" s="46">
        <f t="shared" si="59"/>
        <v>0</v>
      </c>
      <c r="U442" s="46">
        <f t="shared" si="56"/>
        <v>0</v>
      </c>
      <c r="V442" s="54">
        <f t="shared" si="57"/>
        <v>40.5</v>
      </c>
    </row>
    <row r="443" spans="1:22" x14ac:dyDescent="0.2">
      <c r="A443" s="46" t="s">
        <v>200</v>
      </c>
      <c r="B443" s="46" t="s">
        <v>117</v>
      </c>
      <c r="C443" s="46" t="s">
        <v>54</v>
      </c>
      <c r="D443" s="46" t="s">
        <v>178</v>
      </c>
      <c r="E443" s="46">
        <v>3</v>
      </c>
      <c r="F443" s="46" t="s">
        <v>60</v>
      </c>
      <c r="G443" s="46">
        <v>2</v>
      </c>
      <c r="H443" s="47">
        <v>30</v>
      </c>
      <c r="I443" s="47" t="s">
        <v>127</v>
      </c>
      <c r="J443" s="48">
        <v>1</v>
      </c>
      <c r="K443" s="48">
        <v>3</v>
      </c>
      <c r="R443" s="46">
        <f t="shared" si="54"/>
        <v>0</v>
      </c>
      <c r="S443" s="46">
        <f t="shared" si="55"/>
        <v>1</v>
      </c>
      <c r="T443" s="46">
        <f t="shared" si="59"/>
        <v>0</v>
      </c>
      <c r="U443" s="46">
        <f t="shared" si="56"/>
        <v>0</v>
      </c>
      <c r="V443" s="54">
        <f t="shared" si="57"/>
        <v>40.5</v>
      </c>
    </row>
    <row r="444" spans="1:22" x14ac:dyDescent="0.2">
      <c r="A444" s="46" t="s">
        <v>200</v>
      </c>
      <c r="B444" s="46" t="s">
        <v>117</v>
      </c>
      <c r="C444" s="46" t="s">
        <v>54</v>
      </c>
      <c r="D444" s="46" t="s">
        <v>178</v>
      </c>
      <c r="E444" s="46">
        <v>2</v>
      </c>
      <c r="F444" s="46" t="s">
        <v>60</v>
      </c>
      <c r="G444" s="46">
        <v>4</v>
      </c>
      <c r="H444" s="47">
        <v>36</v>
      </c>
      <c r="I444" s="47" t="s">
        <v>102</v>
      </c>
      <c r="J444" s="48">
        <v>0</v>
      </c>
      <c r="K444" s="48">
        <v>0</v>
      </c>
      <c r="R444" s="46">
        <f t="shared" si="54"/>
        <v>0</v>
      </c>
      <c r="S444" s="46">
        <f t="shared" si="55"/>
        <v>0</v>
      </c>
      <c r="T444" s="46">
        <f t="shared" si="59"/>
        <v>0</v>
      </c>
      <c r="U444" s="46">
        <f t="shared" si="56"/>
        <v>0</v>
      </c>
      <c r="V444" s="54">
        <f t="shared" si="57"/>
        <v>40.5</v>
      </c>
    </row>
    <row r="445" spans="1:22" x14ac:dyDescent="0.2">
      <c r="A445" s="46" t="s">
        <v>200</v>
      </c>
      <c r="B445" s="46" t="s">
        <v>117</v>
      </c>
      <c r="C445" s="46" t="s">
        <v>54</v>
      </c>
      <c r="D445" s="46" t="s">
        <v>178</v>
      </c>
      <c r="E445" s="46">
        <v>4</v>
      </c>
      <c r="F445" s="46" t="s">
        <v>60</v>
      </c>
      <c r="G445" s="46">
        <v>2</v>
      </c>
      <c r="H445" s="47">
        <v>46</v>
      </c>
      <c r="I445" s="47" t="s">
        <v>127</v>
      </c>
      <c r="J445" s="48">
        <v>0</v>
      </c>
      <c r="K445" s="48">
        <v>1</v>
      </c>
      <c r="R445" s="46">
        <f t="shared" si="54"/>
        <v>0</v>
      </c>
      <c r="S445" s="46">
        <f t="shared" si="55"/>
        <v>0</v>
      </c>
      <c r="T445" s="46">
        <f t="shared" si="59"/>
        <v>0</v>
      </c>
      <c r="U445" s="46">
        <f t="shared" si="56"/>
        <v>0</v>
      </c>
      <c r="V445" s="54">
        <f t="shared" si="57"/>
        <v>40.5</v>
      </c>
    </row>
    <row r="446" spans="1:22" x14ac:dyDescent="0.2">
      <c r="A446" s="46" t="s">
        <v>200</v>
      </c>
      <c r="B446" s="46" t="s">
        <v>117</v>
      </c>
      <c r="C446" s="46" t="s">
        <v>54</v>
      </c>
      <c r="D446" s="46" t="s">
        <v>178</v>
      </c>
      <c r="E446" s="46">
        <v>3</v>
      </c>
      <c r="F446" s="46" t="s">
        <v>60</v>
      </c>
      <c r="G446" s="46">
        <v>1</v>
      </c>
      <c r="H446" s="47">
        <v>49</v>
      </c>
      <c r="I446" s="47" t="s">
        <v>101</v>
      </c>
      <c r="J446" s="48">
        <v>0</v>
      </c>
      <c r="K446" s="48">
        <v>0</v>
      </c>
      <c r="R446" s="46">
        <f t="shared" si="54"/>
        <v>0</v>
      </c>
      <c r="S446" s="46">
        <f t="shared" si="55"/>
        <v>0</v>
      </c>
      <c r="T446" s="46">
        <f t="shared" si="59"/>
        <v>0</v>
      </c>
      <c r="U446" s="46">
        <f t="shared" si="56"/>
        <v>0</v>
      </c>
      <c r="V446" s="54">
        <f t="shared" si="57"/>
        <v>40.5</v>
      </c>
    </row>
    <row r="447" spans="1:22" x14ac:dyDescent="0.2">
      <c r="A447" s="46" t="s">
        <v>200</v>
      </c>
      <c r="B447" s="46" t="s">
        <v>117</v>
      </c>
      <c r="C447" s="46" t="s">
        <v>54</v>
      </c>
      <c r="D447" s="46" t="s">
        <v>178</v>
      </c>
      <c r="E447" s="46">
        <v>2</v>
      </c>
      <c r="F447" s="46" t="s">
        <v>60</v>
      </c>
      <c r="G447" s="46">
        <v>2</v>
      </c>
      <c r="H447" s="47">
        <v>50</v>
      </c>
      <c r="I447" s="47" t="s">
        <v>127</v>
      </c>
      <c r="J447" s="48">
        <v>0</v>
      </c>
      <c r="K447" s="48">
        <v>0</v>
      </c>
      <c r="R447" s="46">
        <f t="shared" si="54"/>
        <v>0</v>
      </c>
      <c r="S447" s="46">
        <f t="shared" si="55"/>
        <v>0</v>
      </c>
      <c r="T447" s="46">
        <f t="shared" si="59"/>
        <v>0</v>
      </c>
      <c r="U447" s="46">
        <f t="shared" si="56"/>
        <v>0</v>
      </c>
      <c r="V447" s="54">
        <f t="shared" si="57"/>
        <v>40.5</v>
      </c>
    </row>
    <row r="448" spans="1:22" x14ac:dyDescent="0.2">
      <c r="A448" s="46" t="s">
        <v>200</v>
      </c>
      <c r="B448" s="46" t="s">
        <v>117</v>
      </c>
      <c r="C448" s="46" t="s">
        <v>54</v>
      </c>
      <c r="D448" s="46" t="s">
        <v>178</v>
      </c>
      <c r="E448" s="46">
        <v>2</v>
      </c>
      <c r="F448" s="46" t="s">
        <v>61</v>
      </c>
      <c r="G448" s="46">
        <v>1</v>
      </c>
      <c r="H448" s="47" t="s">
        <v>74</v>
      </c>
      <c r="I448" s="47" t="s">
        <v>101</v>
      </c>
      <c r="J448" s="48">
        <v>0</v>
      </c>
      <c r="K448" s="48">
        <v>0</v>
      </c>
      <c r="R448" s="46">
        <f t="shared" si="54"/>
        <v>0</v>
      </c>
      <c r="S448" s="46">
        <f t="shared" si="55"/>
        <v>0</v>
      </c>
      <c r="T448" s="46">
        <f t="shared" si="59"/>
        <v>0</v>
      </c>
      <c r="U448" s="46">
        <f t="shared" si="56"/>
        <v>0</v>
      </c>
      <c r="V448" s="54">
        <f t="shared" si="57"/>
        <v>40.5</v>
      </c>
    </row>
    <row r="449" spans="1:22" x14ac:dyDescent="0.2">
      <c r="A449" s="46" t="s">
        <v>200</v>
      </c>
      <c r="B449" s="46" t="s">
        <v>117</v>
      </c>
      <c r="C449" s="46" t="s">
        <v>54</v>
      </c>
      <c r="D449" s="46" t="s">
        <v>178</v>
      </c>
      <c r="E449" s="46">
        <v>2</v>
      </c>
      <c r="F449" s="46" t="s">
        <v>61</v>
      </c>
      <c r="G449" s="46">
        <v>1</v>
      </c>
      <c r="H449" s="47" t="s">
        <v>68</v>
      </c>
      <c r="I449" s="47" t="s">
        <v>101</v>
      </c>
      <c r="J449" s="48">
        <v>0</v>
      </c>
      <c r="K449" s="48">
        <v>0</v>
      </c>
      <c r="R449" s="46">
        <f t="shared" si="54"/>
        <v>0</v>
      </c>
      <c r="S449" s="46">
        <f t="shared" si="55"/>
        <v>0</v>
      </c>
      <c r="T449" s="46">
        <f t="shared" si="59"/>
        <v>0</v>
      </c>
      <c r="U449" s="46">
        <f t="shared" si="56"/>
        <v>0</v>
      </c>
      <c r="V449" s="54">
        <f t="shared" si="57"/>
        <v>40.5</v>
      </c>
    </row>
    <row r="450" spans="1:22" x14ac:dyDescent="0.2">
      <c r="A450" s="46" t="s">
        <v>200</v>
      </c>
      <c r="B450" s="46" t="s">
        <v>117</v>
      </c>
      <c r="C450" s="46" t="s">
        <v>54</v>
      </c>
      <c r="D450" s="46" t="s">
        <v>178</v>
      </c>
      <c r="E450" s="46">
        <v>3</v>
      </c>
      <c r="F450" s="46" t="s">
        <v>61</v>
      </c>
      <c r="G450" s="46">
        <v>1</v>
      </c>
      <c r="H450" s="47" t="s">
        <v>68</v>
      </c>
      <c r="I450" s="47" t="s">
        <v>101</v>
      </c>
      <c r="J450" s="48">
        <v>0</v>
      </c>
      <c r="K450" s="48">
        <v>0</v>
      </c>
      <c r="R450" s="46">
        <f t="shared" ref="R450:R513" si="60">IF(J450=4,1,0)</f>
        <v>0</v>
      </c>
      <c r="S450" s="46">
        <f t="shared" ref="S450:S513" si="61">IF(K450=3,1,0)</f>
        <v>0</v>
      </c>
      <c r="T450" s="46">
        <f t="shared" si="59"/>
        <v>0</v>
      </c>
      <c r="U450" s="46">
        <f t="shared" ref="U450:U513" si="62">T450+M450*(20) + (SUM(O450:Q450)*(10)) - L450*(5) - N450*(5)</f>
        <v>0</v>
      </c>
      <c r="V450" s="54">
        <f t="shared" ref="V450:V513" si="63">AVERAGEIFS(U:U,A:A,A450,F:F,"Pre")</f>
        <v>40.5</v>
      </c>
    </row>
    <row r="451" spans="1:22" x14ac:dyDescent="0.2">
      <c r="A451" s="46" t="s">
        <v>200</v>
      </c>
      <c r="B451" s="46" t="s">
        <v>117</v>
      </c>
      <c r="C451" s="46" t="s">
        <v>54</v>
      </c>
      <c r="D451" s="46" t="s">
        <v>178</v>
      </c>
      <c r="E451" s="46">
        <v>2</v>
      </c>
      <c r="F451" s="46" t="s">
        <v>61</v>
      </c>
      <c r="G451" s="46">
        <v>2</v>
      </c>
      <c r="H451" s="47" t="s">
        <v>66</v>
      </c>
      <c r="I451" s="47" t="s">
        <v>127</v>
      </c>
      <c r="J451" s="48">
        <v>0</v>
      </c>
      <c r="K451" s="48">
        <v>0</v>
      </c>
      <c r="R451" s="46">
        <f t="shared" si="60"/>
        <v>0</v>
      </c>
      <c r="S451" s="46">
        <f t="shared" si="61"/>
        <v>0</v>
      </c>
      <c r="T451" s="46">
        <f t="shared" si="59"/>
        <v>0</v>
      </c>
      <c r="U451" s="46">
        <f t="shared" si="62"/>
        <v>0</v>
      </c>
      <c r="V451" s="54">
        <f t="shared" si="63"/>
        <v>40.5</v>
      </c>
    </row>
    <row r="452" spans="1:22" x14ac:dyDescent="0.2">
      <c r="A452" s="46" t="s">
        <v>200</v>
      </c>
      <c r="B452" s="46" t="s">
        <v>117</v>
      </c>
      <c r="C452" s="46" t="s">
        <v>54</v>
      </c>
      <c r="D452" s="46" t="s">
        <v>178</v>
      </c>
      <c r="E452" s="46">
        <v>3</v>
      </c>
      <c r="F452" s="46" t="s">
        <v>61</v>
      </c>
      <c r="G452" s="46">
        <v>2</v>
      </c>
      <c r="H452" s="47" t="s">
        <v>66</v>
      </c>
      <c r="I452" s="47" t="s">
        <v>127</v>
      </c>
      <c r="J452" s="48">
        <v>0</v>
      </c>
      <c r="K452" s="48">
        <v>0</v>
      </c>
      <c r="R452" s="46">
        <f t="shared" si="60"/>
        <v>0</v>
      </c>
      <c r="S452" s="46">
        <f t="shared" si="61"/>
        <v>0</v>
      </c>
      <c r="T452" s="46">
        <f t="shared" si="59"/>
        <v>0</v>
      </c>
      <c r="U452" s="46">
        <f t="shared" si="62"/>
        <v>0</v>
      </c>
      <c r="V452" s="54">
        <f t="shared" si="63"/>
        <v>40.5</v>
      </c>
    </row>
    <row r="453" spans="1:22" x14ac:dyDescent="0.2">
      <c r="A453" s="46" t="s">
        <v>200</v>
      </c>
      <c r="B453" s="46" t="s">
        <v>117</v>
      </c>
      <c r="C453" s="46" t="s">
        <v>54</v>
      </c>
      <c r="D453" s="46" t="s">
        <v>178</v>
      </c>
      <c r="E453" s="46">
        <v>4</v>
      </c>
      <c r="F453" s="46" t="s">
        <v>61</v>
      </c>
      <c r="G453" s="46">
        <v>2</v>
      </c>
      <c r="H453" s="47" t="s">
        <v>76</v>
      </c>
      <c r="I453" s="47" t="s">
        <v>127</v>
      </c>
      <c r="J453" s="48">
        <v>1</v>
      </c>
      <c r="K453" s="48">
        <v>2</v>
      </c>
      <c r="R453" s="46">
        <f t="shared" si="60"/>
        <v>0</v>
      </c>
      <c r="S453" s="46">
        <f t="shared" si="61"/>
        <v>0</v>
      </c>
      <c r="T453" s="46">
        <f t="shared" si="59"/>
        <v>10</v>
      </c>
      <c r="U453" s="46">
        <f t="shared" si="62"/>
        <v>10</v>
      </c>
      <c r="V453" s="54">
        <f t="shared" si="63"/>
        <v>40.5</v>
      </c>
    </row>
    <row r="454" spans="1:22" x14ac:dyDescent="0.2">
      <c r="A454" s="46" t="s">
        <v>200</v>
      </c>
      <c r="B454" s="46" t="s">
        <v>117</v>
      </c>
      <c r="C454" s="46" t="s">
        <v>54</v>
      </c>
      <c r="D454" s="46" t="s">
        <v>178</v>
      </c>
      <c r="E454" s="46">
        <v>4</v>
      </c>
      <c r="F454" s="46" t="s">
        <v>60</v>
      </c>
      <c r="G454" s="46">
        <v>2</v>
      </c>
      <c r="H454" s="47">
        <v>6</v>
      </c>
      <c r="I454" s="47" t="s">
        <v>127</v>
      </c>
      <c r="J454" s="48">
        <v>1</v>
      </c>
      <c r="K454" s="48">
        <v>0</v>
      </c>
      <c r="R454" s="46">
        <f t="shared" si="60"/>
        <v>0</v>
      </c>
      <c r="S454" s="46">
        <f t="shared" si="61"/>
        <v>0</v>
      </c>
      <c r="T454" s="46">
        <f t="shared" si="59"/>
        <v>20</v>
      </c>
      <c r="U454" s="46">
        <f t="shared" si="62"/>
        <v>20</v>
      </c>
      <c r="V454" s="54">
        <f t="shared" si="63"/>
        <v>40.5</v>
      </c>
    </row>
    <row r="455" spans="1:22" x14ac:dyDescent="0.2">
      <c r="A455" s="46" t="s">
        <v>200</v>
      </c>
      <c r="B455" s="46" t="s">
        <v>117</v>
      </c>
      <c r="C455" s="46" t="s">
        <v>54</v>
      </c>
      <c r="D455" s="46" t="s">
        <v>178</v>
      </c>
      <c r="E455" s="46">
        <v>4</v>
      </c>
      <c r="F455" s="46" t="s">
        <v>60</v>
      </c>
      <c r="G455" s="46">
        <v>4</v>
      </c>
      <c r="H455" s="47">
        <v>40</v>
      </c>
      <c r="I455" s="47" t="s">
        <v>102</v>
      </c>
      <c r="J455" s="48">
        <v>1</v>
      </c>
      <c r="K455" s="48">
        <v>1</v>
      </c>
      <c r="R455" s="46">
        <f t="shared" si="60"/>
        <v>0</v>
      </c>
      <c r="S455" s="46">
        <f t="shared" si="61"/>
        <v>0</v>
      </c>
      <c r="T455" s="46">
        <f t="shared" si="59"/>
        <v>20</v>
      </c>
      <c r="U455" s="46">
        <f t="shared" si="62"/>
        <v>20</v>
      </c>
      <c r="V455" s="54">
        <f t="shared" si="63"/>
        <v>40.5</v>
      </c>
    </row>
    <row r="456" spans="1:22" x14ac:dyDescent="0.2">
      <c r="A456" s="46" t="s">
        <v>200</v>
      </c>
      <c r="B456" s="46" t="s">
        <v>117</v>
      </c>
      <c r="C456" s="46" t="s">
        <v>54</v>
      </c>
      <c r="D456" s="46" t="s">
        <v>178</v>
      </c>
      <c r="E456" s="46">
        <v>2</v>
      </c>
      <c r="F456" s="46" t="s">
        <v>60</v>
      </c>
      <c r="G456" s="46">
        <v>1</v>
      </c>
      <c r="H456" s="47">
        <v>41</v>
      </c>
      <c r="I456" s="47" t="s">
        <v>101</v>
      </c>
      <c r="J456" s="48">
        <v>2</v>
      </c>
      <c r="K456" s="48">
        <v>3</v>
      </c>
      <c r="R456" s="46">
        <f t="shared" si="60"/>
        <v>0</v>
      </c>
      <c r="S456" s="46">
        <f t="shared" si="61"/>
        <v>1</v>
      </c>
      <c r="T456" s="46">
        <f t="shared" si="59"/>
        <v>20</v>
      </c>
      <c r="U456" s="46">
        <f t="shared" si="62"/>
        <v>20</v>
      </c>
      <c r="V456" s="54">
        <f t="shared" si="63"/>
        <v>40.5</v>
      </c>
    </row>
    <row r="457" spans="1:22" x14ac:dyDescent="0.2">
      <c r="A457" s="46" t="s">
        <v>200</v>
      </c>
      <c r="B457" s="46" t="s">
        <v>117</v>
      </c>
      <c r="C457" s="46" t="s">
        <v>54</v>
      </c>
      <c r="D457" s="46" t="s">
        <v>178</v>
      </c>
      <c r="E457" s="46">
        <v>3</v>
      </c>
      <c r="F457" s="46" t="s">
        <v>61</v>
      </c>
      <c r="G457" s="46">
        <v>1</v>
      </c>
      <c r="H457" s="47" t="s">
        <v>70</v>
      </c>
      <c r="I457" s="47" t="s">
        <v>101</v>
      </c>
      <c r="J457" s="48">
        <v>1</v>
      </c>
      <c r="K457" s="48">
        <v>0</v>
      </c>
      <c r="R457" s="46">
        <f t="shared" si="60"/>
        <v>0</v>
      </c>
      <c r="S457" s="46">
        <f t="shared" si="61"/>
        <v>0</v>
      </c>
      <c r="T457" s="46">
        <f t="shared" si="59"/>
        <v>20</v>
      </c>
      <c r="U457" s="46">
        <f t="shared" si="62"/>
        <v>20</v>
      </c>
      <c r="V457" s="54">
        <f t="shared" si="63"/>
        <v>40.5</v>
      </c>
    </row>
    <row r="458" spans="1:22" x14ac:dyDescent="0.2">
      <c r="A458" s="46" t="s">
        <v>200</v>
      </c>
      <c r="B458" s="46" t="s">
        <v>117</v>
      </c>
      <c r="C458" s="46" t="s">
        <v>54</v>
      </c>
      <c r="D458" s="46" t="s">
        <v>178</v>
      </c>
      <c r="E458" s="46">
        <v>4</v>
      </c>
      <c r="F458" s="46" t="s">
        <v>61</v>
      </c>
      <c r="G458" s="46">
        <v>1</v>
      </c>
      <c r="H458" s="47" t="s">
        <v>70</v>
      </c>
      <c r="I458" s="47" t="s">
        <v>101</v>
      </c>
      <c r="J458" s="48">
        <v>1</v>
      </c>
      <c r="K458" s="48">
        <v>0</v>
      </c>
      <c r="O458" s="48">
        <v>1</v>
      </c>
      <c r="R458" s="46">
        <f t="shared" si="60"/>
        <v>0</v>
      </c>
      <c r="S458" s="46">
        <f t="shared" si="61"/>
        <v>0</v>
      </c>
      <c r="T458" s="46">
        <f t="shared" si="59"/>
        <v>20</v>
      </c>
      <c r="U458" s="46">
        <f t="shared" si="62"/>
        <v>30</v>
      </c>
      <c r="V458" s="54">
        <f t="shared" si="63"/>
        <v>40.5</v>
      </c>
    </row>
    <row r="459" spans="1:22" x14ac:dyDescent="0.2">
      <c r="A459" s="46" t="s">
        <v>200</v>
      </c>
      <c r="B459" s="46" t="s">
        <v>120</v>
      </c>
      <c r="C459" s="46" t="s">
        <v>54</v>
      </c>
      <c r="D459" s="46" t="s">
        <v>178</v>
      </c>
      <c r="E459" s="46">
        <v>1</v>
      </c>
      <c r="F459" s="46" t="s">
        <v>60</v>
      </c>
      <c r="G459" s="46">
        <v>2</v>
      </c>
      <c r="H459" s="47">
        <v>14</v>
      </c>
      <c r="I459" s="47" t="s">
        <v>127</v>
      </c>
      <c r="J459" s="48">
        <v>2</v>
      </c>
      <c r="K459" s="48">
        <v>2</v>
      </c>
      <c r="M459" s="48">
        <v>1</v>
      </c>
      <c r="R459" s="46">
        <f t="shared" si="60"/>
        <v>0</v>
      </c>
      <c r="S459" s="46">
        <f t="shared" si="61"/>
        <v>0</v>
      </c>
      <c r="T459" s="46">
        <f t="shared" si="59"/>
        <v>30</v>
      </c>
      <c r="U459" s="46">
        <f t="shared" si="62"/>
        <v>50</v>
      </c>
      <c r="V459" s="54">
        <f t="shared" si="63"/>
        <v>40.5</v>
      </c>
    </row>
    <row r="460" spans="1:22" x14ac:dyDescent="0.2">
      <c r="A460" s="46" t="s">
        <v>200</v>
      </c>
      <c r="B460" s="46" t="s">
        <v>117</v>
      </c>
      <c r="C460" s="46" t="s">
        <v>54</v>
      </c>
      <c r="D460" s="46" t="s">
        <v>178</v>
      </c>
      <c r="E460" s="46">
        <v>4</v>
      </c>
      <c r="F460" s="46" t="s">
        <v>60</v>
      </c>
      <c r="G460" s="46">
        <v>1</v>
      </c>
      <c r="H460" s="47">
        <v>13</v>
      </c>
      <c r="I460" s="47" t="s">
        <v>101</v>
      </c>
      <c r="J460" s="48">
        <v>2</v>
      </c>
      <c r="K460" s="48">
        <v>1</v>
      </c>
      <c r="L460" s="48">
        <v>2</v>
      </c>
      <c r="R460" s="46">
        <f t="shared" si="60"/>
        <v>0</v>
      </c>
      <c r="S460" s="46">
        <f t="shared" si="61"/>
        <v>0</v>
      </c>
      <c r="T460" s="46">
        <f t="shared" si="59"/>
        <v>40</v>
      </c>
      <c r="U460" s="46">
        <f t="shared" si="62"/>
        <v>30</v>
      </c>
      <c r="V460" s="54">
        <f t="shared" si="63"/>
        <v>40.5</v>
      </c>
    </row>
    <row r="461" spans="1:22" x14ac:dyDescent="0.2">
      <c r="A461" s="46" t="s">
        <v>200</v>
      </c>
      <c r="B461" s="46" t="s">
        <v>117</v>
      </c>
      <c r="C461" s="46" t="s">
        <v>54</v>
      </c>
      <c r="D461" s="46" t="s">
        <v>178</v>
      </c>
      <c r="E461" s="46">
        <v>4</v>
      </c>
      <c r="F461" s="46" t="s">
        <v>60</v>
      </c>
      <c r="G461" s="46">
        <v>1</v>
      </c>
      <c r="H461" s="47">
        <v>21</v>
      </c>
      <c r="I461" s="47" t="s">
        <v>101</v>
      </c>
      <c r="J461" s="48">
        <v>2</v>
      </c>
      <c r="K461" s="48">
        <v>1</v>
      </c>
      <c r="R461" s="46">
        <f t="shared" si="60"/>
        <v>0</v>
      </c>
      <c r="S461" s="46">
        <f t="shared" si="61"/>
        <v>0</v>
      </c>
      <c r="T461" s="46">
        <f t="shared" si="59"/>
        <v>40</v>
      </c>
      <c r="U461" s="46">
        <f t="shared" si="62"/>
        <v>40</v>
      </c>
      <c r="V461" s="54">
        <f t="shared" si="63"/>
        <v>40.5</v>
      </c>
    </row>
    <row r="462" spans="1:22" x14ac:dyDescent="0.2">
      <c r="A462" s="46" t="s">
        <v>200</v>
      </c>
      <c r="B462" s="46" t="s">
        <v>117</v>
      </c>
      <c r="C462" s="46" t="s">
        <v>54</v>
      </c>
      <c r="D462" s="46" t="s">
        <v>178</v>
      </c>
      <c r="E462" s="46">
        <v>3</v>
      </c>
      <c r="F462" s="46" t="s">
        <v>60</v>
      </c>
      <c r="G462" s="46">
        <v>3</v>
      </c>
      <c r="H462" s="47">
        <v>43</v>
      </c>
      <c r="I462" s="47" t="s">
        <v>116</v>
      </c>
      <c r="J462" s="48">
        <v>2</v>
      </c>
      <c r="K462" s="48">
        <v>0</v>
      </c>
      <c r="O462" s="48">
        <v>1</v>
      </c>
      <c r="R462" s="46">
        <f t="shared" si="60"/>
        <v>0</v>
      </c>
      <c r="S462" s="46">
        <f t="shared" si="61"/>
        <v>0</v>
      </c>
      <c r="T462" s="46">
        <f t="shared" si="59"/>
        <v>40</v>
      </c>
      <c r="U462" s="46">
        <f t="shared" si="62"/>
        <v>50</v>
      </c>
      <c r="V462" s="54">
        <f t="shared" si="63"/>
        <v>40.5</v>
      </c>
    </row>
    <row r="463" spans="1:22" x14ac:dyDescent="0.2">
      <c r="A463" s="46" t="s">
        <v>200</v>
      </c>
      <c r="B463" s="46" t="s">
        <v>117</v>
      </c>
      <c r="C463" s="46" t="s">
        <v>54</v>
      </c>
      <c r="D463" s="46" t="s">
        <v>178</v>
      </c>
      <c r="E463" s="46">
        <v>3</v>
      </c>
      <c r="F463" s="46" t="s">
        <v>60</v>
      </c>
      <c r="G463" s="46">
        <v>4</v>
      </c>
      <c r="H463" s="47">
        <v>8</v>
      </c>
      <c r="I463" s="47" t="s">
        <v>102</v>
      </c>
      <c r="J463" s="48">
        <v>3</v>
      </c>
      <c r="K463" s="48">
        <v>1</v>
      </c>
      <c r="O463" s="48">
        <v>1</v>
      </c>
      <c r="R463" s="46">
        <f t="shared" si="60"/>
        <v>0</v>
      </c>
      <c r="S463" s="46">
        <f t="shared" si="61"/>
        <v>0</v>
      </c>
      <c r="T463" s="46">
        <f t="shared" si="59"/>
        <v>60</v>
      </c>
      <c r="U463" s="46">
        <f t="shared" si="62"/>
        <v>70</v>
      </c>
      <c r="V463" s="54">
        <f t="shared" si="63"/>
        <v>40.5</v>
      </c>
    </row>
    <row r="464" spans="1:22" x14ac:dyDescent="0.2">
      <c r="A464" s="46" t="s">
        <v>200</v>
      </c>
      <c r="B464" s="46" t="s">
        <v>117</v>
      </c>
      <c r="C464" s="46" t="s">
        <v>54</v>
      </c>
      <c r="D464" s="46" t="s">
        <v>178</v>
      </c>
      <c r="E464" s="46">
        <v>3</v>
      </c>
      <c r="F464" s="46" t="s">
        <v>60</v>
      </c>
      <c r="G464" s="46">
        <v>1</v>
      </c>
      <c r="H464" s="47">
        <v>13</v>
      </c>
      <c r="I464" s="47" t="s">
        <v>101</v>
      </c>
      <c r="J464" s="48">
        <v>3</v>
      </c>
      <c r="K464" s="48">
        <v>1</v>
      </c>
      <c r="N464" s="48">
        <v>1</v>
      </c>
      <c r="R464" s="46">
        <f t="shared" si="60"/>
        <v>0</v>
      </c>
      <c r="S464" s="46">
        <f t="shared" si="61"/>
        <v>0</v>
      </c>
      <c r="T464" s="46">
        <f t="shared" si="59"/>
        <v>60</v>
      </c>
      <c r="U464" s="46">
        <f t="shared" si="62"/>
        <v>55</v>
      </c>
      <c r="V464" s="54">
        <f t="shared" si="63"/>
        <v>40.5</v>
      </c>
    </row>
    <row r="465" spans="1:22" x14ac:dyDescent="0.2">
      <c r="A465" s="46" t="s">
        <v>200</v>
      </c>
      <c r="B465" s="46" t="s">
        <v>117</v>
      </c>
      <c r="C465" s="46" t="s">
        <v>54</v>
      </c>
      <c r="D465" s="46" t="s">
        <v>178</v>
      </c>
      <c r="E465" s="46">
        <v>4</v>
      </c>
      <c r="F465" s="46" t="s">
        <v>60</v>
      </c>
      <c r="G465" s="46">
        <v>3</v>
      </c>
      <c r="H465" s="47">
        <v>35</v>
      </c>
      <c r="I465" s="47" t="s">
        <v>159</v>
      </c>
      <c r="J465" s="48">
        <v>3</v>
      </c>
      <c r="K465" s="48">
        <v>1</v>
      </c>
      <c r="R465" s="46">
        <f t="shared" si="60"/>
        <v>0</v>
      </c>
      <c r="S465" s="46">
        <f t="shared" si="61"/>
        <v>0</v>
      </c>
      <c r="T465" s="46">
        <f t="shared" si="59"/>
        <v>60</v>
      </c>
      <c r="U465" s="46">
        <f t="shared" si="62"/>
        <v>60</v>
      </c>
      <c r="V465" s="54">
        <f t="shared" si="63"/>
        <v>40.5</v>
      </c>
    </row>
    <row r="466" spans="1:22" x14ac:dyDescent="0.2">
      <c r="A466" s="46" t="s">
        <v>200</v>
      </c>
      <c r="B466" s="46" t="s">
        <v>120</v>
      </c>
      <c r="C466" s="46" t="s">
        <v>54</v>
      </c>
      <c r="D466" s="46" t="s">
        <v>178</v>
      </c>
      <c r="E466" s="46">
        <v>1</v>
      </c>
      <c r="F466" s="46" t="s">
        <v>62</v>
      </c>
      <c r="G466" s="46">
        <v>2</v>
      </c>
      <c r="H466" s="47" t="s">
        <v>81</v>
      </c>
      <c r="I466" s="47" t="s">
        <v>127</v>
      </c>
      <c r="J466" s="48">
        <v>4</v>
      </c>
      <c r="K466" s="48">
        <v>2</v>
      </c>
      <c r="R466" s="46">
        <f t="shared" si="60"/>
        <v>1</v>
      </c>
      <c r="S466" s="46">
        <f t="shared" si="61"/>
        <v>0</v>
      </c>
      <c r="T466" s="46">
        <f t="shared" si="59"/>
        <v>70</v>
      </c>
      <c r="U466" s="46">
        <f t="shared" si="62"/>
        <v>70</v>
      </c>
      <c r="V466" s="54">
        <f t="shared" si="63"/>
        <v>40.5</v>
      </c>
    </row>
    <row r="467" spans="1:22" x14ac:dyDescent="0.2">
      <c r="A467" s="46" t="s">
        <v>200</v>
      </c>
      <c r="B467" s="46" t="s">
        <v>120</v>
      </c>
      <c r="C467" s="46" t="s">
        <v>54</v>
      </c>
      <c r="D467" s="46" t="s">
        <v>178</v>
      </c>
      <c r="E467" s="46">
        <v>1</v>
      </c>
      <c r="F467" s="46" t="s">
        <v>60</v>
      </c>
      <c r="G467" s="46">
        <v>1</v>
      </c>
      <c r="H467" s="47">
        <v>5</v>
      </c>
      <c r="I467" s="47" t="s">
        <v>101</v>
      </c>
      <c r="J467" s="48">
        <v>4</v>
      </c>
      <c r="K467" s="48">
        <v>1</v>
      </c>
      <c r="R467" s="46">
        <f t="shared" si="60"/>
        <v>1</v>
      </c>
      <c r="S467" s="46">
        <f t="shared" si="61"/>
        <v>0</v>
      </c>
      <c r="T467" s="46">
        <f t="shared" si="59"/>
        <v>80</v>
      </c>
      <c r="U467" s="46">
        <f t="shared" si="62"/>
        <v>80</v>
      </c>
      <c r="V467" s="54">
        <f t="shared" si="63"/>
        <v>40.5</v>
      </c>
    </row>
    <row r="468" spans="1:22" x14ac:dyDescent="0.2">
      <c r="A468" s="46" t="s">
        <v>200</v>
      </c>
      <c r="B468" s="46" t="s">
        <v>120</v>
      </c>
      <c r="C468" s="46" t="s">
        <v>54</v>
      </c>
      <c r="D468" s="46" t="s">
        <v>178</v>
      </c>
      <c r="E468" s="46">
        <v>1</v>
      </c>
      <c r="F468" s="46" t="s">
        <v>60</v>
      </c>
      <c r="G468" s="46">
        <v>2</v>
      </c>
      <c r="H468" s="47">
        <v>22</v>
      </c>
      <c r="I468" s="47" t="s">
        <v>127</v>
      </c>
      <c r="J468" s="48">
        <v>4</v>
      </c>
      <c r="K468" s="48">
        <v>1</v>
      </c>
      <c r="R468" s="46">
        <f t="shared" si="60"/>
        <v>1</v>
      </c>
      <c r="S468" s="46">
        <f t="shared" si="61"/>
        <v>0</v>
      </c>
      <c r="T468" s="46">
        <f t="shared" si="59"/>
        <v>80</v>
      </c>
      <c r="U468" s="46">
        <f t="shared" si="62"/>
        <v>80</v>
      </c>
      <c r="V468" s="54">
        <f t="shared" si="63"/>
        <v>40.5</v>
      </c>
    </row>
    <row r="469" spans="1:22" x14ac:dyDescent="0.2">
      <c r="A469" s="46" t="s">
        <v>200</v>
      </c>
      <c r="B469" s="46" t="s">
        <v>120</v>
      </c>
      <c r="C469" s="46" t="s">
        <v>54</v>
      </c>
      <c r="D469" s="46" t="s">
        <v>178</v>
      </c>
      <c r="E469" s="46">
        <v>1</v>
      </c>
      <c r="F469" s="46" t="s">
        <v>60</v>
      </c>
      <c r="G469" s="46">
        <v>4</v>
      </c>
      <c r="H469" s="47">
        <v>28</v>
      </c>
      <c r="I469" s="47" t="s">
        <v>102</v>
      </c>
      <c r="J469" s="48">
        <v>4</v>
      </c>
      <c r="K469" s="48">
        <v>1</v>
      </c>
      <c r="R469" s="46">
        <f t="shared" si="60"/>
        <v>1</v>
      </c>
      <c r="S469" s="46">
        <f t="shared" si="61"/>
        <v>0</v>
      </c>
      <c r="T469" s="46">
        <f t="shared" si="59"/>
        <v>80</v>
      </c>
      <c r="U469" s="46">
        <f t="shared" si="62"/>
        <v>80</v>
      </c>
      <c r="V469" s="54">
        <f t="shared" si="63"/>
        <v>40.5</v>
      </c>
    </row>
    <row r="470" spans="1:22" x14ac:dyDescent="0.2">
      <c r="A470" s="46" t="s">
        <v>200</v>
      </c>
      <c r="B470" s="46" t="s">
        <v>120</v>
      </c>
      <c r="C470" s="46" t="s">
        <v>54</v>
      </c>
      <c r="D470" s="46" t="s">
        <v>178</v>
      </c>
      <c r="E470" s="46">
        <v>1</v>
      </c>
      <c r="F470" s="46" t="s">
        <v>62</v>
      </c>
      <c r="G470" s="46">
        <v>3</v>
      </c>
      <c r="H470" s="47" t="s">
        <v>85</v>
      </c>
      <c r="I470" s="47" t="s">
        <v>116</v>
      </c>
      <c r="J470" s="48">
        <v>4</v>
      </c>
      <c r="K470" s="48">
        <v>1</v>
      </c>
      <c r="R470" s="46">
        <f t="shared" si="60"/>
        <v>1</v>
      </c>
      <c r="S470" s="46">
        <f t="shared" si="61"/>
        <v>0</v>
      </c>
      <c r="T470" s="46">
        <f t="shared" si="59"/>
        <v>80</v>
      </c>
      <c r="U470" s="46">
        <f t="shared" si="62"/>
        <v>80</v>
      </c>
      <c r="V470" s="54">
        <f t="shared" si="63"/>
        <v>40.5</v>
      </c>
    </row>
    <row r="471" spans="1:22" x14ac:dyDescent="0.2">
      <c r="A471" s="46" t="s">
        <v>200</v>
      </c>
      <c r="B471" s="46" t="s">
        <v>117</v>
      </c>
      <c r="C471" s="46" t="s">
        <v>54</v>
      </c>
      <c r="D471" s="46" t="s">
        <v>178</v>
      </c>
      <c r="E471" s="46">
        <v>2</v>
      </c>
      <c r="F471" s="46" t="s">
        <v>60</v>
      </c>
      <c r="G471" s="46">
        <v>1</v>
      </c>
      <c r="H471" s="47">
        <v>25</v>
      </c>
      <c r="I471" s="47" t="s">
        <v>101</v>
      </c>
      <c r="J471" s="48">
        <v>4</v>
      </c>
      <c r="K471" s="48">
        <v>0</v>
      </c>
      <c r="O471" s="48">
        <v>1</v>
      </c>
      <c r="R471" s="46">
        <f t="shared" si="60"/>
        <v>1</v>
      </c>
      <c r="S471" s="46">
        <f t="shared" si="61"/>
        <v>0</v>
      </c>
      <c r="T471" s="46">
        <f t="shared" si="59"/>
        <v>90</v>
      </c>
      <c r="U471" s="46">
        <f t="shared" si="62"/>
        <v>100</v>
      </c>
      <c r="V471" s="54">
        <f t="shared" si="63"/>
        <v>40.5</v>
      </c>
    </row>
    <row r="472" spans="1:22" x14ac:dyDescent="0.2">
      <c r="A472" s="46" t="s">
        <v>200</v>
      </c>
      <c r="B472" s="46" t="s">
        <v>120</v>
      </c>
      <c r="C472" s="46" t="s">
        <v>54</v>
      </c>
      <c r="D472" s="46" t="s">
        <v>178</v>
      </c>
      <c r="E472" s="46">
        <v>1</v>
      </c>
      <c r="F472" s="46" t="s">
        <v>60</v>
      </c>
      <c r="G472" s="46">
        <v>4</v>
      </c>
      <c r="H472" s="47">
        <v>40</v>
      </c>
      <c r="I472" s="47" t="s">
        <v>102</v>
      </c>
      <c r="J472" s="48">
        <v>4</v>
      </c>
      <c r="K472" s="48">
        <v>0</v>
      </c>
      <c r="M472" s="48">
        <v>1</v>
      </c>
      <c r="R472" s="46">
        <f t="shared" si="60"/>
        <v>1</v>
      </c>
      <c r="S472" s="46">
        <f t="shared" si="61"/>
        <v>0</v>
      </c>
      <c r="T472" s="46">
        <f t="shared" ref="T472:T503" si="64">quizscore(J472,K472)</f>
        <v>90</v>
      </c>
      <c r="U472" s="46">
        <f t="shared" si="62"/>
        <v>110</v>
      </c>
      <c r="V472" s="54">
        <f t="shared" si="63"/>
        <v>40.5</v>
      </c>
    </row>
    <row r="473" spans="1:22" x14ac:dyDescent="0.2">
      <c r="A473" s="46" t="s">
        <v>200</v>
      </c>
      <c r="B473" s="46" t="s">
        <v>120</v>
      </c>
      <c r="C473" s="46" t="s">
        <v>54</v>
      </c>
      <c r="D473" s="46" t="s">
        <v>178</v>
      </c>
      <c r="E473" s="46">
        <v>1</v>
      </c>
      <c r="F473" s="46" t="s">
        <v>60</v>
      </c>
      <c r="G473" s="46">
        <v>3</v>
      </c>
      <c r="H473" s="47">
        <v>47</v>
      </c>
      <c r="I473" s="47" t="s">
        <v>116</v>
      </c>
      <c r="J473" s="48">
        <v>4</v>
      </c>
      <c r="K473" s="48">
        <v>0</v>
      </c>
      <c r="R473" s="46">
        <f t="shared" si="60"/>
        <v>1</v>
      </c>
      <c r="S473" s="46">
        <f t="shared" si="61"/>
        <v>0</v>
      </c>
      <c r="T473" s="46">
        <f t="shared" si="64"/>
        <v>90</v>
      </c>
      <c r="U473" s="46">
        <f t="shared" si="62"/>
        <v>90</v>
      </c>
      <c r="V473" s="54">
        <f t="shared" si="63"/>
        <v>40.5</v>
      </c>
    </row>
    <row r="474" spans="1:22" x14ac:dyDescent="0.2">
      <c r="A474" s="46" t="s">
        <v>200</v>
      </c>
      <c r="B474" s="46" t="s">
        <v>117</v>
      </c>
      <c r="C474" s="46" t="s">
        <v>54</v>
      </c>
      <c r="D474" s="46" t="s">
        <v>178</v>
      </c>
      <c r="E474" s="46">
        <v>5</v>
      </c>
      <c r="F474" s="46" t="s">
        <v>60</v>
      </c>
      <c r="G474" s="46">
        <v>3</v>
      </c>
      <c r="H474" s="47">
        <v>3</v>
      </c>
      <c r="I474" s="47" t="s">
        <v>159</v>
      </c>
      <c r="J474" s="48">
        <v>4</v>
      </c>
      <c r="K474" s="48">
        <v>1</v>
      </c>
      <c r="R474" s="46">
        <f t="shared" si="60"/>
        <v>1</v>
      </c>
      <c r="S474" s="46">
        <f t="shared" si="61"/>
        <v>0</v>
      </c>
      <c r="T474" s="46">
        <f t="shared" si="64"/>
        <v>80</v>
      </c>
      <c r="U474" s="46">
        <f t="shared" si="62"/>
        <v>80</v>
      </c>
      <c r="V474" s="54">
        <f t="shared" si="63"/>
        <v>40.5</v>
      </c>
    </row>
    <row r="475" spans="1:22" x14ac:dyDescent="0.2">
      <c r="A475" s="46" t="s">
        <v>200</v>
      </c>
      <c r="B475" s="46" t="s">
        <v>117</v>
      </c>
      <c r="C475" s="46" t="s">
        <v>54</v>
      </c>
      <c r="D475" s="46" t="s">
        <v>178</v>
      </c>
      <c r="E475" s="46">
        <v>5</v>
      </c>
      <c r="F475" s="46" t="s">
        <v>60</v>
      </c>
      <c r="G475" s="46">
        <v>2</v>
      </c>
      <c r="H475" s="47">
        <v>10</v>
      </c>
      <c r="I475" s="47" t="s">
        <v>127</v>
      </c>
      <c r="J475" s="48">
        <v>0</v>
      </c>
      <c r="K475" s="48">
        <v>0</v>
      </c>
      <c r="R475" s="46">
        <f t="shared" si="60"/>
        <v>0</v>
      </c>
      <c r="S475" s="46">
        <f t="shared" si="61"/>
        <v>0</v>
      </c>
      <c r="T475" s="46">
        <f t="shared" si="64"/>
        <v>0</v>
      </c>
      <c r="U475" s="46">
        <f t="shared" si="62"/>
        <v>0</v>
      </c>
      <c r="V475" s="54">
        <f t="shared" si="63"/>
        <v>40.5</v>
      </c>
    </row>
    <row r="476" spans="1:22" x14ac:dyDescent="0.2">
      <c r="A476" s="46" t="s">
        <v>200</v>
      </c>
      <c r="B476" s="46" t="s">
        <v>117</v>
      </c>
      <c r="C476" s="46" t="s">
        <v>54</v>
      </c>
      <c r="D476" s="46" t="s">
        <v>178</v>
      </c>
      <c r="E476" s="46">
        <v>5</v>
      </c>
      <c r="F476" s="46" t="s">
        <v>60</v>
      </c>
      <c r="G476" s="46">
        <v>1</v>
      </c>
      <c r="H476" s="47">
        <v>21</v>
      </c>
      <c r="I476" s="47" t="s">
        <v>101</v>
      </c>
      <c r="J476" s="48">
        <v>4</v>
      </c>
      <c r="K476" s="48">
        <v>0</v>
      </c>
      <c r="R476" s="46">
        <f t="shared" si="60"/>
        <v>1</v>
      </c>
      <c r="S476" s="46">
        <f t="shared" si="61"/>
        <v>0</v>
      </c>
      <c r="T476" s="46">
        <f t="shared" si="64"/>
        <v>90</v>
      </c>
      <c r="U476" s="46">
        <f t="shared" si="62"/>
        <v>90</v>
      </c>
      <c r="V476" s="54">
        <f t="shared" si="63"/>
        <v>40.5</v>
      </c>
    </row>
    <row r="477" spans="1:22" x14ac:dyDescent="0.2">
      <c r="A477" s="46" t="s">
        <v>200</v>
      </c>
      <c r="B477" s="46" t="s">
        <v>117</v>
      </c>
      <c r="C477" s="46" t="s">
        <v>54</v>
      </c>
      <c r="D477" s="46" t="s">
        <v>178</v>
      </c>
      <c r="E477" s="46">
        <v>5</v>
      </c>
      <c r="F477" s="46" t="s">
        <v>60</v>
      </c>
      <c r="G477" s="46">
        <v>1</v>
      </c>
      <c r="H477" s="47">
        <v>29</v>
      </c>
      <c r="I477" s="47" t="s">
        <v>101</v>
      </c>
      <c r="J477" s="48">
        <v>2</v>
      </c>
      <c r="K477" s="48">
        <v>1</v>
      </c>
      <c r="R477" s="46">
        <f t="shared" si="60"/>
        <v>0</v>
      </c>
      <c r="S477" s="46">
        <f t="shared" si="61"/>
        <v>0</v>
      </c>
      <c r="T477" s="46">
        <f t="shared" si="64"/>
        <v>40</v>
      </c>
      <c r="U477" s="46">
        <f t="shared" si="62"/>
        <v>40</v>
      </c>
      <c r="V477" s="54">
        <f t="shared" si="63"/>
        <v>40.5</v>
      </c>
    </row>
    <row r="478" spans="1:22" x14ac:dyDescent="0.2">
      <c r="A478" s="46" t="s">
        <v>200</v>
      </c>
      <c r="B478" s="46" t="s">
        <v>117</v>
      </c>
      <c r="C478" s="46" t="s">
        <v>54</v>
      </c>
      <c r="D478" s="46" t="s">
        <v>178</v>
      </c>
      <c r="E478" s="46">
        <v>5</v>
      </c>
      <c r="F478" s="46" t="s">
        <v>60</v>
      </c>
      <c r="G478" s="46">
        <v>4</v>
      </c>
      <c r="H478" s="47">
        <v>36</v>
      </c>
      <c r="I478" s="47" t="s">
        <v>102</v>
      </c>
      <c r="J478" s="48">
        <v>2</v>
      </c>
      <c r="K478" s="48">
        <v>0</v>
      </c>
      <c r="R478" s="46">
        <f t="shared" si="60"/>
        <v>0</v>
      </c>
      <c r="S478" s="46">
        <f t="shared" si="61"/>
        <v>0</v>
      </c>
      <c r="T478" s="46">
        <f t="shared" si="64"/>
        <v>40</v>
      </c>
      <c r="U478" s="46">
        <f t="shared" si="62"/>
        <v>40</v>
      </c>
      <c r="V478" s="54">
        <f t="shared" si="63"/>
        <v>40.5</v>
      </c>
    </row>
    <row r="479" spans="1:22" x14ac:dyDescent="0.2">
      <c r="A479" s="46" t="s">
        <v>200</v>
      </c>
      <c r="B479" s="46" t="s">
        <v>117</v>
      </c>
      <c r="C479" s="46" t="s">
        <v>54</v>
      </c>
      <c r="D479" s="46" t="s">
        <v>178</v>
      </c>
      <c r="E479" s="46">
        <v>5</v>
      </c>
      <c r="F479" s="46" t="s">
        <v>60</v>
      </c>
      <c r="G479" s="46">
        <v>3</v>
      </c>
      <c r="H479" s="47">
        <v>47</v>
      </c>
      <c r="I479" s="47" t="s">
        <v>159</v>
      </c>
      <c r="J479" s="48">
        <v>1</v>
      </c>
      <c r="K479" s="48">
        <v>2</v>
      </c>
      <c r="R479" s="46">
        <f t="shared" si="60"/>
        <v>0</v>
      </c>
      <c r="S479" s="46">
        <f t="shared" si="61"/>
        <v>0</v>
      </c>
      <c r="T479" s="46">
        <f t="shared" si="64"/>
        <v>10</v>
      </c>
      <c r="U479" s="46">
        <f t="shared" si="62"/>
        <v>10</v>
      </c>
      <c r="V479" s="54">
        <f t="shared" si="63"/>
        <v>40.5</v>
      </c>
    </row>
    <row r="480" spans="1:22" x14ac:dyDescent="0.2">
      <c r="A480" s="46" t="s">
        <v>200</v>
      </c>
      <c r="B480" s="46" t="s">
        <v>117</v>
      </c>
      <c r="C480" s="46" t="s">
        <v>54</v>
      </c>
      <c r="D480" s="46" t="s">
        <v>178</v>
      </c>
      <c r="E480" s="46">
        <v>5</v>
      </c>
      <c r="F480" s="46" t="s">
        <v>61</v>
      </c>
      <c r="G480" s="46">
        <v>1</v>
      </c>
      <c r="H480" s="47" t="s">
        <v>67</v>
      </c>
      <c r="I480" s="47" t="s">
        <v>101</v>
      </c>
      <c r="J480" s="48">
        <v>0</v>
      </c>
      <c r="K480" s="48">
        <v>1</v>
      </c>
      <c r="R480" s="46">
        <f t="shared" si="60"/>
        <v>0</v>
      </c>
      <c r="S480" s="46">
        <f t="shared" si="61"/>
        <v>0</v>
      </c>
      <c r="T480" s="46">
        <f t="shared" si="64"/>
        <v>0</v>
      </c>
      <c r="U480" s="46">
        <f t="shared" si="62"/>
        <v>0</v>
      </c>
      <c r="V480" s="54">
        <f t="shared" si="63"/>
        <v>40.5</v>
      </c>
    </row>
    <row r="481" spans="1:22" x14ac:dyDescent="0.2">
      <c r="A481" s="46" t="s">
        <v>200</v>
      </c>
      <c r="B481" s="46" t="s">
        <v>117</v>
      </c>
      <c r="C481" s="46" t="s">
        <v>54</v>
      </c>
      <c r="D481" s="46" t="s">
        <v>178</v>
      </c>
      <c r="E481" s="46">
        <v>5</v>
      </c>
      <c r="F481" s="46" t="s">
        <v>61</v>
      </c>
      <c r="G481" s="46">
        <v>1</v>
      </c>
      <c r="H481" s="47" t="s">
        <v>68</v>
      </c>
      <c r="I481" s="47" t="s">
        <v>101</v>
      </c>
      <c r="J481" s="48">
        <v>1</v>
      </c>
      <c r="K481" s="48">
        <v>0</v>
      </c>
      <c r="N481" s="48">
        <v>1</v>
      </c>
      <c r="R481" s="46">
        <f t="shared" si="60"/>
        <v>0</v>
      </c>
      <c r="S481" s="46">
        <f t="shared" si="61"/>
        <v>0</v>
      </c>
      <c r="T481" s="46">
        <f t="shared" si="64"/>
        <v>20</v>
      </c>
      <c r="U481" s="46">
        <f t="shared" si="62"/>
        <v>15</v>
      </c>
      <c r="V481" s="54">
        <f t="shared" si="63"/>
        <v>40.5</v>
      </c>
    </row>
    <row r="482" spans="1:22" x14ac:dyDescent="0.2">
      <c r="A482" s="46" t="s">
        <v>200</v>
      </c>
      <c r="B482" s="46" t="s">
        <v>117</v>
      </c>
      <c r="C482" s="46" t="s">
        <v>54</v>
      </c>
      <c r="D482" s="46" t="s">
        <v>178</v>
      </c>
      <c r="E482" s="46">
        <v>5</v>
      </c>
      <c r="F482" s="46" t="s">
        <v>61</v>
      </c>
      <c r="G482" s="46">
        <v>2</v>
      </c>
      <c r="H482" s="47" t="s">
        <v>66</v>
      </c>
      <c r="I482" s="47" t="s">
        <v>127</v>
      </c>
      <c r="J482" s="48">
        <v>3</v>
      </c>
      <c r="K482" s="48">
        <v>1</v>
      </c>
      <c r="R482" s="46">
        <f t="shared" si="60"/>
        <v>0</v>
      </c>
      <c r="S482" s="46">
        <f t="shared" si="61"/>
        <v>0</v>
      </c>
      <c r="T482" s="46">
        <f t="shared" si="64"/>
        <v>60</v>
      </c>
      <c r="U482" s="46">
        <f t="shared" si="62"/>
        <v>60</v>
      </c>
      <c r="V482" s="54">
        <f t="shared" si="63"/>
        <v>40.5</v>
      </c>
    </row>
    <row r="483" spans="1:22" x14ac:dyDescent="0.2">
      <c r="A483" s="46" t="s">
        <v>199</v>
      </c>
      <c r="B483" s="46" t="s">
        <v>52</v>
      </c>
      <c r="C483" s="46" t="s">
        <v>90</v>
      </c>
      <c r="D483" s="46" t="s">
        <v>178</v>
      </c>
      <c r="E483" s="46">
        <v>1</v>
      </c>
      <c r="F483" s="46" t="s">
        <v>60</v>
      </c>
      <c r="G483" s="46">
        <v>1</v>
      </c>
      <c r="H483" s="47">
        <v>9</v>
      </c>
      <c r="I483" s="47" t="s">
        <v>101</v>
      </c>
      <c r="J483" s="48">
        <v>0</v>
      </c>
      <c r="K483" s="48">
        <v>2</v>
      </c>
      <c r="R483" s="46">
        <f t="shared" si="60"/>
        <v>0</v>
      </c>
      <c r="S483" s="46">
        <f t="shared" si="61"/>
        <v>0</v>
      </c>
      <c r="T483" s="46">
        <f t="shared" si="64"/>
        <v>-10</v>
      </c>
      <c r="U483" s="46">
        <f t="shared" si="62"/>
        <v>-10</v>
      </c>
      <c r="V483" s="54">
        <f t="shared" si="63"/>
        <v>0.83333333333333337</v>
      </c>
    </row>
    <row r="484" spans="1:22" x14ac:dyDescent="0.2">
      <c r="A484" s="46" t="s">
        <v>199</v>
      </c>
      <c r="B484" s="46" t="s">
        <v>52</v>
      </c>
      <c r="C484" s="46" t="s">
        <v>90</v>
      </c>
      <c r="D484" s="46" t="s">
        <v>178</v>
      </c>
      <c r="E484" s="46">
        <v>1</v>
      </c>
      <c r="F484" s="46" t="s">
        <v>60</v>
      </c>
      <c r="G484" s="46">
        <v>3</v>
      </c>
      <c r="H484" s="47">
        <v>39</v>
      </c>
      <c r="I484" s="47" t="s">
        <v>116</v>
      </c>
      <c r="J484" s="48">
        <v>0</v>
      </c>
      <c r="K484" s="48">
        <v>2</v>
      </c>
      <c r="R484" s="46">
        <f t="shared" si="60"/>
        <v>0</v>
      </c>
      <c r="S484" s="46">
        <f t="shared" si="61"/>
        <v>0</v>
      </c>
      <c r="T484" s="46">
        <f t="shared" si="64"/>
        <v>-10</v>
      </c>
      <c r="U484" s="46">
        <f t="shared" si="62"/>
        <v>-10</v>
      </c>
      <c r="V484" s="54">
        <f t="shared" si="63"/>
        <v>0.83333333333333337</v>
      </c>
    </row>
    <row r="485" spans="1:22" x14ac:dyDescent="0.2">
      <c r="A485" s="46" t="s">
        <v>199</v>
      </c>
      <c r="B485" s="46" t="s">
        <v>52</v>
      </c>
      <c r="C485" s="46" t="s">
        <v>90</v>
      </c>
      <c r="D485" s="46" t="s">
        <v>178</v>
      </c>
      <c r="E485" s="46">
        <v>2</v>
      </c>
      <c r="F485" s="46" t="s">
        <v>60</v>
      </c>
      <c r="G485" s="46">
        <v>2</v>
      </c>
      <c r="H485" s="47">
        <v>2</v>
      </c>
      <c r="I485" s="47" t="s">
        <v>127</v>
      </c>
      <c r="J485" s="48">
        <v>0</v>
      </c>
      <c r="K485" s="48">
        <v>0</v>
      </c>
      <c r="R485" s="46">
        <f t="shared" si="60"/>
        <v>0</v>
      </c>
      <c r="S485" s="46">
        <f t="shared" si="61"/>
        <v>0</v>
      </c>
      <c r="T485" s="46">
        <f t="shared" si="64"/>
        <v>0</v>
      </c>
      <c r="U485" s="46">
        <f t="shared" si="62"/>
        <v>0</v>
      </c>
      <c r="V485" s="54">
        <f t="shared" si="63"/>
        <v>0.83333333333333337</v>
      </c>
    </row>
    <row r="486" spans="1:22" x14ac:dyDescent="0.2">
      <c r="A486" s="46" t="s">
        <v>199</v>
      </c>
      <c r="B486" s="46" t="s">
        <v>52</v>
      </c>
      <c r="C486" s="46" t="s">
        <v>90</v>
      </c>
      <c r="D486" s="46" t="s">
        <v>178</v>
      </c>
      <c r="E486" s="46">
        <v>1</v>
      </c>
      <c r="F486" s="46" t="s">
        <v>60</v>
      </c>
      <c r="G486" s="46">
        <v>3</v>
      </c>
      <c r="H486" s="47">
        <v>3</v>
      </c>
      <c r="I486" s="47" t="s">
        <v>116</v>
      </c>
      <c r="J486" s="48">
        <v>0</v>
      </c>
      <c r="K486" s="48">
        <v>1</v>
      </c>
      <c r="R486" s="46">
        <f t="shared" si="60"/>
        <v>0</v>
      </c>
      <c r="S486" s="46">
        <f t="shared" si="61"/>
        <v>0</v>
      </c>
      <c r="T486" s="46">
        <f t="shared" si="64"/>
        <v>0</v>
      </c>
      <c r="U486" s="46">
        <f t="shared" si="62"/>
        <v>0</v>
      </c>
      <c r="V486" s="54">
        <f t="shared" si="63"/>
        <v>0.83333333333333337</v>
      </c>
    </row>
    <row r="487" spans="1:22" x14ac:dyDescent="0.2">
      <c r="A487" s="46" t="s">
        <v>199</v>
      </c>
      <c r="B487" s="46" t="s">
        <v>52</v>
      </c>
      <c r="C487" s="46" t="s">
        <v>90</v>
      </c>
      <c r="D487" s="46" t="s">
        <v>178</v>
      </c>
      <c r="E487" s="46">
        <v>2</v>
      </c>
      <c r="F487" s="46" t="s">
        <v>60</v>
      </c>
      <c r="G487" s="46">
        <v>4</v>
      </c>
      <c r="H487" s="47">
        <v>12</v>
      </c>
      <c r="I487" s="47" t="s">
        <v>102</v>
      </c>
      <c r="J487" s="48">
        <v>0</v>
      </c>
      <c r="K487" s="48">
        <v>0</v>
      </c>
      <c r="R487" s="46">
        <f t="shared" si="60"/>
        <v>0</v>
      </c>
      <c r="S487" s="46">
        <f t="shared" si="61"/>
        <v>0</v>
      </c>
      <c r="T487" s="46">
        <f t="shared" si="64"/>
        <v>0</v>
      </c>
      <c r="U487" s="46">
        <f t="shared" si="62"/>
        <v>0</v>
      </c>
      <c r="V487" s="54">
        <f t="shared" si="63"/>
        <v>0.83333333333333337</v>
      </c>
    </row>
    <row r="488" spans="1:22" x14ac:dyDescent="0.2">
      <c r="A488" s="46" t="s">
        <v>199</v>
      </c>
      <c r="B488" s="46" t="s">
        <v>52</v>
      </c>
      <c r="C488" s="46" t="s">
        <v>90</v>
      </c>
      <c r="D488" s="46" t="s">
        <v>178</v>
      </c>
      <c r="E488" s="46">
        <v>1</v>
      </c>
      <c r="F488" s="46" t="s">
        <v>60</v>
      </c>
      <c r="G488" s="46">
        <v>1</v>
      </c>
      <c r="H488" s="47">
        <v>17</v>
      </c>
      <c r="I488" s="47" t="s">
        <v>101</v>
      </c>
      <c r="J488" s="48">
        <v>0</v>
      </c>
      <c r="K488" s="48">
        <v>1</v>
      </c>
      <c r="R488" s="46">
        <f t="shared" si="60"/>
        <v>0</v>
      </c>
      <c r="S488" s="46">
        <f t="shared" si="61"/>
        <v>0</v>
      </c>
      <c r="T488" s="46">
        <f t="shared" si="64"/>
        <v>0</v>
      </c>
      <c r="U488" s="46">
        <f t="shared" si="62"/>
        <v>0</v>
      </c>
      <c r="V488" s="54">
        <f t="shared" si="63"/>
        <v>0.83333333333333337</v>
      </c>
    </row>
    <row r="489" spans="1:22" x14ac:dyDescent="0.2">
      <c r="A489" s="46" t="s">
        <v>199</v>
      </c>
      <c r="B489" s="46" t="s">
        <v>52</v>
      </c>
      <c r="C489" s="46" t="s">
        <v>90</v>
      </c>
      <c r="D489" s="46" t="s">
        <v>178</v>
      </c>
      <c r="E489" s="46">
        <v>2</v>
      </c>
      <c r="F489" s="46" t="s">
        <v>60</v>
      </c>
      <c r="G489" s="46">
        <v>3</v>
      </c>
      <c r="H489" s="47">
        <v>27</v>
      </c>
      <c r="I489" s="47" t="s">
        <v>116</v>
      </c>
      <c r="J489" s="48">
        <v>0</v>
      </c>
      <c r="K489" s="48">
        <v>0</v>
      </c>
      <c r="R489" s="46">
        <f t="shared" si="60"/>
        <v>0</v>
      </c>
      <c r="S489" s="46">
        <f t="shared" si="61"/>
        <v>0</v>
      </c>
      <c r="T489" s="46">
        <f t="shared" si="64"/>
        <v>0</v>
      </c>
      <c r="U489" s="46">
        <f t="shared" si="62"/>
        <v>0</v>
      </c>
      <c r="V489" s="54">
        <f t="shared" si="63"/>
        <v>0.83333333333333337</v>
      </c>
    </row>
    <row r="490" spans="1:22" x14ac:dyDescent="0.2">
      <c r="A490" s="46" t="s">
        <v>199</v>
      </c>
      <c r="B490" s="46" t="s">
        <v>52</v>
      </c>
      <c r="C490" s="46" t="s">
        <v>90</v>
      </c>
      <c r="D490" s="46" t="s">
        <v>178</v>
      </c>
      <c r="E490" s="46">
        <v>1</v>
      </c>
      <c r="F490" s="46" t="s">
        <v>60</v>
      </c>
      <c r="G490" s="46">
        <v>2</v>
      </c>
      <c r="H490" s="47">
        <v>30</v>
      </c>
      <c r="I490" s="47" t="s">
        <v>127</v>
      </c>
      <c r="J490" s="48">
        <v>0</v>
      </c>
      <c r="K490" s="48">
        <v>1</v>
      </c>
      <c r="R490" s="46">
        <f t="shared" si="60"/>
        <v>0</v>
      </c>
      <c r="S490" s="46">
        <f t="shared" si="61"/>
        <v>0</v>
      </c>
      <c r="T490" s="46">
        <f t="shared" si="64"/>
        <v>0</v>
      </c>
      <c r="U490" s="46">
        <f t="shared" si="62"/>
        <v>0</v>
      </c>
      <c r="V490" s="54">
        <f t="shared" si="63"/>
        <v>0.83333333333333337</v>
      </c>
    </row>
    <row r="491" spans="1:22" x14ac:dyDescent="0.2">
      <c r="A491" s="46" t="s">
        <v>199</v>
      </c>
      <c r="B491" s="46" t="s">
        <v>52</v>
      </c>
      <c r="C491" s="46" t="s">
        <v>90</v>
      </c>
      <c r="D491" s="46" t="s">
        <v>178</v>
      </c>
      <c r="E491" s="46">
        <v>2</v>
      </c>
      <c r="F491" s="46" t="s">
        <v>60</v>
      </c>
      <c r="G491" s="46">
        <v>1</v>
      </c>
      <c r="H491" s="47">
        <v>33</v>
      </c>
      <c r="I491" s="47" t="s">
        <v>101</v>
      </c>
      <c r="J491" s="48">
        <v>0</v>
      </c>
      <c r="K491" s="48">
        <v>0</v>
      </c>
      <c r="R491" s="46">
        <f t="shared" si="60"/>
        <v>0</v>
      </c>
      <c r="S491" s="46">
        <f t="shared" si="61"/>
        <v>0</v>
      </c>
      <c r="T491" s="46">
        <f t="shared" si="64"/>
        <v>0</v>
      </c>
      <c r="U491" s="46">
        <f t="shared" si="62"/>
        <v>0</v>
      </c>
      <c r="V491" s="54">
        <f t="shared" si="63"/>
        <v>0.83333333333333337</v>
      </c>
    </row>
    <row r="492" spans="1:22" x14ac:dyDescent="0.2">
      <c r="A492" s="46" t="s">
        <v>199</v>
      </c>
      <c r="B492" s="46" t="s">
        <v>52</v>
      </c>
      <c r="C492" s="46" t="s">
        <v>90</v>
      </c>
      <c r="D492" s="46" t="s">
        <v>178</v>
      </c>
      <c r="E492" s="46">
        <v>1</v>
      </c>
      <c r="F492" s="46" t="s">
        <v>60</v>
      </c>
      <c r="G492" s="46">
        <v>4</v>
      </c>
      <c r="H492" s="47">
        <v>48</v>
      </c>
      <c r="I492" s="47" t="s">
        <v>102</v>
      </c>
      <c r="J492" s="48">
        <v>0</v>
      </c>
      <c r="K492" s="48">
        <v>0</v>
      </c>
      <c r="R492" s="46">
        <f t="shared" si="60"/>
        <v>0</v>
      </c>
      <c r="S492" s="46">
        <f t="shared" si="61"/>
        <v>0</v>
      </c>
      <c r="T492" s="46">
        <f t="shared" si="64"/>
        <v>0</v>
      </c>
      <c r="U492" s="46">
        <f t="shared" si="62"/>
        <v>0</v>
      </c>
      <c r="V492" s="54">
        <f t="shared" si="63"/>
        <v>0.83333333333333337</v>
      </c>
    </row>
    <row r="493" spans="1:22" x14ac:dyDescent="0.2">
      <c r="A493" s="46" t="s">
        <v>199</v>
      </c>
      <c r="B493" s="46" t="s">
        <v>52</v>
      </c>
      <c r="C493" s="46" t="s">
        <v>90</v>
      </c>
      <c r="D493" s="46" t="s">
        <v>178</v>
      </c>
      <c r="E493" s="46">
        <v>2</v>
      </c>
      <c r="F493" s="46" t="s">
        <v>60</v>
      </c>
      <c r="G493" s="46">
        <v>2</v>
      </c>
      <c r="H493" s="47">
        <v>50</v>
      </c>
      <c r="I493" s="47" t="s">
        <v>127</v>
      </c>
      <c r="J493" s="48">
        <v>0</v>
      </c>
      <c r="K493" s="48">
        <v>0</v>
      </c>
      <c r="R493" s="46">
        <f t="shared" si="60"/>
        <v>0</v>
      </c>
      <c r="S493" s="46">
        <f t="shared" si="61"/>
        <v>0</v>
      </c>
      <c r="T493" s="46">
        <f t="shared" si="64"/>
        <v>0</v>
      </c>
      <c r="U493" s="46">
        <f t="shared" si="62"/>
        <v>0</v>
      </c>
      <c r="V493" s="54">
        <f t="shared" si="63"/>
        <v>0.83333333333333337</v>
      </c>
    </row>
    <row r="494" spans="1:22" x14ac:dyDescent="0.2">
      <c r="A494" s="46" t="s">
        <v>199</v>
      </c>
      <c r="B494" s="46" t="s">
        <v>52</v>
      </c>
      <c r="C494" s="46" t="s">
        <v>90</v>
      </c>
      <c r="D494" s="46" t="s">
        <v>178</v>
      </c>
      <c r="E494" s="46">
        <v>1</v>
      </c>
      <c r="F494" s="46" t="s">
        <v>62</v>
      </c>
      <c r="G494" s="46">
        <v>2</v>
      </c>
      <c r="H494" s="47" t="s">
        <v>79</v>
      </c>
      <c r="I494" s="47" t="s">
        <v>127</v>
      </c>
      <c r="J494" s="48">
        <v>0</v>
      </c>
      <c r="K494" s="48">
        <v>0</v>
      </c>
      <c r="R494" s="46">
        <f t="shared" si="60"/>
        <v>0</v>
      </c>
      <c r="S494" s="46">
        <f t="shared" si="61"/>
        <v>0</v>
      </c>
      <c r="T494" s="46">
        <f t="shared" si="64"/>
        <v>0</v>
      </c>
      <c r="U494" s="46">
        <f t="shared" si="62"/>
        <v>0</v>
      </c>
      <c r="V494" s="54">
        <f t="shared" si="63"/>
        <v>0.83333333333333337</v>
      </c>
    </row>
    <row r="495" spans="1:22" x14ac:dyDescent="0.2">
      <c r="A495" s="46" t="s">
        <v>199</v>
      </c>
      <c r="B495" s="46" t="s">
        <v>52</v>
      </c>
      <c r="C495" s="46" t="s">
        <v>90</v>
      </c>
      <c r="D495" s="46" t="s">
        <v>178</v>
      </c>
      <c r="E495" s="46">
        <v>1</v>
      </c>
      <c r="F495" s="46" t="s">
        <v>62</v>
      </c>
      <c r="G495" s="46">
        <v>2</v>
      </c>
      <c r="H495" s="47" t="s">
        <v>82</v>
      </c>
      <c r="I495" s="47" t="s">
        <v>127</v>
      </c>
      <c r="J495" s="48">
        <v>0</v>
      </c>
      <c r="K495" s="48">
        <v>0</v>
      </c>
      <c r="R495" s="46">
        <f t="shared" si="60"/>
        <v>0</v>
      </c>
      <c r="S495" s="46">
        <f t="shared" si="61"/>
        <v>0</v>
      </c>
      <c r="T495" s="46">
        <f t="shared" si="64"/>
        <v>0</v>
      </c>
      <c r="U495" s="46">
        <f t="shared" si="62"/>
        <v>0</v>
      </c>
      <c r="V495" s="54">
        <f t="shared" si="63"/>
        <v>0.83333333333333337</v>
      </c>
    </row>
    <row r="496" spans="1:22" x14ac:dyDescent="0.2">
      <c r="A496" s="46" t="s">
        <v>199</v>
      </c>
      <c r="B496" s="46" t="s">
        <v>52</v>
      </c>
      <c r="C496" s="46" t="s">
        <v>90</v>
      </c>
      <c r="D496" s="46" t="s">
        <v>178</v>
      </c>
      <c r="E496" s="46">
        <v>1</v>
      </c>
      <c r="F496" s="46" t="s">
        <v>62</v>
      </c>
      <c r="G496" s="46">
        <v>2</v>
      </c>
      <c r="H496" s="47" t="s">
        <v>86</v>
      </c>
      <c r="I496" s="47" t="s">
        <v>127</v>
      </c>
      <c r="J496" s="48">
        <v>0</v>
      </c>
      <c r="K496" s="48">
        <v>0</v>
      </c>
      <c r="R496" s="46">
        <f t="shared" si="60"/>
        <v>0</v>
      </c>
      <c r="S496" s="46">
        <f t="shared" si="61"/>
        <v>0</v>
      </c>
      <c r="T496" s="46">
        <f t="shared" si="64"/>
        <v>0</v>
      </c>
      <c r="U496" s="46">
        <f t="shared" si="62"/>
        <v>0</v>
      </c>
      <c r="V496" s="54">
        <f t="shared" si="63"/>
        <v>0.83333333333333337</v>
      </c>
    </row>
    <row r="497" spans="1:22" x14ac:dyDescent="0.2">
      <c r="A497" s="46" t="s">
        <v>199</v>
      </c>
      <c r="B497" s="46" t="s">
        <v>52</v>
      </c>
      <c r="C497" s="46" t="s">
        <v>90</v>
      </c>
      <c r="D497" s="46" t="s">
        <v>178</v>
      </c>
      <c r="E497" s="46">
        <v>1</v>
      </c>
      <c r="F497" s="46" t="s">
        <v>62</v>
      </c>
      <c r="G497" s="46">
        <v>2</v>
      </c>
      <c r="H497" s="47" t="s">
        <v>83</v>
      </c>
      <c r="I497" s="47" t="s">
        <v>127</v>
      </c>
      <c r="J497" s="48">
        <v>0</v>
      </c>
      <c r="K497" s="48">
        <v>0</v>
      </c>
      <c r="R497" s="46">
        <f t="shared" si="60"/>
        <v>0</v>
      </c>
      <c r="S497" s="46">
        <f t="shared" si="61"/>
        <v>0</v>
      </c>
      <c r="T497" s="46">
        <f t="shared" si="64"/>
        <v>0</v>
      </c>
      <c r="U497" s="46">
        <f t="shared" si="62"/>
        <v>0</v>
      </c>
      <c r="V497" s="54">
        <f t="shared" si="63"/>
        <v>0.83333333333333337</v>
      </c>
    </row>
    <row r="498" spans="1:22" x14ac:dyDescent="0.2">
      <c r="A498" s="46" t="s">
        <v>199</v>
      </c>
      <c r="B498" s="46" t="s">
        <v>52</v>
      </c>
      <c r="C498" s="46" t="s">
        <v>90</v>
      </c>
      <c r="D498" s="46" t="s">
        <v>178</v>
      </c>
      <c r="E498" s="46">
        <v>2</v>
      </c>
      <c r="F498" s="46" t="s">
        <v>61</v>
      </c>
      <c r="G498" s="46">
        <v>1</v>
      </c>
      <c r="H498" s="47" t="s">
        <v>74</v>
      </c>
      <c r="I498" s="47" t="s">
        <v>101</v>
      </c>
      <c r="J498" s="48">
        <v>0</v>
      </c>
      <c r="K498" s="48">
        <v>0</v>
      </c>
      <c r="R498" s="46">
        <f t="shared" si="60"/>
        <v>0</v>
      </c>
      <c r="S498" s="46">
        <f t="shared" si="61"/>
        <v>0</v>
      </c>
      <c r="T498" s="46">
        <f t="shared" si="64"/>
        <v>0</v>
      </c>
      <c r="U498" s="46">
        <f t="shared" si="62"/>
        <v>0</v>
      </c>
      <c r="V498" s="54">
        <f t="shared" si="63"/>
        <v>0.83333333333333337</v>
      </c>
    </row>
    <row r="499" spans="1:22" x14ac:dyDescent="0.2">
      <c r="A499" s="46" t="s">
        <v>199</v>
      </c>
      <c r="B499" s="46" t="s">
        <v>52</v>
      </c>
      <c r="C499" s="46" t="s">
        <v>90</v>
      </c>
      <c r="D499" s="46" t="s">
        <v>178</v>
      </c>
      <c r="E499" s="46">
        <v>2</v>
      </c>
      <c r="F499" s="46" t="s">
        <v>61</v>
      </c>
      <c r="G499" s="46">
        <v>1</v>
      </c>
      <c r="H499" s="47" t="s">
        <v>75</v>
      </c>
      <c r="I499" s="47" t="s">
        <v>101</v>
      </c>
      <c r="J499" s="48">
        <v>0</v>
      </c>
      <c r="K499" s="48">
        <v>1</v>
      </c>
      <c r="R499" s="46">
        <f t="shared" si="60"/>
        <v>0</v>
      </c>
      <c r="S499" s="46">
        <f t="shared" si="61"/>
        <v>0</v>
      </c>
      <c r="T499" s="46">
        <f t="shared" si="64"/>
        <v>0</v>
      </c>
      <c r="U499" s="46">
        <f t="shared" si="62"/>
        <v>0</v>
      </c>
      <c r="V499" s="54">
        <f t="shared" si="63"/>
        <v>0.83333333333333337</v>
      </c>
    </row>
    <row r="500" spans="1:22" x14ac:dyDescent="0.2">
      <c r="A500" s="46" t="s">
        <v>199</v>
      </c>
      <c r="B500" s="46" t="s">
        <v>52</v>
      </c>
      <c r="C500" s="46" t="s">
        <v>90</v>
      </c>
      <c r="D500" s="46" t="s">
        <v>178</v>
      </c>
      <c r="E500" s="46">
        <v>2</v>
      </c>
      <c r="F500" s="46" t="s">
        <v>61</v>
      </c>
      <c r="G500" s="46">
        <v>1</v>
      </c>
      <c r="H500" s="47" t="s">
        <v>69</v>
      </c>
      <c r="I500" s="47" t="s">
        <v>101</v>
      </c>
      <c r="J500" s="48">
        <v>0</v>
      </c>
      <c r="K500" s="48">
        <v>0</v>
      </c>
      <c r="R500" s="46">
        <f t="shared" si="60"/>
        <v>0</v>
      </c>
      <c r="S500" s="46">
        <f t="shared" si="61"/>
        <v>0</v>
      </c>
      <c r="T500" s="46">
        <f t="shared" si="64"/>
        <v>0</v>
      </c>
      <c r="U500" s="46">
        <f t="shared" si="62"/>
        <v>0</v>
      </c>
      <c r="V500" s="54">
        <f t="shared" si="63"/>
        <v>0.83333333333333337</v>
      </c>
    </row>
    <row r="501" spans="1:22" x14ac:dyDescent="0.2">
      <c r="A501" s="46" t="s">
        <v>199</v>
      </c>
      <c r="B501" s="46" t="s">
        <v>52</v>
      </c>
      <c r="C501" s="46" t="s">
        <v>90</v>
      </c>
      <c r="D501" s="46" t="s">
        <v>178</v>
      </c>
      <c r="E501" s="46">
        <v>2</v>
      </c>
      <c r="F501" s="46" t="s">
        <v>61</v>
      </c>
      <c r="G501" s="46">
        <v>1</v>
      </c>
      <c r="H501" s="47" t="s">
        <v>71</v>
      </c>
      <c r="I501" s="47" t="s">
        <v>101</v>
      </c>
      <c r="J501" s="48">
        <v>0</v>
      </c>
      <c r="K501" s="48">
        <v>0</v>
      </c>
      <c r="N501" s="48">
        <v>1</v>
      </c>
      <c r="R501" s="46">
        <f t="shared" si="60"/>
        <v>0</v>
      </c>
      <c r="S501" s="46">
        <f t="shared" si="61"/>
        <v>0</v>
      </c>
      <c r="T501" s="46">
        <f t="shared" si="64"/>
        <v>0</v>
      </c>
      <c r="U501" s="46">
        <f t="shared" si="62"/>
        <v>-5</v>
      </c>
      <c r="V501" s="54">
        <f t="shared" si="63"/>
        <v>0.83333333333333337</v>
      </c>
    </row>
    <row r="502" spans="1:22" x14ac:dyDescent="0.2">
      <c r="A502" s="46" t="s">
        <v>199</v>
      </c>
      <c r="B502" s="46" t="s">
        <v>52</v>
      </c>
      <c r="C502" s="46" t="s">
        <v>90</v>
      </c>
      <c r="D502" s="46" t="s">
        <v>178</v>
      </c>
      <c r="E502" s="46">
        <v>2</v>
      </c>
      <c r="F502" s="46" t="s">
        <v>61</v>
      </c>
      <c r="G502" s="46">
        <v>1</v>
      </c>
      <c r="H502" s="47" t="s">
        <v>78</v>
      </c>
      <c r="I502" s="47" t="s">
        <v>101</v>
      </c>
      <c r="J502" s="48">
        <v>0</v>
      </c>
      <c r="K502" s="48">
        <v>0</v>
      </c>
      <c r="R502" s="46">
        <f t="shared" si="60"/>
        <v>0</v>
      </c>
      <c r="S502" s="46">
        <f t="shared" si="61"/>
        <v>0</v>
      </c>
      <c r="T502" s="46">
        <f t="shared" si="64"/>
        <v>0</v>
      </c>
      <c r="U502" s="46">
        <f t="shared" si="62"/>
        <v>0</v>
      </c>
      <c r="V502" s="54">
        <f t="shared" si="63"/>
        <v>0.83333333333333337</v>
      </c>
    </row>
    <row r="503" spans="1:22" x14ac:dyDescent="0.2">
      <c r="A503" s="46" t="s">
        <v>199</v>
      </c>
      <c r="B503" s="46" t="s">
        <v>52</v>
      </c>
      <c r="C503" s="46" t="s">
        <v>90</v>
      </c>
      <c r="D503" s="46" t="s">
        <v>178</v>
      </c>
      <c r="E503" s="46">
        <v>2</v>
      </c>
      <c r="F503" s="46" t="s">
        <v>61</v>
      </c>
      <c r="G503" s="46">
        <v>1</v>
      </c>
      <c r="H503" s="47" t="s">
        <v>78</v>
      </c>
      <c r="I503" s="47" t="s">
        <v>101</v>
      </c>
      <c r="J503" s="48">
        <v>0</v>
      </c>
      <c r="K503" s="48">
        <v>0</v>
      </c>
      <c r="R503" s="46">
        <f t="shared" si="60"/>
        <v>0</v>
      </c>
      <c r="S503" s="46">
        <f t="shared" si="61"/>
        <v>0</v>
      </c>
      <c r="T503" s="46">
        <f t="shared" si="64"/>
        <v>0</v>
      </c>
      <c r="U503" s="46">
        <f t="shared" si="62"/>
        <v>0</v>
      </c>
      <c r="V503" s="54">
        <f t="shared" si="63"/>
        <v>0.83333333333333337</v>
      </c>
    </row>
    <row r="504" spans="1:22" x14ac:dyDescent="0.2">
      <c r="A504" s="46" t="s">
        <v>199</v>
      </c>
      <c r="B504" s="46" t="s">
        <v>52</v>
      </c>
      <c r="C504" s="46" t="s">
        <v>90</v>
      </c>
      <c r="D504" s="46" t="s">
        <v>178</v>
      </c>
      <c r="E504" s="46">
        <v>2</v>
      </c>
      <c r="F504" s="46" t="s">
        <v>60</v>
      </c>
      <c r="G504" s="46">
        <v>1</v>
      </c>
      <c r="H504" s="47">
        <v>17</v>
      </c>
      <c r="I504" s="47" t="s">
        <v>101</v>
      </c>
      <c r="J504" s="48">
        <v>1</v>
      </c>
      <c r="K504" s="48">
        <v>0</v>
      </c>
      <c r="O504" s="48">
        <v>1</v>
      </c>
      <c r="R504" s="46">
        <f t="shared" si="60"/>
        <v>0</v>
      </c>
      <c r="S504" s="46">
        <f t="shared" si="61"/>
        <v>0</v>
      </c>
      <c r="T504" s="46">
        <f t="shared" ref="T504:T535" si="65">quizscore(J504,K504)</f>
        <v>20</v>
      </c>
      <c r="U504" s="46">
        <f t="shared" si="62"/>
        <v>30</v>
      </c>
      <c r="V504" s="54">
        <f t="shared" si="63"/>
        <v>0.83333333333333337</v>
      </c>
    </row>
    <row r="505" spans="1:22" x14ac:dyDescent="0.2">
      <c r="A505" s="46" t="s">
        <v>133</v>
      </c>
      <c r="B505" s="46" t="s">
        <v>46</v>
      </c>
      <c r="C505" s="46" t="s">
        <v>89</v>
      </c>
      <c r="D505" s="46" t="s">
        <v>178</v>
      </c>
      <c r="E505" s="46">
        <v>2</v>
      </c>
      <c r="F505" s="46" t="s">
        <v>60</v>
      </c>
      <c r="G505" s="46">
        <v>3</v>
      </c>
      <c r="H505" s="47">
        <v>3</v>
      </c>
      <c r="I505" s="47" t="s">
        <v>116</v>
      </c>
      <c r="J505" s="48">
        <v>0</v>
      </c>
      <c r="K505" s="48">
        <v>3</v>
      </c>
      <c r="R505" s="46">
        <f t="shared" si="60"/>
        <v>0</v>
      </c>
      <c r="S505" s="46">
        <f t="shared" si="61"/>
        <v>1</v>
      </c>
      <c r="T505" s="46">
        <f t="shared" si="65"/>
        <v>-20</v>
      </c>
      <c r="U505" s="46">
        <f t="shared" si="62"/>
        <v>-20</v>
      </c>
      <c r="V505" s="54">
        <f t="shared" si="63"/>
        <v>13.571428571428571</v>
      </c>
    </row>
    <row r="506" spans="1:22" x14ac:dyDescent="0.2">
      <c r="A506" s="46" t="s">
        <v>133</v>
      </c>
      <c r="B506" s="46" t="s">
        <v>46</v>
      </c>
      <c r="C506" s="46" t="s">
        <v>89</v>
      </c>
      <c r="D506" s="46" t="s">
        <v>178</v>
      </c>
      <c r="E506" s="46">
        <v>3</v>
      </c>
      <c r="F506" s="46" t="s">
        <v>60</v>
      </c>
      <c r="G506" s="46">
        <v>4</v>
      </c>
      <c r="H506" s="47">
        <v>20</v>
      </c>
      <c r="I506" s="47" t="s">
        <v>102</v>
      </c>
      <c r="J506" s="48">
        <v>0</v>
      </c>
      <c r="K506" s="48">
        <v>3</v>
      </c>
      <c r="R506" s="46">
        <f t="shared" si="60"/>
        <v>0</v>
      </c>
      <c r="S506" s="46">
        <f t="shared" si="61"/>
        <v>1</v>
      </c>
      <c r="T506" s="46">
        <f t="shared" si="65"/>
        <v>-20</v>
      </c>
      <c r="U506" s="46">
        <f t="shared" si="62"/>
        <v>-20</v>
      </c>
      <c r="V506" s="54">
        <f t="shared" si="63"/>
        <v>13.571428571428571</v>
      </c>
    </row>
    <row r="507" spans="1:22" x14ac:dyDescent="0.2">
      <c r="A507" s="46" t="s">
        <v>133</v>
      </c>
      <c r="B507" s="46" t="s">
        <v>46</v>
      </c>
      <c r="C507" s="46" t="s">
        <v>89</v>
      </c>
      <c r="D507" s="46" t="s">
        <v>178</v>
      </c>
      <c r="E507" s="46">
        <v>4</v>
      </c>
      <c r="F507" s="46" t="s">
        <v>60</v>
      </c>
      <c r="G507" s="46">
        <v>2</v>
      </c>
      <c r="H507" s="47">
        <v>38</v>
      </c>
      <c r="I507" s="47" t="s">
        <v>127</v>
      </c>
      <c r="J507" s="48">
        <v>0</v>
      </c>
      <c r="K507" s="48">
        <v>3</v>
      </c>
      <c r="R507" s="46">
        <f t="shared" si="60"/>
        <v>0</v>
      </c>
      <c r="S507" s="46">
        <f t="shared" si="61"/>
        <v>1</v>
      </c>
      <c r="T507" s="46">
        <f t="shared" si="65"/>
        <v>-20</v>
      </c>
      <c r="U507" s="46">
        <f t="shared" si="62"/>
        <v>-20</v>
      </c>
      <c r="V507" s="54">
        <f t="shared" si="63"/>
        <v>13.571428571428571</v>
      </c>
    </row>
    <row r="508" spans="1:22" x14ac:dyDescent="0.2">
      <c r="A508" s="46" t="s">
        <v>133</v>
      </c>
      <c r="B508" s="46" t="s">
        <v>46</v>
      </c>
      <c r="C508" s="46" t="s">
        <v>89</v>
      </c>
      <c r="D508" s="46" t="s">
        <v>178</v>
      </c>
      <c r="E508" s="46">
        <v>2</v>
      </c>
      <c r="F508" s="46" t="s">
        <v>60</v>
      </c>
      <c r="G508" s="46">
        <v>4</v>
      </c>
      <c r="H508" s="47">
        <v>12</v>
      </c>
      <c r="I508" s="47" t="s">
        <v>102</v>
      </c>
      <c r="J508" s="48">
        <v>0</v>
      </c>
      <c r="K508" s="48">
        <v>0</v>
      </c>
      <c r="R508" s="46">
        <f t="shared" si="60"/>
        <v>0</v>
      </c>
      <c r="S508" s="46">
        <f t="shared" si="61"/>
        <v>0</v>
      </c>
      <c r="T508" s="46">
        <f t="shared" si="65"/>
        <v>0</v>
      </c>
      <c r="U508" s="46">
        <f t="shared" si="62"/>
        <v>0</v>
      </c>
      <c r="V508" s="54">
        <f t="shared" si="63"/>
        <v>13.571428571428571</v>
      </c>
    </row>
    <row r="509" spans="1:22" x14ac:dyDescent="0.2">
      <c r="A509" s="46" t="s">
        <v>133</v>
      </c>
      <c r="B509" s="46" t="s">
        <v>46</v>
      </c>
      <c r="C509" s="46" t="s">
        <v>89</v>
      </c>
      <c r="D509" s="46" t="s">
        <v>178</v>
      </c>
      <c r="E509" s="46">
        <v>3</v>
      </c>
      <c r="F509" s="46" t="s">
        <v>60</v>
      </c>
      <c r="G509" s="46">
        <v>1</v>
      </c>
      <c r="H509" s="47">
        <v>25</v>
      </c>
      <c r="I509" s="47" t="s">
        <v>116</v>
      </c>
      <c r="J509" s="48">
        <v>0</v>
      </c>
      <c r="K509" s="48">
        <v>0</v>
      </c>
      <c r="R509" s="46">
        <f t="shared" si="60"/>
        <v>0</v>
      </c>
      <c r="S509" s="46">
        <f t="shared" si="61"/>
        <v>0</v>
      </c>
      <c r="T509" s="46">
        <f t="shared" si="65"/>
        <v>0</v>
      </c>
      <c r="U509" s="46">
        <f t="shared" si="62"/>
        <v>0</v>
      </c>
      <c r="V509" s="54">
        <f t="shared" si="63"/>
        <v>13.571428571428571</v>
      </c>
    </row>
    <row r="510" spans="1:22" x14ac:dyDescent="0.2">
      <c r="A510" s="46" t="s">
        <v>133</v>
      </c>
      <c r="B510" s="46" t="s">
        <v>46</v>
      </c>
      <c r="C510" s="46" t="s">
        <v>89</v>
      </c>
      <c r="D510" s="46" t="s">
        <v>178</v>
      </c>
      <c r="E510" s="46">
        <v>4</v>
      </c>
      <c r="F510" s="46" t="s">
        <v>60</v>
      </c>
      <c r="G510" s="46">
        <v>3</v>
      </c>
      <c r="H510" s="47">
        <v>31</v>
      </c>
      <c r="I510" s="47" t="s">
        <v>159</v>
      </c>
      <c r="J510" s="48">
        <v>0</v>
      </c>
      <c r="K510" s="48">
        <v>0</v>
      </c>
      <c r="M510" s="48">
        <v>1</v>
      </c>
      <c r="R510" s="46">
        <f t="shared" si="60"/>
        <v>0</v>
      </c>
      <c r="S510" s="46">
        <f t="shared" si="61"/>
        <v>0</v>
      </c>
      <c r="T510" s="46">
        <f t="shared" si="65"/>
        <v>0</v>
      </c>
      <c r="U510" s="46">
        <f t="shared" si="62"/>
        <v>20</v>
      </c>
      <c r="V510" s="54">
        <f t="shared" si="63"/>
        <v>13.571428571428571</v>
      </c>
    </row>
    <row r="511" spans="1:22" x14ac:dyDescent="0.2">
      <c r="A511" s="46" t="s">
        <v>133</v>
      </c>
      <c r="B511" s="46" t="s">
        <v>46</v>
      </c>
      <c r="C511" s="46" t="s">
        <v>89</v>
      </c>
      <c r="D511" s="46" t="s">
        <v>178</v>
      </c>
      <c r="E511" s="46">
        <v>1</v>
      </c>
      <c r="F511" s="46" t="s">
        <v>60</v>
      </c>
      <c r="G511" s="46">
        <v>2</v>
      </c>
      <c r="H511" s="47">
        <v>42</v>
      </c>
      <c r="I511" s="47" t="s">
        <v>127</v>
      </c>
      <c r="J511" s="48">
        <v>0</v>
      </c>
      <c r="K511" s="48">
        <v>1</v>
      </c>
      <c r="R511" s="46">
        <f t="shared" si="60"/>
        <v>0</v>
      </c>
      <c r="S511" s="46">
        <f t="shared" si="61"/>
        <v>0</v>
      </c>
      <c r="T511" s="46">
        <f t="shared" si="65"/>
        <v>0</v>
      </c>
      <c r="U511" s="46">
        <f t="shared" si="62"/>
        <v>0</v>
      </c>
      <c r="V511" s="54">
        <f t="shared" si="63"/>
        <v>13.571428571428571</v>
      </c>
    </row>
    <row r="512" spans="1:22" x14ac:dyDescent="0.2">
      <c r="A512" s="46" t="s">
        <v>133</v>
      </c>
      <c r="B512" s="46" t="s">
        <v>46</v>
      </c>
      <c r="C512" s="46" t="s">
        <v>89</v>
      </c>
      <c r="D512" s="46" t="s">
        <v>178</v>
      </c>
      <c r="E512" s="46">
        <v>2</v>
      </c>
      <c r="F512" s="46" t="s">
        <v>60</v>
      </c>
      <c r="G512" s="46">
        <v>2</v>
      </c>
      <c r="H512" s="47">
        <v>46</v>
      </c>
      <c r="I512" s="47" t="s">
        <v>127</v>
      </c>
      <c r="J512" s="48">
        <v>1</v>
      </c>
      <c r="K512" s="48">
        <v>3</v>
      </c>
      <c r="R512" s="46">
        <f t="shared" si="60"/>
        <v>0</v>
      </c>
      <c r="S512" s="46">
        <f t="shared" si="61"/>
        <v>1</v>
      </c>
      <c r="T512" s="46">
        <f t="shared" si="65"/>
        <v>0</v>
      </c>
      <c r="U512" s="46">
        <f t="shared" si="62"/>
        <v>0</v>
      </c>
      <c r="V512" s="54">
        <f t="shared" si="63"/>
        <v>13.571428571428571</v>
      </c>
    </row>
    <row r="513" spans="1:22" x14ac:dyDescent="0.2">
      <c r="A513" s="46" t="s">
        <v>133</v>
      </c>
      <c r="B513" s="46" t="s">
        <v>46</v>
      </c>
      <c r="C513" s="46" t="s">
        <v>89</v>
      </c>
      <c r="D513" s="46" t="s">
        <v>178</v>
      </c>
      <c r="E513" s="46">
        <v>1</v>
      </c>
      <c r="F513" s="46" t="s">
        <v>62</v>
      </c>
      <c r="G513" s="46">
        <v>3</v>
      </c>
      <c r="H513" s="47" t="s">
        <v>84</v>
      </c>
      <c r="I513" s="47" t="s">
        <v>116</v>
      </c>
      <c r="J513" s="48">
        <v>0</v>
      </c>
      <c r="K513" s="48">
        <v>1</v>
      </c>
      <c r="R513" s="46">
        <f t="shared" si="60"/>
        <v>0</v>
      </c>
      <c r="S513" s="46">
        <f t="shared" si="61"/>
        <v>0</v>
      </c>
      <c r="T513" s="46">
        <f t="shared" si="65"/>
        <v>0</v>
      </c>
      <c r="U513" s="46">
        <f t="shared" si="62"/>
        <v>0</v>
      </c>
      <c r="V513" s="54">
        <f t="shared" si="63"/>
        <v>13.571428571428571</v>
      </c>
    </row>
    <row r="514" spans="1:22" x14ac:dyDescent="0.2">
      <c r="A514" s="46" t="s">
        <v>133</v>
      </c>
      <c r="B514" s="46" t="s">
        <v>46</v>
      </c>
      <c r="C514" s="46" t="s">
        <v>89</v>
      </c>
      <c r="D514" s="46" t="s">
        <v>178</v>
      </c>
      <c r="E514" s="46">
        <v>2</v>
      </c>
      <c r="F514" s="46" t="s">
        <v>62</v>
      </c>
      <c r="G514" s="46">
        <v>2</v>
      </c>
      <c r="H514" s="47" t="s">
        <v>86</v>
      </c>
      <c r="I514" s="47" t="s">
        <v>127</v>
      </c>
      <c r="J514" s="48">
        <v>1</v>
      </c>
      <c r="K514" s="48">
        <v>3</v>
      </c>
      <c r="R514" s="46">
        <f t="shared" ref="R514:R577" si="66">IF(J514=4,1,0)</f>
        <v>0</v>
      </c>
      <c r="S514" s="46">
        <f t="shared" ref="S514:S577" si="67">IF(K514=3,1,0)</f>
        <v>1</v>
      </c>
      <c r="T514" s="46">
        <f t="shared" si="65"/>
        <v>0</v>
      </c>
      <c r="U514" s="46">
        <f t="shared" ref="U514:U577" si="68">T514+M514*(20) + (SUM(O514:Q514)*(10)) - L514*(5) - N514*(5)</f>
        <v>0</v>
      </c>
      <c r="V514" s="54">
        <f t="shared" ref="V514:V577" si="69">AVERAGEIFS(U:U,A:A,A514,F:F,"Pre")</f>
        <v>13.571428571428571</v>
      </c>
    </row>
    <row r="515" spans="1:22" x14ac:dyDescent="0.2">
      <c r="A515" s="46" t="s">
        <v>133</v>
      </c>
      <c r="B515" s="46" t="s">
        <v>46</v>
      </c>
      <c r="C515" s="46" t="s">
        <v>89</v>
      </c>
      <c r="D515" s="46" t="s">
        <v>178</v>
      </c>
      <c r="E515" s="46">
        <v>4</v>
      </c>
      <c r="F515" s="46" t="s">
        <v>60</v>
      </c>
      <c r="G515" s="46">
        <v>2</v>
      </c>
      <c r="H515" s="47">
        <v>14</v>
      </c>
      <c r="I515" s="47" t="s">
        <v>127</v>
      </c>
      <c r="J515" s="48">
        <v>1</v>
      </c>
      <c r="K515" s="48">
        <v>2</v>
      </c>
      <c r="R515" s="46">
        <f t="shared" si="66"/>
        <v>0</v>
      </c>
      <c r="S515" s="46">
        <f t="shared" si="67"/>
        <v>0</v>
      </c>
      <c r="T515" s="46">
        <f t="shared" si="65"/>
        <v>10</v>
      </c>
      <c r="U515" s="46">
        <f t="shared" si="68"/>
        <v>10</v>
      </c>
      <c r="V515" s="54">
        <f t="shared" si="69"/>
        <v>13.571428571428571</v>
      </c>
    </row>
    <row r="516" spans="1:22" x14ac:dyDescent="0.2">
      <c r="A516" s="46" t="s">
        <v>133</v>
      </c>
      <c r="B516" s="46" t="s">
        <v>46</v>
      </c>
      <c r="C516" s="46" t="s">
        <v>89</v>
      </c>
      <c r="D516" s="46" t="s">
        <v>178</v>
      </c>
      <c r="E516" s="46">
        <v>1</v>
      </c>
      <c r="F516" s="46" t="s">
        <v>60</v>
      </c>
      <c r="G516" s="46">
        <v>2</v>
      </c>
      <c r="H516" s="47">
        <v>18</v>
      </c>
      <c r="I516" s="47" t="s">
        <v>127</v>
      </c>
      <c r="J516" s="48">
        <v>1</v>
      </c>
      <c r="K516" s="48">
        <v>2</v>
      </c>
      <c r="O516" s="48">
        <v>1</v>
      </c>
      <c r="R516" s="46">
        <f t="shared" si="66"/>
        <v>0</v>
      </c>
      <c r="S516" s="46">
        <f t="shared" si="67"/>
        <v>0</v>
      </c>
      <c r="T516" s="46">
        <f t="shared" si="65"/>
        <v>10</v>
      </c>
      <c r="U516" s="46">
        <f t="shared" si="68"/>
        <v>20</v>
      </c>
      <c r="V516" s="54">
        <f t="shared" si="69"/>
        <v>13.571428571428571</v>
      </c>
    </row>
    <row r="517" spans="1:22" x14ac:dyDescent="0.2">
      <c r="A517" s="46" t="s">
        <v>133</v>
      </c>
      <c r="B517" s="46" t="s">
        <v>46</v>
      </c>
      <c r="C517" s="46" t="s">
        <v>89</v>
      </c>
      <c r="D517" s="46" t="s">
        <v>178</v>
      </c>
      <c r="E517" s="46">
        <v>1</v>
      </c>
      <c r="F517" s="46" t="s">
        <v>60</v>
      </c>
      <c r="G517" s="46">
        <v>1</v>
      </c>
      <c r="H517" s="47">
        <v>29</v>
      </c>
      <c r="I517" s="47" t="s">
        <v>101</v>
      </c>
      <c r="J517" s="48">
        <v>1</v>
      </c>
      <c r="K517" s="48">
        <v>2</v>
      </c>
      <c r="R517" s="46">
        <f t="shared" si="66"/>
        <v>0</v>
      </c>
      <c r="S517" s="46">
        <f t="shared" si="67"/>
        <v>0</v>
      </c>
      <c r="T517" s="46">
        <f t="shared" si="65"/>
        <v>10</v>
      </c>
      <c r="U517" s="46">
        <f t="shared" si="68"/>
        <v>10</v>
      </c>
      <c r="V517" s="54">
        <f t="shared" si="69"/>
        <v>13.571428571428571</v>
      </c>
    </row>
    <row r="518" spans="1:22" x14ac:dyDescent="0.2">
      <c r="A518" s="46" t="s">
        <v>133</v>
      </c>
      <c r="B518" s="46" t="s">
        <v>46</v>
      </c>
      <c r="C518" s="46" t="s">
        <v>89</v>
      </c>
      <c r="D518" s="46" t="s">
        <v>178</v>
      </c>
      <c r="E518" s="46">
        <v>2</v>
      </c>
      <c r="F518" s="46" t="s">
        <v>62</v>
      </c>
      <c r="G518" s="46">
        <v>3</v>
      </c>
      <c r="H518" s="47" t="s">
        <v>64</v>
      </c>
      <c r="I518" s="47" t="s">
        <v>116</v>
      </c>
      <c r="J518" s="48">
        <v>1</v>
      </c>
      <c r="K518" s="48">
        <v>2</v>
      </c>
      <c r="R518" s="46">
        <f t="shared" si="66"/>
        <v>0</v>
      </c>
      <c r="S518" s="46">
        <f t="shared" si="67"/>
        <v>0</v>
      </c>
      <c r="T518" s="46">
        <f t="shared" si="65"/>
        <v>10</v>
      </c>
      <c r="U518" s="46">
        <f t="shared" si="68"/>
        <v>10</v>
      </c>
      <c r="V518" s="54">
        <f t="shared" si="69"/>
        <v>13.571428571428571</v>
      </c>
    </row>
    <row r="519" spans="1:22" x14ac:dyDescent="0.2">
      <c r="A519" s="46" t="s">
        <v>133</v>
      </c>
      <c r="B519" s="46" t="s">
        <v>46</v>
      </c>
      <c r="C519" s="46" t="s">
        <v>89</v>
      </c>
      <c r="D519" s="46" t="s">
        <v>178</v>
      </c>
      <c r="E519" s="46">
        <v>3</v>
      </c>
      <c r="F519" s="46" t="s">
        <v>60</v>
      </c>
      <c r="G519" s="46">
        <v>2</v>
      </c>
      <c r="H519" s="47">
        <v>2</v>
      </c>
      <c r="I519" s="47" t="s">
        <v>127</v>
      </c>
      <c r="J519" s="48">
        <v>1</v>
      </c>
      <c r="K519" s="48">
        <v>1</v>
      </c>
      <c r="R519" s="46">
        <f t="shared" si="66"/>
        <v>0</v>
      </c>
      <c r="S519" s="46">
        <f t="shared" si="67"/>
        <v>0</v>
      </c>
      <c r="T519" s="46">
        <f t="shared" si="65"/>
        <v>20</v>
      </c>
      <c r="U519" s="46">
        <f t="shared" si="68"/>
        <v>20</v>
      </c>
      <c r="V519" s="54">
        <f t="shared" si="69"/>
        <v>13.571428571428571</v>
      </c>
    </row>
    <row r="520" spans="1:22" x14ac:dyDescent="0.2">
      <c r="A520" s="46" t="s">
        <v>133</v>
      </c>
      <c r="B520" s="46" t="s">
        <v>46</v>
      </c>
      <c r="C520" s="46" t="s">
        <v>89</v>
      </c>
      <c r="D520" s="46" t="s">
        <v>178</v>
      </c>
      <c r="E520" s="46">
        <v>1</v>
      </c>
      <c r="F520" s="46" t="s">
        <v>60</v>
      </c>
      <c r="G520" s="46">
        <v>4</v>
      </c>
      <c r="H520" s="47">
        <v>4</v>
      </c>
      <c r="I520" s="47" t="s">
        <v>102</v>
      </c>
      <c r="J520" s="48">
        <v>1</v>
      </c>
      <c r="K520" s="48">
        <v>0</v>
      </c>
      <c r="R520" s="46">
        <f t="shared" si="66"/>
        <v>0</v>
      </c>
      <c r="S520" s="46">
        <f t="shared" si="67"/>
        <v>0</v>
      </c>
      <c r="T520" s="46">
        <f t="shared" si="65"/>
        <v>20</v>
      </c>
      <c r="U520" s="46">
        <f t="shared" si="68"/>
        <v>20</v>
      </c>
      <c r="V520" s="54">
        <f t="shared" si="69"/>
        <v>13.571428571428571</v>
      </c>
    </row>
    <row r="521" spans="1:22" x14ac:dyDescent="0.2">
      <c r="A521" s="46" t="s">
        <v>133</v>
      </c>
      <c r="B521" s="46" t="s">
        <v>46</v>
      </c>
      <c r="C521" s="46" t="s">
        <v>89</v>
      </c>
      <c r="D521" s="46" t="s">
        <v>178</v>
      </c>
      <c r="E521" s="46">
        <v>1</v>
      </c>
      <c r="F521" s="46" t="s">
        <v>60</v>
      </c>
      <c r="G521" s="46">
        <v>1</v>
      </c>
      <c r="H521" s="47">
        <v>9</v>
      </c>
      <c r="I521" s="47" t="s">
        <v>101</v>
      </c>
      <c r="J521" s="48">
        <v>1</v>
      </c>
      <c r="K521" s="48">
        <v>1</v>
      </c>
      <c r="R521" s="46">
        <f t="shared" si="66"/>
        <v>0</v>
      </c>
      <c r="S521" s="46">
        <f t="shared" si="67"/>
        <v>0</v>
      </c>
      <c r="T521" s="46">
        <f t="shared" si="65"/>
        <v>20</v>
      </c>
      <c r="U521" s="46">
        <f t="shared" si="68"/>
        <v>20</v>
      </c>
      <c r="V521" s="54">
        <f t="shared" si="69"/>
        <v>13.571428571428571</v>
      </c>
    </row>
    <row r="522" spans="1:22" x14ac:dyDescent="0.2">
      <c r="A522" s="46" t="s">
        <v>133</v>
      </c>
      <c r="B522" s="46" t="s">
        <v>46</v>
      </c>
      <c r="C522" s="46" t="s">
        <v>89</v>
      </c>
      <c r="D522" s="46" t="s">
        <v>178</v>
      </c>
      <c r="E522" s="46">
        <v>4</v>
      </c>
      <c r="F522" s="46" t="s">
        <v>60</v>
      </c>
      <c r="G522" s="46">
        <v>4</v>
      </c>
      <c r="H522" s="47">
        <v>24</v>
      </c>
      <c r="I522" s="47" t="s">
        <v>102</v>
      </c>
      <c r="J522" s="48">
        <v>1</v>
      </c>
      <c r="K522" s="48">
        <v>1</v>
      </c>
      <c r="R522" s="46">
        <f t="shared" si="66"/>
        <v>0</v>
      </c>
      <c r="S522" s="46">
        <f t="shared" si="67"/>
        <v>0</v>
      </c>
      <c r="T522" s="46">
        <f t="shared" si="65"/>
        <v>20</v>
      </c>
      <c r="U522" s="46">
        <f t="shared" si="68"/>
        <v>20</v>
      </c>
      <c r="V522" s="54">
        <f t="shared" si="69"/>
        <v>13.571428571428571</v>
      </c>
    </row>
    <row r="523" spans="1:22" x14ac:dyDescent="0.2">
      <c r="A523" s="46" t="s">
        <v>133</v>
      </c>
      <c r="B523" s="46" t="s">
        <v>46</v>
      </c>
      <c r="C523" s="46" t="s">
        <v>89</v>
      </c>
      <c r="D523" s="46" t="s">
        <v>178</v>
      </c>
      <c r="E523" s="46">
        <v>2</v>
      </c>
      <c r="F523" s="46" t="s">
        <v>60</v>
      </c>
      <c r="G523" s="46">
        <v>1</v>
      </c>
      <c r="H523" s="47">
        <v>25</v>
      </c>
      <c r="I523" s="47" t="s">
        <v>101</v>
      </c>
      <c r="J523" s="48">
        <v>1</v>
      </c>
      <c r="K523" s="48">
        <v>1</v>
      </c>
      <c r="R523" s="46">
        <f t="shared" si="66"/>
        <v>0</v>
      </c>
      <c r="S523" s="46">
        <f t="shared" si="67"/>
        <v>0</v>
      </c>
      <c r="T523" s="46">
        <f t="shared" si="65"/>
        <v>20</v>
      </c>
      <c r="U523" s="46">
        <f t="shared" si="68"/>
        <v>20</v>
      </c>
      <c r="V523" s="54">
        <f t="shared" si="69"/>
        <v>13.571428571428571</v>
      </c>
    </row>
    <row r="524" spans="1:22" x14ac:dyDescent="0.2">
      <c r="A524" s="46" t="s">
        <v>133</v>
      </c>
      <c r="B524" s="46" t="s">
        <v>46</v>
      </c>
      <c r="C524" s="46" t="s">
        <v>89</v>
      </c>
      <c r="D524" s="46" t="s">
        <v>178</v>
      </c>
      <c r="E524" s="46">
        <v>1</v>
      </c>
      <c r="F524" s="46" t="s">
        <v>60</v>
      </c>
      <c r="G524" s="46">
        <v>3</v>
      </c>
      <c r="H524" s="47">
        <v>27</v>
      </c>
      <c r="I524" s="47" t="s">
        <v>116</v>
      </c>
      <c r="J524" s="48">
        <v>1</v>
      </c>
      <c r="K524" s="48">
        <v>1</v>
      </c>
      <c r="L524" s="48">
        <v>1</v>
      </c>
      <c r="R524" s="46">
        <f t="shared" si="66"/>
        <v>0</v>
      </c>
      <c r="S524" s="46">
        <f t="shared" si="67"/>
        <v>0</v>
      </c>
      <c r="T524" s="46">
        <f t="shared" si="65"/>
        <v>20</v>
      </c>
      <c r="U524" s="46">
        <f t="shared" si="68"/>
        <v>15</v>
      </c>
      <c r="V524" s="54">
        <f t="shared" si="69"/>
        <v>13.571428571428571</v>
      </c>
    </row>
    <row r="525" spans="1:22" x14ac:dyDescent="0.2">
      <c r="A525" s="46" t="s">
        <v>133</v>
      </c>
      <c r="B525" s="46" t="s">
        <v>46</v>
      </c>
      <c r="C525" s="46" t="s">
        <v>89</v>
      </c>
      <c r="D525" s="46" t="s">
        <v>178</v>
      </c>
      <c r="E525" s="46">
        <v>2</v>
      </c>
      <c r="F525" s="46" t="s">
        <v>60</v>
      </c>
      <c r="G525" s="46">
        <v>1</v>
      </c>
      <c r="H525" s="47">
        <v>37</v>
      </c>
      <c r="I525" s="47" t="s">
        <v>101</v>
      </c>
      <c r="J525" s="48">
        <v>1</v>
      </c>
      <c r="K525" s="48">
        <v>1</v>
      </c>
      <c r="R525" s="46">
        <f t="shared" si="66"/>
        <v>0</v>
      </c>
      <c r="S525" s="46">
        <f t="shared" si="67"/>
        <v>0</v>
      </c>
      <c r="T525" s="46">
        <f t="shared" si="65"/>
        <v>20</v>
      </c>
      <c r="U525" s="46">
        <f t="shared" si="68"/>
        <v>20</v>
      </c>
      <c r="V525" s="54">
        <f t="shared" si="69"/>
        <v>13.571428571428571</v>
      </c>
    </row>
    <row r="526" spans="1:22" x14ac:dyDescent="0.2">
      <c r="A526" s="46" t="s">
        <v>133</v>
      </c>
      <c r="B526" s="46" t="s">
        <v>46</v>
      </c>
      <c r="C526" s="46" t="s">
        <v>89</v>
      </c>
      <c r="D526" s="46" t="s">
        <v>178</v>
      </c>
      <c r="E526" s="46">
        <v>2</v>
      </c>
      <c r="F526" s="46" t="s">
        <v>62</v>
      </c>
      <c r="G526" s="46">
        <v>3</v>
      </c>
      <c r="H526" s="47" t="s">
        <v>80</v>
      </c>
      <c r="I526" s="47" t="s">
        <v>116</v>
      </c>
      <c r="J526" s="48">
        <v>1</v>
      </c>
      <c r="K526" s="48">
        <v>1</v>
      </c>
      <c r="R526" s="46">
        <f t="shared" si="66"/>
        <v>0</v>
      </c>
      <c r="S526" s="46">
        <f t="shared" si="67"/>
        <v>0</v>
      </c>
      <c r="T526" s="46">
        <f t="shared" si="65"/>
        <v>20</v>
      </c>
      <c r="U526" s="46">
        <f t="shared" si="68"/>
        <v>20</v>
      </c>
      <c r="V526" s="54">
        <f t="shared" si="69"/>
        <v>13.571428571428571</v>
      </c>
    </row>
    <row r="527" spans="1:22" x14ac:dyDescent="0.2">
      <c r="A527" s="46" t="s">
        <v>133</v>
      </c>
      <c r="B527" s="46" t="s">
        <v>46</v>
      </c>
      <c r="C527" s="46" t="s">
        <v>89</v>
      </c>
      <c r="D527" s="46" t="s">
        <v>178</v>
      </c>
      <c r="E527" s="46">
        <v>4</v>
      </c>
      <c r="F527" s="46" t="s">
        <v>62</v>
      </c>
      <c r="G527" s="46">
        <v>3</v>
      </c>
      <c r="H527" s="47" t="s">
        <v>80</v>
      </c>
      <c r="I527" s="47" t="s">
        <v>219</v>
      </c>
      <c r="J527" s="48">
        <v>1</v>
      </c>
      <c r="K527" s="48">
        <v>0</v>
      </c>
      <c r="M527" s="48">
        <v>1</v>
      </c>
      <c r="R527" s="46">
        <f t="shared" si="66"/>
        <v>0</v>
      </c>
      <c r="S527" s="46">
        <f t="shared" si="67"/>
        <v>0</v>
      </c>
      <c r="T527" s="46">
        <f t="shared" si="65"/>
        <v>20</v>
      </c>
      <c r="U527" s="46">
        <f t="shared" si="68"/>
        <v>40</v>
      </c>
      <c r="V527" s="54">
        <f t="shared" si="69"/>
        <v>13.571428571428571</v>
      </c>
    </row>
    <row r="528" spans="1:22" x14ac:dyDescent="0.2">
      <c r="A528" s="46" t="s">
        <v>133</v>
      </c>
      <c r="B528" s="46" t="s">
        <v>46</v>
      </c>
      <c r="C528" s="46" t="s">
        <v>89</v>
      </c>
      <c r="D528" s="46" t="s">
        <v>178</v>
      </c>
      <c r="E528" s="46">
        <v>4</v>
      </c>
      <c r="F528" s="46" t="s">
        <v>62</v>
      </c>
      <c r="G528" s="46">
        <v>3</v>
      </c>
      <c r="H528" s="47" t="s">
        <v>64</v>
      </c>
      <c r="I528" s="47" t="s">
        <v>219</v>
      </c>
      <c r="J528" s="48">
        <v>1</v>
      </c>
      <c r="K528" s="48">
        <v>0</v>
      </c>
      <c r="O528" s="48">
        <v>1</v>
      </c>
      <c r="R528" s="46">
        <f t="shared" si="66"/>
        <v>0</v>
      </c>
      <c r="S528" s="46">
        <f t="shared" si="67"/>
        <v>0</v>
      </c>
      <c r="T528" s="46">
        <f t="shared" si="65"/>
        <v>20</v>
      </c>
      <c r="U528" s="46">
        <f t="shared" si="68"/>
        <v>30</v>
      </c>
      <c r="V528" s="54">
        <f t="shared" si="69"/>
        <v>13.571428571428571</v>
      </c>
    </row>
    <row r="529" spans="1:22" x14ac:dyDescent="0.2">
      <c r="A529" s="46" t="s">
        <v>133</v>
      </c>
      <c r="B529" s="46" t="s">
        <v>46</v>
      </c>
      <c r="C529" s="46" t="s">
        <v>89</v>
      </c>
      <c r="D529" s="46" t="s">
        <v>178</v>
      </c>
      <c r="E529" s="46">
        <v>4</v>
      </c>
      <c r="F529" s="46" t="s">
        <v>60</v>
      </c>
      <c r="G529" s="46">
        <v>1</v>
      </c>
      <c r="H529" s="47">
        <v>5</v>
      </c>
      <c r="I529" s="47" t="s">
        <v>101</v>
      </c>
      <c r="J529" s="48">
        <v>2</v>
      </c>
      <c r="K529" s="48">
        <v>1</v>
      </c>
      <c r="R529" s="46">
        <f t="shared" si="66"/>
        <v>0</v>
      </c>
      <c r="S529" s="46">
        <f t="shared" si="67"/>
        <v>0</v>
      </c>
      <c r="T529" s="46">
        <f t="shared" si="65"/>
        <v>40</v>
      </c>
      <c r="U529" s="46">
        <f t="shared" si="68"/>
        <v>40</v>
      </c>
      <c r="V529" s="54">
        <f t="shared" si="69"/>
        <v>13.571428571428571</v>
      </c>
    </row>
    <row r="530" spans="1:22" x14ac:dyDescent="0.2">
      <c r="A530" s="46" t="s">
        <v>133</v>
      </c>
      <c r="B530" s="46" t="s">
        <v>46</v>
      </c>
      <c r="C530" s="46" t="s">
        <v>89</v>
      </c>
      <c r="D530" s="46" t="s">
        <v>178</v>
      </c>
      <c r="E530" s="46">
        <v>4</v>
      </c>
      <c r="F530" s="46" t="s">
        <v>62</v>
      </c>
      <c r="G530" s="46">
        <v>3</v>
      </c>
      <c r="H530" s="47" t="s">
        <v>85</v>
      </c>
      <c r="I530" s="47" t="s">
        <v>219</v>
      </c>
      <c r="J530" s="48">
        <v>2</v>
      </c>
      <c r="K530" s="48">
        <v>1</v>
      </c>
      <c r="R530" s="46">
        <f t="shared" si="66"/>
        <v>0</v>
      </c>
      <c r="S530" s="46">
        <f t="shared" si="67"/>
        <v>0</v>
      </c>
      <c r="T530" s="46">
        <f t="shared" si="65"/>
        <v>40</v>
      </c>
      <c r="U530" s="46">
        <f t="shared" si="68"/>
        <v>40</v>
      </c>
      <c r="V530" s="54">
        <f t="shared" si="69"/>
        <v>13.571428571428571</v>
      </c>
    </row>
    <row r="531" spans="1:22" x14ac:dyDescent="0.2">
      <c r="A531" s="46" t="s">
        <v>133</v>
      </c>
      <c r="B531" s="46" t="s">
        <v>46</v>
      </c>
      <c r="C531" s="46" t="s">
        <v>89</v>
      </c>
      <c r="D531" s="46" t="s">
        <v>178</v>
      </c>
      <c r="E531" s="46">
        <v>1</v>
      </c>
      <c r="F531" s="46" t="s">
        <v>62</v>
      </c>
      <c r="G531" s="46">
        <v>3</v>
      </c>
      <c r="H531" s="47" t="s">
        <v>87</v>
      </c>
      <c r="I531" s="47" t="s">
        <v>116</v>
      </c>
      <c r="J531" s="48">
        <v>2</v>
      </c>
      <c r="K531" s="48">
        <v>1</v>
      </c>
      <c r="R531" s="46">
        <f t="shared" si="66"/>
        <v>0</v>
      </c>
      <c r="S531" s="46">
        <f t="shared" si="67"/>
        <v>0</v>
      </c>
      <c r="T531" s="46">
        <f t="shared" si="65"/>
        <v>40</v>
      </c>
      <c r="U531" s="46">
        <f t="shared" si="68"/>
        <v>40</v>
      </c>
      <c r="V531" s="54">
        <f t="shared" si="69"/>
        <v>13.571428571428571</v>
      </c>
    </row>
    <row r="532" spans="1:22" x14ac:dyDescent="0.2">
      <c r="A532" s="46" t="s">
        <v>133</v>
      </c>
      <c r="B532" s="46" t="s">
        <v>46</v>
      </c>
      <c r="C532" s="46" t="s">
        <v>89</v>
      </c>
      <c r="D532" s="46" t="s">
        <v>178</v>
      </c>
      <c r="E532" s="46">
        <v>4</v>
      </c>
      <c r="F532" s="46" t="s">
        <v>62</v>
      </c>
      <c r="G532" s="46">
        <v>3</v>
      </c>
      <c r="H532" s="47" t="s">
        <v>87</v>
      </c>
      <c r="I532" s="47" t="s">
        <v>219</v>
      </c>
      <c r="J532" s="48">
        <v>2</v>
      </c>
      <c r="K532" s="48">
        <v>0</v>
      </c>
      <c r="R532" s="46">
        <f t="shared" si="66"/>
        <v>0</v>
      </c>
      <c r="S532" s="46">
        <f t="shared" si="67"/>
        <v>0</v>
      </c>
      <c r="T532" s="46">
        <f t="shared" si="65"/>
        <v>40</v>
      </c>
      <c r="U532" s="46">
        <f t="shared" si="68"/>
        <v>40</v>
      </c>
      <c r="V532" s="54">
        <f t="shared" si="69"/>
        <v>13.571428571428571</v>
      </c>
    </row>
    <row r="533" spans="1:22" x14ac:dyDescent="0.2">
      <c r="A533" s="46" t="s">
        <v>133</v>
      </c>
      <c r="B533" s="46" t="s">
        <v>46</v>
      </c>
      <c r="C533" s="46" t="s">
        <v>89</v>
      </c>
      <c r="D533" s="46" t="s">
        <v>178</v>
      </c>
      <c r="E533" s="46">
        <v>3</v>
      </c>
      <c r="F533" s="46" t="s">
        <v>60</v>
      </c>
      <c r="G533" s="46">
        <v>3</v>
      </c>
      <c r="H533" s="47">
        <v>11</v>
      </c>
      <c r="I533" s="47" t="s">
        <v>116</v>
      </c>
      <c r="J533" s="48">
        <v>3</v>
      </c>
      <c r="K533" s="48">
        <v>2</v>
      </c>
      <c r="R533" s="46">
        <f t="shared" si="66"/>
        <v>0</v>
      </c>
      <c r="S533" s="46">
        <f t="shared" si="67"/>
        <v>0</v>
      </c>
      <c r="T533" s="46">
        <f t="shared" si="65"/>
        <v>50</v>
      </c>
      <c r="U533" s="46">
        <f t="shared" si="68"/>
        <v>50</v>
      </c>
      <c r="V533" s="54">
        <f t="shared" si="69"/>
        <v>13.571428571428571</v>
      </c>
    </row>
    <row r="534" spans="1:22" x14ac:dyDescent="0.2">
      <c r="A534" s="46" t="s">
        <v>133</v>
      </c>
      <c r="B534" s="46" t="s">
        <v>46</v>
      </c>
      <c r="C534" s="46" t="s">
        <v>89</v>
      </c>
      <c r="D534" s="46" t="s">
        <v>178</v>
      </c>
      <c r="E534" s="46">
        <v>1</v>
      </c>
      <c r="F534" s="46" t="s">
        <v>62</v>
      </c>
      <c r="G534" s="46">
        <v>3</v>
      </c>
      <c r="H534" s="47" t="s">
        <v>80</v>
      </c>
      <c r="I534" s="47" t="s">
        <v>116</v>
      </c>
      <c r="J534" s="48">
        <v>3</v>
      </c>
      <c r="K534" s="48">
        <v>2</v>
      </c>
      <c r="R534" s="46">
        <f t="shared" si="66"/>
        <v>0</v>
      </c>
      <c r="S534" s="46">
        <f t="shared" si="67"/>
        <v>0</v>
      </c>
      <c r="T534" s="46">
        <f t="shared" si="65"/>
        <v>50</v>
      </c>
      <c r="U534" s="46">
        <f t="shared" si="68"/>
        <v>50</v>
      </c>
      <c r="V534" s="54">
        <f t="shared" si="69"/>
        <v>13.571428571428571</v>
      </c>
    </row>
    <row r="535" spans="1:22" x14ac:dyDescent="0.2">
      <c r="A535" s="46" t="s">
        <v>133</v>
      </c>
      <c r="B535" s="46" t="s">
        <v>46</v>
      </c>
      <c r="C535" s="46" t="s">
        <v>89</v>
      </c>
      <c r="D535" s="46" t="s">
        <v>178</v>
      </c>
      <c r="E535" s="46">
        <v>2</v>
      </c>
      <c r="F535" s="46" t="s">
        <v>60</v>
      </c>
      <c r="G535" s="46">
        <v>4</v>
      </c>
      <c r="H535" s="47">
        <v>20</v>
      </c>
      <c r="I535" s="47" t="s">
        <v>102</v>
      </c>
      <c r="J535" s="48">
        <v>3</v>
      </c>
      <c r="K535" s="48">
        <v>0</v>
      </c>
      <c r="R535" s="46">
        <f t="shared" si="66"/>
        <v>0</v>
      </c>
      <c r="S535" s="46">
        <f t="shared" si="67"/>
        <v>0</v>
      </c>
      <c r="T535" s="46">
        <f t="shared" si="65"/>
        <v>60</v>
      </c>
      <c r="U535" s="46">
        <f t="shared" si="68"/>
        <v>60</v>
      </c>
      <c r="V535" s="54">
        <f t="shared" si="69"/>
        <v>13.571428571428571</v>
      </c>
    </row>
    <row r="536" spans="1:22" x14ac:dyDescent="0.2">
      <c r="A536" s="46" t="s">
        <v>133</v>
      </c>
      <c r="B536" s="46" t="s">
        <v>46</v>
      </c>
      <c r="C536" s="46" t="s">
        <v>89</v>
      </c>
      <c r="D536" s="46" t="s">
        <v>178</v>
      </c>
      <c r="E536" s="46">
        <v>4</v>
      </c>
      <c r="F536" s="46" t="s">
        <v>60</v>
      </c>
      <c r="G536" s="46">
        <v>1</v>
      </c>
      <c r="H536" s="47">
        <v>45</v>
      </c>
      <c r="I536" s="47" t="s">
        <v>101</v>
      </c>
      <c r="J536" s="48">
        <v>3</v>
      </c>
      <c r="K536" s="48">
        <v>0</v>
      </c>
      <c r="R536" s="46">
        <f t="shared" si="66"/>
        <v>0</v>
      </c>
      <c r="S536" s="46">
        <f t="shared" si="67"/>
        <v>0</v>
      </c>
      <c r="T536" s="46">
        <f t="shared" ref="T536:T547" si="70">quizscore(J536,K536)</f>
        <v>60</v>
      </c>
      <c r="U536" s="46">
        <f t="shared" si="68"/>
        <v>60</v>
      </c>
      <c r="V536" s="54">
        <f t="shared" si="69"/>
        <v>13.571428571428571</v>
      </c>
    </row>
    <row r="537" spans="1:22" x14ac:dyDescent="0.2">
      <c r="A537" s="46" t="s">
        <v>133</v>
      </c>
      <c r="B537" s="46" t="s">
        <v>46</v>
      </c>
      <c r="C537" s="46" t="s">
        <v>89</v>
      </c>
      <c r="D537" s="46" t="s">
        <v>178</v>
      </c>
      <c r="E537" s="46">
        <v>2</v>
      </c>
      <c r="F537" s="46" t="s">
        <v>62</v>
      </c>
      <c r="G537" s="46">
        <v>3</v>
      </c>
      <c r="H537" s="47" t="s">
        <v>84</v>
      </c>
      <c r="I537" s="47" t="s">
        <v>116</v>
      </c>
      <c r="J537" s="48">
        <v>4</v>
      </c>
      <c r="K537" s="48">
        <v>0</v>
      </c>
      <c r="R537" s="46">
        <f t="shared" si="66"/>
        <v>1</v>
      </c>
      <c r="S537" s="46">
        <f t="shared" si="67"/>
        <v>0</v>
      </c>
      <c r="T537" s="46">
        <f t="shared" si="70"/>
        <v>90</v>
      </c>
      <c r="U537" s="46">
        <f t="shared" si="68"/>
        <v>90</v>
      </c>
      <c r="V537" s="54">
        <f t="shared" si="69"/>
        <v>13.571428571428571</v>
      </c>
    </row>
    <row r="538" spans="1:22" x14ac:dyDescent="0.2">
      <c r="A538" s="46" t="s">
        <v>133</v>
      </c>
      <c r="B538" s="46" t="s">
        <v>46</v>
      </c>
      <c r="C538" s="46" t="s">
        <v>89</v>
      </c>
      <c r="D538" s="46" t="s">
        <v>178</v>
      </c>
      <c r="E538" s="46">
        <v>4</v>
      </c>
      <c r="F538" s="46" t="s">
        <v>62</v>
      </c>
      <c r="G538" s="46">
        <v>2</v>
      </c>
      <c r="H538" s="47" t="s">
        <v>83</v>
      </c>
      <c r="I538" s="47" t="s">
        <v>127</v>
      </c>
      <c r="J538" s="48">
        <v>1</v>
      </c>
      <c r="K538" s="48">
        <v>1</v>
      </c>
      <c r="R538" s="46">
        <f t="shared" si="66"/>
        <v>0</v>
      </c>
      <c r="S538" s="46">
        <f t="shared" si="67"/>
        <v>0</v>
      </c>
      <c r="T538" s="46">
        <f t="shared" si="70"/>
        <v>20</v>
      </c>
      <c r="U538" s="46">
        <f t="shared" si="68"/>
        <v>20</v>
      </c>
      <c r="V538" s="54">
        <f t="shared" si="69"/>
        <v>13.571428571428571</v>
      </c>
    </row>
    <row r="539" spans="1:22" x14ac:dyDescent="0.2">
      <c r="A539" s="46" t="s">
        <v>133</v>
      </c>
      <c r="B539" s="46" t="s">
        <v>46</v>
      </c>
      <c r="C539" s="46" t="s">
        <v>89</v>
      </c>
      <c r="D539" s="46" t="s">
        <v>178</v>
      </c>
      <c r="E539" s="46">
        <v>5</v>
      </c>
      <c r="F539" s="46" t="s">
        <v>60</v>
      </c>
      <c r="G539" s="46">
        <v>3</v>
      </c>
      <c r="H539" s="47">
        <v>3</v>
      </c>
      <c r="I539" s="47" t="s">
        <v>159</v>
      </c>
      <c r="J539" s="48">
        <v>1</v>
      </c>
      <c r="K539" s="48">
        <v>1</v>
      </c>
      <c r="R539" s="46">
        <f t="shared" si="66"/>
        <v>0</v>
      </c>
      <c r="S539" s="46">
        <f t="shared" si="67"/>
        <v>0</v>
      </c>
      <c r="T539" s="46">
        <f t="shared" si="70"/>
        <v>20</v>
      </c>
      <c r="U539" s="46">
        <f t="shared" si="68"/>
        <v>20</v>
      </c>
      <c r="V539" s="54">
        <f t="shared" si="69"/>
        <v>13.571428571428571</v>
      </c>
    </row>
    <row r="540" spans="1:22" x14ac:dyDescent="0.2">
      <c r="A540" s="46" t="s">
        <v>133</v>
      </c>
      <c r="B540" s="46" t="s">
        <v>46</v>
      </c>
      <c r="C540" s="46" t="s">
        <v>89</v>
      </c>
      <c r="D540" s="46" t="s">
        <v>178</v>
      </c>
      <c r="E540" s="46">
        <v>5</v>
      </c>
      <c r="F540" s="46" t="s">
        <v>60</v>
      </c>
      <c r="G540" s="46">
        <v>2</v>
      </c>
      <c r="H540" s="47">
        <v>14</v>
      </c>
      <c r="I540" s="47" t="s">
        <v>127</v>
      </c>
      <c r="J540" s="48">
        <v>0</v>
      </c>
      <c r="K540" s="48">
        <v>2</v>
      </c>
      <c r="R540" s="46">
        <f t="shared" si="66"/>
        <v>0</v>
      </c>
      <c r="S540" s="46">
        <f t="shared" si="67"/>
        <v>0</v>
      </c>
      <c r="T540" s="46">
        <f t="shared" si="70"/>
        <v>-10</v>
      </c>
      <c r="U540" s="46">
        <f t="shared" si="68"/>
        <v>-10</v>
      </c>
      <c r="V540" s="54">
        <f t="shared" si="69"/>
        <v>13.571428571428571</v>
      </c>
    </row>
    <row r="541" spans="1:22" x14ac:dyDescent="0.2">
      <c r="A541" s="46" t="s">
        <v>133</v>
      </c>
      <c r="B541" s="46" t="s">
        <v>46</v>
      </c>
      <c r="C541" s="46" t="s">
        <v>89</v>
      </c>
      <c r="D541" s="46" t="s">
        <v>178</v>
      </c>
      <c r="E541" s="46">
        <v>5</v>
      </c>
      <c r="F541" s="46" t="s">
        <v>60</v>
      </c>
      <c r="G541" s="46">
        <v>4</v>
      </c>
      <c r="H541" s="47">
        <v>24</v>
      </c>
      <c r="I541" s="47" t="s">
        <v>102</v>
      </c>
      <c r="J541" s="48">
        <v>0</v>
      </c>
      <c r="K541" s="48">
        <v>1</v>
      </c>
      <c r="R541" s="46">
        <f t="shared" si="66"/>
        <v>0</v>
      </c>
      <c r="S541" s="46">
        <f t="shared" si="67"/>
        <v>0</v>
      </c>
      <c r="T541" s="46">
        <f t="shared" si="70"/>
        <v>0</v>
      </c>
      <c r="U541" s="46">
        <f t="shared" si="68"/>
        <v>0</v>
      </c>
      <c r="V541" s="54">
        <f t="shared" si="69"/>
        <v>13.571428571428571</v>
      </c>
    </row>
    <row r="542" spans="1:22" x14ac:dyDescent="0.2">
      <c r="A542" s="46" t="s">
        <v>133</v>
      </c>
      <c r="B542" s="46" t="s">
        <v>46</v>
      </c>
      <c r="C542" s="46" t="s">
        <v>89</v>
      </c>
      <c r="D542" s="46" t="s">
        <v>178</v>
      </c>
      <c r="E542" s="46">
        <v>5</v>
      </c>
      <c r="F542" s="46" t="s">
        <v>60</v>
      </c>
      <c r="G542" s="46">
        <v>1</v>
      </c>
      <c r="H542" s="47">
        <v>25</v>
      </c>
      <c r="I542" s="47" t="s">
        <v>101</v>
      </c>
      <c r="J542" s="48">
        <v>1</v>
      </c>
      <c r="K542" s="48">
        <v>2</v>
      </c>
      <c r="R542" s="46">
        <f t="shared" si="66"/>
        <v>0</v>
      </c>
      <c r="S542" s="46">
        <f t="shared" si="67"/>
        <v>0</v>
      </c>
      <c r="T542" s="46">
        <f t="shared" si="70"/>
        <v>10</v>
      </c>
      <c r="U542" s="46">
        <f t="shared" si="68"/>
        <v>10</v>
      </c>
      <c r="V542" s="54">
        <f t="shared" si="69"/>
        <v>13.571428571428571</v>
      </c>
    </row>
    <row r="543" spans="1:22" x14ac:dyDescent="0.2">
      <c r="A543" s="46" t="s">
        <v>133</v>
      </c>
      <c r="B543" s="46" t="s">
        <v>46</v>
      </c>
      <c r="C543" s="46" t="s">
        <v>89</v>
      </c>
      <c r="D543" s="46" t="s">
        <v>178</v>
      </c>
      <c r="E543" s="46">
        <v>5</v>
      </c>
      <c r="F543" s="46" t="s">
        <v>60</v>
      </c>
      <c r="G543" s="46">
        <v>2</v>
      </c>
      <c r="H543" s="47">
        <v>34</v>
      </c>
      <c r="I543" s="47" t="s">
        <v>127</v>
      </c>
      <c r="J543" s="48">
        <v>0</v>
      </c>
      <c r="K543" s="48">
        <v>0</v>
      </c>
      <c r="R543" s="46">
        <f t="shared" si="66"/>
        <v>0</v>
      </c>
      <c r="S543" s="46">
        <f t="shared" si="67"/>
        <v>0</v>
      </c>
      <c r="T543" s="46">
        <f t="shared" si="70"/>
        <v>0</v>
      </c>
      <c r="U543" s="46">
        <f t="shared" si="68"/>
        <v>0</v>
      </c>
      <c r="V543" s="54">
        <f t="shared" si="69"/>
        <v>13.571428571428571</v>
      </c>
    </row>
    <row r="544" spans="1:22" x14ac:dyDescent="0.2">
      <c r="A544" s="46" t="s">
        <v>133</v>
      </c>
      <c r="B544" s="46" t="s">
        <v>46</v>
      </c>
      <c r="C544" s="46" t="s">
        <v>89</v>
      </c>
      <c r="D544" s="46" t="s">
        <v>178</v>
      </c>
      <c r="E544" s="46">
        <v>5</v>
      </c>
      <c r="F544" s="46" t="s">
        <v>60</v>
      </c>
      <c r="G544" s="46">
        <v>3</v>
      </c>
      <c r="H544" s="47">
        <v>43</v>
      </c>
      <c r="I544" s="47" t="s">
        <v>159</v>
      </c>
      <c r="J544" s="48">
        <v>1</v>
      </c>
      <c r="K544" s="48">
        <v>0</v>
      </c>
      <c r="N544" s="48">
        <v>1</v>
      </c>
      <c r="R544" s="46">
        <f t="shared" si="66"/>
        <v>0</v>
      </c>
      <c r="S544" s="46">
        <f t="shared" si="67"/>
        <v>0</v>
      </c>
      <c r="T544" s="46">
        <f t="shared" si="70"/>
        <v>20</v>
      </c>
      <c r="U544" s="46">
        <f t="shared" si="68"/>
        <v>15</v>
      </c>
      <c r="V544" s="54">
        <f t="shared" si="69"/>
        <v>13.571428571428571</v>
      </c>
    </row>
    <row r="545" spans="1:22" x14ac:dyDescent="0.2">
      <c r="A545" s="46" t="s">
        <v>133</v>
      </c>
      <c r="B545" s="46" t="s">
        <v>46</v>
      </c>
      <c r="C545" s="46" t="str">
        <f>VLOOKUP(B545,$B$2:$C$3219,2,FALSE)</f>
        <v>Chapel Hill</v>
      </c>
      <c r="D545" s="46" t="s">
        <v>178</v>
      </c>
      <c r="E545" s="46">
        <v>5</v>
      </c>
      <c r="F545" s="46" t="s">
        <v>63</v>
      </c>
      <c r="G545" s="46">
        <v>4</v>
      </c>
      <c r="H545" s="47" t="s">
        <v>146</v>
      </c>
      <c r="I545" s="47" t="s">
        <v>102</v>
      </c>
      <c r="J545" s="48">
        <v>4</v>
      </c>
      <c r="K545" s="48">
        <v>0</v>
      </c>
      <c r="R545" s="46">
        <f t="shared" si="66"/>
        <v>1</v>
      </c>
      <c r="S545" s="46">
        <f t="shared" si="67"/>
        <v>0</v>
      </c>
      <c r="T545" s="46">
        <f t="shared" si="70"/>
        <v>90</v>
      </c>
      <c r="U545" s="46">
        <f t="shared" si="68"/>
        <v>90</v>
      </c>
      <c r="V545" s="54">
        <f t="shared" si="69"/>
        <v>13.571428571428571</v>
      </c>
    </row>
    <row r="546" spans="1:22" x14ac:dyDescent="0.2">
      <c r="A546" s="46" t="s">
        <v>133</v>
      </c>
      <c r="B546" s="46" t="s">
        <v>46</v>
      </c>
      <c r="C546" s="46" t="str">
        <f>VLOOKUP(B546,$B$2:$C$3219,2,FALSE)</f>
        <v>Chapel Hill</v>
      </c>
      <c r="D546" s="46" t="s">
        <v>178</v>
      </c>
      <c r="E546" s="46">
        <v>5</v>
      </c>
      <c r="F546" s="46" t="s">
        <v>63</v>
      </c>
      <c r="G546" s="46">
        <v>4</v>
      </c>
      <c r="H546" s="47" t="s">
        <v>147</v>
      </c>
      <c r="I546" s="47" t="s">
        <v>102</v>
      </c>
      <c r="J546" s="48">
        <v>3</v>
      </c>
      <c r="K546" s="48">
        <v>2</v>
      </c>
      <c r="R546" s="46">
        <f t="shared" si="66"/>
        <v>0</v>
      </c>
      <c r="S546" s="46">
        <f t="shared" si="67"/>
        <v>0</v>
      </c>
      <c r="T546" s="46">
        <f t="shared" si="70"/>
        <v>50</v>
      </c>
      <c r="U546" s="46">
        <f t="shared" si="68"/>
        <v>50</v>
      </c>
      <c r="V546" s="54">
        <f t="shared" si="69"/>
        <v>13.571428571428571</v>
      </c>
    </row>
    <row r="547" spans="1:22" x14ac:dyDescent="0.2">
      <c r="A547" s="46" t="s">
        <v>133</v>
      </c>
      <c r="B547" s="46" t="s">
        <v>46</v>
      </c>
      <c r="C547" s="46" t="str">
        <f>VLOOKUP(B547,$B$2:$C$3219,2,FALSE)</f>
        <v>Chapel Hill</v>
      </c>
      <c r="D547" s="46" t="s">
        <v>178</v>
      </c>
      <c r="E547" s="46">
        <v>5</v>
      </c>
      <c r="F547" s="46" t="s">
        <v>63</v>
      </c>
      <c r="G547" s="46">
        <v>4</v>
      </c>
      <c r="H547" s="47" t="s">
        <v>150</v>
      </c>
      <c r="I547" s="47" t="s">
        <v>102</v>
      </c>
      <c r="J547" s="48">
        <v>1</v>
      </c>
      <c r="K547" s="48">
        <v>0</v>
      </c>
      <c r="L547" s="48">
        <v>1</v>
      </c>
      <c r="R547" s="46">
        <f t="shared" si="66"/>
        <v>0</v>
      </c>
      <c r="S547" s="46">
        <f t="shared" si="67"/>
        <v>0</v>
      </c>
      <c r="T547" s="46">
        <f t="shared" si="70"/>
        <v>20</v>
      </c>
      <c r="U547" s="46">
        <f t="shared" si="68"/>
        <v>15</v>
      </c>
      <c r="V547" s="54">
        <f t="shared" si="69"/>
        <v>13.571428571428571</v>
      </c>
    </row>
    <row r="548" spans="1:22" x14ac:dyDescent="0.2">
      <c r="A548" s="46" t="s">
        <v>133</v>
      </c>
      <c r="B548" s="46" t="s">
        <v>46</v>
      </c>
      <c r="C548" s="46" t="str">
        <f>VLOOKUP(B548,$B$2:$C$3219,2,FALSE)</f>
        <v>Chapel Hill</v>
      </c>
      <c r="D548" s="46" t="s">
        <v>178</v>
      </c>
      <c r="E548" s="46">
        <v>5</v>
      </c>
      <c r="F548" s="46" t="s">
        <v>63</v>
      </c>
      <c r="G548" s="46">
        <v>4</v>
      </c>
      <c r="H548" s="47" t="s">
        <v>172</v>
      </c>
      <c r="I548" s="47" t="s">
        <v>102</v>
      </c>
      <c r="J548" s="48">
        <v>1</v>
      </c>
      <c r="K548" s="48">
        <v>2</v>
      </c>
      <c r="R548" s="46">
        <f t="shared" si="66"/>
        <v>0</v>
      </c>
      <c r="S548" s="46">
        <f t="shared" si="67"/>
        <v>0</v>
      </c>
      <c r="U548" s="46">
        <f t="shared" si="68"/>
        <v>0</v>
      </c>
      <c r="V548" s="54">
        <f t="shared" si="69"/>
        <v>13.571428571428571</v>
      </c>
    </row>
    <row r="549" spans="1:22" x14ac:dyDescent="0.2">
      <c r="A549" s="46" t="s">
        <v>180</v>
      </c>
      <c r="B549" s="46" t="s">
        <v>53</v>
      </c>
      <c r="C549" s="46" t="s">
        <v>92</v>
      </c>
      <c r="D549" s="46" t="s">
        <v>178</v>
      </c>
      <c r="E549" s="46">
        <v>3</v>
      </c>
      <c r="F549" s="46" t="s">
        <v>61</v>
      </c>
      <c r="G549" s="46">
        <v>2</v>
      </c>
      <c r="H549" s="47" t="s">
        <v>76</v>
      </c>
      <c r="I549" s="47" t="s">
        <v>127</v>
      </c>
      <c r="J549" s="48">
        <v>0</v>
      </c>
      <c r="K549" s="48">
        <v>2</v>
      </c>
      <c r="R549" s="46">
        <f t="shared" si="66"/>
        <v>0</v>
      </c>
      <c r="S549" s="46">
        <f t="shared" si="67"/>
        <v>0</v>
      </c>
      <c r="T549" s="46">
        <f t="shared" ref="T549:T612" si="71">quizscore(J549,K549)</f>
        <v>-10</v>
      </c>
      <c r="U549" s="46">
        <f t="shared" si="68"/>
        <v>-10</v>
      </c>
      <c r="V549" s="54">
        <f t="shared" si="69"/>
        <v>41.333333333333336</v>
      </c>
    </row>
    <row r="550" spans="1:22" x14ac:dyDescent="0.2">
      <c r="A550" s="46" t="s">
        <v>180</v>
      </c>
      <c r="B550" s="46" t="s">
        <v>53</v>
      </c>
      <c r="C550" s="46" t="s">
        <v>92</v>
      </c>
      <c r="D550" s="46" t="s">
        <v>178</v>
      </c>
      <c r="E550" s="46">
        <v>1</v>
      </c>
      <c r="F550" s="46" t="s">
        <v>60</v>
      </c>
      <c r="G550" s="46">
        <v>2</v>
      </c>
      <c r="H550" s="47">
        <v>10</v>
      </c>
      <c r="I550" s="47" t="s">
        <v>127</v>
      </c>
      <c r="J550" s="48">
        <v>0</v>
      </c>
      <c r="K550" s="48">
        <v>0</v>
      </c>
      <c r="R550" s="46">
        <f t="shared" si="66"/>
        <v>0</v>
      </c>
      <c r="S550" s="46">
        <f t="shared" si="67"/>
        <v>0</v>
      </c>
      <c r="T550" s="46">
        <f t="shared" si="71"/>
        <v>0</v>
      </c>
      <c r="U550" s="46">
        <f t="shared" si="68"/>
        <v>0</v>
      </c>
      <c r="V550" s="54">
        <f t="shared" si="69"/>
        <v>41.333333333333336</v>
      </c>
    </row>
    <row r="551" spans="1:22" x14ac:dyDescent="0.2">
      <c r="A551" s="46" t="s">
        <v>180</v>
      </c>
      <c r="B551" s="46" t="s">
        <v>53</v>
      </c>
      <c r="C551" s="46" t="s">
        <v>92</v>
      </c>
      <c r="D551" s="46" t="s">
        <v>178</v>
      </c>
      <c r="E551" s="46">
        <v>2</v>
      </c>
      <c r="F551" s="46" t="s">
        <v>60</v>
      </c>
      <c r="G551" s="46">
        <v>3</v>
      </c>
      <c r="H551" s="47">
        <v>23</v>
      </c>
      <c r="I551" s="47" t="s">
        <v>116</v>
      </c>
      <c r="J551" s="48">
        <v>0</v>
      </c>
      <c r="K551" s="48">
        <v>1</v>
      </c>
      <c r="R551" s="46">
        <f t="shared" si="66"/>
        <v>0</v>
      </c>
      <c r="S551" s="46">
        <f t="shared" si="67"/>
        <v>0</v>
      </c>
      <c r="T551" s="46">
        <f t="shared" si="71"/>
        <v>0</v>
      </c>
      <c r="U551" s="46">
        <f t="shared" si="68"/>
        <v>0</v>
      </c>
      <c r="V551" s="54">
        <f t="shared" si="69"/>
        <v>41.333333333333336</v>
      </c>
    </row>
    <row r="552" spans="1:22" x14ac:dyDescent="0.2">
      <c r="A552" s="46" t="s">
        <v>180</v>
      </c>
      <c r="B552" s="46" t="s">
        <v>53</v>
      </c>
      <c r="C552" s="46" t="s">
        <v>92</v>
      </c>
      <c r="D552" s="46" t="s">
        <v>178</v>
      </c>
      <c r="E552" s="46">
        <v>2</v>
      </c>
      <c r="F552" s="46" t="s">
        <v>60</v>
      </c>
      <c r="G552" s="46">
        <v>2</v>
      </c>
      <c r="H552" s="47">
        <v>30</v>
      </c>
      <c r="I552" s="47" t="s">
        <v>127</v>
      </c>
      <c r="J552" s="48">
        <v>1</v>
      </c>
      <c r="K552" s="48">
        <v>3</v>
      </c>
      <c r="O552" s="48">
        <v>1</v>
      </c>
      <c r="R552" s="46">
        <f t="shared" si="66"/>
        <v>0</v>
      </c>
      <c r="S552" s="46">
        <f t="shared" si="67"/>
        <v>1</v>
      </c>
      <c r="T552" s="46">
        <f t="shared" si="71"/>
        <v>0</v>
      </c>
      <c r="U552" s="46">
        <f t="shared" si="68"/>
        <v>10</v>
      </c>
      <c r="V552" s="54">
        <f t="shared" si="69"/>
        <v>41.333333333333336</v>
      </c>
    </row>
    <row r="553" spans="1:22" x14ac:dyDescent="0.2">
      <c r="A553" s="46" t="s">
        <v>180</v>
      </c>
      <c r="B553" s="46" t="s">
        <v>53</v>
      </c>
      <c r="C553" s="46" t="s">
        <v>92</v>
      </c>
      <c r="D553" s="46" t="s">
        <v>178</v>
      </c>
      <c r="E553" s="46">
        <v>1</v>
      </c>
      <c r="F553" s="46" t="s">
        <v>60</v>
      </c>
      <c r="G553" s="46">
        <v>3</v>
      </c>
      <c r="H553" s="47">
        <v>31</v>
      </c>
      <c r="I553" s="47" t="s">
        <v>116</v>
      </c>
      <c r="J553" s="48">
        <v>0</v>
      </c>
      <c r="K553" s="48">
        <v>0</v>
      </c>
      <c r="R553" s="46">
        <f t="shared" si="66"/>
        <v>0</v>
      </c>
      <c r="S553" s="46">
        <f t="shared" si="67"/>
        <v>0</v>
      </c>
      <c r="T553" s="46">
        <f t="shared" si="71"/>
        <v>0</v>
      </c>
      <c r="U553" s="46">
        <f t="shared" si="68"/>
        <v>0</v>
      </c>
      <c r="V553" s="54">
        <f t="shared" si="69"/>
        <v>41.333333333333336</v>
      </c>
    </row>
    <row r="554" spans="1:22" x14ac:dyDescent="0.2">
      <c r="A554" s="46" t="s">
        <v>180</v>
      </c>
      <c r="B554" s="46" t="s">
        <v>53</v>
      </c>
      <c r="C554" s="46" t="s">
        <v>92</v>
      </c>
      <c r="D554" s="46" t="s">
        <v>178</v>
      </c>
      <c r="E554" s="46">
        <v>3</v>
      </c>
      <c r="F554" s="46" t="s">
        <v>60</v>
      </c>
      <c r="G554" s="46">
        <v>1</v>
      </c>
      <c r="H554" s="47">
        <v>37</v>
      </c>
      <c r="I554" s="47" t="s">
        <v>101</v>
      </c>
      <c r="J554" s="48">
        <v>1</v>
      </c>
      <c r="K554" s="48">
        <v>3</v>
      </c>
      <c r="R554" s="46">
        <f t="shared" si="66"/>
        <v>0</v>
      </c>
      <c r="S554" s="46">
        <f t="shared" si="67"/>
        <v>1</v>
      </c>
      <c r="T554" s="46">
        <f t="shared" si="71"/>
        <v>0</v>
      </c>
      <c r="U554" s="46">
        <f t="shared" si="68"/>
        <v>0</v>
      </c>
      <c r="V554" s="54">
        <f t="shared" si="69"/>
        <v>41.333333333333336</v>
      </c>
    </row>
    <row r="555" spans="1:22" x14ac:dyDescent="0.2">
      <c r="A555" s="46" t="s">
        <v>180</v>
      </c>
      <c r="B555" s="46" t="s">
        <v>53</v>
      </c>
      <c r="C555" s="46" t="s">
        <v>92</v>
      </c>
      <c r="D555" s="46" t="s">
        <v>178</v>
      </c>
      <c r="E555" s="46">
        <v>4</v>
      </c>
      <c r="F555" s="46" t="s">
        <v>60</v>
      </c>
      <c r="G555" s="46">
        <v>1</v>
      </c>
      <c r="H555" s="47">
        <v>41</v>
      </c>
      <c r="I555" s="47" t="s">
        <v>101</v>
      </c>
      <c r="J555" s="48">
        <v>1</v>
      </c>
      <c r="K555" s="48">
        <v>3</v>
      </c>
      <c r="R555" s="46">
        <f t="shared" si="66"/>
        <v>0</v>
      </c>
      <c r="S555" s="46">
        <f t="shared" si="67"/>
        <v>1</v>
      </c>
      <c r="T555" s="46">
        <f t="shared" si="71"/>
        <v>0</v>
      </c>
      <c r="U555" s="46">
        <f t="shared" si="68"/>
        <v>0</v>
      </c>
      <c r="V555" s="54">
        <f t="shared" si="69"/>
        <v>41.333333333333336</v>
      </c>
    </row>
    <row r="556" spans="1:22" x14ac:dyDescent="0.2">
      <c r="A556" s="46" t="s">
        <v>180</v>
      </c>
      <c r="B556" s="46" t="s">
        <v>53</v>
      </c>
      <c r="C556" s="46" t="s">
        <v>92</v>
      </c>
      <c r="D556" s="46" t="s">
        <v>178</v>
      </c>
      <c r="E556" s="46">
        <v>1</v>
      </c>
      <c r="F556" s="46" t="s">
        <v>62</v>
      </c>
      <c r="G556" s="46">
        <v>2</v>
      </c>
      <c r="H556" s="47" t="s">
        <v>82</v>
      </c>
      <c r="I556" s="47" t="s">
        <v>127</v>
      </c>
      <c r="J556" s="48">
        <v>0</v>
      </c>
      <c r="K556" s="48">
        <v>0</v>
      </c>
      <c r="R556" s="46">
        <f t="shared" si="66"/>
        <v>0</v>
      </c>
      <c r="S556" s="46">
        <f t="shared" si="67"/>
        <v>0</v>
      </c>
      <c r="T556" s="46">
        <f t="shared" si="71"/>
        <v>0</v>
      </c>
      <c r="U556" s="46">
        <f t="shared" si="68"/>
        <v>0</v>
      </c>
      <c r="V556" s="54">
        <f t="shared" si="69"/>
        <v>41.333333333333336</v>
      </c>
    </row>
    <row r="557" spans="1:22" x14ac:dyDescent="0.2">
      <c r="A557" s="46" t="s">
        <v>180</v>
      </c>
      <c r="B557" s="46" t="s">
        <v>53</v>
      </c>
      <c r="C557" s="46" t="s">
        <v>92</v>
      </c>
      <c r="D557" s="46" t="s">
        <v>178</v>
      </c>
      <c r="E557" s="46">
        <v>4</v>
      </c>
      <c r="F557" s="46" t="s">
        <v>62</v>
      </c>
      <c r="G557" s="46">
        <v>2</v>
      </c>
      <c r="H557" s="47" t="s">
        <v>82</v>
      </c>
      <c r="I557" s="47" t="s">
        <v>127</v>
      </c>
      <c r="J557" s="48">
        <v>1</v>
      </c>
      <c r="K557" s="48">
        <v>3</v>
      </c>
      <c r="R557" s="46">
        <f t="shared" si="66"/>
        <v>0</v>
      </c>
      <c r="S557" s="46">
        <f t="shared" si="67"/>
        <v>1</v>
      </c>
      <c r="T557" s="46">
        <f t="shared" si="71"/>
        <v>0</v>
      </c>
      <c r="U557" s="46">
        <f t="shared" si="68"/>
        <v>0</v>
      </c>
      <c r="V557" s="54">
        <f t="shared" si="69"/>
        <v>41.333333333333336</v>
      </c>
    </row>
    <row r="558" spans="1:22" x14ac:dyDescent="0.2">
      <c r="A558" s="46" t="s">
        <v>180</v>
      </c>
      <c r="B558" s="46" t="s">
        <v>53</v>
      </c>
      <c r="C558" s="46" t="s">
        <v>92</v>
      </c>
      <c r="D558" s="46" t="s">
        <v>178</v>
      </c>
      <c r="E558" s="46">
        <v>2</v>
      </c>
      <c r="F558" s="46" t="s">
        <v>61</v>
      </c>
      <c r="G558" s="46">
        <v>1</v>
      </c>
      <c r="H558" s="47" t="s">
        <v>74</v>
      </c>
      <c r="I558" s="47" t="s">
        <v>101</v>
      </c>
      <c r="J558" s="48">
        <v>0</v>
      </c>
      <c r="K558" s="48">
        <v>1</v>
      </c>
      <c r="L558" s="48">
        <v>2</v>
      </c>
      <c r="R558" s="46">
        <f t="shared" si="66"/>
        <v>0</v>
      </c>
      <c r="S558" s="46">
        <f t="shared" si="67"/>
        <v>0</v>
      </c>
      <c r="T558" s="46">
        <f t="shared" si="71"/>
        <v>0</v>
      </c>
      <c r="U558" s="46">
        <f t="shared" si="68"/>
        <v>-10</v>
      </c>
      <c r="V558" s="54">
        <f t="shared" si="69"/>
        <v>41.333333333333336</v>
      </c>
    </row>
    <row r="559" spans="1:22" x14ac:dyDescent="0.2">
      <c r="A559" s="46" t="s">
        <v>180</v>
      </c>
      <c r="B559" s="46" t="s">
        <v>53</v>
      </c>
      <c r="C559" s="46" t="s">
        <v>92</v>
      </c>
      <c r="D559" s="46" t="s">
        <v>178</v>
      </c>
      <c r="E559" s="46">
        <v>2</v>
      </c>
      <c r="F559" s="46" t="s">
        <v>61</v>
      </c>
      <c r="G559" s="46">
        <v>2</v>
      </c>
      <c r="H559" s="47" t="s">
        <v>76</v>
      </c>
      <c r="I559" s="47" t="s">
        <v>127</v>
      </c>
      <c r="J559" s="48">
        <v>0</v>
      </c>
      <c r="K559" s="48">
        <v>1</v>
      </c>
      <c r="R559" s="46">
        <f t="shared" si="66"/>
        <v>0</v>
      </c>
      <c r="S559" s="46">
        <f t="shared" si="67"/>
        <v>0</v>
      </c>
      <c r="T559" s="46">
        <f t="shared" si="71"/>
        <v>0</v>
      </c>
      <c r="U559" s="46">
        <f t="shared" si="68"/>
        <v>0</v>
      </c>
      <c r="V559" s="54">
        <f t="shared" si="69"/>
        <v>41.333333333333336</v>
      </c>
    </row>
    <row r="560" spans="1:22" x14ac:dyDescent="0.2">
      <c r="A560" s="46" t="s">
        <v>180</v>
      </c>
      <c r="B560" s="46" t="s">
        <v>53</v>
      </c>
      <c r="C560" s="46" t="s">
        <v>92</v>
      </c>
      <c r="D560" s="46" t="s">
        <v>178</v>
      </c>
      <c r="E560" s="46">
        <v>4</v>
      </c>
      <c r="F560" s="46" t="s">
        <v>60</v>
      </c>
      <c r="G560" s="46">
        <v>4</v>
      </c>
      <c r="H560" s="47">
        <v>12</v>
      </c>
      <c r="I560" s="47" t="s">
        <v>102</v>
      </c>
      <c r="J560" s="48">
        <v>1</v>
      </c>
      <c r="K560" s="48">
        <v>1</v>
      </c>
      <c r="R560" s="46">
        <f t="shared" si="66"/>
        <v>0</v>
      </c>
      <c r="S560" s="46">
        <f t="shared" si="67"/>
        <v>0</v>
      </c>
      <c r="T560" s="46">
        <f t="shared" si="71"/>
        <v>20</v>
      </c>
      <c r="U560" s="46">
        <f t="shared" si="68"/>
        <v>20</v>
      </c>
      <c r="V560" s="54">
        <f t="shared" si="69"/>
        <v>41.333333333333336</v>
      </c>
    </row>
    <row r="561" spans="1:22" x14ac:dyDescent="0.2">
      <c r="A561" s="46" t="s">
        <v>180</v>
      </c>
      <c r="B561" s="46" t="s">
        <v>53</v>
      </c>
      <c r="C561" s="46" t="s">
        <v>92</v>
      </c>
      <c r="D561" s="46" t="s">
        <v>178</v>
      </c>
      <c r="E561" s="46">
        <v>1</v>
      </c>
      <c r="F561" s="46" t="s">
        <v>60</v>
      </c>
      <c r="G561" s="46">
        <v>3</v>
      </c>
      <c r="H561" s="47">
        <v>35</v>
      </c>
      <c r="I561" s="47" t="s">
        <v>116</v>
      </c>
      <c r="J561" s="48">
        <v>1</v>
      </c>
      <c r="K561" s="48">
        <v>1</v>
      </c>
      <c r="R561" s="46">
        <f t="shared" si="66"/>
        <v>0</v>
      </c>
      <c r="S561" s="46">
        <f t="shared" si="67"/>
        <v>0</v>
      </c>
      <c r="T561" s="46">
        <f t="shared" si="71"/>
        <v>20</v>
      </c>
      <c r="U561" s="46">
        <f t="shared" si="68"/>
        <v>20</v>
      </c>
      <c r="V561" s="54">
        <f t="shared" si="69"/>
        <v>41.333333333333336</v>
      </c>
    </row>
    <row r="562" spans="1:22" x14ac:dyDescent="0.2">
      <c r="A562" s="46" t="s">
        <v>180</v>
      </c>
      <c r="B562" s="46" t="s">
        <v>53</v>
      </c>
      <c r="C562" s="46" t="s">
        <v>92</v>
      </c>
      <c r="D562" s="46" t="s">
        <v>178</v>
      </c>
      <c r="E562" s="46">
        <v>1</v>
      </c>
      <c r="F562" s="46" t="s">
        <v>60</v>
      </c>
      <c r="G562" s="46">
        <v>2</v>
      </c>
      <c r="H562" s="47">
        <v>46</v>
      </c>
      <c r="I562" s="47" t="s">
        <v>127</v>
      </c>
      <c r="J562" s="48">
        <v>1</v>
      </c>
      <c r="K562" s="48">
        <v>0</v>
      </c>
      <c r="R562" s="46">
        <f t="shared" si="66"/>
        <v>0</v>
      </c>
      <c r="S562" s="46">
        <f t="shared" si="67"/>
        <v>0</v>
      </c>
      <c r="T562" s="46">
        <f t="shared" si="71"/>
        <v>20</v>
      </c>
      <c r="U562" s="46">
        <f t="shared" si="68"/>
        <v>20</v>
      </c>
      <c r="V562" s="54">
        <f t="shared" si="69"/>
        <v>41.333333333333336</v>
      </c>
    </row>
    <row r="563" spans="1:22" x14ac:dyDescent="0.2">
      <c r="A563" s="46" t="s">
        <v>180</v>
      </c>
      <c r="B563" s="46" t="s">
        <v>53</v>
      </c>
      <c r="C563" s="46" t="s">
        <v>92</v>
      </c>
      <c r="D563" s="46" t="s">
        <v>178</v>
      </c>
      <c r="E563" s="46">
        <v>2</v>
      </c>
      <c r="F563" s="46" t="s">
        <v>60</v>
      </c>
      <c r="G563" s="46">
        <v>4</v>
      </c>
      <c r="H563" s="47">
        <v>48</v>
      </c>
      <c r="I563" s="47" t="s">
        <v>102</v>
      </c>
      <c r="J563" s="48">
        <v>1</v>
      </c>
      <c r="K563" s="48">
        <v>0</v>
      </c>
      <c r="R563" s="46">
        <f t="shared" si="66"/>
        <v>0</v>
      </c>
      <c r="S563" s="46">
        <f t="shared" si="67"/>
        <v>0</v>
      </c>
      <c r="T563" s="46">
        <f t="shared" si="71"/>
        <v>20</v>
      </c>
      <c r="U563" s="46">
        <f t="shared" si="68"/>
        <v>20</v>
      </c>
      <c r="V563" s="54">
        <f t="shared" si="69"/>
        <v>41.333333333333336</v>
      </c>
    </row>
    <row r="564" spans="1:22" x14ac:dyDescent="0.2">
      <c r="A564" s="46" t="s">
        <v>180</v>
      </c>
      <c r="B564" s="46" t="s">
        <v>53</v>
      </c>
      <c r="C564" s="46" t="s">
        <v>92</v>
      </c>
      <c r="D564" s="46" t="s">
        <v>178</v>
      </c>
      <c r="E564" s="46">
        <v>1</v>
      </c>
      <c r="F564" s="46" t="s">
        <v>62</v>
      </c>
      <c r="G564" s="46">
        <v>2</v>
      </c>
      <c r="H564" s="47" t="s">
        <v>81</v>
      </c>
      <c r="I564" s="47" t="s">
        <v>127</v>
      </c>
      <c r="J564" s="48">
        <v>1</v>
      </c>
      <c r="K564" s="48">
        <v>0</v>
      </c>
      <c r="O564" s="48">
        <v>1</v>
      </c>
      <c r="R564" s="46">
        <f t="shared" si="66"/>
        <v>0</v>
      </c>
      <c r="S564" s="46">
        <f t="shared" si="67"/>
        <v>0</v>
      </c>
      <c r="T564" s="46">
        <f t="shared" si="71"/>
        <v>20</v>
      </c>
      <c r="U564" s="46">
        <f t="shared" si="68"/>
        <v>30</v>
      </c>
      <c r="V564" s="54">
        <f t="shared" si="69"/>
        <v>41.333333333333336</v>
      </c>
    </row>
    <row r="565" spans="1:22" x14ac:dyDescent="0.2">
      <c r="A565" s="46" t="s">
        <v>180</v>
      </c>
      <c r="B565" s="46" t="s">
        <v>53</v>
      </c>
      <c r="C565" s="46" t="s">
        <v>92</v>
      </c>
      <c r="D565" s="46" t="s">
        <v>178</v>
      </c>
      <c r="E565" s="46">
        <v>1</v>
      </c>
      <c r="F565" s="46" t="s">
        <v>62</v>
      </c>
      <c r="G565" s="46">
        <v>3</v>
      </c>
      <c r="H565" s="47" t="s">
        <v>64</v>
      </c>
      <c r="I565" s="47" t="s">
        <v>116</v>
      </c>
      <c r="J565" s="48">
        <v>1</v>
      </c>
      <c r="K565" s="48">
        <v>1</v>
      </c>
      <c r="L565" s="48">
        <v>1</v>
      </c>
      <c r="R565" s="46">
        <f t="shared" si="66"/>
        <v>0</v>
      </c>
      <c r="S565" s="46">
        <f t="shared" si="67"/>
        <v>0</v>
      </c>
      <c r="T565" s="46">
        <f t="shared" si="71"/>
        <v>20</v>
      </c>
      <c r="U565" s="46">
        <f t="shared" si="68"/>
        <v>15</v>
      </c>
      <c r="V565" s="54">
        <f t="shared" si="69"/>
        <v>41.333333333333336</v>
      </c>
    </row>
    <row r="566" spans="1:22" x14ac:dyDescent="0.2">
      <c r="A566" s="46" t="s">
        <v>180</v>
      </c>
      <c r="B566" s="46" t="s">
        <v>53</v>
      </c>
      <c r="C566" s="46" t="s">
        <v>92</v>
      </c>
      <c r="D566" s="46" t="s">
        <v>178</v>
      </c>
      <c r="E566" s="46">
        <v>1</v>
      </c>
      <c r="F566" s="46" t="s">
        <v>62</v>
      </c>
      <c r="G566" s="46">
        <v>2</v>
      </c>
      <c r="H566" s="47" t="s">
        <v>83</v>
      </c>
      <c r="I566" s="47" t="s">
        <v>127</v>
      </c>
      <c r="J566" s="48">
        <v>1</v>
      </c>
      <c r="K566" s="48">
        <v>1</v>
      </c>
      <c r="R566" s="46">
        <f t="shared" si="66"/>
        <v>0</v>
      </c>
      <c r="S566" s="46">
        <f t="shared" si="67"/>
        <v>0</v>
      </c>
      <c r="T566" s="46">
        <f t="shared" si="71"/>
        <v>20</v>
      </c>
      <c r="U566" s="46">
        <f t="shared" si="68"/>
        <v>20</v>
      </c>
      <c r="V566" s="54">
        <f t="shared" si="69"/>
        <v>41.333333333333336</v>
      </c>
    </row>
    <row r="567" spans="1:22" x14ac:dyDescent="0.2">
      <c r="A567" s="46" t="s">
        <v>180</v>
      </c>
      <c r="B567" s="46" t="s">
        <v>53</v>
      </c>
      <c r="C567" s="46" t="s">
        <v>92</v>
      </c>
      <c r="D567" s="46" t="s">
        <v>178</v>
      </c>
      <c r="E567" s="46">
        <v>4</v>
      </c>
      <c r="F567" s="46" t="s">
        <v>60</v>
      </c>
      <c r="G567" s="46">
        <v>1</v>
      </c>
      <c r="H567" s="47">
        <v>1</v>
      </c>
      <c r="I567" s="47" t="s">
        <v>101</v>
      </c>
      <c r="J567" s="48">
        <v>2</v>
      </c>
      <c r="K567" s="48">
        <v>2</v>
      </c>
      <c r="R567" s="46">
        <f t="shared" si="66"/>
        <v>0</v>
      </c>
      <c r="S567" s="46">
        <f t="shared" si="67"/>
        <v>0</v>
      </c>
      <c r="T567" s="46">
        <f t="shared" si="71"/>
        <v>30</v>
      </c>
      <c r="U567" s="46">
        <f t="shared" si="68"/>
        <v>30</v>
      </c>
      <c r="V567" s="54">
        <f t="shared" si="69"/>
        <v>41.333333333333336</v>
      </c>
    </row>
    <row r="568" spans="1:22" x14ac:dyDescent="0.2">
      <c r="A568" s="46" t="s">
        <v>180</v>
      </c>
      <c r="B568" s="46" t="s">
        <v>53</v>
      </c>
      <c r="C568" s="46" t="s">
        <v>92</v>
      </c>
      <c r="D568" s="46" t="s">
        <v>178</v>
      </c>
      <c r="E568" s="46">
        <v>3</v>
      </c>
      <c r="F568" s="46" t="s">
        <v>60</v>
      </c>
      <c r="G568" s="46">
        <v>3</v>
      </c>
      <c r="H568" s="47">
        <v>7</v>
      </c>
      <c r="I568" s="47" t="s">
        <v>116</v>
      </c>
      <c r="J568" s="48">
        <v>2</v>
      </c>
      <c r="K568" s="48">
        <v>2</v>
      </c>
      <c r="R568" s="46">
        <f t="shared" si="66"/>
        <v>0</v>
      </c>
      <c r="S568" s="46">
        <f t="shared" si="67"/>
        <v>0</v>
      </c>
      <c r="T568" s="46">
        <f t="shared" si="71"/>
        <v>30</v>
      </c>
      <c r="U568" s="46">
        <f t="shared" si="68"/>
        <v>30</v>
      </c>
      <c r="V568" s="54">
        <f t="shared" si="69"/>
        <v>41.333333333333336</v>
      </c>
    </row>
    <row r="569" spans="1:22" x14ac:dyDescent="0.2">
      <c r="A569" s="46" t="s">
        <v>180</v>
      </c>
      <c r="B569" s="46" t="s">
        <v>53</v>
      </c>
      <c r="C569" s="46" t="s">
        <v>92</v>
      </c>
      <c r="D569" s="46" t="s">
        <v>178</v>
      </c>
      <c r="E569" s="46">
        <v>4</v>
      </c>
      <c r="F569" s="46" t="s">
        <v>60</v>
      </c>
      <c r="G569" s="46">
        <v>3</v>
      </c>
      <c r="H569" s="47">
        <v>31</v>
      </c>
      <c r="I569" s="47" t="s">
        <v>159</v>
      </c>
      <c r="J569" s="48">
        <v>2</v>
      </c>
      <c r="K569" s="48">
        <v>2</v>
      </c>
      <c r="R569" s="46">
        <f t="shared" si="66"/>
        <v>0</v>
      </c>
      <c r="S569" s="46">
        <f t="shared" si="67"/>
        <v>0</v>
      </c>
      <c r="T569" s="46">
        <f t="shared" si="71"/>
        <v>30</v>
      </c>
      <c r="U569" s="46">
        <f t="shared" si="68"/>
        <v>30</v>
      </c>
      <c r="V569" s="54">
        <f t="shared" si="69"/>
        <v>41.333333333333336</v>
      </c>
    </row>
    <row r="570" spans="1:22" x14ac:dyDescent="0.2">
      <c r="A570" s="46" t="s">
        <v>180</v>
      </c>
      <c r="B570" s="46" t="s">
        <v>53</v>
      </c>
      <c r="C570" s="46" t="s">
        <v>92</v>
      </c>
      <c r="D570" s="46" t="s">
        <v>178</v>
      </c>
      <c r="E570" s="46">
        <v>4</v>
      </c>
      <c r="F570" s="46" t="s">
        <v>60</v>
      </c>
      <c r="G570" s="46">
        <v>2</v>
      </c>
      <c r="H570" s="47">
        <v>50</v>
      </c>
      <c r="I570" s="47" t="s">
        <v>127</v>
      </c>
      <c r="J570" s="48">
        <v>2</v>
      </c>
      <c r="K570" s="48">
        <v>2</v>
      </c>
      <c r="O570" s="48">
        <v>1</v>
      </c>
      <c r="R570" s="46">
        <f t="shared" si="66"/>
        <v>0</v>
      </c>
      <c r="S570" s="46">
        <f t="shared" si="67"/>
        <v>0</v>
      </c>
      <c r="T570" s="46">
        <f t="shared" si="71"/>
        <v>30</v>
      </c>
      <c r="U570" s="46">
        <f t="shared" si="68"/>
        <v>40</v>
      </c>
      <c r="V570" s="54">
        <f t="shared" si="69"/>
        <v>41.333333333333336</v>
      </c>
    </row>
    <row r="571" spans="1:22" x14ac:dyDescent="0.2">
      <c r="A571" s="46" t="s">
        <v>180</v>
      </c>
      <c r="B571" s="46" t="s">
        <v>53</v>
      </c>
      <c r="C571" s="46" t="s">
        <v>92</v>
      </c>
      <c r="D571" s="46" t="s">
        <v>178</v>
      </c>
      <c r="E571" s="46">
        <v>3</v>
      </c>
      <c r="F571" s="46" t="s">
        <v>61</v>
      </c>
      <c r="G571" s="46">
        <v>1</v>
      </c>
      <c r="H571" s="47" t="s">
        <v>74</v>
      </c>
      <c r="I571" s="47" t="s">
        <v>101</v>
      </c>
      <c r="J571" s="48">
        <v>2</v>
      </c>
      <c r="K571" s="48">
        <v>2</v>
      </c>
      <c r="R571" s="46">
        <f t="shared" si="66"/>
        <v>0</v>
      </c>
      <c r="S571" s="46">
        <f t="shared" si="67"/>
        <v>0</v>
      </c>
      <c r="T571" s="46">
        <f t="shared" si="71"/>
        <v>30</v>
      </c>
      <c r="U571" s="46">
        <f t="shared" si="68"/>
        <v>30</v>
      </c>
      <c r="V571" s="54">
        <f t="shared" si="69"/>
        <v>41.333333333333336</v>
      </c>
    </row>
    <row r="572" spans="1:22" x14ac:dyDescent="0.2">
      <c r="A572" s="46" t="s">
        <v>180</v>
      </c>
      <c r="B572" s="46" t="s">
        <v>53</v>
      </c>
      <c r="C572" s="46" t="s">
        <v>92</v>
      </c>
      <c r="D572" s="46" t="s">
        <v>178</v>
      </c>
      <c r="E572" s="46">
        <v>1</v>
      </c>
      <c r="F572" s="46" t="s">
        <v>60</v>
      </c>
      <c r="G572" s="46">
        <v>1</v>
      </c>
      <c r="H572" s="47">
        <v>17</v>
      </c>
      <c r="I572" s="47" t="s">
        <v>101</v>
      </c>
      <c r="J572" s="48">
        <v>2</v>
      </c>
      <c r="K572" s="48">
        <v>1</v>
      </c>
      <c r="R572" s="46">
        <f t="shared" si="66"/>
        <v>0</v>
      </c>
      <c r="S572" s="46">
        <f t="shared" si="67"/>
        <v>0</v>
      </c>
      <c r="T572" s="46">
        <f t="shared" si="71"/>
        <v>40</v>
      </c>
      <c r="U572" s="46">
        <f t="shared" si="68"/>
        <v>40</v>
      </c>
      <c r="V572" s="54">
        <f t="shared" si="69"/>
        <v>41.333333333333336</v>
      </c>
    </row>
    <row r="573" spans="1:22" x14ac:dyDescent="0.2">
      <c r="A573" s="46" t="s">
        <v>180</v>
      </c>
      <c r="B573" s="46" t="s">
        <v>53</v>
      </c>
      <c r="C573" s="46" t="s">
        <v>92</v>
      </c>
      <c r="D573" s="46" t="s">
        <v>178</v>
      </c>
      <c r="E573" s="46">
        <v>3</v>
      </c>
      <c r="F573" s="46" t="s">
        <v>60</v>
      </c>
      <c r="G573" s="46">
        <v>3</v>
      </c>
      <c r="H573" s="47">
        <v>47</v>
      </c>
      <c r="I573" s="47" t="s">
        <v>116</v>
      </c>
      <c r="J573" s="48">
        <v>2</v>
      </c>
      <c r="K573" s="48">
        <v>1</v>
      </c>
      <c r="R573" s="46">
        <f t="shared" si="66"/>
        <v>0</v>
      </c>
      <c r="S573" s="46">
        <f t="shared" si="67"/>
        <v>0</v>
      </c>
      <c r="T573" s="46">
        <f t="shared" si="71"/>
        <v>40</v>
      </c>
      <c r="U573" s="46">
        <f t="shared" si="68"/>
        <v>40</v>
      </c>
      <c r="V573" s="54">
        <f t="shared" si="69"/>
        <v>41.333333333333336</v>
      </c>
    </row>
    <row r="574" spans="1:22" x14ac:dyDescent="0.2">
      <c r="A574" s="46" t="s">
        <v>180</v>
      </c>
      <c r="B574" s="46" t="s">
        <v>53</v>
      </c>
      <c r="C574" s="46" t="s">
        <v>92</v>
      </c>
      <c r="D574" s="46" t="s">
        <v>178</v>
      </c>
      <c r="E574" s="46">
        <v>1</v>
      </c>
      <c r="F574" s="46" t="s">
        <v>62</v>
      </c>
      <c r="G574" s="46">
        <v>2</v>
      </c>
      <c r="H574" s="47" t="s">
        <v>86</v>
      </c>
      <c r="I574" s="47" t="s">
        <v>127</v>
      </c>
      <c r="J574" s="48">
        <v>2</v>
      </c>
      <c r="K574" s="48">
        <v>0</v>
      </c>
      <c r="R574" s="46">
        <f t="shared" si="66"/>
        <v>0</v>
      </c>
      <c r="S574" s="46">
        <f t="shared" si="67"/>
        <v>0</v>
      </c>
      <c r="T574" s="46">
        <f t="shared" si="71"/>
        <v>40</v>
      </c>
      <c r="U574" s="46">
        <f t="shared" si="68"/>
        <v>40</v>
      </c>
      <c r="V574" s="54">
        <f t="shared" si="69"/>
        <v>41.333333333333336</v>
      </c>
    </row>
    <row r="575" spans="1:22" x14ac:dyDescent="0.2">
      <c r="A575" s="46" t="s">
        <v>180</v>
      </c>
      <c r="B575" s="46" t="s">
        <v>53</v>
      </c>
      <c r="C575" s="46" t="s">
        <v>92</v>
      </c>
      <c r="D575" s="46" t="s">
        <v>178</v>
      </c>
      <c r="E575" s="46">
        <v>4</v>
      </c>
      <c r="F575" s="46" t="s">
        <v>60</v>
      </c>
      <c r="G575" s="46">
        <v>4</v>
      </c>
      <c r="H575" s="47">
        <v>20</v>
      </c>
      <c r="I575" s="47" t="s">
        <v>102</v>
      </c>
      <c r="J575" s="48">
        <v>3</v>
      </c>
      <c r="K575" s="48">
        <v>2</v>
      </c>
      <c r="R575" s="46">
        <f t="shared" si="66"/>
        <v>0</v>
      </c>
      <c r="S575" s="46">
        <f t="shared" si="67"/>
        <v>0</v>
      </c>
      <c r="T575" s="46">
        <f t="shared" si="71"/>
        <v>50</v>
      </c>
      <c r="U575" s="46">
        <f t="shared" si="68"/>
        <v>50</v>
      </c>
      <c r="V575" s="54">
        <f t="shared" si="69"/>
        <v>41.333333333333336</v>
      </c>
    </row>
    <row r="576" spans="1:22" x14ac:dyDescent="0.2">
      <c r="A576" s="46" t="s">
        <v>180</v>
      </c>
      <c r="B576" s="46" t="s">
        <v>53</v>
      </c>
      <c r="C576" s="46" t="s">
        <v>92</v>
      </c>
      <c r="D576" s="46" t="s">
        <v>178</v>
      </c>
      <c r="E576" s="46">
        <v>3</v>
      </c>
      <c r="F576" s="46" t="s">
        <v>60</v>
      </c>
      <c r="G576" s="46">
        <v>4</v>
      </c>
      <c r="H576" s="47">
        <v>36</v>
      </c>
      <c r="I576" s="47" t="s">
        <v>102</v>
      </c>
      <c r="J576" s="48">
        <v>3</v>
      </c>
      <c r="K576" s="48">
        <v>2</v>
      </c>
      <c r="R576" s="46">
        <f t="shared" si="66"/>
        <v>0</v>
      </c>
      <c r="S576" s="46">
        <f t="shared" si="67"/>
        <v>0</v>
      </c>
      <c r="T576" s="46">
        <f t="shared" si="71"/>
        <v>50</v>
      </c>
      <c r="U576" s="46">
        <f t="shared" si="68"/>
        <v>50</v>
      </c>
      <c r="V576" s="54">
        <f t="shared" si="69"/>
        <v>41.333333333333336</v>
      </c>
    </row>
    <row r="577" spans="1:22" x14ac:dyDescent="0.2">
      <c r="A577" s="46" t="s">
        <v>180</v>
      </c>
      <c r="B577" s="46" t="s">
        <v>53</v>
      </c>
      <c r="C577" s="46" t="s">
        <v>92</v>
      </c>
      <c r="D577" s="46" t="s">
        <v>178</v>
      </c>
      <c r="E577" s="46">
        <v>2</v>
      </c>
      <c r="F577" s="46" t="s">
        <v>60</v>
      </c>
      <c r="G577" s="46">
        <v>3</v>
      </c>
      <c r="H577" s="47">
        <v>3</v>
      </c>
      <c r="I577" s="47" t="s">
        <v>116</v>
      </c>
      <c r="J577" s="48">
        <v>3</v>
      </c>
      <c r="K577" s="48">
        <v>1</v>
      </c>
      <c r="R577" s="46">
        <f t="shared" si="66"/>
        <v>0</v>
      </c>
      <c r="S577" s="46">
        <f t="shared" si="67"/>
        <v>0</v>
      </c>
      <c r="T577" s="46">
        <f t="shared" si="71"/>
        <v>60</v>
      </c>
      <c r="U577" s="46">
        <f t="shared" si="68"/>
        <v>60</v>
      </c>
      <c r="V577" s="54">
        <f t="shared" si="69"/>
        <v>41.333333333333336</v>
      </c>
    </row>
    <row r="578" spans="1:22" x14ac:dyDescent="0.2">
      <c r="A578" s="46" t="s">
        <v>180</v>
      </c>
      <c r="B578" s="46" t="s">
        <v>53</v>
      </c>
      <c r="C578" s="46" t="s">
        <v>92</v>
      </c>
      <c r="D578" s="46" t="s">
        <v>178</v>
      </c>
      <c r="E578" s="46">
        <v>3</v>
      </c>
      <c r="F578" s="46" t="s">
        <v>60</v>
      </c>
      <c r="G578" s="46">
        <v>4</v>
      </c>
      <c r="H578" s="47">
        <v>28</v>
      </c>
      <c r="I578" s="47" t="s">
        <v>102</v>
      </c>
      <c r="J578" s="48">
        <v>3</v>
      </c>
      <c r="K578" s="48">
        <v>1</v>
      </c>
      <c r="R578" s="46">
        <f t="shared" ref="R578:R641" si="72">IF(J578=4,1,0)</f>
        <v>0</v>
      </c>
      <c r="S578" s="46">
        <f t="shared" ref="S578:S641" si="73">IF(K578=3,1,0)</f>
        <v>0</v>
      </c>
      <c r="T578" s="46">
        <f t="shared" si="71"/>
        <v>60</v>
      </c>
      <c r="U578" s="46">
        <f t="shared" ref="U578:U641" si="74">T578+M578*(20) + (SUM(O578:Q578)*(10)) - L578*(5) - N578*(5)</f>
        <v>60</v>
      </c>
      <c r="V578" s="54">
        <f t="shared" ref="V578:V641" si="75">AVERAGEIFS(U:U,A:A,A578,F:F,"Pre")</f>
        <v>41.333333333333336</v>
      </c>
    </row>
    <row r="579" spans="1:22" x14ac:dyDescent="0.2">
      <c r="A579" s="46" t="s">
        <v>180</v>
      </c>
      <c r="B579" s="46" t="s">
        <v>53</v>
      </c>
      <c r="C579" s="46" t="s">
        <v>92</v>
      </c>
      <c r="D579" s="46" t="s">
        <v>178</v>
      </c>
      <c r="E579" s="46">
        <v>2</v>
      </c>
      <c r="F579" s="46" t="s">
        <v>60</v>
      </c>
      <c r="G579" s="46">
        <v>2</v>
      </c>
      <c r="H579" s="47">
        <v>10</v>
      </c>
      <c r="I579" s="47" t="s">
        <v>127</v>
      </c>
      <c r="J579" s="48">
        <v>4</v>
      </c>
      <c r="K579" s="48">
        <v>1</v>
      </c>
      <c r="R579" s="46">
        <f t="shared" si="72"/>
        <v>1</v>
      </c>
      <c r="S579" s="46">
        <f t="shared" si="73"/>
        <v>0</v>
      </c>
      <c r="T579" s="46">
        <f t="shared" si="71"/>
        <v>80</v>
      </c>
      <c r="U579" s="46">
        <f t="shared" si="74"/>
        <v>80</v>
      </c>
      <c r="V579" s="54">
        <f t="shared" si="75"/>
        <v>41.333333333333336</v>
      </c>
    </row>
    <row r="580" spans="1:22" x14ac:dyDescent="0.2">
      <c r="A580" s="46" t="s">
        <v>180</v>
      </c>
      <c r="B580" s="46" t="s">
        <v>53</v>
      </c>
      <c r="C580" s="46" t="s">
        <v>92</v>
      </c>
      <c r="D580" s="46" t="s">
        <v>178</v>
      </c>
      <c r="E580" s="46">
        <v>3</v>
      </c>
      <c r="F580" s="46" t="s">
        <v>60</v>
      </c>
      <c r="G580" s="46">
        <v>2</v>
      </c>
      <c r="H580" s="47">
        <v>18</v>
      </c>
      <c r="I580" s="47" t="s">
        <v>127</v>
      </c>
      <c r="J580" s="48">
        <v>4</v>
      </c>
      <c r="K580" s="48">
        <v>1</v>
      </c>
      <c r="R580" s="46">
        <f t="shared" si="72"/>
        <v>1</v>
      </c>
      <c r="S580" s="46">
        <f t="shared" si="73"/>
        <v>0</v>
      </c>
      <c r="T580" s="46">
        <f t="shared" si="71"/>
        <v>80</v>
      </c>
      <c r="U580" s="46">
        <f t="shared" si="74"/>
        <v>80</v>
      </c>
      <c r="V580" s="54">
        <f t="shared" si="75"/>
        <v>41.333333333333336</v>
      </c>
    </row>
    <row r="581" spans="1:22" x14ac:dyDescent="0.2">
      <c r="A581" s="46" t="s">
        <v>180</v>
      </c>
      <c r="B581" s="46" t="s">
        <v>53</v>
      </c>
      <c r="C581" s="46" t="s">
        <v>92</v>
      </c>
      <c r="D581" s="46" t="s">
        <v>178</v>
      </c>
      <c r="E581" s="46">
        <v>2</v>
      </c>
      <c r="F581" s="46" t="s">
        <v>60</v>
      </c>
      <c r="G581" s="46">
        <v>1</v>
      </c>
      <c r="H581" s="47">
        <v>33</v>
      </c>
      <c r="I581" s="47" t="s">
        <v>101</v>
      </c>
      <c r="J581" s="48">
        <v>4</v>
      </c>
      <c r="K581" s="48">
        <v>1</v>
      </c>
      <c r="L581" s="48">
        <v>1</v>
      </c>
      <c r="R581" s="46">
        <f t="shared" si="72"/>
        <v>1</v>
      </c>
      <c r="S581" s="46">
        <f t="shared" si="73"/>
        <v>0</v>
      </c>
      <c r="T581" s="46">
        <f t="shared" si="71"/>
        <v>80</v>
      </c>
      <c r="U581" s="46">
        <f t="shared" si="74"/>
        <v>75</v>
      </c>
      <c r="V581" s="54">
        <f t="shared" si="75"/>
        <v>41.333333333333336</v>
      </c>
    </row>
    <row r="582" spans="1:22" x14ac:dyDescent="0.2">
      <c r="A582" s="46" t="s">
        <v>180</v>
      </c>
      <c r="B582" s="46" t="s">
        <v>53</v>
      </c>
      <c r="C582" s="46" t="s">
        <v>92</v>
      </c>
      <c r="D582" s="46" t="s">
        <v>178</v>
      </c>
      <c r="E582" s="46">
        <v>1</v>
      </c>
      <c r="F582" s="46" t="s">
        <v>60</v>
      </c>
      <c r="G582" s="46">
        <v>4</v>
      </c>
      <c r="H582" s="47">
        <v>24</v>
      </c>
      <c r="I582" s="47" t="s">
        <v>102</v>
      </c>
      <c r="J582" s="48">
        <v>4</v>
      </c>
      <c r="K582" s="48">
        <v>0</v>
      </c>
      <c r="O582" s="48">
        <v>1</v>
      </c>
      <c r="R582" s="46">
        <f t="shared" si="72"/>
        <v>1</v>
      </c>
      <c r="S582" s="46">
        <f t="shared" si="73"/>
        <v>0</v>
      </c>
      <c r="T582" s="46">
        <f t="shared" si="71"/>
        <v>90</v>
      </c>
      <c r="U582" s="46">
        <f t="shared" si="74"/>
        <v>100</v>
      </c>
      <c r="V582" s="54">
        <f t="shared" si="75"/>
        <v>41.333333333333336</v>
      </c>
    </row>
    <row r="583" spans="1:22" x14ac:dyDescent="0.2">
      <c r="A583" s="46" t="s">
        <v>180</v>
      </c>
      <c r="B583" s="46" t="s">
        <v>53</v>
      </c>
      <c r="C583" s="46" t="s">
        <v>92</v>
      </c>
      <c r="D583" s="46" t="s">
        <v>178</v>
      </c>
      <c r="E583" s="46">
        <v>4</v>
      </c>
      <c r="F583" s="46" t="s">
        <v>62</v>
      </c>
      <c r="G583" s="46">
        <v>3</v>
      </c>
      <c r="H583" s="47" t="s">
        <v>80</v>
      </c>
      <c r="I583" s="47" t="s">
        <v>219</v>
      </c>
      <c r="J583" s="48">
        <v>4</v>
      </c>
      <c r="K583" s="48">
        <v>0</v>
      </c>
      <c r="R583" s="46">
        <f t="shared" si="72"/>
        <v>1</v>
      </c>
      <c r="S583" s="46">
        <f t="shared" si="73"/>
        <v>0</v>
      </c>
      <c r="T583" s="46">
        <f t="shared" si="71"/>
        <v>90</v>
      </c>
      <c r="U583" s="46">
        <f t="shared" si="74"/>
        <v>90</v>
      </c>
      <c r="V583" s="54">
        <f t="shared" si="75"/>
        <v>41.333333333333336</v>
      </c>
    </row>
    <row r="584" spans="1:22" x14ac:dyDescent="0.2">
      <c r="A584" s="46" t="s">
        <v>180</v>
      </c>
      <c r="B584" s="46" t="s">
        <v>53</v>
      </c>
      <c r="C584" s="46" t="s">
        <v>92</v>
      </c>
      <c r="D584" s="46" t="s">
        <v>178</v>
      </c>
      <c r="E584" s="46">
        <v>4</v>
      </c>
      <c r="F584" s="46" t="s">
        <v>62</v>
      </c>
      <c r="G584" s="46">
        <v>2</v>
      </c>
      <c r="H584" s="47" t="s">
        <v>83</v>
      </c>
      <c r="I584" s="47" t="s">
        <v>127</v>
      </c>
      <c r="J584" s="48">
        <v>1</v>
      </c>
      <c r="K584" s="48">
        <v>3</v>
      </c>
      <c r="O584" s="48">
        <v>1</v>
      </c>
      <c r="R584" s="46">
        <f t="shared" si="72"/>
        <v>0</v>
      </c>
      <c r="S584" s="46">
        <f t="shared" si="73"/>
        <v>1</v>
      </c>
      <c r="T584" s="46">
        <f t="shared" si="71"/>
        <v>0</v>
      </c>
      <c r="U584" s="46">
        <f t="shared" si="74"/>
        <v>10</v>
      </c>
      <c r="V584" s="54">
        <f t="shared" si="75"/>
        <v>41.333333333333336</v>
      </c>
    </row>
    <row r="585" spans="1:22" x14ac:dyDescent="0.2">
      <c r="A585" s="46" t="s">
        <v>180</v>
      </c>
      <c r="B585" s="46" t="s">
        <v>53</v>
      </c>
      <c r="C585" s="46" t="s">
        <v>92</v>
      </c>
      <c r="D585" s="46" t="s">
        <v>178</v>
      </c>
      <c r="E585" s="46">
        <v>5</v>
      </c>
      <c r="F585" s="46" t="s">
        <v>60</v>
      </c>
      <c r="G585" s="46">
        <v>4</v>
      </c>
      <c r="H585" s="47">
        <v>4</v>
      </c>
      <c r="I585" s="47" t="s">
        <v>102</v>
      </c>
      <c r="J585" s="48">
        <v>4</v>
      </c>
      <c r="K585" s="48">
        <v>0</v>
      </c>
      <c r="R585" s="46">
        <f t="shared" si="72"/>
        <v>1</v>
      </c>
      <c r="S585" s="46">
        <f t="shared" si="73"/>
        <v>0</v>
      </c>
      <c r="T585" s="46">
        <f t="shared" si="71"/>
        <v>90</v>
      </c>
      <c r="U585" s="46">
        <f t="shared" si="74"/>
        <v>90</v>
      </c>
      <c r="V585" s="54">
        <f t="shared" si="75"/>
        <v>41.333333333333336</v>
      </c>
    </row>
    <row r="586" spans="1:22" x14ac:dyDescent="0.2">
      <c r="A586" s="46" t="s">
        <v>180</v>
      </c>
      <c r="B586" s="46" t="s">
        <v>53</v>
      </c>
      <c r="C586" s="46" t="s">
        <v>92</v>
      </c>
      <c r="D586" s="46" t="s">
        <v>178</v>
      </c>
      <c r="E586" s="46">
        <v>5</v>
      </c>
      <c r="F586" s="46" t="s">
        <v>60</v>
      </c>
      <c r="G586" s="46">
        <v>3</v>
      </c>
      <c r="H586" s="47">
        <v>11</v>
      </c>
      <c r="I586" s="47" t="s">
        <v>159</v>
      </c>
      <c r="J586" s="48">
        <v>1</v>
      </c>
      <c r="K586" s="48">
        <v>1</v>
      </c>
      <c r="O586" s="48">
        <v>1</v>
      </c>
      <c r="R586" s="46">
        <f t="shared" si="72"/>
        <v>0</v>
      </c>
      <c r="S586" s="46">
        <f t="shared" si="73"/>
        <v>0</v>
      </c>
      <c r="T586" s="46">
        <f t="shared" si="71"/>
        <v>20</v>
      </c>
      <c r="U586" s="46">
        <f t="shared" si="74"/>
        <v>30</v>
      </c>
      <c r="V586" s="54">
        <f t="shared" si="75"/>
        <v>41.333333333333336</v>
      </c>
    </row>
    <row r="587" spans="1:22" x14ac:dyDescent="0.2">
      <c r="A587" s="46" t="s">
        <v>180</v>
      </c>
      <c r="B587" s="46" t="s">
        <v>53</v>
      </c>
      <c r="C587" s="46" t="s">
        <v>92</v>
      </c>
      <c r="D587" s="46" t="s">
        <v>178</v>
      </c>
      <c r="E587" s="46">
        <v>5</v>
      </c>
      <c r="F587" s="46" t="s">
        <v>60</v>
      </c>
      <c r="G587" s="46">
        <v>2</v>
      </c>
      <c r="H587" s="47">
        <v>18</v>
      </c>
      <c r="I587" s="47" t="s">
        <v>127</v>
      </c>
      <c r="J587" s="48">
        <v>3</v>
      </c>
      <c r="K587" s="48">
        <v>1</v>
      </c>
      <c r="L587" s="48">
        <v>1</v>
      </c>
      <c r="R587" s="46">
        <f t="shared" si="72"/>
        <v>0</v>
      </c>
      <c r="S587" s="46">
        <f t="shared" si="73"/>
        <v>0</v>
      </c>
      <c r="T587" s="46">
        <f t="shared" si="71"/>
        <v>60</v>
      </c>
      <c r="U587" s="46">
        <f t="shared" si="74"/>
        <v>55</v>
      </c>
      <c r="V587" s="54">
        <f t="shared" si="75"/>
        <v>41.333333333333336</v>
      </c>
    </row>
    <row r="588" spans="1:22" x14ac:dyDescent="0.2">
      <c r="A588" s="46" t="s">
        <v>180</v>
      </c>
      <c r="B588" s="46" t="s">
        <v>53</v>
      </c>
      <c r="C588" s="46" t="s">
        <v>92</v>
      </c>
      <c r="D588" s="46" t="s">
        <v>178</v>
      </c>
      <c r="E588" s="46">
        <v>5</v>
      </c>
      <c r="F588" s="46" t="s">
        <v>60</v>
      </c>
      <c r="G588" s="46">
        <v>1</v>
      </c>
      <c r="H588" s="47">
        <v>29</v>
      </c>
      <c r="I588" s="47" t="s">
        <v>101</v>
      </c>
      <c r="J588" s="48">
        <v>3</v>
      </c>
      <c r="K588" s="48">
        <v>1</v>
      </c>
      <c r="R588" s="46">
        <f t="shared" si="72"/>
        <v>0</v>
      </c>
      <c r="S588" s="46">
        <f t="shared" si="73"/>
        <v>0</v>
      </c>
      <c r="T588" s="46">
        <f t="shared" si="71"/>
        <v>60</v>
      </c>
      <c r="U588" s="46">
        <f t="shared" si="74"/>
        <v>60</v>
      </c>
      <c r="V588" s="54">
        <f t="shared" si="75"/>
        <v>41.333333333333336</v>
      </c>
    </row>
    <row r="589" spans="1:22" x14ac:dyDescent="0.2">
      <c r="A589" s="46" t="s">
        <v>180</v>
      </c>
      <c r="B589" s="46" t="s">
        <v>53</v>
      </c>
      <c r="C589" s="46" t="s">
        <v>92</v>
      </c>
      <c r="D589" s="46" t="s">
        <v>178</v>
      </c>
      <c r="E589" s="46">
        <v>5</v>
      </c>
      <c r="F589" s="46" t="s">
        <v>60</v>
      </c>
      <c r="G589" s="46">
        <v>3</v>
      </c>
      <c r="H589" s="47">
        <v>43</v>
      </c>
      <c r="I589" s="47" t="s">
        <v>159</v>
      </c>
      <c r="J589" s="48">
        <v>3</v>
      </c>
      <c r="K589" s="48">
        <v>2</v>
      </c>
      <c r="O589" s="48">
        <v>1</v>
      </c>
      <c r="R589" s="46">
        <f t="shared" si="72"/>
        <v>0</v>
      </c>
      <c r="S589" s="46">
        <f t="shared" si="73"/>
        <v>0</v>
      </c>
      <c r="T589" s="46">
        <f t="shared" si="71"/>
        <v>50</v>
      </c>
      <c r="U589" s="46">
        <f t="shared" si="74"/>
        <v>60</v>
      </c>
      <c r="V589" s="54">
        <f t="shared" si="75"/>
        <v>41.333333333333336</v>
      </c>
    </row>
    <row r="590" spans="1:22" x14ac:dyDescent="0.2">
      <c r="A590" s="46" t="s">
        <v>180</v>
      </c>
      <c r="B590" s="46" t="s">
        <v>53</v>
      </c>
      <c r="C590" s="46" t="s">
        <v>92</v>
      </c>
      <c r="D590" s="46" t="s">
        <v>178</v>
      </c>
      <c r="E590" s="46">
        <v>5</v>
      </c>
      <c r="F590" s="46" t="s">
        <v>60</v>
      </c>
      <c r="G590" s="46">
        <v>2</v>
      </c>
      <c r="H590" s="47">
        <v>50</v>
      </c>
      <c r="I590" s="47" t="s">
        <v>127</v>
      </c>
      <c r="J590" s="48">
        <v>4</v>
      </c>
      <c r="K590" s="48">
        <v>0</v>
      </c>
      <c r="R590" s="46">
        <f t="shared" si="72"/>
        <v>1</v>
      </c>
      <c r="S590" s="46">
        <f t="shared" si="73"/>
        <v>0</v>
      </c>
      <c r="T590" s="46">
        <f t="shared" si="71"/>
        <v>90</v>
      </c>
      <c r="U590" s="46">
        <f t="shared" si="74"/>
        <v>90</v>
      </c>
      <c r="V590" s="54">
        <f t="shared" si="75"/>
        <v>41.333333333333336</v>
      </c>
    </row>
    <row r="591" spans="1:22" x14ac:dyDescent="0.2">
      <c r="A591" s="46" t="s">
        <v>180</v>
      </c>
      <c r="B591" s="46" t="s">
        <v>53</v>
      </c>
      <c r="C591" s="46" t="s">
        <v>92</v>
      </c>
      <c r="D591" s="46" t="s">
        <v>178</v>
      </c>
      <c r="E591" s="46">
        <v>5</v>
      </c>
      <c r="F591" s="46" t="s">
        <v>61</v>
      </c>
      <c r="G591" s="46">
        <v>1</v>
      </c>
      <c r="H591" s="47" t="s">
        <v>74</v>
      </c>
      <c r="I591" s="47" t="s">
        <v>101</v>
      </c>
      <c r="J591" s="48">
        <v>2</v>
      </c>
      <c r="K591" s="48">
        <v>1</v>
      </c>
      <c r="R591" s="46">
        <f t="shared" si="72"/>
        <v>0</v>
      </c>
      <c r="S591" s="46">
        <f t="shared" si="73"/>
        <v>0</v>
      </c>
      <c r="T591" s="46">
        <f t="shared" si="71"/>
        <v>40</v>
      </c>
      <c r="U591" s="46">
        <f t="shared" si="74"/>
        <v>40</v>
      </c>
      <c r="V591" s="54">
        <f t="shared" si="75"/>
        <v>41.333333333333336</v>
      </c>
    </row>
    <row r="592" spans="1:22" x14ac:dyDescent="0.2">
      <c r="A592" s="46" t="s">
        <v>180</v>
      </c>
      <c r="B592" s="46" t="s">
        <v>53</v>
      </c>
      <c r="C592" s="46" t="s">
        <v>92</v>
      </c>
      <c r="D592" s="46" t="s">
        <v>178</v>
      </c>
      <c r="E592" s="46">
        <v>5</v>
      </c>
      <c r="F592" s="46" t="s">
        <v>61</v>
      </c>
      <c r="G592" s="46">
        <v>1</v>
      </c>
      <c r="H592" s="47" t="s">
        <v>68</v>
      </c>
      <c r="I592" s="47" t="s">
        <v>101</v>
      </c>
      <c r="J592" s="48">
        <v>2</v>
      </c>
      <c r="K592" s="48">
        <v>0</v>
      </c>
      <c r="R592" s="46">
        <f t="shared" si="72"/>
        <v>0</v>
      </c>
      <c r="S592" s="46">
        <f t="shared" si="73"/>
        <v>0</v>
      </c>
      <c r="T592" s="46">
        <f t="shared" si="71"/>
        <v>40</v>
      </c>
      <c r="U592" s="46">
        <f t="shared" si="74"/>
        <v>40</v>
      </c>
      <c r="V592" s="54">
        <f t="shared" si="75"/>
        <v>41.333333333333336</v>
      </c>
    </row>
    <row r="593" spans="1:22" x14ac:dyDescent="0.2">
      <c r="A593" s="46" t="s">
        <v>180</v>
      </c>
      <c r="B593" s="46" t="s">
        <v>53</v>
      </c>
      <c r="C593" s="46" t="s">
        <v>92</v>
      </c>
      <c r="D593" s="46" t="s">
        <v>178</v>
      </c>
      <c r="E593" s="46">
        <v>5</v>
      </c>
      <c r="F593" s="46" t="s">
        <v>61</v>
      </c>
      <c r="G593" s="46">
        <v>2</v>
      </c>
      <c r="H593" s="47" t="s">
        <v>66</v>
      </c>
      <c r="I593" s="47" t="s">
        <v>127</v>
      </c>
      <c r="J593" s="48">
        <v>2</v>
      </c>
      <c r="K593" s="48">
        <v>2</v>
      </c>
      <c r="R593" s="46">
        <f t="shared" si="72"/>
        <v>0</v>
      </c>
      <c r="S593" s="46">
        <f t="shared" si="73"/>
        <v>0</v>
      </c>
      <c r="T593" s="46">
        <f t="shared" si="71"/>
        <v>30</v>
      </c>
      <c r="U593" s="46">
        <f t="shared" si="74"/>
        <v>30</v>
      </c>
      <c r="V593" s="54">
        <f t="shared" si="75"/>
        <v>41.333333333333336</v>
      </c>
    </row>
    <row r="594" spans="1:22" x14ac:dyDescent="0.2">
      <c r="A594" s="46" t="s">
        <v>141</v>
      </c>
      <c r="B594" s="46" t="s">
        <v>209</v>
      </c>
      <c r="C594" s="46" t="s">
        <v>93</v>
      </c>
      <c r="D594" s="46" t="s">
        <v>178</v>
      </c>
      <c r="E594" s="46">
        <v>2</v>
      </c>
      <c r="F594" s="46" t="s">
        <v>60</v>
      </c>
      <c r="G594" s="46">
        <v>2</v>
      </c>
      <c r="H594" s="47">
        <v>22</v>
      </c>
      <c r="I594" s="47" t="s">
        <v>127</v>
      </c>
      <c r="J594" s="48">
        <v>0</v>
      </c>
      <c r="K594" s="48">
        <v>2</v>
      </c>
      <c r="R594" s="46">
        <f t="shared" si="72"/>
        <v>0</v>
      </c>
      <c r="S594" s="46">
        <f t="shared" si="73"/>
        <v>0</v>
      </c>
      <c r="T594" s="46">
        <f t="shared" si="71"/>
        <v>-10</v>
      </c>
      <c r="U594" s="46">
        <f t="shared" si="74"/>
        <v>-10</v>
      </c>
      <c r="V594" s="54">
        <f t="shared" si="75"/>
        <v>5</v>
      </c>
    </row>
    <row r="595" spans="1:22" x14ac:dyDescent="0.2">
      <c r="A595" s="46" t="s">
        <v>141</v>
      </c>
      <c r="B595" s="46" t="s">
        <v>209</v>
      </c>
      <c r="C595" s="46" t="s">
        <v>93</v>
      </c>
      <c r="D595" s="46" t="s">
        <v>178</v>
      </c>
      <c r="E595" s="46">
        <v>3</v>
      </c>
      <c r="F595" s="46" t="s">
        <v>60</v>
      </c>
      <c r="G595" s="46">
        <v>4</v>
      </c>
      <c r="H595" s="47">
        <v>24</v>
      </c>
      <c r="I595" s="47" t="s">
        <v>102</v>
      </c>
      <c r="J595" s="48">
        <v>0</v>
      </c>
      <c r="K595" s="48">
        <v>2</v>
      </c>
      <c r="R595" s="46">
        <f t="shared" si="72"/>
        <v>0</v>
      </c>
      <c r="S595" s="46">
        <f t="shared" si="73"/>
        <v>0</v>
      </c>
      <c r="T595" s="46">
        <f t="shared" si="71"/>
        <v>-10</v>
      </c>
      <c r="U595" s="46">
        <f t="shared" si="74"/>
        <v>-10</v>
      </c>
      <c r="V595" s="54">
        <f t="shared" si="75"/>
        <v>5</v>
      </c>
    </row>
    <row r="596" spans="1:22" x14ac:dyDescent="0.2">
      <c r="A596" s="46" t="s">
        <v>141</v>
      </c>
      <c r="B596" s="46" t="s">
        <v>209</v>
      </c>
      <c r="C596" s="46" t="s">
        <v>93</v>
      </c>
      <c r="D596" s="46" t="s">
        <v>178</v>
      </c>
      <c r="E596" s="46">
        <v>2</v>
      </c>
      <c r="F596" s="46" t="s">
        <v>60</v>
      </c>
      <c r="G596" s="46">
        <v>1</v>
      </c>
      <c r="H596" s="47">
        <v>29</v>
      </c>
      <c r="I596" s="47" t="s">
        <v>101</v>
      </c>
      <c r="J596" s="48">
        <v>0</v>
      </c>
      <c r="K596" s="48">
        <v>2</v>
      </c>
      <c r="R596" s="46">
        <f t="shared" si="72"/>
        <v>0</v>
      </c>
      <c r="S596" s="46">
        <f t="shared" si="73"/>
        <v>0</v>
      </c>
      <c r="T596" s="46">
        <f t="shared" si="71"/>
        <v>-10</v>
      </c>
      <c r="U596" s="46">
        <f t="shared" si="74"/>
        <v>-10</v>
      </c>
      <c r="V596" s="54">
        <f t="shared" si="75"/>
        <v>5</v>
      </c>
    </row>
    <row r="597" spans="1:22" x14ac:dyDescent="0.2">
      <c r="A597" s="46" t="s">
        <v>141</v>
      </c>
      <c r="B597" s="46" t="s">
        <v>209</v>
      </c>
      <c r="C597" s="46" t="s">
        <v>93</v>
      </c>
      <c r="D597" s="46" t="s">
        <v>178</v>
      </c>
      <c r="E597" s="46">
        <v>1</v>
      </c>
      <c r="F597" s="46" t="s">
        <v>62</v>
      </c>
      <c r="G597" s="46">
        <v>3</v>
      </c>
      <c r="H597" s="47" t="s">
        <v>64</v>
      </c>
      <c r="I597" s="47" t="s">
        <v>116</v>
      </c>
      <c r="J597" s="48">
        <v>0</v>
      </c>
      <c r="K597" s="48">
        <v>2</v>
      </c>
      <c r="R597" s="46">
        <f t="shared" si="72"/>
        <v>0</v>
      </c>
      <c r="S597" s="46">
        <f t="shared" si="73"/>
        <v>0</v>
      </c>
      <c r="T597" s="46">
        <f t="shared" si="71"/>
        <v>-10</v>
      </c>
      <c r="U597" s="46">
        <f t="shared" si="74"/>
        <v>-10</v>
      </c>
      <c r="V597" s="54">
        <f t="shared" si="75"/>
        <v>5</v>
      </c>
    </row>
    <row r="598" spans="1:22" x14ac:dyDescent="0.2">
      <c r="A598" s="46" t="s">
        <v>141</v>
      </c>
      <c r="B598" s="46" t="s">
        <v>209</v>
      </c>
      <c r="C598" s="46" t="s">
        <v>93</v>
      </c>
      <c r="D598" s="46" t="s">
        <v>178</v>
      </c>
      <c r="E598" s="46">
        <v>3</v>
      </c>
      <c r="F598" s="46" t="s">
        <v>60</v>
      </c>
      <c r="G598" s="46">
        <v>1</v>
      </c>
      <c r="H598" s="47">
        <v>1</v>
      </c>
      <c r="I598" s="47" t="s">
        <v>101</v>
      </c>
      <c r="J598" s="48">
        <v>0</v>
      </c>
      <c r="K598" s="48">
        <v>0</v>
      </c>
      <c r="R598" s="46">
        <f t="shared" si="72"/>
        <v>0</v>
      </c>
      <c r="S598" s="46">
        <f t="shared" si="73"/>
        <v>0</v>
      </c>
      <c r="T598" s="46">
        <f t="shared" si="71"/>
        <v>0</v>
      </c>
      <c r="U598" s="46">
        <f t="shared" si="74"/>
        <v>0</v>
      </c>
      <c r="V598" s="54">
        <f t="shared" si="75"/>
        <v>5</v>
      </c>
    </row>
    <row r="599" spans="1:22" x14ac:dyDescent="0.2">
      <c r="A599" s="46" t="s">
        <v>141</v>
      </c>
      <c r="B599" s="46" t="s">
        <v>209</v>
      </c>
      <c r="C599" s="46" t="s">
        <v>93</v>
      </c>
      <c r="D599" s="46" t="s">
        <v>178</v>
      </c>
      <c r="E599" s="46">
        <v>2</v>
      </c>
      <c r="F599" s="46" t="s">
        <v>60</v>
      </c>
      <c r="G599" s="46">
        <v>2</v>
      </c>
      <c r="H599" s="47">
        <v>2</v>
      </c>
      <c r="I599" s="47" t="s">
        <v>127</v>
      </c>
      <c r="J599" s="48">
        <v>0</v>
      </c>
      <c r="K599" s="48">
        <v>0</v>
      </c>
      <c r="R599" s="46">
        <f t="shared" si="72"/>
        <v>0</v>
      </c>
      <c r="S599" s="46">
        <f t="shared" si="73"/>
        <v>0</v>
      </c>
      <c r="T599" s="46">
        <f t="shared" si="71"/>
        <v>0</v>
      </c>
      <c r="U599" s="46">
        <f t="shared" si="74"/>
        <v>0</v>
      </c>
      <c r="V599" s="54">
        <f t="shared" si="75"/>
        <v>5</v>
      </c>
    </row>
    <row r="600" spans="1:22" x14ac:dyDescent="0.2">
      <c r="A600" s="46" t="s">
        <v>141</v>
      </c>
      <c r="B600" s="46" t="s">
        <v>209</v>
      </c>
      <c r="C600" s="46" t="s">
        <v>93</v>
      </c>
      <c r="D600" s="46" t="s">
        <v>178</v>
      </c>
      <c r="E600" s="46">
        <v>1</v>
      </c>
      <c r="F600" s="46" t="s">
        <v>60</v>
      </c>
      <c r="G600" s="46">
        <v>3</v>
      </c>
      <c r="H600" s="47">
        <v>7</v>
      </c>
      <c r="I600" s="47" t="s">
        <v>116</v>
      </c>
      <c r="J600" s="48">
        <v>0</v>
      </c>
      <c r="K600" s="48">
        <v>1</v>
      </c>
      <c r="R600" s="46">
        <f t="shared" si="72"/>
        <v>0</v>
      </c>
      <c r="S600" s="46">
        <f t="shared" si="73"/>
        <v>0</v>
      </c>
      <c r="T600" s="46">
        <f t="shared" si="71"/>
        <v>0</v>
      </c>
      <c r="U600" s="46">
        <f t="shared" si="74"/>
        <v>0</v>
      </c>
      <c r="V600" s="54">
        <f t="shared" si="75"/>
        <v>5</v>
      </c>
    </row>
    <row r="601" spans="1:22" x14ac:dyDescent="0.2">
      <c r="A601" s="46" t="s">
        <v>141</v>
      </c>
      <c r="B601" s="46" t="s">
        <v>209</v>
      </c>
      <c r="C601" s="46" t="s">
        <v>93</v>
      </c>
      <c r="D601" s="46" t="s">
        <v>178</v>
      </c>
      <c r="E601" s="46">
        <v>2</v>
      </c>
      <c r="F601" s="46" t="s">
        <v>60</v>
      </c>
      <c r="G601" s="46">
        <v>4</v>
      </c>
      <c r="H601" s="47">
        <v>8</v>
      </c>
      <c r="I601" s="47" t="s">
        <v>102</v>
      </c>
      <c r="J601" s="48">
        <v>0</v>
      </c>
      <c r="K601" s="48">
        <v>0</v>
      </c>
      <c r="M601" s="48">
        <v>1</v>
      </c>
      <c r="R601" s="46">
        <f t="shared" si="72"/>
        <v>0</v>
      </c>
      <c r="S601" s="46">
        <f t="shared" si="73"/>
        <v>0</v>
      </c>
      <c r="T601" s="46">
        <f t="shared" si="71"/>
        <v>0</v>
      </c>
      <c r="U601" s="46">
        <f t="shared" si="74"/>
        <v>20</v>
      </c>
      <c r="V601" s="54">
        <f t="shared" si="75"/>
        <v>5</v>
      </c>
    </row>
    <row r="602" spans="1:22" x14ac:dyDescent="0.2">
      <c r="A602" s="46" t="s">
        <v>141</v>
      </c>
      <c r="B602" s="46" t="s">
        <v>209</v>
      </c>
      <c r="C602" s="46" t="s">
        <v>93</v>
      </c>
      <c r="D602" s="46" t="s">
        <v>178</v>
      </c>
      <c r="E602" s="46">
        <v>4</v>
      </c>
      <c r="F602" s="46" t="s">
        <v>60</v>
      </c>
      <c r="G602" s="46">
        <v>3</v>
      </c>
      <c r="H602" s="47">
        <v>11</v>
      </c>
      <c r="I602" s="47" t="s">
        <v>159</v>
      </c>
      <c r="J602" s="48">
        <v>0</v>
      </c>
      <c r="K602" s="48">
        <v>0</v>
      </c>
      <c r="R602" s="46">
        <f t="shared" si="72"/>
        <v>0</v>
      </c>
      <c r="S602" s="46">
        <f t="shared" si="73"/>
        <v>0</v>
      </c>
      <c r="T602" s="46">
        <f t="shared" si="71"/>
        <v>0</v>
      </c>
      <c r="U602" s="46">
        <f t="shared" si="74"/>
        <v>0</v>
      </c>
      <c r="V602" s="54">
        <f t="shared" si="75"/>
        <v>5</v>
      </c>
    </row>
    <row r="603" spans="1:22" x14ac:dyDescent="0.2">
      <c r="A603" s="46" t="s">
        <v>141</v>
      </c>
      <c r="B603" s="46" t="s">
        <v>209</v>
      </c>
      <c r="C603" s="46" t="s">
        <v>93</v>
      </c>
      <c r="D603" s="46" t="s">
        <v>178</v>
      </c>
      <c r="E603" s="46">
        <v>1</v>
      </c>
      <c r="F603" s="46" t="s">
        <v>60</v>
      </c>
      <c r="G603" s="46">
        <v>3</v>
      </c>
      <c r="H603" s="47">
        <v>15</v>
      </c>
      <c r="I603" s="47" t="s">
        <v>116</v>
      </c>
      <c r="J603" s="48">
        <v>0</v>
      </c>
      <c r="K603" s="48">
        <v>0</v>
      </c>
      <c r="R603" s="46">
        <f t="shared" si="72"/>
        <v>0</v>
      </c>
      <c r="S603" s="46">
        <f t="shared" si="73"/>
        <v>0</v>
      </c>
      <c r="T603" s="46">
        <f t="shared" si="71"/>
        <v>0</v>
      </c>
      <c r="U603" s="46">
        <f t="shared" si="74"/>
        <v>0</v>
      </c>
      <c r="V603" s="54">
        <f t="shared" si="75"/>
        <v>5</v>
      </c>
    </row>
    <row r="604" spans="1:22" x14ac:dyDescent="0.2">
      <c r="A604" s="46" t="s">
        <v>141</v>
      </c>
      <c r="B604" s="46" t="s">
        <v>209</v>
      </c>
      <c r="C604" s="46" t="s">
        <v>93</v>
      </c>
      <c r="D604" s="46" t="s">
        <v>178</v>
      </c>
      <c r="E604" s="46">
        <v>3</v>
      </c>
      <c r="F604" s="46" t="s">
        <v>60</v>
      </c>
      <c r="G604" s="46">
        <v>3</v>
      </c>
      <c r="H604" s="47">
        <v>15</v>
      </c>
      <c r="I604" s="47" t="s">
        <v>116</v>
      </c>
      <c r="J604" s="48">
        <v>0</v>
      </c>
      <c r="K604" s="48">
        <v>1</v>
      </c>
      <c r="R604" s="46">
        <f t="shared" si="72"/>
        <v>0</v>
      </c>
      <c r="S604" s="46">
        <f t="shared" si="73"/>
        <v>0</v>
      </c>
      <c r="T604" s="46">
        <f t="shared" si="71"/>
        <v>0</v>
      </c>
      <c r="U604" s="46">
        <f t="shared" si="74"/>
        <v>0</v>
      </c>
      <c r="V604" s="54">
        <f t="shared" si="75"/>
        <v>5</v>
      </c>
    </row>
    <row r="605" spans="1:22" x14ac:dyDescent="0.2">
      <c r="A605" s="46" t="s">
        <v>141</v>
      </c>
      <c r="B605" s="46" t="s">
        <v>209</v>
      </c>
      <c r="C605" s="46" t="s">
        <v>93</v>
      </c>
      <c r="D605" s="46" t="s">
        <v>178</v>
      </c>
      <c r="E605" s="46">
        <v>4</v>
      </c>
      <c r="F605" s="46" t="s">
        <v>60</v>
      </c>
      <c r="G605" s="46">
        <v>3</v>
      </c>
      <c r="H605" s="47">
        <v>19</v>
      </c>
      <c r="I605" s="47" t="s">
        <v>159</v>
      </c>
      <c r="J605" s="48">
        <v>0</v>
      </c>
      <c r="K605" s="48">
        <v>0</v>
      </c>
      <c r="R605" s="46">
        <f t="shared" si="72"/>
        <v>0</v>
      </c>
      <c r="S605" s="46">
        <f t="shared" si="73"/>
        <v>0</v>
      </c>
      <c r="T605" s="46">
        <f t="shared" si="71"/>
        <v>0</v>
      </c>
      <c r="U605" s="46">
        <f t="shared" si="74"/>
        <v>0</v>
      </c>
      <c r="V605" s="54">
        <f t="shared" si="75"/>
        <v>5</v>
      </c>
    </row>
    <row r="606" spans="1:22" x14ac:dyDescent="0.2">
      <c r="A606" s="46" t="s">
        <v>141</v>
      </c>
      <c r="B606" s="46" t="s">
        <v>209</v>
      </c>
      <c r="C606" s="46" t="s">
        <v>93</v>
      </c>
      <c r="D606" s="46" t="s">
        <v>178</v>
      </c>
      <c r="E606" s="46">
        <v>1</v>
      </c>
      <c r="F606" s="46" t="s">
        <v>60</v>
      </c>
      <c r="G606" s="46">
        <v>1</v>
      </c>
      <c r="H606" s="47">
        <v>21</v>
      </c>
      <c r="I606" s="47" t="s">
        <v>101</v>
      </c>
      <c r="J606" s="48">
        <v>0</v>
      </c>
      <c r="K606" s="48">
        <v>0</v>
      </c>
      <c r="M606" s="48">
        <v>1</v>
      </c>
      <c r="R606" s="46">
        <f t="shared" si="72"/>
        <v>0</v>
      </c>
      <c r="S606" s="46">
        <f t="shared" si="73"/>
        <v>0</v>
      </c>
      <c r="T606" s="46">
        <f t="shared" si="71"/>
        <v>0</v>
      </c>
      <c r="U606" s="46">
        <f t="shared" si="74"/>
        <v>20</v>
      </c>
      <c r="V606" s="54">
        <f t="shared" si="75"/>
        <v>5</v>
      </c>
    </row>
    <row r="607" spans="1:22" x14ac:dyDescent="0.2">
      <c r="A607" s="46" t="s">
        <v>141</v>
      </c>
      <c r="B607" s="46" t="s">
        <v>209</v>
      </c>
      <c r="C607" s="46" t="s">
        <v>93</v>
      </c>
      <c r="D607" s="46" t="s">
        <v>178</v>
      </c>
      <c r="E607" s="46">
        <v>1</v>
      </c>
      <c r="F607" s="46" t="s">
        <v>60</v>
      </c>
      <c r="G607" s="46">
        <v>1</v>
      </c>
      <c r="H607" s="47">
        <v>29</v>
      </c>
      <c r="I607" s="47" t="s">
        <v>101</v>
      </c>
      <c r="J607" s="48">
        <v>0</v>
      </c>
      <c r="K607" s="48">
        <v>0</v>
      </c>
      <c r="R607" s="46">
        <f t="shared" si="72"/>
        <v>0</v>
      </c>
      <c r="S607" s="46">
        <f t="shared" si="73"/>
        <v>0</v>
      </c>
      <c r="T607" s="46">
        <f t="shared" si="71"/>
        <v>0</v>
      </c>
      <c r="U607" s="46">
        <f t="shared" si="74"/>
        <v>0</v>
      </c>
      <c r="V607" s="54">
        <f t="shared" si="75"/>
        <v>5</v>
      </c>
    </row>
    <row r="608" spans="1:22" x14ac:dyDescent="0.2">
      <c r="A608" s="46" t="s">
        <v>141</v>
      </c>
      <c r="B608" s="46" t="s">
        <v>209</v>
      </c>
      <c r="C608" s="46" t="s">
        <v>93</v>
      </c>
      <c r="D608" s="46" t="s">
        <v>178</v>
      </c>
      <c r="E608" s="46">
        <v>3</v>
      </c>
      <c r="F608" s="46" t="s">
        <v>60</v>
      </c>
      <c r="G608" s="46">
        <v>2</v>
      </c>
      <c r="H608" s="47">
        <v>30</v>
      </c>
      <c r="I608" s="47" t="s">
        <v>127</v>
      </c>
      <c r="J608" s="48">
        <v>0</v>
      </c>
      <c r="K608" s="48">
        <v>0</v>
      </c>
      <c r="R608" s="46">
        <f t="shared" si="72"/>
        <v>0</v>
      </c>
      <c r="S608" s="46">
        <f t="shared" si="73"/>
        <v>0</v>
      </c>
      <c r="T608" s="46">
        <f t="shared" si="71"/>
        <v>0</v>
      </c>
      <c r="U608" s="46">
        <f t="shared" si="74"/>
        <v>0</v>
      </c>
      <c r="V608" s="54">
        <f t="shared" si="75"/>
        <v>5</v>
      </c>
    </row>
    <row r="609" spans="1:22" x14ac:dyDescent="0.2">
      <c r="A609" s="46" t="s">
        <v>141</v>
      </c>
      <c r="B609" s="46" t="s">
        <v>209</v>
      </c>
      <c r="C609" s="46" t="s">
        <v>93</v>
      </c>
      <c r="D609" s="46" t="s">
        <v>178</v>
      </c>
      <c r="E609" s="46">
        <v>2</v>
      </c>
      <c r="F609" s="46" t="s">
        <v>60</v>
      </c>
      <c r="G609" s="46">
        <v>3</v>
      </c>
      <c r="H609" s="47">
        <v>39</v>
      </c>
      <c r="I609" s="47" t="s">
        <v>116</v>
      </c>
      <c r="J609" s="48">
        <v>0</v>
      </c>
      <c r="K609" s="48">
        <v>0</v>
      </c>
      <c r="R609" s="46">
        <f t="shared" si="72"/>
        <v>0</v>
      </c>
      <c r="S609" s="46">
        <f t="shared" si="73"/>
        <v>0</v>
      </c>
      <c r="T609" s="46">
        <f t="shared" si="71"/>
        <v>0</v>
      </c>
      <c r="U609" s="46">
        <f t="shared" si="74"/>
        <v>0</v>
      </c>
      <c r="V609" s="54">
        <f t="shared" si="75"/>
        <v>5</v>
      </c>
    </row>
    <row r="610" spans="1:22" x14ac:dyDescent="0.2">
      <c r="A610" s="46" t="s">
        <v>141</v>
      </c>
      <c r="B610" s="46" t="s">
        <v>209</v>
      </c>
      <c r="C610" s="46" t="s">
        <v>93</v>
      </c>
      <c r="D610" s="46" t="s">
        <v>178</v>
      </c>
      <c r="E610" s="46">
        <v>2</v>
      </c>
      <c r="F610" s="46" t="s">
        <v>60</v>
      </c>
      <c r="G610" s="46">
        <v>1</v>
      </c>
      <c r="H610" s="47">
        <v>41</v>
      </c>
      <c r="I610" s="47" t="s">
        <v>101</v>
      </c>
      <c r="J610" s="48">
        <v>0</v>
      </c>
      <c r="K610" s="48">
        <v>0</v>
      </c>
      <c r="R610" s="46">
        <f t="shared" si="72"/>
        <v>0</v>
      </c>
      <c r="S610" s="46">
        <f t="shared" si="73"/>
        <v>0</v>
      </c>
      <c r="T610" s="46">
        <f t="shared" si="71"/>
        <v>0</v>
      </c>
      <c r="U610" s="46">
        <f t="shared" si="74"/>
        <v>0</v>
      </c>
      <c r="V610" s="54">
        <f t="shared" si="75"/>
        <v>5</v>
      </c>
    </row>
    <row r="611" spans="1:22" x14ac:dyDescent="0.2">
      <c r="A611" s="46" t="s">
        <v>141</v>
      </c>
      <c r="B611" s="46" t="s">
        <v>209</v>
      </c>
      <c r="C611" s="46" t="s">
        <v>93</v>
      </c>
      <c r="D611" s="46" t="s">
        <v>178</v>
      </c>
      <c r="E611" s="46">
        <v>3</v>
      </c>
      <c r="F611" s="46" t="s">
        <v>60</v>
      </c>
      <c r="G611" s="46">
        <v>2</v>
      </c>
      <c r="H611" s="47">
        <v>42</v>
      </c>
      <c r="I611" s="47" t="s">
        <v>127</v>
      </c>
      <c r="J611" s="48">
        <v>0</v>
      </c>
      <c r="K611" s="48">
        <v>0</v>
      </c>
      <c r="R611" s="46">
        <f t="shared" si="72"/>
        <v>0</v>
      </c>
      <c r="S611" s="46">
        <f t="shared" si="73"/>
        <v>0</v>
      </c>
      <c r="T611" s="46">
        <f t="shared" si="71"/>
        <v>0</v>
      </c>
      <c r="U611" s="46">
        <f t="shared" si="74"/>
        <v>0</v>
      </c>
      <c r="V611" s="54">
        <f t="shared" si="75"/>
        <v>5</v>
      </c>
    </row>
    <row r="612" spans="1:22" x14ac:dyDescent="0.2">
      <c r="A612" s="46" t="s">
        <v>141</v>
      </c>
      <c r="B612" s="46" t="s">
        <v>209</v>
      </c>
      <c r="C612" s="46" t="s">
        <v>93</v>
      </c>
      <c r="D612" s="46" t="s">
        <v>178</v>
      </c>
      <c r="E612" s="46">
        <v>1</v>
      </c>
      <c r="F612" s="46" t="s">
        <v>60</v>
      </c>
      <c r="G612" s="46">
        <v>2</v>
      </c>
      <c r="H612" s="47">
        <v>46</v>
      </c>
      <c r="I612" s="47" t="s">
        <v>127</v>
      </c>
      <c r="J612" s="48">
        <v>0</v>
      </c>
      <c r="K612" s="48">
        <v>0</v>
      </c>
      <c r="R612" s="46">
        <f t="shared" si="72"/>
        <v>0</v>
      </c>
      <c r="S612" s="46">
        <f t="shared" si="73"/>
        <v>0</v>
      </c>
      <c r="T612" s="46">
        <f t="shared" si="71"/>
        <v>0</v>
      </c>
      <c r="U612" s="46">
        <f t="shared" si="74"/>
        <v>0</v>
      </c>
      <c r="V612" s="54">
        <f t="shared" si="75"/>
        <v>5</v>
      </c>
    </row>
    <row r="613" spans="1:22" x14ac:dyDescent="0.2">
      <c r="A613" s="46" t="s">
        <v>141</v>
      </c>
      <c r="B613" s="46" t="s">
        <v>209</v>
      </c>
      <c r="C613" s="46" t="s">
        <v>93</v>
      </c>
      <c r="D613" s="46" t="s">
        <v>178</v>
      </c>
      <c r="E613" s="46">
        <v>4</v>
      </c>
      <c r="F613" s="46" t="s">
        <v>60</v>
      </c>
      <c r="G613" s="46">
        <v>2</v>
      </c>
      <c r="H613" s="47">
        <v>46</v>
      </c>
      <c r="I613" s="47" t="s">
        <v>127</v>
      </c>
      <c r="J613" s="48">
        <v>0</v>
      </c>
      <c r="K613" s="48">
        <v>0</v>
      </c>
      <c r="R613" s="46">
        <f t="shared" si="72"/>
        <v>0</v>
      </c>
      <c r="S613" s="46">
        <f t="shared" si="73"/>
        <v>0</v>
      </c>
      <c r="T613" s="46">
        <f t="shared" ref="T613:T676" si="76">quizscore(J613,K613)</f>
        <v>0</v>
      </c>
      <c r="U613" s="46">
        <f t="shared" si="74"/>
        <v>0</v>
      </c>
      <c r="V613" s="54">
        <f t="shared" si="75"/>
        <v>5</v>
      </c>
    </row>
    <row r="614" spans="1:22" x14ac:dyDescent="0.2">
      <c r="A614" s="46" t="s">
        <v>141</v>
      </c>
      <c r="B614" s="46" t="s">
        <v>209</v>
      </c>
      <c r="C614" s="46" t="s">
        <v>93</v>
      </c>
      <c r="D614" s="46" t="s">
        <v>178</v>
      </c>
      <c r="E614" s="46">
        <v>3</v>
      </c>
      <c r="F614" s="46" t="s">
        <v>60</v>
      </c>
      <c r="G614" s="46">
        <v>2</v>
      </c>
      <c r="H614" s="47">
        <v>50</v>
      </c>
      <c r="I614" s="47" t="s">
        <v>127</v>
      </c>
      <c r="J614" s="48">
        <v>0</v>
      </c>
      <c r="K614" s="48">
        <v>0</v>
      </c>
      <c r="R614" s="46">
        <f t="shared" si="72"/>
        <v>0</v>
      </c>
      <c r="S614" s="46">
        <f t="shared" si="73"/>
        <v>0</v>
      </c>
      <c r="T614" s="46">
        <f t="shared" si="76"/>
        <v>0</v>
      </c>
      <c r="U614" s="46">
        <f t="shared" si="74"/>
        <v>0</v>
      </c>
      <c r="V614" s="54">
        <f t="shared" si="75"/>
        <v>5</v>
      </c>
    </row>
    <row r="615" spans="1:22" x14ac:dyDescent="0.2">
      <c r="A615" s="46" t="s">
        <v>141</v>
      </c>
      <c r="B615" s="46" t="s">
        <v>209</v>
      </c>
      <c r="C615" s="46" t="s">
        <v>93</v>
      </c>
      <c r="D615" s="46" t="s">
        <v>178</v>
      </c>
      <c r="E615" s="46">
        <v>1</v>
      </c>
      <c r="F615" s="46" t="s">
        <v>62</v>
      </c>
      <c r="G615" s="46">
        <v>3</v>
      </c>
      <c r="H615" s="47" t="s">
        <v>84</v>
      </c>
      <c r="I615" s="47" t="s">
        <v>116</v>
      </c>
      <c r="J615" s="48">
        <v>0</v>
      </c>
      <c r="K615" s="48">
        <v>1</v>
      </c>
      <c r="R615" s="46">
        <f t="shared" si="72"/>
        <v>0</v>
      </c>
      <c r="S615" s="46">
        <f t="shared" si="73"/>
        <v>0</v>
      </c>
      <c r="T615" s="46">
        <f t="shared" si="76"/>
        <v>0</v>
      </c>
      <c r="U615" s="46">
        <f t="shared" si="74"/>
        <v>0</v>
      </c>
      <c r="V615" s="54">
        <f t="shared" si="75"/>
        <v>5</v>
      </c>
    </row>
    <row r="616" spans="1:22" x14ac:dyDescent="0.2">
      <c r="A616" s="46" t="s">
        <v>141</v>
      </c>
      <c r="B616" s="46" t="s">
        <v>209</v>
      </c>
      <c r="C616" s="46" t="s">
        <v>93</v>
      </c>
      <c r="D616" s="46" t="s">
        <v>178</v>
      </c>
      <c r="E616" s="46">
        <v>1</v>
      </c>
      <c r="F616" s="46" t="s">
        <v>62</v>
      </c>
      <c r="G616" s="46">
        <v>2</v>
      </c>
      <c r="H616" s="47" t="s">
        <v>86</v>
      </c>
      <c r="I616" s="47" t="s">
        <v>127</v>
      </c>
      <c r="J616" s="48">
        <v>0</v>
      </c>
      <c r="K616" s="48">
        <v>0</v>
      </c>
      <c r="R616" s="46">
        <f t="shared" si="72"/>
        <v>0</v>
      </c>
      <c r="S616" s="46">
        <f t="shared" si="73"/>
        <v>0</v>
      </c>
      <c r="T616" s="46">
        <f t="shared" si="76"/>
        <v>0</v>
      </c>
      <c r="U616" s="46">
        <f t="shared" si="74"/>
        <v>0</v>
      </c>
      <c r="V616" s="54">
        <f t="shared" si="75"/>
        <v>5</v>
      </c>
    </row>
    <row r="617" spans="1:22" x14ac:dyDescent="0.2">
      <c r="A617" s="46" t="s">
        <v>141</v>
      </c>
      <c r="B617" s="46" t="s">
        <v>209</v>
      </c>
      <c r="C617" s="46" t="s">
        <v>93</v>
      </c>
      <c r="D617" s="46" t="s">
        <v>178</v>
      </c>
      <c r="E617" s="46">
        <v>3</v>
      </c>
      <c r="F617" s="46" t="s">
        <v>63</v>
      </c>
      <c r="G617" s="46">
        <v>4</v>
      </c>
      <c r="H617" s="47" t="s">
        <v>148</v>
      </c>
      <c r="I617" s="47" t="s">
        <v>102</v>
      </c>
      <c r="J617" s="48">
        <v>0</v>
      </c>
      <c r="K617" s="48">
        <v>0</v>
      </c>
      <c r="M617" s="48">
        <v>1</v>
      </c>
      <c r="R617" s="46">
        <f t="shared" si="72"/>
        <v>0</v>
      </c>
      <c r="S617" s="46">
        <f t="shared" si="73"/>
        <v>0</v>
      </c>
      <c r="T617" s="46">
        <f t="shared" si="76"/>
        <v>0</v>
      </c>
      <c r="U617" s="46">
        <f t="shared" si="74"/>
        <v>20</v>
      </c>
      <c r="V617" s="54">
        <f t="shared" si="75"/>
        <v>5</v>
      </c>
    </row>
    <row r="618" spans="1:22" x14ac:dyDescent="0.2">
      <c r="A618" s="46" t="s">
        <v>141</v>
      </c>
      <c r="B618" s="46" t="s">
        <v>209</v>
      </c>
      <c r="C618" s="46" t="s">
        <v>93</v>
      </c>
      <c r="D618" s="46" t="s">
        <v>178</v>
      </c>
      <c r="E618" s="46">
        <v>3</v>
      </c>
      <c r="F618" s="46" t="s">
        <v>63</v>
      </c>
      <c r="G618" s="46">
        <v>4</v>
      </c>
      <c r="H618" s="47" t="s">
        <v>150</v>
      </c>
      <c r="I618" s="47" t="s">
        <v>102</v>
      </c>
      <c r="J618" s="48">
        <v>0</v>
      </c>
      <c r="K618" s="48">
        <v>1</v>
      </c>
      <c r="R618" s="46">
        <f t="shared" si="72"/>
        <v>0</v>
      </c>
      <c r="S618" s="46">
        <f t="shared" si="73"/>
        <v>0</v>
      </c>
      <c r="T618" s="46">
        <f t="shared" si="76"/>
        <v>0</v>
      </c>
      <c r="U618" s="46">
        <f t="shared" si="74"/>
        <v>0</v>
      </c>
      <c r="V618" s="54">
        <f t="shared" si="75"/>
        <v>5</v>
      </c>
    </row>
    <row r="619" spans="1:22" x14ac:dyDescent="0.2">
      <c r="A619" s="46" t="s">
        <v>141</v>
      </c>
      <c r="B619" s="46" t="s">
        <v>209</v>
      </c>
      <c r="C619" s="46" t="s">
        <v>93</v>
      </c>
      <c r="D619" s="46" t="s">
        <v>178</v>
      </c>
      <c r="E619" s="46">
        <v>2</v>
      </c>
      <c r="F619" s="46" t="s">
        <v>63</v>
      </c>
      <c r="G619" s="46">
        <v>4</v>
      </c>
      <c r="H619" s="47" t="s">
        <v>172</v>
      </c>
      <c r="I619" s="47" t="s">
        <v>102</v>
      </c>
      <c r="J619" s="48">
        <v>0</v>
      </c>
      <c r="K619" s="48">
        <v>0</v>
      </c>
      <c r="R619" s="46">
        <f t="shared" si="72"/>
        <v>0</v>
      </c>
      <c r="S619" s="46">
        <f t="shared" si="73"/>
        <v>0</v>
      </c>
      <c r="T619" s="46">
        <f t="shared" si="76"/>
        <v>0</v>
      </c>
      <c r="U619" s="46">
        <f t="shared" si="74"/>
        <v>0</v>
      </c>
      <c r="V619" s="54">
        <f t="shared" si="75"/>
        <v>5</v>
      </c>
    </row>
    <row r="620" spans="1:22" x14ac:dyDescent="0.2">
      <c r="A620" s="46" t="s">
        <v>141</v>
      </c>
      <c r="B620" s="46" t="s">
        <v>209</v>
      </c>
      <c r="C620" s="46" t="s">
        <v>93</v>
      </c>
      <c r="D620" s="46" t="s">
        <v>178</v>
      </c>
      <c r="E620" s="46">
        <v>4</v>
      </c>
      <c r="F620" s="46" t="s">
        <v>61</v>
      </c>
      <c r="G620" s="46">
        <v>2</v>
      </c>
      <c r="H620" s="47" t="s">
        <v>66</v>
      </c>
      <c r="I620" s="47" t="s">
        <v>127</v>
      </c>
      <c r="J620" s="48">
        <v>0</v>
      </c>
      <c r="K620" s="48">
        <v>1</v>
      </c>
      <c r="R620" s="46">
        <f t="shared" si="72"/>
        <v>0</v>
      </c>
      <c r="S620" s="46">
        <f t="shared" si="73"/>
        <v>0</v>
      </c>
      <c r="T620" s="46">
        <f t="shared" si="76"/>
        <v>0</v>
      </c>
      <c r="U620" s="46">
        <f t="shared" si="74"/>
        <v>0</v>
      </c>
      <c r="V620" s="54">
        <f t="shared" si="75"/>
        <v>5</v>
      </c>
    </row>
    <row r="621" spans="1:22" x14ac:dyDescent="0.2">
      <c r="A621" s="46" t="s">
        <v>141</v>
      </c>
      <c r="B621" s="46" t="s">
        <v>209</v>
      </c>
      <c r="C621" s="46" t="s">
        <v>93</v>
      </c>
      <c r="D621" s="46" t="s">
        <v>178</v>
      </c>
      <c r="E621" s="46">
        <v>2</v>
      </c>
      <c r="F621" s="46" t="s">
        <v>63</v>
      </c>
      <c r="G621" s="46">
        <v>4</v>
      </c>
      <c r="H621" s="47" t="s">
        <v>149</v>
      </c>
      <c r="I621" s="47" t="s">
        <v>102</v>
      </c>
      <c r="J621" s="48">
        <v>1</v>
      </c>
      <c r="K621" s="48">
        <v>2</v>
      </c>
      <c r="R621" s="46">
        <f t="shared" si="72"/>
        <v>0</v>
      </c>
      <c r="S621" s="46">
        <f t="shared" si="73"/>
        <v>0</v>
      </c>
      <c r="T621" s="46">
        <f t="shared" si="76"/>
        <v>10</v>
      </c>
      <c r="U621" s="46">
        <f t="shared" si="74"/>
        <v>10</v>
      </c>
      <c r="V621" s="54">
        <f t="shared" si="75"/>
        <v>5</v>
      </c>
    </row>
    <row r="622" spans="1:22" x14ac:dyDescent="0.2">
      <c r="A622" s="46" t="s">
        <v>141</v>
      </c>
      <c r="B622" s="46" t="s">
        <v>209</v>
      </c>
      <c r="C622" s="46" t="s">
        <v>93</v>
      </c>
      <c r="D622" s="46" t="s">
        <v>178</v>
      </c>
      <c r="E622" s="46">
        <v>4</v>
      </c>
      <c r="F622" s="46" t="s">
        <v>60</v>
      </c>
      <c r="G622" s="46">
        <v>4</v>
      </c>
      <c r="H622" s="47">
        <v>8</v>
      </c>
      <c r="I622" s="47" t="s">
        <v>102</v>
      </c>
      <c r="J622" s="48">
        <v>1</v>
      </c>
      <c r="K622" s="48">
        <v>0</v>
      </c>
      <c r="O622" s="48">
        <v>1</v>
      </c>
      <c r="R622" s="46">
        <f t="shared" si="72"/>
        <v>0</v>
      </c>
      <c r="S622" s="46">
        <f t="shared" si="73"/>
        <v>0</v>
      </c>
      <c r="T622" s="46">
        <f t="shared" si="76"/>
        <v>20</v>
      </c>
      <c r="U622" s="46">
        <f t="shared" si="74"/>
        <v>30</v>
      </c>
      <c r="V622" s="54">
        <f t="shared" si="75"/>
        <v>5</v>
      </c>
    </row>
    <row r="623" spans="1:22" x14ac:dyDescent="0.2">
      <c r="A623" s="46" t="s">
        <v>141</v>
      </c>
      <c r="B623" s="46" t="s">
        <v>209</v>
      </c>
      <c r="C623" s="46" t="s">
        <v>93</v>
      </c>
      <c r="D623" s="46" t="s">
        <v>178</v>
      </c>
      <c r="E623" s="46">
        <v>4</v>
      </c>
      <c r="F623" s="46" t="s">
        <v>60</v>
      </c>
      <c r="G623" s="46">
        <v>1</v>
      </c>
      <c r="H623" s="47">
        <v>33</v>
      </c>
      <c r="I623" s="47" t="s">
        <v>101</v>
      </c>
      <c r="J623" s="48">
        <v>1</v>
      </c>
      <c r="K623" s="48">
        <v>0</v>
      </c>
      <c r="O623" s="48">
        <v>1</v>
      </c>
      <c r="R623" s="46">
        <f t="shared" si="72"/>
        <v>0</v>
      </c>
      <c r="S623" s="46">
        <f t="shared" si="73"/>
        <v>0</v>
      </c>
      <c r="T623" s="46">
        <f t="shared" si="76"/>
        <v>20</v>
      </c>
      <c r="U623" s="46">
        <f t="shared" si="74"/>
        <v>30</v>
      </c>
      <c r="V623" s="54">
        <f t="shared" si="75"/>
        <v>5</v>
      </c>
    </row>
    <row r="624" spans="1:22" x14ac:dyDescent="0.2">
      <c r="A624" s="46" t="s">
        <v>141</v>
      </c>
      <c r="B624" s="46" t="s">
        <v>209</v>
      </c>
      <c r="C624" s="46" t="s">
        <v>93</v>
      </c>
      <c r="D624" s="46" t="s">
        <v>178</v>
      </c>
      <c r="E624" s="46">
        <v>4</v>
      </c>
      <c r="F624" s="46" t="s">
        <v>60</v>
      </c>
      <c r="G624" s="46">
        <v>1</v>
      </c>
      <c r="H624" s="47">
        <v>37</v>
      </c>
      <c r="I624" s="47" t="s">
        <v>101</v>
      </c>
      <c r="J624" s="48">
        <v>1</v>
      </c>
      <c r="K624" s="48">
        <v>1</v>
      </c>
      <c r="R624" s="46">
        <f t="shared" si="72"/>
        <v>0</v>
      </c>
      <c r="S624" s="46">
        <f t="shared" si="73"/>
        <v>0</v>
      </c>
      <c r="T624" s="46">
        <f t="shared" si="76"/>
        <v>20</v>
      </c>
      <c r="U624" s="46">
        <f t="shared" si="74"/>
        <v>20</v>
      </c>
      <c r="V624" s="54">
        <f t="shared" si="75"/>
        <v>5</v>
      </c>
    </row>
    <row r="625" spans="1:22" x14ac:dyDescent="0.2">
      <c r="A625" s="46" t="s">
        <v>141</v>
      </c>
      <c r="B625" s="46" t="s">
        <v>209</v>
      </c>
      <c r="C625" s="46" t="s">
        <v>93</v>
      </c>
      <c r="D625" s="46" t="s">
        <v>178</v>
      </c>
      <c r="E625" s="46">
        <v>1</v>
      </c>
      <c r="F625" s="46" t="s">
        <v>60</v>
      </c>
      <c r="G625" s="46">
        <v>4</v>
      </c>
      <c r="H625" s="47">
        <v>40</v>
      </c>
      <c r="I625" s="47" t="s">
        <v>102</v>
      </c>
      <c r="J625" s="48">
        <v>1</v>
      </c>
      <c r="K625" s="48">
        <v>0</v>
      </c>
      <c r="O625" s="48">
        <v>1</v>
      </c>
      <c r="R625" s="46">
        <f t="shared" si="72"/>
        <v>0</v>
      </c>
      <c r="S625" s="46">
        <f t="shared" si="73"/>
        <v>0</v>
      </c>
      <c r="T625" s="46">
        <f t="shared" si="76"/>
        <v>20</v>
      </c>
      <c r="U625" s="46">
        <f t="shared" si="74"/>
        <v>30</v>
      </c>
      <c r="V625" s="54">
        <f t="shared" si="75"/>
        <v>5</v>
      </c>
    </row>
    <row r="626" spans="1:22" x14ac:dyDescent="0.2">
      <c r="A626" s="46" t="s">
        <v>141</v>
      </c>
      <c r="B626" s="46" t="s">
        <v>209</v>
      </c>
      <c r="C626" s="46" t="s">
        <v>93</v>
      </c>
      <c r="D626" s="46" t="s">
        <v>178</v>
      </c>
      <c r="E626" s="46">
        <v>4</v>
      </c>
      <c r="F626" s="46" t="s">
        <v>61</v>
      </c>
      <c r="G626" s="46">
        <v>1</v>
      </c>
      <c r="H626" s="47" t="s">
        <v>67</v>
      </c>
      <c r="I626" s="47" t="s">
        <v>101</v>
      </c>
      <c r="J626" s="48">
        <v>1</v>
      </c>
      <c r="K626" s="48">
        <v>0</v>
      </c>
      <c r="N626" s="48">
        <v>1</v>
      </c>
      <c r="R626" s="46">
        <f t="shared" si="72"/>
        <v>0</v>
      </c>
      <c r="S626" s="46">
        <f t="shared" si="73"/>
        <v>0</v>
      </c>
      <c r="T626" s="46">
        <f t="shared" si="76"/>
        <v>20</v>
      </c>
      <c r="U626" s="46">
        <f t="shared" si="74"/>
        <v>15</v>
      </c>
      <c r="V626" s="54">
        <f t="shared" si="75"/>
        <v>5</v>
      </c>
    </row>
    <row r="627" spans="1:22" x14ac:dyDescent="0.2">
      <c r="A627" s="46" t="s">
        <v>141</v>
      </c>
      <c r="B627" s="46" t="s">
        <v>209</v>
      </c>
      <c r="C627" s="46" t="s">
        <v>93</v>
      </c>
      <c r="D627" s="46" t="s">
        <v>178</v>
      </c>
      <c r="E627" s="46">
        <v>1</v>
      </c>
      <c r="F627" s="46" t="s">
        <v>62</v>
      </c>
      <c r="G627" s="46">
        <v>2</v>
      </c>
      <c r="H627" s="47" t="s">
        <v>81</v>
      </c>
      <c r="I627" s="47" t="s">
        <v>127</v>
      </c>
      <c r="J627" s="48">
        <v>1</v>
      </c>
      <c r="K627" s="48">
        <v>0</v>
      </c>
      <c r="R627" s="46">
        <f t="shared" si="72"/>
        <v>0</v>
      </c>
      <c r="S627" s="46">
        <f t="shared" si="73"/>
        <v>0</v>
      </c>
      <c r="T627" s="46">
        <f t="shared" si="76"/>
        <v>20</v>
      </c>
      <c r="U627" s="46">
        <f t="shared" si="74"/>
        <v>20</v>
      </c>
      <c r="V627" s="54">
        <f t="shared" si="75"/>
        <v>5</v>
      </c>
    </row>
    <row r="628" spans="1:22" x14ac:dyDescent="0.2">
      <c r="A628" s="46" t="s">
        <v>141</v>
      </c>
      <c r="B628" s="46" t="s">
        <v>209</v>
      </c>
      <c r="C628" s="46" t="s">
        <v>93</v>
      </c>
      <c r="D628" s="46" t="s">
        <v>178</v>
      </c>
      <c r="E628" s="46">
        <v>3</v>
      </c>
      <c r="F628" s="46" t="s">
        <v>63</v>
      </c>
      <c r="G628" s="46">
        <v>4</v>
      </c>
      <c r="H628" s="47" t="s">
        <v>152</v>
      </c>
      <c r="I628" s="47" t="s">
        <v>102</v>
      </c>
      <c r="J628" s="48">
        <v>1</v>
      </c>
      <c r="K628" s="48">
        <v>0</v>
      </c>
      <c r="P628" s="48">
        <v>1</v>
      </c>
      <c r="R628" s="46">
        <f t="shared" si="72"/>
        <v>0</v>
      </c>
      <c r="S628" s="46">
        <f t="shared" si="73"/>
        <v>0</v>
      </c>
      <c r="T628" s="46">
        <f t="shared" si="76"/>
        <v>20</v>
      </c>
      <c r="U628" s="46">
        <f t="shared" si="74"/>
        <v>30</v>
      </c>
      <c r="V628" s="54">
        <f t="shared" si="75"/>
        <v>5</v>
      </c>
    </row>
    <row r="629" spans="1:22" x14ac:dyDescent="0.2">
      <c r="A629" s="46" t="s">
        <v>141</v>
      </c>
      <c r="B629" s="46" t="s">
        <v>209</v>
      </c>
      <c r="C629" s="46" t="s">
        <v>93</v>
      </c>
      <c r="D629" s="46" t="s">
        <v>178</v>
      </c>
      <c r="E629" s="46">
        <v>3</v>
      </c>
      <c r="F629" s="46" t="s">
        <v>63</v>
      </c>
      <c r="G629" s="46">
        <v>4</v>
      </c>
      <c r="H629" s="47" t="s">
        <v>172</v>
      </c>
      <c r="I629" s="47" t="s">
        <v>102</v>
      </c>
      <c r="J629" s="48">
        <v>1</v>
      </c>
      <c r="K629" s="48">
        <v>1</v>
      </c>
      <c r="R629" s="46">
        <f t="shared" si="72"/>
        <v>0</v>
      </c>
      <c r="S629" s="46">
        <f t="shared" si="73"/>
        <v>0</v>
      </c>
      <c r="T629" s="46">
        <f t="shared" si="76"/>
        <v>20</v>
      </c>
      <c r="U629" s="46">
        <f t="shared" si="74"/>
        <v>20</v>
      </c>
      <c r="V629" s="54">
        <f t="shared" si="75"/>
        <v>5</v>
      </c>
    </row>
    <row r="630" spans="1:22" x14ac:dyDescent="0.2">
      <c r="A630" s="46" t="s">
        <v>141</v>
      </c>
      <c r="B630" s="46" t="s">
        <v>209</v>
      </c>
      <c r="C630" s="46" t="s">
        <v>93</v>
      </c>
      <c r="D630" s="46" t="s">
        <v>178</v>
      </c>
      <c r="E630" s="46">
        <v>2</v>
      </c>
      <c r="F630" s="46" t="s">
        <v>63</v>
      </c>
      <c r="G630" s="46">
        <v>4</v>
      </c>
      <c r="H630" s="47" t="s">
        <v>148</v>
      </c>
      <c r="I630" s="47" t="s">
        <v>102</v>
      </c>
      <c r="J630" s="48">
        <v>2</v>
      </c>
      <c r="K630" s="48">
        <v>0</v>
      </c>
      <c r="R630" s="46">
        <f t="shared" si="72"/>
        <v>0</v>
      </c>
      <c r="S630" s="46">
        <f t="shared" si="73"/>
        <v>0</v>
      </c>
      <c r="T630" s="46">
        <f t="shared" si="76"/>
        <v>40</v>
      </c>
      <c r="U630" s="46">
        <f t="shared" si="74"/>
        <v>40</v>
      </c>
      <c r="V630" s="54">
        <f t="shared" si="75"/>
        <v>5</v>
      </c>
    </row>
    <row r="631" spans="1:22" x14ac:dyDescent="0.2">
      <c r="A631" s="46" t="s">
        <v>141</v>
      </c>
      <c r="B631" s="46" t="s">
        <v>209</v>
      </c>
      <c r="C631" s="46" t="s">
        <v>93</v>
      </c>
      <c r="D631" s="46" t="s">
        <v>178</v>
      </c>
      <c r="E631" s="46">
        <v>4</v>
      </c>
      <c r="F631" s="46" t="s">
        <v>61</v>
      </c>
      <c r="G631" s="46">
        <v>1</v>
      </c>
      <c r="H631" s="47" t="s">
        <v>68</v>
      </c>
      <c r="I631" s="47" t="s">
        <v>101</v>
      </c>
      <c r="J631" s="48">
        <v>2</v>
      </c>
      <c r="K631" s="48">
        <v>0</v>
      </c>
      <c r="R631" s="46">
        <f t="shared" si="72"/>
        <v>0</v>
      </c>
      <c r="S631" s="46">
        <f t="shared" si="73"/>
        <v>0</v>
      </c>
      <c r="T631" s="46">
        <f t="shared" si="76"/>
        <v>40</v>
      </c>
      <c r="U631" s="46">
        <f t="shared" si="74"/>
        <v>40</v>
      </c>
      <c r="V631" s="54">
        <f t="shared" si="75"/>
        <v>5</v>
      </c>
    </row>
    <row r="632" spans="1:22" x14ac:dyDescent="0.2">
      <c r="A632" s="46" t="s">
        <v>141</v>
      </c>
      <c r="B632" s="46" t="s">
        <v>209</v>
      </c>
      <c r="C632" s="46" t="s">
        <v>93</v>
      </c>
      <c r="D632" s="46" t="s">
        <v>178</v>
      </c>
      <c r="E632" s="46">
        <v>2</v>
      </c>
      <c r="F632" s="46" t="s">
        <v>63</v>
      </c>
      <c r="G632" s="46">
        <v>4</v>
      </c>
      <c r="H632" s="47" t="s">
        <v>147</v>
      </c>
      <c r="I632" s="47" t="s">
        <v>102</v>
      </c>
      <c r="J632" s="48">
        <v>3</v>
      </c>
      <c r="K632" s="48">
        <v>1</v>
      </c>
      <c r="M632" s="48">
        <v>1</v>
      </c>
      <c r="R632" s="46">
        <f t="shared" si="72"/>
        <v>0</v>
      </c>
      <c r="S632" s="46">
        <f t="shared" si="73"/>
        <v>0</v>
      </c>
      <c r="T632" s="46">
        <f t="shared" si="76"/>
        <v>60</v>
      </c>
      <c r="U632" s="46">
        <f t="shared" si="74"/>
        <v>80</v>
      </c>
      <c r="V632" s="54">
        <f t="shared" si="75"/>
        <v>5</v>
      </c>
    </row>
    <row r="633" spans="1:22" x14ac:dyDescent="0.2">
      <c r="A633" s="46" t="s">
        <v>194</v>
      </c>
      <c r="B633" s="46" t="s">
        <v>115</v>
      </c>
      <c r="C633" s="46" t="s">
        <v>93</v>
      </c>
      <c r="D633" s="46" t="s">
        <v>178</v>
      </c>
      <c r="E633" s="46">
        <v>1</v>
      </c>
      <c r="F633" s="46" t="s">
        <v>60</v>
      </c>
      <c r="G633" s="46">
        <v>4</v>
      </c>
      <c r="H633" s="47">
        <v>16</v>
      </c>
      <c r="I633" s="47" t="s">
        <v>102</v>
      </c>
      <c r="J633" s="48">
        <v>0</v>
      </c>
      <c r="K633" s="48">
        <v>0</v>
      </c>
      <c r="R633" s="46">
        <f t="shared" si="72"/>
        <v>0</v>
      </c>
      <c r="S633" s="46">
        <f t="shared" si="73"/>
        <v>0</v>
      </c>
      <c r="T633" s="46">
        <f t="shared" si="76"/>
        <v>0</v>
      </c>
      <c r="U633" s="46">
        <f t="shared" si="74"/>
        <v>0</v>
      </c>
      <c r="V633" s="54">
        <f t="shared" si="75"/>
        <v>1.6666666666666667</v>
      </c>
    </row>
    <row r="634" spans="1:22" x14ac:dyDescent="0.2">
      <c r="A634" s="46" t="s">
        <v>194</v>
      </c>
      <c r="B634" s="46" t="s">
        <v>115</v>
      </c>
      <c r="C634" s="46" t="s">
        <v>93</v>
      </c>
      <c r="D634" s="46" t="s">
        <v>178</v>
      </c>
      <c r="E634" s="46">
        <v>1</v>
      </c>
      <c r="F634" s="46" t="s">
        <v>60</v>
      </c>
      <c r="G634" s="46">
        <v>3</v>
      </c>
      <c r="H634" s="47">
        <v>23</v>
      </c>
      <c r="I634" s="47" t="s">
        <v>116</v>
      </c>
      <c r="J634" s="48">
        <v>0</v>
      </c>
      <c r="K634" s="48">
        <v>0</v>
      </c>
      <c r="R634" s="46">
        <f t="shared" si="72"/>
        <v>0</v>
      </c>
      <c r="S634" s="46">
        <f t="shared" si="73"/>
        <v>0</v>
      </c>
      <c r="T634" s="46">
        <f t="shared" si="76"/>
        <v>0</v>
      </c>
      <c r="U634" s="46">
        <f t="shared" si="74"/>
        <v>0</v>
      </c>
      <c r="V634" s="54">
        <f t="shared" si="75"/>
        <v>1.6666666666666667</v>
      </c>
    </row>
    <row r="635" spans="1:22" x14ac:dyDescent="0.2">
      <c r="A635" s="46" t="s">
        <v>194</v>
      </c>
      <c r="B635" s="46" t="s">
        <v>115</v>
      </c>
      <c r="C635" s="46" t="s">
        <v>93</v>
      </c>
      <c r="D635" s="46" t="s">
        <v>178</v>
      </c>
      <c r="E635" s="46">
        <v>1</v>
      </c>
      <c r="F635" s="46" t="s">
        <v>60</v>
      </c>
      <c r="G635" s="46">
        <v>2</v>
      </c>
      <c r="H635" s="47">
        <v>30</v>
      </c>
      <c r="I635" s="47" t="s">
        <v>127</v>
      </c>
      <c r="J635" s="48">
        <v>0</v>
      </c>
      <c r="K635" s="48">
        <v>0</v>
      </c>
      <c r="N635" s="48">
        <v>1</v>
      </c>
      <c r="R635" s="46">
        <f t="shared" si="72"/>
        <v>0</v>
      </c>
      <c r="S635" s="46">
        <f t="shared" si="73"/>
        <v>0</v>
      </c>
      <c r="T635" s="46">
        <f t="shared" si="76"/>
        <v>0</v>
      </c>
      <c r="U635" s="46">
        <f t="shared" si="74"/>
        <v>-5</v>
      </c>
      <c r="V635" s="54">
        <f t="shared" si="75"/>
        <v>1.6666666666666667</v>
      </c>
    </row>
    <row r="636" spans="1:22" x14ac:dyDescent="0.2">
      <c r="A636" s="46" t="s">
        <v>194</v>
      </c>
      <c r="B636" s="46" t="s">
        <v>115</v>
      </c>
      <c r="C636" s="46" t="s">
        <v>93</v>
      </c>
      <c r="D636" s="46" t="s">
        <v>178</v>
      </c>
      <c r="E636" s="46">
        <v>1</v>
      </c>
      <c r="F636" s="46" t="s">
        <v>60</v>
      </c>
      <c r="G636" s="46">
        <v>1</v>
      </c>
      <c r="H636" s="47">
        <v>41</v>
      </c>
      <c r="I636" s="47" t="s">
        <v>101</v>
      </c>
      <c r="J636" s="48">
        <v>0</v>
      </c>
      <c r="K636" s="48">
        <v>0</v>
      </c>
      <c r="R636" s="46">
        <f t="shared" si="72"/>
        <v>0</v>
      </c>
      <c r="S636" s="46">
        <f t="shared" si="73"/>
        <v>0</v>
      </c>
      <c r="T636" s="46">
        <f t="shared" si="76"/>
        <v>0</v>
      </c>
      <c r="U636" s="46">
        <f t="shared" si="74"/>
        <v>0</v>
      </c>
      <c r="V636" s="54">
        <f t="shared" si="75"/>
        <v>1.6666666666666667</v>
      </c>
    </row>
    <row r="637" spans="1:22" x14ac:dyDescent="0.2">
      <c r="A637" s="46" t="s">
        <v>194</v>
      </c>
      <c r="B637" s="46" t="s">
        <v>115</v>
      </c>
      <c r="C637" s="46" t="s">
        <v>93</v>
      </c>
      <c r="D637" s="46" t="s">
        <v>178</v>
      </c>
      <c r="E637" s="46">
        <v>1</v>
      </c>
      <c r="F637" s="46" t="s">
        <v>60</v>
      </c>
      <c r="G637" s="46">
        <v>1</v>
      </c>
      <c r="H637" s="47">
        <v>49</v>
      </c>
      <c r="I637" s="47" t="s">
        <v>101</v>
      </c>
      <c r="J637" s="48">
        <v>0</v>
      </c>
      <c r="K637" s="48">
        <v>1</v>
      </c>
      <c r="R637" s="46">
        <f t="shared" si="72"/>
        <v>0</v>
      </c>
      <c r="S637" s="46">
        <f t="shared" si="73"/>
        <v>0</v>
      </c>
      <c r="T637" s="46">
        <f t="shared" si="76"/>
        <v>0</v>
      </c>
      <c r="U637" s="46">
        <f t="shared" si="74"/>
        <v>0</v>
      </c>
      <c r="V637" s="54">
        <f t="shared" si="75"/>
        <v>1.6666666666666667</v>
      </c>
    </row>
    <row r="638" spans="1:22" x14ac:dyDescent="0.2">
      <c r="A638" s="46" t="s">
        <v>194</v>
      </c>
      <c r="B638" s="46" t="s">
        <v>115</v>
      </c>
      <c r="C638" s="46" t="s">
        <v>93</v>
      </c>
      <c r="D638" s="46" t="s">
        <v>178</v>
      </c>
      <c r="E638" s="46">
        <v>1</v>
      </c>
      <c r="F638" s="46" t="s">
        <v>63</v>
      </c>
      <c r="G638" s="46">
        <v>4</v>
      </c>
      <c r="H638" s="47" t="s">
        <v>146</v>
      </c>
      <c r="I638" s="47" t="s">
        <v>102</v>
      </c>
      <c r="J638" s="48">
        <v>0</v>
      </c>
      <c r="K638" s="48">
        <v>1</v>
      </c>
      <c r="L638" s="48">
        <v>1</v>
      </c>
      <c r="R638" s="46">
        <f t="shared" si="72"/>
        <v>0</v>
      </c>
      <c r="S638" s="46">
        <f t="shared" si="73"/>
        <v>0</v>
      </c>
      <c r="T638" s="46">
        <f t="shared" si="76"/>
        <v>0</v>
      </c>
      <c r="U638" s="46">
        <f t="shared" si="74"/>
        <v>-5</v>
      </c>
      <c r="V638" s="54">
        <f t="shared" si="75"/>
        <v>1.6666666666666667</v>
      </c>
    </row>
    <row r="639" spans="1:22" x14ac:dyDescent="0.2">
      <c r="A639" s="46" t="s">
        <v>194</v>
      </c>
      <c r="B639" s="46" t="s">
        <v>115</v>
      </c>
      <c r="C639" s="46" t="s">
        <v>93</v>
      </c>
      <c r="D639" s="46" t="s">
        <v>178</v>
      </c>
      <c r="E639" s="46">
        <v>1</v>
      </c>
      <c r="F639" s="46" t="s">
        <v>63</v>
      </c>
      <c r="G639" s="46">
        <v>4</v>
      </c>
      <c r="H639" s="47" t="s">
        <v>148</v>
      </c>
      <c r="I639" s="47" t="s">
        <v>102</v>
      </c>
      <c r="J639" s="48">
        <v>0</v>
      </c>
      <c r="K639" s="48">
        <v>1</v>
      </c>
      <c r="R639" s="46">
        <f t="shared" si="72"/>
        <v>0</v>
      </c>
      <c r="S639" s="46">
        <f t="shared" si="73"/>
        <v>0</v>
      </c>
      <c r="T639" s="46">
        <f t="shared" si="76"/>
        <v>0</v>
      </c>
      <c r="U639" s="46">
        <f t="shared" si="74"/>
        <v>0</v>
      </c>
      <c r="V639" s="54">
        <f t="shared" si="75"/>
        <v>1.6666666666666667</v>
      </c>
    </row>
    <row r="640" spans="1:22" x14ac:dyDescent="0.2">
      <c r="A640" s="46" t="s">
        <v>194</v>
      </c>
      <c r="B640" s="46" t="s">
        <v>115</v>
      </c>
      <c r="C640" s="46" t="s">
        <v>93</v>
      </c>
      <c r="D640" s="46" t="s">
        <v>178</v>
      </c>
      <c r="E640" s="46">
        <v>1</v>
      </c>
      <c r="F640" s="46" t="s">
        <v>63</v>
      </c>
      <c r="G640" s="46">
        <v>4</v>
      </c>
      <c r="H640" s="47" t="s">
        <v>151</v>
      </c>
      <c r="I640" s="47" t="s">
        <v>102</v>
      </c>
      <c r="J640" s="48">
        <v>0</v>
      </c>
      <c r="K640" s="48">
        <v>0</v>
      </c>
      <c r="R640" s="46">
        <f t="shared" si="72"/>
        <v>0</v>
      </c>
      <c r="S640" s="46">
        <f t="shared" si="73"/>
        <v>0</v>
      </c>
      <c r="T640" s="46">
        <f t="shared" si="76"/>
        <v>0</v>
      </c>
      <c r="U640" s="46">
        <f t="shared" si="74"/>
        <v>0</v>
      </c>
      <c r="V640" s="54">
        <f t="shared" si="75"/>
        <v>1.6666666666666667</v>
      </c>
    </row>
    <row r="641" spans="1:22" x14ac:dyDescent="0.2">
      <c r="A641" s="46" t="s">
        <v>194</v>
      </c>
      <c r="B641" s="46" t="s">
        <v>115</v>
      </c>
      <c r="C641" s="46" t="s">
        <v>93</v>
      </c>
      <c r="D641" s="46" t="s">
        <v>178</v>
      </c>
      <c r="E641" s="46">
        <v>1</v>
      </c>
      <c r="F641" s="46" t="s">
        <v>60</v>
      </c>
      <c r="G641" s="46">
        <v>2</v>
      </c>
      <c r="H641" s="47">
        <v>6</v>
      </c>
      <c r="I641" s="47" t="s">
        <v>127</v>
      </c>
      <c r="J641" s="48">
        <v>1</v>
      </c>
      <c r="K641" s="48">
        <v>1</v>
      </c>
      <c r="L641" s="48">
        <v>1</v>
      </c>
      <c r="R641" s="46">
        <f t="shared" si="72"/>
        <v>0</v>
      </c>
      <c r="S641" s="46">
        <f t="shared" si="73"/>
        <v>0</v>
      </c>
      <c r="T641" s="46">
        <f t="shared" si="76"/>
        <v>20</v>
      </c>
      <c r="U641" s="46">
        <f t="shared" si="74"/>
        <v>15</v>
      </c>
      <c r="V641" s="54">
        <f t="shared" si="75"/>
        <v>1.6666666666666667</v>
      </c>
    </row>
    <row r="642" spans="1:22" x14ac:dyDescent="0.2">
      <c r="A642" s="46" t="s">
        <v>144</v>
      </c>
      <c r="B642" s="46" t="s">
        <v>103</v>
      </c>
      <c r="C642" s="46" t="s">
        <v>88</v>
      </c>
      <c r="D642" s="46" t="s">
        <v>178</v>
      </c>
      <c r="E642" s="46">
        <v>4</v>
      </c>
      <c r="F642" s="46" t="s">
        <v>60</v>
      </c>
      <c r="G642" s="46">
        <v>3</v>
      </c>
      <c r="H642" s="47">
        <v>3</v>
      </c>
      <c r="I642" s="47" t="s">
        <v>159</v>
      </c>
      <c r="J642" s="48">
        <v>0</v>
      </c>
      <c r="K642" s="48">
        <v>0</v>
      </c>
      <c r="R642" s="46">
        <f t="shared" ref="R642:R705" si="77">IF(J642=4,1,0)</f>
        <v>0</v>
      </c>
      <c r="S642" s="46">
        <f t="shared" ref="S642:S705" si="78">IF(K642=3,1,0)</f>
        <v>0</v>
      </c>
      <c r="T642" s="46">
        <f t="shared" si="76"/>
        <v>0</v>
      </c>
      <c r="U642" s="46">
        <f t="shared" ref="U642:U705" si="79">T642+M642*(20) + (SUM(O642:Q642)*(10)) - L642*(5) - N642*(5)</f>
        <v>0</v>
      </c>
      <c r="V642" s="54">
        <f t="shared" ref="V642:V705" si="80">AVERAGEIFS(U:U,A:A,A642,F:F,"Pre")</f>
        <v>0.83333333333333337</v>
      </c>
    </row>
    <row r="643" spans="1:22" x14ac:dyDescent="0.2">
      <c r="A643" s="46" t="s">
        <v>144</v>
      </c>
      <c r="B643" s="46" t="s">
        <v>103</v>
      </c>
      <c r="C643" s="46" t="s">
        <v>88</v>
      </c>
      <c r="D643" s="46" t="s">
        <v>178</v>
      </c>
      <c r="E643" s="46">
        <v>2</v>
      </c>
      <c r="F643" s="46" t="s">
        <v>60</v>
      </c>
      <c r="G643" s="46">
        <v>2</v>
      </c>
      <c r="H643" s="47">
        <v>6</v>
      </c>
      <c r="I643" s="47" t="s">
        <v>127</v>
      </c>
      <c r="J643" s="48">
        <v>0</v>
      </c>
      <c r="K643" s="48">
        <v>0</v>
      </c>
      <c r="N643" s="48">
        <v>1</v>
      </c>
      <c r="R643" s="46">
        <f t="shared" si="77"/>
        <v>0</v>
      </c>
      <c r="S643" s="46">
        <f t="shared" si="78"/>
        <v>0</v>
      </c>
      <c r="T643" s="46">
        <f t="shared" si="76"/>
        <v>0</v>
      </c>
      <c r="U643" s="46">
        <f t="shared" si="79"/>
        <v>-5</v>
      </c>
      <c r="V643" s="54">
        <f t="shared" si="80"/>
        <v>0.83333333333333337</v>
      </c>
    </row>
    <row r="644" spans="1:22" x14ac:dyDescent="0.2">
      <c r="A644" s="46" t="s">
        <v>144</v>
      </c>
      <c r="B644" s="46" t="s">
        <v>103</v>
      </c>
      <c r="C644" s="46" t="s">
        <v>88</v>
      </c>
      <c r="D644" s="46" t="s">
        <v>178</v>
      </c>
      <c r="E644" s="46">
        <v>1</v>
      </c>
      <c r="F644" s="46" t="s">
        <v>60</v>
      </c>
      <c r="G644" s="46">
        <v>3</v>
      </c>
      <c r="H644" s="47">
        <v>7</v>
      </c>
      <c r="I644" s="47" t="s">
        <v>116</v>
      </c>
      <c r="J644" s="48">
        <v>0</v>
      </c>
      <c r="K644" s="48">
        <v>0</v>
      </c>
      <c r="R644" s="46">
        <f t="shared" si="77"/>
        <v>0</v>
      </c>
      <c r="S644" s="46">
        <f t="shared" si="78"/>
        <v>0</v>
      </c>
      <c r="T644" s="46">
        <f t="shared" si="76"/>
        <v>0</v>
      </c>
      <c r="U644" s="46">
        <f t="shared" si="79"/>
        <v>0</v>
      </c>
      <c r="V644" s="54">
        <f t="shared" si="80"/>
        <v>0.83333333333333337</v>
      </c>
    </row>
    <row r="645" spans="1:22" x14ac:dyDescent="0.2">
      <c r="A645" s="46" t="s">
        <v>144</v>
      </c>
      <c r="B645" s="46" t="s">
        <v>103</v>
      </c>
      <c r="C645" s="46" t="s">
        <v>88</v>
      </c>
      <c r="D645" s="46" t="s">
        <v>178</v>
      </c>
      <c r="E645" s="46">
        <v>3</v>
      </c>
      <c r="F645" s="46" t="s">
        <v>60</v>
      </c>
      <c r="G645" s="46">
        <v>4</v>
      </c>
      <c r="H645" s="47">
        <v>8</v>
      </c>
      <c r="I645" s="47" t="s">
        <v>102</v>
      </c>
      <c r="J645" s="48">
        <v>0</v>
      </c>
      <c r="K645" s="48">
        <v>0</v>
      </c>
      <c r="R645" s="46">
        <f t="shared" si="77"/>
        <v>0</v>
      </c>
      <c r="S645" s="46">
        <f t="shared" si="78"/>
        <v>0</v>
      </c>
      <c r="T645" s="46">
        <f t="shared" si="76"/>
        <v>0</v>
      </c>
      <c r="U645" s="46">
        <f t="shared" si="79"/>
        <v>0</v>
      </c>
      <c r="V645" s="54">
        <f t="shared" si="80"/>
        <v>0.83333333333333337</v>
      </c>
    </row>
    <row r="646" spans="1:22" x14ac:dyDescent="0.2">
      <c r="A646" s="46" t="s">
        <v>144</v>
      </c>
      <c r="B646" s="46" t="s">
        <v>103</v>
      </c>
      <c r="C646" s="46" t="s">
        <v>88</v>
      </c>
      <c r="D646" s="46" t="s">
        <v>178</v>
      </c>
      <c r="E646" s="46">
        <v>4</v>
      </c>
      <c r="F646" s="46" t="s">
        <v>60</v>
      </c>
      <c r="G646" s="46">
        <v>1</v>
      </c>
      <c r="H646" s="47">
        <v>9</v>
      </c>
      <c r="I646" s="47" t="s">
        <v>101</v>
      </c>
      <c r="J646" s="48">
        <v>0</v>
      </c>
      <c r="K646" s="48">
        <v>0</v>
      </c>
      <c r="R646" s="46">
        <f t="shared" si="77"/>
        <v>0</v>
      </c>
      <c r="S646" s="46">
        <f t="shared" si="78"/>
        <v>0</v>
      </c>
      <c r="T646" s="46">
        <f t="shared" si="76"/>
        <v>0</v>
      </c>
      <c r="U646" s="46">
        <f t="shared" si="79"/>
        <v>0</v>
      </c>
      <c r="V646" s="54">
        <f t="shared" si="80"/>
        <v>0.83333333333333337</v>
      </c>
    </row>
    <row r="647" spans="1:22" x14ac:dyDescent="0.2">
      <c r="A647" s="46" t="s">
        <v>144</v>
      </c>
      <c r="B647" s="46" t="s">
        <v>103</v>
      </c>
      <c r="C647" s="46" t="s">
        <v>88</v>
      </c>
      <c r="D647" s="46" t="s">
        <v>178</v>
      </c>
      <c r="E647" s="46">
        <v>2</v>
      </c>
      <c r="F647" s="46" t="s">
        <v>60</v>
      </c>
      <c r="G647" s="46">
        <v>2</v>
      </c>
      <c r="H647" s="47">
        <v>14</v>
      </c>
      <c r="I647" s="47" t="s">
        <v>127</v>
      </c>
      <c r="J647" s="48">
        <v>0</v>
      </c>
      <c r="K647" s="48">
        <v>0</v>
      </c>
      <c r="R647" s="46">
        <f t="shared" si="77"/>
        <v>0</v>
      </c>
      <c r="S647" s="46">
        <f t="shared" si="78"/>
        <v>0</v>
      </c>
      <c r="T647" s="46">
        <f t="shared" si="76"/>
        <v>0</v>
      </c>
      <c r="U647" s="46">
        <f t="shared" si="79"/>
        <v>0</v>
      </c>
      <c r="V647" s="54">
        <f t="shared" si="80"/>
        <v>0.83333333333333337</v>
      </c>
    </row>
    <row r="648" spans="1:22" x14ac:dyDescent="0.2">
      <c r="A648" s="46" t="s">
        <v>144</v>
      </c>
      <c r="B648" s="46" t="s">
        <v>103</v>
      </c>
      <c r="C648" s="46" t="s">
        <v>88</v>
      </c>
      <c r="D648" s="46" t="s">
        <v>178</v>
      </c>
      <c r="E648" s="46">
        <v>3</v>
      </c>
      <c r="F648" s="46" t="s">
        <v>60</v>
      </c>
      <c r="G648" s="46">
        <v>2</v>
      </c>
      <c r="H648" s="47">
        <v>14</v>
      </c>
      <c r="I648" s="47" t="s">
        <v>127</v>
      </c>
      <c r="J648" s="48">
        <v>0</v>
      </c>
      <c r="K648" s="48">
        <v>0</v>
      </c>
      <c r="R648" s="46">
        <f t="shared" si="77"/>
        <v>0</v>
      </c>
      <c r="S648" s="46">
        <f t="shared" si="78"/>
        <v>0</v>
      </c>
      <c r="T648" s="46">
        <f t="shared" si="76"/>
        <v>0</v>
      </c>
      <c r="U648" s="46">
        <f t="shared" si="79"/>
        <v>0</v>
      </c>
      <c r="V648" s="54">
        <f t="shared" si="80"/>
        <v>0.83333333333333337</v>
      </c>
    </row>
    <row r="649" spans="1:22" x14ac:dyDescent="0.2">
      <c r="A649" s="46" t="s">
        <v>144</v>
      </c>
      <c r="B649" s="46" t="s">
        <v>103</v>
      </c>
      <c r="C649" s="46" t="s">
        <v>88</v>
      </c>
      <c r="D649" s="46" t="s">
        <v>178</v>
      </c>
      <c r="E649" s="46">
        <v>1</v>
      </c>
      <c r="F649" s="46" t="s">
        <v>60</v>
      </c>
      <c r="G649" s="46">
        <v>2</v>
      </c>
      <c r="H649" s="47">
        <v>18</v>
      </c>
      <c r="I649" s="47" t="s">
        <v>127</v>
      </c>
      <c r="J649" s="48">
        <v>0</v>
      </c>
      <c r="K649" s="48">
        <v>0</v>
      </c>
      <c r="M649" s="48">
        <v>1</v>
      </c>
      <c r="R649" s="46">
        <f t="shared" si="77"/>
        <v>0</v>
      </c>
      <c r="S649" s="46">
        <f t="shared" si="78"/>
        <v>0</v>
      </c>
      <c r="T649" s="46">
        <f t="shared" si="76"/>
        <v>0</v>
      </c>
      <c r="U649" s="46">
        <f t="shared" si="79"/>
        <v>20</v>
      </c>
      <c r="V649" s="54">
        <f t="shared" si="80"/>
        <v>0.83333333333333337</v>
      </c>
    </row>
    <row r="650" spans="1:22" x14ac:dyDescent="0.2">
      <c r="A650" s="46" t="s">
        <v>144</v>
      </c>
      <c r="B650" s="46" t="s">
        <v>103</v>
      </c>
      <c r="C650" s="46" t="s">
        <v>88</v>
      </c>
      <c r="D650" s="46" t="s">
        <v>178</v>
      </c>
      <c r="E650" s="46">
        <v>3</v>
      </c>
      <c r="F650" s="46" t="s">
        <v>60</v>
      </c>
      <c r="G650" s="46">
        <v>1</v>
      </c>
      <c r="H650" s="47">
        <v>21</v>
      </c>
      <c r="I650" s="47" t="s">
        <v>101</v>
      </c>
      <c r="J650" s="48">
        <v>0</v>
      </c>
      <c r="K650" s="48">
        <v>0</v>
      </c>
      <c r="R650" s="46">
        <f t="shared" si="77"/>
        <v>0</v>
      </c>
      <c r="S650" s="46">
        <f t="shared" si="78"/>
        <v>0</v>
      </c>
      <c r="T650" s="46">
        <f t="shared" si="76"/>
        <v>0</v>
      </c>
      <c r="U650" s="46">
        <f t="shared" si="79"/>
        <v>0</v>
      </c>
      <c r="V650" s="54">
        <f t="shared" si="80"/>
        <v>0.83333333333333337</v>
      </c>
    </row>
    <row r="651" spans="1:22" x14ac:dyDescent="0.2">
      <c r="A651" s="46" t="s">
        <v>144</v>
      </c>
      <c r="B651" s="46" t="s">
        <v>103</v>
      </c>
      <c r="C651" s="46" t="s">
        <v>88</v>
      </c>
      <c r="D651" s="46" t="s">
        <v>178</v>
      </c>
      <c r="E651" s="46">
        <v>4</v>
      </c>
      <c r="F651" s="46" t="s">
        <v>60</v>
      </c>
      <c r="G651" s="46">
        <v>3</v>
      </c>
      <c r="H651" s="47">
        <v>23</v>
      </c>
      <c r="I651" s="47" t="s">
        <v>159</v>
      </c>
      <c r="J651" s="48">
        <v>0</v>
      </c>
      <c r="K651" s="48">
        <v>0</v>
      </c>
      <c r="R651" s="46">
        <f t="shared" si="77"/>
        <v>0</v>
      </c>
      <c r="S651" s="46">
        <f t="shared" si="78"/>
        <v>0</v>
      </c>
      <c r="T651" s="46">
        <f t="shared" si="76"/>
        <v>0</v>
      </c>
      <c r="U651" s="46">
        <f t="shared" si="79"/>
        <v>0</v>
      </c>
      <c r="V651" s="54">
        <f t="shared" si="80"/>
        <v>0.83333333333333337</v>
      </c>
    </row>
    <row r="652" spans="1:22" x14ac:dyDescent="0.2">
      <c r="A652" s="46" t="s">
        <v>144</v>
      </c>
      <c r="B652" s="46" t="s">
        <v>103</v>
      </c>
      <c r="C652" s="46" t="s">
        <v>88</v>
      </c>
      <c r="D652" s="46" t="s">
        <v>178</v>
      </c>
      <c r="E652" s="46">
        <v>1</v>
      </c>
      <c r="F652" s="46" t="s">
        <v>60</v>
      </c>
      <c r="G652" s="46">
        <v>4</v>
      </c>
      <c r="H652" s="47">
        <v>24</v>
      </c>
      <c r="I652" s="47" t="s">
        <v>102</v>
      </c>
      <c r="J652" s="48">
        <v>0</v>
      </c>
      <c r="K652" s="48">
        <v>0</v>
      </c>
      <c r="R652" s="46">
        <f t="shared" si="77"/>
        <v>0</v>
      </c>
      <c r="S652" s="46">
        <f t="shared" si="78"/>
        <v>0</v>
      </c>
      <c r="T652" s="46">
        <f t="shared" si="76"/>
        <v>0</v>
      </c>
      <c r="U652" s="46">
        <f t="shared" si="79"/>
        <v>0</v>
      </c>
      <c r="V652" s="54">
        <f t="shared" si="80"/>
        <v>0.83333333333333337</v>
      </c>
    </row>
    <row r="653" spans="1:22" x14ac:dyDescent="0.2">
      <c r="A653" s="46" t="s">
        <v>144</v>
      </c>
      <c r="B653" s="46" t="s">
        <v>103</v>
      </c>
      <c r="C653" s="46" t="s">
        <v>88</v>
      </c>
      <c r="D653" s="46" t="s">
        <v>178</v>
      </c>
      <c r="E653" s="46">
        <v>2</v>
      </c>
      <c r="F653" s="46" t="s">
        <v>60</v>
      </c>
      <c r="G653" s="46">
        <v>4</v>
      </c>
      <c r="H653" s="47">
        <v>24</v>
      </c>
      <c r="I653" s="47" t="s">
        <v>102</v>
      </c>
      <c r="J653" s="48">
        <v>0</v>
      </c>
      <c r="K653" s="48">
        <v>0</v>
      </c>
      <c r="R653" s="46">
        <f t="shared" si="77"/>
        <v>0</v>
      </c>
      <c r="S653" s="46">
        <f t="shared" si="78"/>
        <v>0</v>
      </c>
      <c r="T653" s="46">
        <f t="shared" si="76"/>
        <v>0</v>
      </c>
      <c r="U653" s="46">
        <f t="shared" si="79"/>
        <v>0</v>
      </c>
      <c r="V653" s="54">
        <f t="shared" si="80"/>
        <v>0.83333333333333337</v>
      </c>
    </row>
    <row r="654" spans="1:22" x14ac:dyDescent="0.2">
      <c r="A654" s="46" t="s">
        <v>144</v>
      </c>
      <c r="B654" s="46" t="s">
        <v>103</v>
      </c>
      <c r="C654" s="46" t="s">
        <v>88</v>
      </c>
      <c r="D654" s="46" t="s">
        <v>178</v>
      </c>
      <c r="E654" s="46">
        <v>3</v>
      </c>
      <c r="F654" s="46" t="s">
        <v>60</v>
      </c>
      <c r="G654" s="46">
        <v>3</v>
      </c>
      <c r="H654" s="47">
        <v>27</v>
      </c>
      <c r="I654" s="47" t="s">
        <v>116</v>
      </c>
      <c r="J654" s="48">
        <v>0</v>
      </c>
      <c r="K654" s="48">
        <v>0</v>
      </c>
      <c r="N654" s="48">
        <v>1</v>
      </c>
      <c r="R654" s="46">
        <f t="shared" si="77"/>
        <v>0</v>
      </c>
      <c r="S654" s="46">
        <f t="shared" si="78"/>
        <v>0</v>
      </c>
      <c r="T654" s="46">
        <f t="shared" si="76"/>
        <v>0</v>
      </c>
      <c r="U654" s="46">
        <f t="shared" si="79"/>
        <v>-5</v>
      </c>
      <c r="V654" s="54">
        <f t="shared" si="80"/>
        <v>0.83333333333333337</v>
      </c>
    </row>
    <row r="655" spans="1:22" x14ac:dyDescent="0.2">
      <c r="A655" s="46" t="s">
        <v>144</v>
      </c>
      <c r="B655" s="46" t="s">
        <v>103</v>
      </c>
      <c r="C655" s="46" t="s">
        <v>88</v>
      </c>
      <c r="D655" s="46" t="s">
        <v>178</v>
      </c>
      <c r="E655" s="46">
        <v>2</v>
      </c>
      <c r="F655" s="46" t="s">
        <v>60</v>
      </c>
      <c r="G655" s="46">
        <v>4</v>
      </c>
      <c r="H655" s="47">
        <v>32</v>
      </c>
      <c r="I655" s="47" t="s">
        <v>102</v>
      </c>
      <c r="J655" s="48">
        <v>0</v>
      </c>
      <c r="K655" s="48">
        <v>0</v>
      </c>
      <c r="R655" s="46">
        <f t="shared" si="77"/>
        <v>0</v>
      </c>
      <c r="S655" s="46">
        <f t="shared" si="78"/>
        <v>0</v>
      </c>
      <c r="T655" s="46">
        <f t="shared" si="76"/>
        <v>0</v>
      </c>
      <c r="U655" s="46">
        <f t="shared" si="79"/>
        <v>0</v>
      </c>
      <c r="V655" s="54">
        <f t="shared" si="80"/>
        <v>0.83333333333333337</v>
      </c>
    </row>
    <row r="656" spans="1:22" x14ac:dyDescent="0.2">
      <c r="A656" s="46" t="s">
        <v>144</v>
      </c>
      <c r="B656" s="46" t="s">
        <v>103</v>
      </c>
      <c r="C656" s="46" t="s">
        <v>88</v>
      </c>
      <c r="D656" s="46" t="s">
        <v>178</v>
      </c>
      <c r="E656" s="46">
        <v>3</v>
      </c>
      <c r="F656" s="46" t="s">
        <v>60</v>
      </c>
      <c r="G656" s="46">
        <v>2</v>
      </c>
      <c r="H656" s="47">
        <v>34</v>
      </c>
      <c r="I656" s="47" t="s">
        <v>127</v>
      </c>
      <c r="J656" s="48">
        <v>0</v>
      </c>
      <c r="K656" s="48">
        <v>0</v>
      </c>
      <c r="R656" s="46">
        <f t="shared" si="77"/>
        <v>0</v>
      </c>
      <c r="S656" s="46">
        <f t="shared" si="78"/>
        <v>0</v>
      </c>
      <c r="T656" s="46">
        <f t="shared" si="76"/>
        <v>0</v>
      </c>
      <c r="U656" s="46">
        <f t="shared" si="79"/>
        <v>0</v>
      </c>
      <c r="V656" s="54">
        <f t="shared" si="80"/>
        <v>0.83333333333333337</v>
      </c>
    </row>
    <row r="657" spans="1:22" x14ac:dyDescent="0.2">
      <c r="A657" s="46" t="s">
        <v>144</v>
      </c>
      <c r="B657" s="46" t="s">
        <v>103</v>
      </c>
      <c r="C657" s="46" t="s">
        <v>88</v>
      </c>
      <c r="D657" s="46" t="s">
        <v>178</v>
      </c>
      <c r="E657" s="46">
        <v>1</v>
      </c>
      <c r="F657" s="46" t="s">
        <v>60</v>
      </c>
      <c r="G657" s="46">
        <v>4</v>
      </c>
      <c r="H657" s="47">
        <v>36</v>
      </c>
      <c r="I657" s="47" t="s">
        <v>102</v>
      </c>
      <c r="J657" s="48">
        <v>0</v>
      </c>
      <c r="K657" s="48">
        <v>0</v>
      </c>
      <c r="R657" s="46">
        <f t="shared" si="77"/>
        <v>0</v>
      </c>
      <c r="S657" s="46">
        <f t="shared" si="78"/>
        <v>0</v>
      </c>
      <c r="T657" s="46">
        <f t="shared" si="76"/>
        <v>0</v>
      </c>
      <c r="U657" s="46">
        <f t="shared" si="79"/>
        <v>0</v>
      </c>
      <c r="V657" s="54">
        <f t="shared" si="80"/>
        <v>0.83333333333333337</v>
      </c>
    </row>
    <row r="658" spans="1:22" x14ac:dyDescent="0.2">
      <c r="A658" s="46" t="s">
        <v>144</v>
      </c>
      <c r="B658" s="46" t="s">
        <v>103</v>
      </c>
      <c r="C658" s="46" t="s">
        <v>88</v>
      </c>
      <c r="D658" s="46" t="s">
        <v>178</v>
      </c>
      <c r="E658" s="46">
        <v>4</v>
      </c>
      <c r="F658" s="46" t="s">
        <v>60</v>
      </c>
      <c r="G658" s="46">
        <v>4</v>
      </c>
      <c r="H658" s="47">
        <v>36</v>
      </c>
      <c r="I658" s="47" t="s">
        <v>102</v>
      </c>
      <c r="J658" s="48">
        <v>0</v>
      </c>
      <c r="K658" s="48">
        <v>0</v>
      </c>
      <c r="R658" s="46">
        <f t="shared" si="77"/>
        <v>0</v>
      </c>
      <c r="S658" s="46">
        <f t="shared" si="78"/>
        <v>0</v>
      </c>
      <c r="T658" s="46">
        <f t="shared" si="76"/>
        <v>0</v>
      </c>
      <c r="U658" s="46">
        <f t="shared" si="79"/>
        <v>0</v>
      </c>
      <c r="V658" s="54">
        <f t="shared" si="80"/>
        <v>0.83333333333333337</v>
      </c>
    </row>
    <row r="659" spans="1:22" x14ac:dyDescent="0.2">
      <c r="A659" s="46" t="s">
        <v>144</v>
      </c>
      <c r="B659" s="46" t="s">
        <v>103</v>
      </c>
      <c r="C659" s="46" t="s">
        <v>88</v>
      </c>
      <c r="D659" s="46" t="s">
        <v>178</v>
      </c>
      <c r="E659" s="46">
        <v>1</v>
      </c>
      <c r="F659" s="46" t="s">
        <v>60</v>
      </c>
      <c r="G659" s="46">
        <v>2</v>
      </c>
      <c r="H659" s="47">
        <v>38</v>
      </c>
      <c r="I659" s="47" t="s">
        <v>127</v>
      </c>
      <c r="J659" s="48">
        <v>0</v>
      </c>
      <c r="K659" s="48">
        <v>0</v>
      </c>
      <c r="R659" s="46">
        <f t="shared" si="77"/>
        <v>0</v>
      </c>
      <c r="S659" s="46">
        <f t="shared" si="78"/>
        <v>0</v>
      </c>
      <c r="T659" s="46">
        <f t="shared" si="76"/>
        <v>0</v>
      </c>
      <c r="U659" s="46">
        <f t="shared" si="79"/>
        <v>0</v>
      </c>
      <c r="V659" s="54">
        <f t="shared" si="80"/>
        <v>0.83333333333333337</v>
      </c>
    </row>
    <row r="660" spans="1:22" x14ac:dyDescent="0.2">
      <c r="A660" s="46" t="s">
        <v>144</v>
      </c>
      <c r="B660" s="46" t="s">
        <v>103</v>
      </c>
      <c r="C660" s="46" t="s">
        <v>88</v>
      </c>
      <c r="D660" s="46" t="s">
        <v>178</v>
      </c>
      <c r="E660" s="46">
        <v>4</v>
      </c>
      <c r="F660" s="46" t="s">
        <v>60</v>
      </c>
      <c r="G660" s="46">
        <v>1</v>
      </c>
      <c r="H660" s="47">
        <v>41</v>
      </c>
      <c r="I660" s="47" t="s">
        <v>101</v>
      </c>
      <c r="J660" s="48">
        <v>0</v>
      </c>
      <c r="K660" s="48">
        <v>0</v>
      </c>
      <c r="R660" s="46">
        <f t="shared" si="77"/>
        <v>0</v>
      </c>
      <c r="S660" s="46">
        <f t="shared" si="78"/>
        <v>0</v>
      </c>
      <c r="T660" s="46">
        <f t="shared" si="76"/>
        <v>0</v>
      </c>
      <c r="U660" s="46">
        <f t="shared" si="79"/>
        <v>0</v>
      </c>
      <c r="V660" s="54">
        <f t="shared" si="80"/>
        <v>0.83333333333333337</v>
      </c>
    </row>
    <row r="661" spans="1:22" x14ac:dyDescent="0.2">
      <c r="A661" s="46" t="s">
        <v>144</v>
      </c>
      <c r="B661" s="46" t="s">
        <v>103</v>
      </c>
      <c r="C661" s="46" t="s">
        <v>88</v>
      </c>
      <c r="D661" s="46" t="s">
        <v>178</v>
      </c>
      <c r="E661" s="46">
        <v>1</v>
      </c>
      <c r="F661" s="46" t="s">
        <v>60</v>
      </c>
      <c r="G661" s="46">
        <v>1</v>
      </c>
      <c r="H661" s="47">
        <v>45</v>
      </c>
      <c r="I661" s="47" t="s">
        <v>101</v>
      </c>
      <c r="J661" s="48">
        <v>0</v>
      </c>
      <c r="K661" s="48">
        <v>0</v>
      </c>
      <c r="R661" s="46">
        <f t="shared" si="77"/>
        <v>0</v>
      </c>
      <c r="S661" s="46">
        <f t="shared" si="78"/>
        <v>0</v>
      </c>
      <c r="T661" s="46">
        <f t="shared" si="76"/>
        <v>0</v>
      </c>
      <c r="U661" s="46">
        <f t="shared" si="79"/>
        <v>0</v>
      </c>
      <c r="V661" s="54">
        <f t="shared" si="80"/>
        <v>0.83333333333333337</v>
      </c>
    </row>
    <row r="662" spans="1:22" x14ac:dyDescent="0.2">
      <c r="A662" s="46" t="s">
        <v>144</v>
      </c>
      <c r="B662" s="46" t="s">
        <v>103</v>
      </c>
      <c r="C662" s="46" t="s">
        <v>88</v>
      </c>
      <c r="D662" s="46" t="s">
        <v>178</v>
      </c>
      <c r="E662" s="46">
        <v>3</v>
      </c>
      <c r="F662" s="46" t="s">
        <v>60</v>
      </c>
      <c r="G662" s="46">
        <v>1</v>
      </c>
      <c r="H662" s="47">
        <v>45</v>
      </c>
      <c r="I662" s="47" t="s">
        <v>101</v>
      </c>
      <c r="J662" s="48">
        <v>0</v>
      </c>
      <c r="K662" s="48">
        <v>0</v>
      </c>
      <c r="R662" s="46">
        <f t="shared" si="77"/>
        <v>0</v>
      </c>
      <c r="S662" s="46">
        <f t="shared" si="78"/>
        <v>0</v>
      </c>
      <c r="T662" s="46">
        <f t="shared" si="76"/>
        <v>0</v>
      </c>
      <c r="U662" s="46">
        <f t="shared" si="79"/>
        <v>0</v>
      </c>
      <c r="V662" s="54">
        <f t="shared" si="80"/>
        <v>0.83333333333333337</v>
      </c>
    </row>
    <row r="663" spans="1:22" x14ac:dyDescent="0.2">
      <c r="A663" s="46" t="s">
        <v>144</v>
      </c>
      <c r="B663" s="46" t="s">
        <v>103</v>
      </c>
      <c r="C663" s="46" t="s">
        <v>88</v>
      </c>
      <c r="D663" s="46" t="s">
        <v>178</v>
      </c>
      <c r="E663" s="46">
        <v>4</v>
      </c>
      <c r="F663" s="46" t="s">
        <v>60</v>
      </c>
      <c r="G663" s="46">
        <v>2</v>
      </c>
      <c r="H663" s="47">
        <v>46</v>
      </c>
      <c r="I663" s="47" t="s">
        <v>127</v>
      </c>
      <c r="J663" s="48">
        <v>0</v>
      </c>
      <c r="K663" s="48">
        <v>0</v>
      </c>
      <c r="R663" s="46">
        <f t="shared" si="77"/>
        <v>0</v>
      </c>
      <c r="S663" s="46">
        <f t="shared" si="78"/>
        <v>0</v>
      </c>
      <c r="T663" s="46">
        <f t="shared" si="76"/>
        <v>0</v>
      </c>
      <c r="U663" s="46">
        <f t="shared" si="79"/>
        <v>0</v>
      </c>
      <c r="V663" s="54">
        <f t="shared" si="80"/>
        <v>0.83333333333333337</v>
      </c>
    </row>
    <row r="664" spans="1:22" x14ac:dyDescent="0.2">
      <c r="A664" s="46" t="s">
        <v>144</v>
      </c>
      <c r="B664" s="46" t="s">
        <v>103</v>
      </c>
      <c r="C664" s="46" t="s">
        <v>88</v>
      </c>
      <c r="D664" s="46" t="s">
        <v>178</v>
      </c>
      <c r="E664" s="46">
        <v>2</v>
      </c>
      <c r="F664" s="46" t="s">
        <v>60</v>
      </c>
      <c r="G664" s="46">
        <v>1</v>
      </c>
      <c r="H664" s="47">
        <v>49</v>
      </c>
      <c r="I664" s="47" t="s">
        <v>101</v>
      </c>
      <c r="J664" s="48">
        <v>0</v>
      </c>
      <c r="K664" s="48">
        <v>0</v>
      </c>
      <c r="R664" s="46">
        <f t="shared" si="77"/>
        <v>0</v>
      </c>
      <c r="S664" s="46">
        <f t="shared" si="78"/>
        <v>0</v>
      </c>
      <c r="T664" s="46">
        <f t="shared" si="76"/>
        <v>0</v>
      </c>
      <c r="U664" s="46">
        <f t="shared" si="79"/>
        <v>0</v>
      </c>
      <c r="V664" s="54">
        <f t="shared" si="80"/>
        <v>0.83333333333333337</v>
      </c>
    </row>
    <row r="665" spans="1:22" x14ac:dyDescent="0.2">
      <c r="A665" s="46" t="s">
        <v>144</v>
      </c>
      <c r="B665" s="46" t="s">
        <v>103</v>
      </c>
      <c r="C665" s="46" t="s">
        <v>88</v>
      </c>
      <c r="D665" s="46" t="s">
        <v>178</v>
      </c>
      <c r="E665" s="46">
        <v>2</v>
      </c>
      <c r="F665" s="46" t="s">
        <v>62</v>
      </c>
      <c r="G665" s="46">
        <v>3</v>
      </c>
      <c r="H665" s="47" t="s">
        <v>85</v>
      </c>
      <c r="I665" s="47" t="s">
        <v>116</v>
      </c>
      <c r="J665" s="48">
        <v>0</v>
      </c>
      <c r="K665" s="48">
        <v>0</v>
      </c>
      <c r="R665" s="46">
        <f t="shared" si="77"/>
        <v>0</v>
      </c>
      <c r="S665" s="46">
        <f t="shared" si="78"/>
        <v>0</v>
      </c>
      <c r="T665" s="46">
        <f t="shared" si="76"/>
        <v>0</v>
      </c>
      <c r="U665" s="46">
        <f t="shared" si="79"/>
        <v>0</v>
      </c>
      <c r="V665" s="54">
        <f t="shared" si="80"/>
        <v>0.83333333333333337</v>
      </c>
    </row>
    <row r="666" spans="1:22" x14ac:dyDescent="0.2">
      <c r="A666" s="46" t="s">
        <v>144</v>
      </c>
      <c r="B666" s="46" t="s">
        <v>103</v>
      </c>
      <c r="C666" s="46" t="s">
        <v>88</v>
      </c>
      <c r="D666" s="46" t="s">
        <v>178</v>
      </c>
      <c r="E666" s="46">
        <v>3</v>
      </c>
      <c r="F666" s="46" t="s">
        <v>63</v>
      </c>
      <c r="G666" s="46">
        <v>4</v>
      </c>
      <c r="H666" s="47" t="s">
        <v>146</v>
      </c>
      <c r="I666" s="47" t="s">
        <v>102</v>
      </c>
      <c r="J666" s="48">
        <v>0</v>
      </c>
      <c r="K666" s="48">
        <v>0</v>
      </c>
      <c r="R666" s="46">
        <f t="shared" si="77"/>
        <v>0</v>
      </c>
      <c r="S666" s="46">
        <f t="shared" si="78"/>
        <v>0</v>
      </c>
      <c r="T666" s="46">
        <f t="shared" si="76"/>
        <v>0</v>
      </c>
      <c r="U666" s="46">
        <f t="shared" si="79"/>
        <v>0</v>
      </c>
      <c r="V666" s="54">
        <f t="shared" si="80"/>
        <v>0.83333333333333337</v>
      </c>
    </row>
    <row r="667" spans="1:22" x14ac:dyDescent="0.2">
      <c r="A667" s="46" t="s">
        <v>144</v>
      </c>
      <c r="B667" s="46" t="s">
        <v>103</v>
      </c>
      <c r="C667" s="46" t="s">
        <v>88</v>
      </c>
      <c r="D667" s="46" t="s">
        <v>178</v>
      </c>
      <c r="E667" s="46">
        <v>3</v>
      </c>
      <c r="F667" s="46" t="s">
        <v>63</v>
      </c>
      <c r="G667" s="46">
        <v>4</v>
      </c>
      <c r="H667" s="47" t="s">
        <v>147</v>
      </c>
      <c r="I667" s="47" t="s">
        <v>102</v>
      </c>
      <c r="J667" s="48">
        <v>0</v>
      </c>
      <c r="K667" s="48">
        <v>0</v>
      </c>
      <c r="R667" s="46">
        <f t="shared" si="77"/>
        <v>0</v>
      </c>
      <c r="S667" s="46">
        <f t="shared" si="78"/>
        <v>0</v>
      </c>
      <c r="T667" s="46">
        <f t="shared" si="76"/>
        <v>0</v>
      </c>
      <c r="U667" s="46">
        <f t="shared" si="79"/>
        <v>0</v>
      </c>
      <c r="V667" s="54">
        <f t="shared" si="80"/>
        <v>0.83333333333333337</v>
      </c>
    </row>
    <row r="668" spans="1:22" x14ac:dyDescent="0.2">
      <c r="A668" s="46" t="s">
        <v>144</v>
      </c>
      <c r="B668" s="46" t="s">
        <v>103</v>
      </c>
      <c r="C668" s="46" t="s">
        <v>88</v>
      </c>
      <c r="D668" s="46" t="s">
        <v>178</v>
      </c>
      <c r="E668" s="46">
        <v>4</v>
      </c>
      <c r="F668" s="46" t="s">
        <v>63</v>
      </c>
      <c r="G668" s="46">
        <v>4</v>
      </c>
      <c r="H668" s="47" t="s">
        <v>147</v>
      </c>
      <c r="I668" s="47" t="s">
        <v>102</v>
      </c>
      <c r="J668" s="48">
        <v>0</v>
      </c>
      <c r="K668" s="48">
        <v>0</v>
      </c>
      <c r="N668" s="48">
        <v>1</v>
      </c>
      <c r="R668" s="46">
        <f t="shared" si="77"/>
        <v>0</v>
      </c>
      <c r="S668" s="46">
        <f t="shared" si="78"/>
        <v>0</v>
      </c>
      <c r="T668" s="46">
        <f t="shared" si="76"/>
        <v>0</v>
      </c>
      <c r="U668" s="46">
        <f t="shared" si="79"/>
        <v>-5</v>
      </c>
      <c r="V668" s="54">
        <f t="shared" si="80"/>
        <v>0.83333333333333337</v>
      </c>
    </row>
    <row r="669" spans="1:22" x14ac:dyDescent="0.2">
      <c r="A669" s="46" t="s">
        <v>144</v>
      </c>
      <c r="B669" s="46" t="s">
        <v>103</v>
      </c>
      <c r="C669" s="46" t="s">
        <v>88</v>
      </c>
      <c r="D669" s="46" t="s">
        <v>178</v>
      </c>
      <c r="E669" s="46">
        <v>1</v>
      </c>
      <c r="F669" s="46" t="s">
        <v>63</v>
      </c>
      <c r="G669" s="46">
        <v>4</v>
      </c>
      <c r="H669" s="47" t="s">
        <v>149</v>
      </c>
      <c r="I669" s="47" t="s">
        <v>102</v>
      </c>
      <c r="J669" s="48">
        <v>0</v>
      </c>
      <c r="K669" s="48">
        <v>0</v>
      </c>
      <c r="N669" s="48">
        <v>1</v>
      </c>
      <c r="R669" s="46">
        <f t="shared" si="77"/>
        <v>0</v>
      </c>
      <c r="S669" s="46">
        <f t="shared" si="78"/>
        <v>0</v>
      </c>
      <c r="T669" s="46">
        <f t="shared" si="76"/>
        <v>0</v>
      </c>
      <c r="U669" s="46">
        <f t="shared" si="79"/>
        <v>-5</v>
      </c>
      <c r="V669" s="54">
        <f t="shared" si="80"/>
        <v>0.83333333333333337</v>
      </c>
    </row>
    <row r="670" spans="1:22" x14ac:dyDescent="0.2">
      <c r="A670" s="46" t="s">
        <v>144</v>
      </c>
      <c r="B670" s="46" t="s">
        <v>103</v>
      </c>
      <c r="C670" s="46" t="s">
        <v>88</v>
      </c>
      <c r="D670" s="46" t="s">
        <v>178</v>
      </c>
      <c r="E670" s="46">
        <v>1</v>
      </c>
      <c r="F670" s="46" t="s">
        <v>63</v>
      </c>
      <c r="G670" s="46">
        <v>4</v>
      </c>
      <c r="H670" s="47" t="s">
        <v>150</v>
      </c>
      <c r="I670" s="47" t="s">
        <v>102</v>
      </c>
      <c r="J670" s="48">
        <v>0</v>
      </c>
      <c r="K670" s="48">
        <v>0</v>
      </c>
      <c r="N670" s="48">
        <v>1</v>
      </c>
      <c r="R670" s="46">
        <f t="shared" si="77"/>
        <v>0</v>
      </c>
      <c r="S670" s="46">
        <f t="shared" si="78"/>
        <v>0</v>
      </c>
      <c r="T670" s="46">
        <f t="shared" si="76"/>
        <v>0</v>
      </c>
      <c r="U670" s="46">
        <f t="shared" si="79"/>
        <v>-5</v>
      </c>
      <c r="V670" s="54">
        <f t="shared" si="80"/>
        <v>0.83333333333333337</v>
      </c>
    </row>
    <row r="671" spans="1:22" x14ac:dyDescent="0.2">
      <c r="A671" s="46" t="s">
        <v>144</v>
      </c>
      <c r="B671" s="46" t="s">
        <v>103</v>
      </c>
      <c r="C671" s="46" t="s">
        <v>88</v>
      </c>
      <c r="D671" s="46" t="s">
        <v>178</v>
      </c>
      <c r="E671" s="46">
        <v>3</v>
      </c>
      <c r="F671" s="46" t="s">
        <v>63</v>
      </c>
      <c r="G671" s="46">
        <v>4</v>
      </c>
      <c r="H671" s="47" t="s">
        <v>150</v>
      </c>
      <c r="I671" s="47" t="s">
        <v>102</v>
      </c>
      <c r="J671" s="48">
        <v>0</v>
      </c>
      <c r="K671" s="48">
        <v>0</v>
      </c>
      <c r="R671" s="46">
        <f t="shared" si="77"/>
        <v>0</v>
      </c>
      <c r="S671" s="46">
        <f t="shared" si="78"/>
        <v>0</v>
      </c>
      <c r="T671" s="46">
        <f t="shared" si="76"/>
        <v>0</v>
      </c>
      <c r="U671" s="46">
        <f t="shared" si="79"/>
        <v>0</v>
      </c>
      <c r="V671" s="54">
        <f t="shared" si="80"/>
        <v>0.83333333333333337</v>
      </c>
    </row>
    <row r="672" spans="1:22" x14ac:dyDescent="0.2">
      <c r="A672" s="46" t="s">
        <v>144</v>
      </c>
      <c r="B672" s="46" t="s">
        <v>103</v>
      </c>
      <c r="C672" s="46" t="s">
        <v>88</v>
      </c>
      <c r="D672" s="46" t="s">
        <v>178</v>
      </c>
      <c r="E672" s="46">
        <v>4</v>
      </c>
      <c r="F672" s="46" t="s">
        <v>63</v>
      </c>
      <c r="G672" s="46">
        <v>4</v>
      </c>
      <c r="H672" s="47" t="s">
        <v>151</v>
      </c>
      <c r="I672" s="47" t="s">
        <v>102</v>
      </c>
      <c r="J672" s="48">
        <v>0</v>
      </c>
      <c r="K672" s="48">
        <v>0</v>
      </c>
      <c r="R672" s="46">
        <f t="shared" si="77"/>
        <v>0</v>
      </c>
      <c r="S672" s="46">
        <f t="shared" si="78"/>
        <v>0</v>
      </c>
      <c r="T672" s="46">
        <f t="shared" si="76"/>
        <v>0</v>
      </c>
      <c r="U672" s="46">
        <f t="shared" si="79"/>
        <v>0</v>
      </c>
      <c r="V672" s="54">
        <f t="shared" si="80"/>
        <v>0.83333333333333337</v>
      </c>
    </row>
    <row r="673" spans="1:22" x14ac:dyDescent="0.2">
      <c r="A673" s="46" t="s">
        <v>144</v>
      </c>
      <c r="B673" s="46" t="s">
        <v>103</v>
      </c>
      <c r="C673" s="46" t="s">
        <v>88</v>
      </c>
      <c r="D673" s="46" t="s">
        <v>178</v>
      </c>
      <c r="E673" s="46">
        <v>4</v>
      </c>
      <c r="F673" s="46" t="s">
        <v>63</v>
      </c>
      <c r="G673" s="46">
        <v>4</v>
      </c>
      <c r="H673" s="47" t="s">
        <v>152</v>
      </c>
      <c r="I673" s="47" t="s">
        <v>102</v>
      </c>
      <c r="J673" s="48">
        <v>0</v>
      </c>
      <c r="K673" s="48">
        <v>0</v>
      </c>
      <c r="R673" s="46">
        <f t="shared" si="77"/>
        <v>0</v>
      </c>
      <c r="S673" s="46">
        <f t="shared" si="78"/>
        <v>0</v>
      </c>
      <c r="T673" s="46">
        <f t="shared" si="76"/>
        <v>0</v>
      </c>
      <c r="U673" s="46">
        <f t="shared" si="79"/>
        <v>0</v>
      </c>
      <c r="V673" s="54">
        <f t="shared" si="80"/>
        <v>0.83333333333333337</v>
      </c>
    </row>
    <row r="674" spans="1:22" x14ac:dyDescent="0.2">
      <c r="A674" s="46" t="s">
        <v>144</v>
      </c>
      <c r="B674" s="46" t="s">
        <v>103</v>
      </c>
      <c r="C674" s="46" t="s">
        <v>88</v>
      </c>
      <c r="D674" s="46" t="s">
        <v>178</v>
      </c>
      <c r="E674" s="46">
        <v>2</v>
      </c>
      <c r="F674" s="46" t="s">
        <v>60</v>
      </c>
      <c r="G674" s="46">
        <v>3</v>
      </c>
      <c r="H674" s="47">
        <v>43</v>
      </c>
      <c r="I674" s="47" t="s">
        <v>116</v>
      </c>
      <c r="J674" s="48">
        <v>1</v>
      </c>
      <c r="K674" s="48">
        <v>0</v>
      </c>
      <c r="N674" s="48">
        <v>1</v>
      </c>
      <c r="R674" s="46">
        <f t="shared" si="77"/>
        <v>0</v>
      </c>
      <c r="S674" s="46">
        <f t="shared" si="78"/>
        <v>0</v>
      </c>
      <c r="T674" s="46">
        <f t="shared" si="76"/>
        <v>20</v>
      </c>
      <c r="U674" s="46">
        <f t="shared" si="79"/>
        <v>15</v>
      </c>
      <c r="V674" s="54">
        <f t="shared" si="80"/>
        <v>0.83333333333333337</v>
      </c>
    </row>
    <row r="675" spans="1:22" x14ac:dyDescent="0.2">
      <c r="A675" s="46" t="s">
        <v>144</v>
      </c>
      <c r="B675" s="46" t="s">
        <v>103</v>
      </c>
      <c r="C675" s="46" t="s">
        <v>88</v>
      </c>
      <c r="D675" s="46" t="s">
        <v>178</v>
      </c>
      <c r="E675" s="46">
        <v>2</v>
      </c>
      <c r="F675" s="46" t="s">
        <v>62</v>
      </c>
      <c r="G675" s="46">
        <v>3</v>
      </c>
      <c r="H675" s="47" t="s">
        <v>80</v>
      </c>
      <c r="I675" s="47" t="s">
        <v>116</v>
      </c>
      <c r="J675" s="48">
        <v>1</v>
      </c>
      <c r="K675" s="48">
        <v>0</v>
      </c>
      <c r="R675" s="46">
        <f t="shared" si="77"/>
        <v>0</v>
      </c>
      <c r="S675" s="46">
        <f t="shared" si="78"/>
        <v>0</v>
      </c>
      <c r="T675" s="46">
        <f t="shared" si="76"/>
        <v>20</v>
      </c>
      <c r="U675" s="46">
        <f t="shared" si="79"/>
        <v>20</v>
      </c>
      <c r="V675" s="54">
        <f t="shared" si="80"/>
        <v>0.83333333333333337</v>
      </c>
    </row>
    <row r="676" spans="1:22" x14ac:dyDescent="0.2">
      <c r="A676" s="46" t="s">
        <v>144</v>
      </c>
      <c r="B676" s="46" t="s">
        <v>103</v>
      </c>
      <c r="C676" s="46" t="s">
        <v>88</v>
      </c>
      <c r="D676" s="46" t="s">
        <v>178</v>
      </c>
      <c r="E676" s="46">
        <v>1</v>
      </c>
      <c r="F676" s="46" t="s">
        <v>63</v>
      </c>
      <c r="G676" s="46">
        <v>4</v>
      </c>
      <c r="H676" s="47" t="s">
        <v>151</v>
      </c>
      <c r="I676" s="47" t="s">
        <v>102</v>
      </c>
      <c r="J676" s="48">
        <v>1</v>
      </c>
      <c r="K676" s="48">
        <v>0</v>
      </c>
      <c r="R676" s="46">
        <f t="shared" si="77"/>
        <v>0</v>
      </c>
      <c r="S676" s="46">
        <f t="shared" si="78"/>
        <v>0</v>
      </c>
      <c r="T676" s="46">
        <f t="shared" si="76"/>
        <v>20</v>
      </c>
      <c r="U676" s="46">
        <f t="shared" si="79"/>
        <v>20</v>
      </c>
      <c r="V676" s="54">
        <f t="shared" si="80"/>
        <v>0.83333333333333337</v>
      </c>
    </row>
    <row r="677" spans="1:22" x14ac:dyDescent="0.2">
      <c r="A677" s="46" t="s">
        <v>144</v>
      </c>
      <c r="B677" s="46" t="s">
        <v>103</v>
      </c>
      <c r="C677" s="46" t="s">
        <v>88</v>
      </c>
      <c r="D677" s="46" t="s">
        <v>178</v>
      </c>
      <c r="E677" s="46">
        <v>4</v>
      </c>
      <c r="F677" s="46" t="s">
        <v>63</v>
      </c>
      <c r="G677" s="46">
        <v>4</v>
      </c>
      <c r="H677" s="47" t="s">
        <v>172</v>
      </c>
      <c r="I677" s="47" t="s">
        <v>102</v>
      </c>
      <c r="J677" s="48">
        <v>0</v>
      </c>
      <c r="K677" s="48">
        <v>0</v>
      </c>
      <c r="R677" s="46">
        <f t="shared" si="77"/>
        <v>0</v>
      </c>
      <c r="S677" s="46">
        <f t="shared" si="78"/>
        <v>0</v>
      </c>
      <c r="T677" s="46">
        <f t="shared" ref="T677:T740" si="81">quizscore(J677,K677)</f>
        <v>0</v>
      </c>
      <c r="U677" s="46">
        <f t="shared" si="79"/>
        <v>0</v>
      </c>
      <c r="V677" s="54">
        <f t="shared" si="80"/>
        <v>0.83333333333333337</v>
      </c>
    </row>
    <row r="678" spans="1:22" x14ac:dyDescent="0.2">
      <c r="A678" s="46" t="s">
        <v>144</v>
      </c>
      <c r="B678" s="46" t="s">
        <v>103</v>
      </c>
      <c r="C678" s="46" t="s">
        <v>88</v>
      </c>
      <c r="D678" s="46" t="s">
        <v>178</v>
      </c>
      <c r="E678" s="46">
        <v>5</v>
      </c>
      <c r="F678" s="46" t="s">
        <v>60</v>
      </c>
      <c r="G678" s="46">
        <v>4</v>
      </c>
      <c r="H678" s="47">
        <v>4</v>
      </c>
      <c r="I678" s="47" t="s">
        <v>102</v>
      </c>
      <c r="J678" s="48">
        <v>0</v>
      </c>
      <c r="K678" s="48">
        <v>0</v>
      </c>
      <c r="R678" s="46">
        <f t="shared" si="77"/>
        <v>0</v>
      </c>
      <c r="S678" s="46">
        <f t="shared" si="78"/>
        <v>0</v>
      </c>
      <c r="T678" s="46">
        <f t="shared" si="81"/>
        <v>0</v>
      </c>
      <c r="U678" s="46">
        <f t="shared" si="79"/>
        <v>0</v>
      </c>
      <c r="V678" s="54">
        <f t="shared" si="80"/>
        <v>0.83333333333333337</v>
      </c>
    </row>
    <row r="679" spans="1:22" x14ac:dyDescent="0.2">
      <c r="A679" s="46" t="s">
        <v>144</v>
      </c>
      <c r="B679" s="46" t="s">
        <v>103</v>
      </c>
      <c r="C679" s="46" t="s">
        <v>88</v>
      </c>
      <c r="D679" s="46" t="s">
        <v>178</v>
      </c>
      <c r="E679" s="46">
        <v>5</v>
      </c>
      <c r="F679" s="46" t="s">
        <v>60</v>
      </c>
      <c r="G679" s="46">
        <v>4</v>
      </c>
      <c r="H679" s="47">
        <v>12</v>
      </c>
      <c r="I679" s="47" t="s">
        <v>102</v>
      </c>
      <c r="J679" s="48">
        <v>0</v>
      </c>
      <c r="K679" s="48">
        <v>0</v>
      </c>
      <c r="R679" s="46">
        <f t="shared" si="77"/>
        <v>0</v>
      </c>
      <c r="S679" s="46">
        <f t="shared" si="78"/>
        <v>0</v>
      </c>
      <c r="T679" s="46">
        <f t="shared" si="81"/>
        <v>0</v>
      </c>
      <c r="U679" s="46">
        <f t="shared" si="79"/>
        <v>0</v>
      </c>
      <c r="V679" s="54">
        <f t="shared" si="80"/>
        <v>0.83333333333333337</v>
      </c>
    </row>
    <row r="680" spans="1:22" x14ac:dyDescent="0.2">
      <c r="A680" s="46" t="s">
        <v>144</v>
      </c>
      <c r="B680" s="46" t="s">
        <v>103</v>
      </c>
      <c r="C680" s="46" t="s">
        <v>88</v>
      </c>
      <c r="D680" s="46" t="s">
        <v>178</v>
      </c>
      <c r="E680" s="46">
        <v>5</v>
      </c>
      <c r="F680" s="46" t="s">
        <v>60</v>
      </c>
      <c r="G680" s="46">
        <v>1</v>
      </c>
      <c r="H680" s="47">
        <v>17</v>
      </c>
      <c r="I680" s="47" t="s">
        <v>101</v>
      </c>
      <c r="J680" s="48">
        <v>0</v>
      </c>
      <c r="K680" s="48">
        <v>0</v>
      </c>
      <c r="R680" s="46">
        <f t="shared" si="77"/>
        <v>0</v>
      </c>
      <c r="S680" s="46">
        <f t="shared" si="78"/>
        <v>0</v>
      </c>
      <c r="T680" s="46">
        <f t="shared" si="81"/>
        <v>0</v>
      </c>
      <c r="U680" s="46">
        <f t="shared" si="79"/>
        <v>0</v>
      </c>
      <c r="V680" s="54">
        <f t="shared" si="80"/>
        <v>0.83333333333333337</v>
      </c>
    </row>
    <row r="681" spans="1:22" x14ac:dyDescent="0.2">
      <c r="A681" s="46" t="s">
        <v>144</v>
      </c>
      <c r="B681" s="46" t="s">
        <v>103</v>
      </c>
      <c r="C681" s="46" t="s">
        <v>88</v>
      </c>
      <c r="D681" s="46" t="s">
        <v>178</v>
      </c>
      <c r="E681" s="46">
        <v>5</v>
      </c>
      <c r="F681" s="46" t="s">
        <v>60</v>
      </c>
      <c r="G681" s="46">
        <v>3</v>
      </c>
      <c r="H681" s="47">
        <v>27</v>
      </c>
      <c r="I681" s="47" t="s">
        <v>159</v>
      </c>
      <c r="J681" s="48">
        <v>0</v>
      </c>
      <c r="K681" s="48">
        <v>0</v>
      </c>
      <c r="R681" s="46">
        <f t="shared" si="77"/>
        <v>0</v>
      </c>
      <c r="S681" s="46">
        <f t="shared" si="78"/>
        <v>0</v>
      </c>
      <c r="T681" s="46">
        <f t="shared" si="81"/>
        <v>0</v>
      </c>
      <c r="U681" s="46">
        <f t="shared" si="79"/>
        <v>0</v>
      </c>
      <c r="V681" s="54">
        <f t="shared" si="80"/>
        <v>0.83333333333333337</v>
      </c>
    </row>
    <row r="682" spans="1:22" x14ac:dyDescent="0.2">
      <c r="A682" s="46" t="s">
        <v>144</v>
      </c>
      <c r="B682" s="46" t="s">
        <v>103</v>
      </c>
      <c r="C682" s="46" t="s">
        <v>88</v>
      </c>
      <c r="D682" s="46" t="s">
        <v>178</v>
      </c>
      <c r="E682" s="46">
        <v>5</v>
      </c>
      <c r="F682" s="46" t="s">
        <v>60</v>
      </c>
      <c r="G682" s="46">
        <v>2</v>
      </c>
      <c r="H682" s="47">
        <v>38</v>
      </c>
      <c r="I682" s="47" t="s">
        <v>127</v>
      </c>
      <c r="J682" s="48">
        <v>0</v>
      </c>
      <c r="K682" s="48">
        <v>0</v>
      </c>
      <c r="R682" s="46">
        <f t="shared" si="77"/>
        <v>0</v>
      </c>
      <c r="S682" s="46">
        <f t="shared" si="78"/>
        <v>0</v>
      </c>
      <c r="T682" s="46">
        <f t="shared" si="81"/>
        <v>0</v>
      </c>
      <c r="U682" s="46">
        <f t="shared" si="79"/>
        <v>0</v>
      </c>
      <c r="V682" s="54">
        <f t="shared" si="80"/>
        <v>0.83333333333333337</v>
      </c>
    </row>
    <row r="683" spans="1:22" x14ac:dyDescent="0.2">
      <c r="A683" s="46" t="s">
        <v>144</v>
      </c>
      <c r="B683" s="46" t="s">
        <v>103</v>
      </c>
      <c r="C683" s="46" t="s">
        <v>88</v>
      </c>
      <c r="D683" s="46" t="s">
        <v>178</v>
      </c>
      <c r="E683" s="46">
        <v>5</v>
      </c>
      <c r="F683" s="46" t="s">
        <v>60</v>
      </c>
      <c r="G683" s="46">
        <v>1</v>
      </c>
      <c r="H683" s="47">
        <v>49</v>
      </c>
      <c r="I683" s="47" t="s">
        <v>101</v>
      </c>
      <c r="J683" s="48">
        <v>0</v>
      </c>
      <c r="K683" s="48">
        <v>0</v>
      </c>
      <c r="R683" s="46">
        <f t="shared" si="77"/>
        <v>0</v>
      </c>
      <c r="S683" s="46">
        <f t="shared" si="78"/>
        <v>0</v>
      </c>
      <c r="T683" s="46">
        <f t="shared" si="81"/>
        <v>0</v>
      </c>
      <c r="U683" s="46">
        <f t="shared" si="79"/>
        <v>0</v>
      </c>
      <c r="V683" s="54">
        <f t="shared" si="80"/>
        <v>0.83333333333333337</v>
      </c>
    </row>
    <row r="684" spans="1:22" x14ac:dyDescent="0.2">
      <c r="A684" s="46" t="s">
        <v>144</v>
      </c>
      <c r="B684" s="46" t="s">
        <v>103</v>
      </c>
      <c r="C684" s="46" t="s">
        <v>88</v>
      </c>
      <c r="D684" s="46" t="s">
        <v>178</v>
      </c>
      <c r="E684" s="46">
        <v>5</v>
      </c>
      <c r="F684" s="46" t="s">
        <v>62</v>
      </c>
      <c r="G684" s="46">
        <v>2</v>
      </c>
      <c r="H684" s="47" t="s">
        <v>79</v>
      </c>
      <c r="I684" s="47" t="s">
        <v>127</v>
      </c>
      <c r="J684" s="48">
        <v>0</v>
      </c>
      <c r="K684" s="48">
        <v>0</v>
      </c>
      <c r="R684" s="46">
        <f t="shared" si="77"/>
        <v>0</v>
      </c>
      <c r="S684" s="46">
        <f t="shared" si="78"/>
        <v>0</v>
      </c>
      <c r="T684" s="46">
        <f t="shared" si="81"/>
        <v>0</v>
      </c>
      <c r="U684" s="46">
        <f t="shared" si="79"/>
        <v>0</v>
      </c>
      <c r="V684" s="54">
        <f t="shared" si="80"/>
        <v>0.83333333333333337</v>
      </c>
    </row>
    <row r="685" spans="1:22" x14ac:dyDescent="0.2">
      <c r="A685" s="46" t="s">
        <v>144</v>
      </c>
      <c r="B685" s="46" t="s">
        <v>103</v>
      </c>
      <c r="C685" s="46" t="s">
        <v>88</v>
      </c>
      <c r="D685" s="46" t="s">
        <v>178</v>
      </c>
      <c r="E685" s="46">
        <v>5</v>
      </c>
      <c r="F685" s="46" t="s">
        <v>62</v>
      </c>
      <c r="G685" s="46">
        <v>3</v>
      </c>
      <c r="H685" s="47" t="s">
        <v>84</v>
      </c>
      <c r="I685" s="47" t="s">
        <v>219</v>
      </c>
      <c r="J685" s="48">
        <v>0</v>
      </c>
      <c r="K685" s="48">
        <v>0</v>
      </c>
      <c r="R685" s="46">
        <f t="shared" si="77"/>
        <v>0</v>
      </c>
      <c r="S685" s="46">
        <f t="shared" si="78"/>
        <v>0</v>
      </c>
      <c r="T685" s="46">
        <f t="shared" si="81"/>
        <v>0</v>
      </c>
      <c r="U685" s="46">
        <f t="shared" si="79"/>
        <v>0</v>
      </c>
      <c r="V685" s="54">
        <f t="shared" si="80"/>
        <v>0.83333333333333337</v>
      </c>
    </row>
    <row r="686" spans="1:22" x14ac:dyDescent="0.2">
      <c r="A686" s="46" t="s">
        <v>144</v>
      </c>
      <c r="B686" s="46" t="s">
        <v>103</v>
      </c>
      <c r="C686" s="46" t="s">
        <v>88</v>
      </c>
      <c r="D686" s="46" t="s">
        <v>178</v>
      </c>
      <c r="E686" s="46">
        <v>5</v>
      </c>
      <c r="F686" s="46" t="s">
        <v>62</v>
      </c>
      <c r="G686" s="46">
        <v>3</v>
      </c>
      <c r="H686" s="47" t="s">
        <v>87</v>
      </c>
      <c r="I686" s="47" t="s">
        <v>219</v>
      </c>
      <c r="J686" s="48">
        <v>0</v>
      </c>
      <c r="K686" s="48">
        <v>0</v>
      </c>
      <c r="R686" s="46">
        <f t="shared" si="77"/>
        <v>0</v>
      </c>
      <c r="S686" s="46">
        <f t="shared" si="78"/>
        <v>0</v>
      </c>
      <c r="T686" s="46">
        <f t="shared" si="81"/>
        <v>0</v>
      </c>
      <c r="U686" s="46">
        <f t="shared" si="79"/>
        <v>0</v>
      </c>
      <c r="V686" s="54">
        <f t="shared" si="80"/>
        <v>0.83333333333333337</v>
      </c>
    </row>
    <row r="687" spans="1:22" x14ac:dyDescent="0.2">
      <c r="A687" s="46" t="s">
        <v>26</v>
      </c>
      <c r="B687" s="46" t="s">
        <v>122</v>
      </c>
      <c r="C687" s="46" t="s">
        <v>95</v>
      </c>
      <c r="D687" s="46" t="s">
        <v>178</v>
      </c>
      <c r="E687" s="46">
        <v>4</v>
      </c>
      <c r="F687" s="46" t="s">
        <v>60</v>
      </c>
      <c r="G687" s="46">
        <v>3</v>
      </c>
      <c r="H687" s="47">
        <v>19</v>
      </c>
      <c r="I687" s="47" t="s">
        <v>159</v>
      </c>
      <c r="J687" s="48">
        <v>1</v>
      </c>
      <c r="K687" s="48">
        <v>3</v>
      </c>
      <c r="R687" s="46">
        <f t="shared" si="77"/>
        <v>0</v>
      </c>
      <c r="S687" s="46">
        <f t="shared" si="78"/>
        <v>1</v>
      </c>
      <c r="T687" s="46">
        <f t="shared" si="81"/>
        <v>0</v>
      </c>
      <c r="U687" s="46">
        <f t="shared" si="79"/>
        <v>0</v>
      </c>
      <c r="V687" s="54">
        <f t="shared" si="80"/>
        <v>76.785714285714292</v>
      </c>
    </row>
    <row r="688" spans="1:22" x14ac:dyDescent="0.2">
      <c r="A688" s="46" t="s">
        <v>26</v>
      </c>
      <c r="B688" s="46" t="s">
        <v>122</v>
      </c>
      <c r="C688" s="46" t="s">
        <v>95</v>
      </c>
      <c r="D688" s="46" t="s">
        <v>178</v>
      </c>
      <c r="E688" s="46">
        <v>4</v>
      </c>
      <c r="F688" s="46" t="s">
        <v>60</v>
      </c>
      <c r="G688" s="46">
        <v>4</v>
      </c>
      <c r="H688" s="47">
        <v>40</v>
      </c>
      <c r="I688" s="47" t="s">
        <v>102</v>
      </c>
      <c r="J688" s="48">
        <v>0</v>
      </c>
      <c r="K688" s="48">
        <v>1</v>
      </c>
      <c r="M688" s="48">
        <v>1</v>
      </c>
      <c r="R688" s="46">
        <f t="shared" si="77"/>
        <v>0</v>
      </c>
      <c r="S688" s="46">
        <f t="shared" si="78"/>
        <v>0</v>
      </c>
      <c r="T688" s="46">
        <f t="shared" si="81"/>
        <v>0</v>
      </c>
      <c r="U688" s="46">
        <f t="shared" si="79"/>
        <v>20</v>
      </c>
      <c r="V688" s="54">
        <f t="shared" si="80"/>
        <v>76.785714285714292</v>
      </c>
    </row>
    <row r="689" spans="1:22" x14ac:dyDescent="0.2">
      <c r="A689" s="46" t="s">
        <v>26</v>
      </c>
      <c r="B689" s="46" t="s">
        <v>122</v>
      </c>
      <c r="C689" s="46" t="s">
        <v>95</v>
      </c>
      <c r="D689" s="46" t="s">
        <v>178</v>
      </c>
      <c r="E689" s="46">
        <v>4</v>
      </c>
      <c r="F689" s="46" t="s">
        <v>62</v>
      </c>
      <c r="G689" s="46">
        <v>2</v>
      </c>
      <c r="H689" s="47" t="s">
        <v>86</v>
      </c>
      <c r="I689" s="47" t="s">
        <v>127</v>
      </c>
      <c r="J689" s="48">
        <v>1</v>
      </c>
      <c r="K689" s="48">
        <v>3</v>
      </c>
      <c r="R689" s="46">
        <f t="shared" si="77"/>
        <v>0</v>
      </c>
      <c r="S689" s="46">
        <f t="shared" si="78"/>
        <v>1</v>
      </c>
      <c r="T689" s="46">
        <f t="shared" si="81"/>
        <v>0</v>
      </c>
      <c r="U689" s="46">
        <f t="shared" si="79"/>
        <v>0</v>
      </c>
      <c r="V689" s="54">
        <f t="shared" si="80"/>
        <v>76.785714285714292</v>
      </c>
    </row>
    <row r="690" spans="1:22" x14ac:dyDescent="0.2">
      <c r="A690" s="46" t="s">
        <v>26</v>
      </c>
      <c r="B690" s="46" t="s">
        <v>122</v>
      </c>
      <c r="C690" s="46" t="s">
        <v>95</v>
      </c>
      <c r="D690" s="46" t="s">
        <v>178</v>
      </c>
      <c r="E690" s="46">
        <v>4</v>
      </c>
      <c r="F690" s="46" t="s">
        <v>60</v>
      </c>
      <c r="G690" s="46">
        <v>4</v>
      </c>
      <c r="H690" s="47">
        <v>12</v>
      </c>
      <c r="I690" s="47" t="s">
        <v>102</v>
      </c>
      <c r="J690" s="48">
        <v>2</v>
      </c>
      <c r="K690" s="48">
        <v>1</v>
      </c>
      <c r="M690" s="48">
        <v>1</v>
      </c>
      <c r="R690" s="46">
        <f t="shared" si="77"/>
        <v>0</v>
      </c>
      <c r="S690" s="46">
        <f t="shared" si="78"/>
        <v>0</v>
      </c>
      <c r="T690" s="46">
        <f t="shared" si="81"/>
        <v>40</v>
      </c>
      <c r="U690" s="46">
        <f t="shared" si="79"/>
        <v>60</v>
      </c>
      <c r="V690" s="54">
        <f t="shared" si="80"/>
        <v>76.785714285714292</v>
      </c>
    </row>
    <row r="691" spans="1:22" x14ac:dyDescent="0.2">
      <c r="A691" s="46" t="s">
        <v>26</v>
      </c>
      <c r="B691" s="46" t="s">
        <v>122</v>
      </c>
      <c r="C691" s="46" t="s">
        <v>95</v>
      </c>
      <c r="D691" s="46" t="s">
        <v>178</v>
      </c>
      <c r="E691" s="46">
        <v>4</v>
      </c>
      <c r="F691" s="46" t="s">
        <v>60</v>
      </c>
      <c r="G691" s="46">
        <v>3</v>
      </c>
      <c r="H691" s="47">
        <v>27</v>
      </c>
      <c r="I691" s="47" t="s">
        <v>159</v>
      </c>
      <c r="J691" s="48">
        <v>2</v>
      </c>
      <c r="K691" s="48">
        <v>1</v>
      </c>
      <c r="R691" s="46">
        <f t="shared" si="77"/>
        <v>0</v>
      </c>
      <c r="S691" s="46">
        <f t="shared" si="78"/>
        <v>0</v>
      </c>
      <c r="T691" s="46">
        <f t="shared" si="81"/>
        <v>40</v>
      </c>
      <c r="U691" s="46">
        <f t="shared" si="79"/>
        <v>40</v>
      </c>
      <c r="V691" s="54">
        <f t="shared" si="80"/>
        <v>76.785714285714292</v>
      </c>
    </row>
    <row r="692" spans="1:22" x14ac:dyDescent="0.2">
      <c r="A692" s="46" t="s">
        <v>26</v>
      </c>
      <c r="B692" s="46" t="s">
        <v>122</v>
      </c>
      <c r="C692" s="46" t="s">
        <v>95</v>
      </c>
      <c r="D692" s="46" t="s">
        <v>178</v>
      </c>
      <c r="E692" s="46">
        <v>1</v>
      </c>
      <c r="F692" s="46" t="s">
        <v>60</v>
      </c>
      <c r="G692" s="46">
        <v>3</v>
      </c>
      <c r="H692" s="47">
        <v>3</v>
      </c>
      <c r="I692" s="47" t="s">
        <v>116</v>
      </c>
      <c r="J692" s="48">
        <v>3</v>
      </c>
      <c r="K692" s="48">
        <v>2</v>
      </c>
      <c r="R692" s="46">
        <f t="shared" si="77"/>
        <v>0</v>
      </c>
      <c r="S692" s="46">
        <f t="shared" si="78"/>
        <v>0</v>
      </c>
      <c r="T692" s="46">
        <f t="shared" si="81"/>
        <v>50</v>
      </c>
      <c r="U692" s="46">
        <f t="shared" si="79"/>
        <v>50</v>
      </c>
      <c r="V692" s="54">
        <f t="shared" si="80"/>
        <v>76.785714285714292</v>
      </c>
    </row>
    <row r="693" spans="1:22" x14ac:dyDescent="0.2">
      <c r="A693" s="46" t="s">
        <v>26</v>
      </c>
      <c r="B693" s="46" t="s">
        <v>122</v>
      </c>
      <c r="C693" s="46" t="s">
        <v>95</v>
      </c>
      <c r="D693" s="46" t="s">
        <v>178</v>
      </c>
      <c r="E693" s="46">
        <v>3</v>
      </c>
      <c r="F693" s="46" t="s">
        <v>60</v>
      </c>
      <c r="G693" s="46">
        <v>3</v>
      </c>
      <c r="H693" s="47">
        <v>15</v>
      </c>
      <c r="I693" s="47" t="s">
        <v>116</v>
      </c>
      <c r="J693" s="48">
        <v>3</v>
      </c>
      <c r="K693" s="48">
        <v>1</v>
      </c>
      <c r="R693" s="46">
        <f t="shared" si="77"/>
        <v>0</v>
      </c>
      <c r="S693" s="46">
        <f t="shared" si="78"/>
        <v>0</v>
      </c>
      <c r="T693" s="46">
        <f t="shared" si="81"/>
        <v>60</v>
      </c>
      <c r="U693" s="46">
        <f t="shared" si="79"/>
        <v>60</v>
      </c>
      <c r="V693" s="54">
        <f t="shared" si="80"/>
        <v>76.785714285714292</v>
      </c>
    </row>
    <row r="694" spans="1:22" x14ac:dyDescent="0.2">
      <c r="A694" s="46" t="s">
        <v>26</v>
      </c>
      <c r="B694" s="46" t="s">
        <v>122</v>
      </c>
      <c r="C694" s="46" t="s">
        <v>95</v>
      </c>
      <c r="D694" s="46" t="s">
        <v>178</v>
      </c>
      <c r="E694" s="46">
        <v>2</v>
      </c>
      <c r="F694" s="46" t="s">
        <v>60</v>
      </c>
      <c r="G694" s="46">
        <v>4</v>
      </c>
      <c r="H694" s="47">
        <v>28</v>
      </c>
      <c r="I694" s="47" t="s">
        <v>102</v>
      </c>
      <c r="J694" s="48">
        <v>4</v>
      </c>
      <c r="K694" s="48">
        <v>2</v>
      </c>
      <c r="R694" s="46">
        <f t="shared" si="77"/>
        <v>1</v>
      </c>
      <c r="S694" s="46">
        <f t="shared" si="78"/>
        <v>0</v>
      </c>
      <c r="T694" s="46">
        <f t="shared" si="81"/>
        <v>70</v>
      </c>
      <c r="U694" s="46">
        <f t="shared" si="79"/>
        <v>70</v>
      </c>
      <c r="V694" s="54">
        <f t="shared" si="80"/>
        <v>76.785714285714292</v>
      </c>
    </row>
    <row r="695" spans="1:22" x14ac:dyDescent="0.2">
      <c r="A695" s="46" t="s">
        <v>26</v>
      </c>
      <c r="B695" s="46" t="s">
        <v>122</v>
      </c>
      <c r="C695" s="46" t="s">
        <v>95</v>
      </c>
      <c r="D695" s="46" t="s">
        <v>178</v>
      </c>
      <c r="E695" s="46">
        <v>2</v>
      </c>
      <c r="F695" s="46" t="s">
        <v>62</v>
      </c>
      <c r="G695" s="46">
        <v>3</v>
      </c>
      <c r="H695" s="47" t="s">
        <v>87</v>
      </c>
      <c r="I695" s="47" t="s">
        <v>116</v>
      </c>
      <c r="J695" s="48">
        <v>4</v>
      </c>
      <c r="K695" s="48">
        <v>2</v>
      </c>
      <c r="R695" s="46">
        <f t="shared" si="77"/>
        <v>1</v>
      </c>
      <c r="S695" s="46">
        <f t="shared" si="78"/>
        <v>0</v>
      </c>
      <c r="T695" s="46">
        <f t="shared" si="81"/>
        <v>70</v>
      </c>
      <c r="U695" s="46">
        <f t="shared" si="79"/>
        <v>70</v>
      </c>
      <c r="V695" s="54">
        <f t="shared" si="80"/>
        <v>76.785714285714292</v>
      </c>
    </row>
    <row r="696" spans="1:22" x14ac:dyDescent="0.2">
      <c r="A696" s="46" t="s">
        <v>26</v>
      </c>
      <c r="B696" s="46" t="s">
        <v>122</v>
      </c>
      <c r="C696" s="46" t="s">
        <v>95</v>
      </c>
      <c r="D696" s="46" t="s">
        <v>178</v>
      </c>
      <c r="E696" s="46">
        <v>1</v>
      </c>
      <c r="F696" s="46" t="s">
        <v>60</v>
      </c>
      <c r="G696" s="46">
        <v>3</v>
      </c>
      <c r="H696" s="47">
        <v>11</v>
      </c>
      <c r="I696" s="47" t="s">
        <v>116</v>
      </c>
      <c r="J696" s="48">
        <v>4</v>
      </c>
      <c r="K696" s="48">
        <v>1</v>
      </c>
      <c r="R696" s="46">
        <f t="shared" si="77"/>
        <v>1</v>
      </c>
      <c r="S696" s="46">
        <f t="shared" si="78"/>
        <v>0</v>
      </c>
      <c r="T696" s="46">
        <f t="shared" si="81"/>
        <v>80</v>
      </c>
      <c r="U696" s="46">
        <f t="shared" si="79"/>
        <v>80</v>
      </c>
      <c r="V696" s="54">
        <f t="shared" si="80"/>
        <v>76.785714285714292</v>
      </c>
    </row>
    <row r="697" spans="1:22" x14ac:dyDescent="0.2">
      <c r="A697" s="46" t="s">
        <v>26</v>
      </c>
      <c r="B697" s="46" t="s">
        <v>122</v>
      </c>
      <c r="C697" s="46" t="s">
        <v>95</v>
      </c>
      <c r="D697" s="46" t="s">
        <v>178</v>
      </c>
      <c r="E697" s="46">
        <v>3</v>
      </c>
      <c r="F697" s="46" t="s">
        <v>60</v>
      </c>
      <c r="G697" s="46">
        <v>4</v>
      </c>
      <c r="H697" s="47">
        <v>32</v>
      </c>
      <c r="I697" s="47" t="s">
        <v>102</v>
      </c>
      <c r="J697" s="48">
        <v>4</v>
      </c>
      <c r="K697" s="48">
        <v>1</v>
      </c>
      <c r="R697" s="46">
        <f t="shared" si="77"/>
        <v>1</v>
      </c>
      <c r="S697" s="46">
        <f t="shared" si="78"/>
        <v>0</v>
      </c>
      <c r="T697" s="46">
        <f t="shared" si="81"/>
        <v>80</v>
      </c>
      <c r="U697" s="46">
        <f t="shared" si="79"/>
        <v>80</v>
      </c>
      <c r="V697" s="54">
        <f t="shared" si="80"/>
        <v>76.785714285714292</v>
      </c>
    </row>
    <row r="698" spans="1:22" x14ac:dyDescent="0.2">
      <c r="A698" s="46" t="s">
        <v>26</v>
      </c>
      <c r="B698" s="46" t="s">
        <v>122</v>
      </c>
      <c r="C698" s="46" t="s">
        <v>95</v>
      </c>
      <c r="D698" s="46" t="s">
        <v>178</v>
      </c>
      <c r="E698" s="46">
        <v>2</v>
      </c>
      <c r="F698" s="46" t="s">
        <v>60</v>
      </c>
      <c r="G698" s="46">
        <v>2</v>
      </c>
      <c r="H698" s="47">
        <v>34</v>
      </c>
      <c r="I698" s="47" t="s">
        <v>127</v>
      </c>
      <c r="J698" s="48">
        <v>4</v>
      </c>
      <c r="K698" s="48">
        <v>1</v>
      </c>
      <c r="R698" s="46">
        <f t="shared" si="77"/>
        <v>1</v>
      </c>
      <c r="S698" s="46">
        <f t="shared" si="78"/>
        <v>0</v>
      </c>
      <c r="T698" s="46">
        <f t="shared" si="81"/>
        <v>80</v>
      </c>
      <c r="U698" s="46">
        <f t="shared" si="79"/>
        <v>80</v>
      </c>
      <c r="V698" s="54">
        <f t="shared" si="80"/>
        <v>76.785714285714292</v>
      </c>
    </row>
    <row r="699" spans="1:22" x14ac:dyDescent="0.2">
      <c r="A699" s="46" t="s">
        <v>26</v>
      </c>
      <c r="B699" s="46" t="s">
        <v>122</v>
      </c>
      <c r="C699" s="46" t="s">
        <v>95</v>
      </c>
      <c r="D699" s="46" t="s">
        <v>178</v>
      </c>
      <c r="E699" s="46">
        <v>4</v>
      </c>
      <c r="F699" s="46" t="s">
        <v>60</v>
      </c>
      <c r="G699" s="46">
        <v>1</v>
      </c>
      <c r="H699" s="47">
        <v>45</v>
      </c>
      <c r="I699" s="47" t="s">
        <v>101</v>
      </c>
      <c r="J699" s="48">
        <v>4</v>
      </c>
      <c r="K699" s="48">
        <v>1</v>
      </c>
      <c r="M699" s="48">
        <v>1</v>
      </c>
      <c r="R699" s="46">
        <f t="shared" si="77"/>
        <v>1</v>
      </c>
      <c r="S699" s="46">
        <f t="shared" si="78"/>
        <v>0</v>
      </c>
      <c r="T699" s="46">
        <f t="shared" si="81"/>
        <v>80</v>
      </c>
      <c r="U699" s="46">
        <f t="shared" si="79"/>
        <v>100</v>
      </c>
      <c r="V699" s="54">
        <f t="shared" si="80"/>
        <v>76.785714285714292</v>
      </c>
    </row>
    <row r="700" spans="1:22" x14ac:dyDescent="0.2">
      <c r="A700" s="46" t="s">
        <v>26</v>
      </c>
      <c r="B700" s="46" t="s">
        <v>122</v>
      </c>
      <c r="C700" s="46" t="s">
        <v>95</v>
      </c>
      <c r="D700" s="46" t="s">
        <v>178</v>
      </c>
      <c r="E700" s="46">
        <v>2</v>
      </c>
      <c r="F700" s="46" t="s">
        <v>62</v>
      </c>
      <c r="G700" s="46">
        <v>2</v>
      </c>
      <c r="H700" s="47" t="s">
        <v>79</v>
      </c>
      <c r="I700" s="47" t="s">
        <v>127</v>
      </c>
      <c r="J700" s="48">
        <v>4</v>
      </c>
      <c r="K700" s="48">
        <v>1</v>
      </c>
      <c r="R700" s="46">
        <f t="shared" si="77"/>
        <v>1</v>
      </c>
      <c r="S700" s="46">
        <f t="shared" si="78"/>
        <v>0</v>
      </c>
      <c r="T700" s="46">
        <f t="shared" si="81"/>
        <v>80</v>
      </c>
      <c r="U700" s="46">
        <f t="shared" si="79"/>
        <v>80</v>
      </c>
      <c r="V700" s="54">
        <f t="shared" si="80"/>
        <v>76.785714285714292</v>
      </c>
    </row>
    <row r="701" spans="1:22" x14ac:dyDescent="0.2">
      <c r="A701" s="46" t="s">
        <v>26</v>
      </c>
      <c r="B701" s="46" t="s">
        <v>122</v>
      </c>
      <c r="C701" s="46" t="s">
        <v>95</v>
      </c>
      <c r="D701" s="46" t="s">
        <v>178</v>
      </c>
      <c r="E701" s="46">
        <v>4</v>
      </c>
      <c r="F701" s="46" t="s">
        <v>62</v>
      </c>
      <c r="G701" s="46">
        <v>3</v>
      </c>
      <c r="H701" s="47" t="s">
        <v>84</v>
      </c>
      <c r="I701" s="47" t="s">
        <v>219</v>
      </c>
      <c r="J701" s="48">
        <v>4</v>
      </c>
      <c r="K701" s="48">
        <v>1</v>
      </c>
      <c r="M701" s="48">
        <v>1</v>
      </c>
      <c r="R701" s="46">
        <f t="shared" si="77"/>
        <v>1</v>
      </c>
      <c r="S701" s="46">
        <f t="shared" si="78"/>
        <v>0</v>
      </c>
      <c r="T701" s="46">
        <f t="shared" si="81"/>
        <v>80</v>
      </c>
      <c r="U701" s="46">
        <f t="shared" si="79"/>
        <v>100</v>
      </c>
      <c r="V701" s="54">
        <f t="shared" si="80"/>
        <v>76.785714285714292</v>
      </c>
    </row>
    <row r="702" spans="1:22" x14ac:dyDescent="0.2">
      <c r="A702" s="46" t="s">
        <v>26</v>
      </c>
      <c r="B702" s="46" t="s">
        <v>122</v>
      </c>
      <c r="C702" s="46" t="s">
        <v>95</v>
      </c>
      <c r="D702" s="46" t="s">
        <v>178</v>
      </c>
      <c r="E702" s="46">
        <v>2</v>
      </c>
      <c r="F702" s="46" t="s">
        <v>62</v>
      </c>
      <c r="G702" s="46">
        <v>3</v>
      </c>
      <c r="H702" s="47" t="s">
        <v>85</v>
      </c>
      <c r="I702" s="47" t="s">
        <v>116</v>
      </c>
      <c r="J702" s="48">
        <v>4</v>
      </c>
      <c r="K702" s="48">
        <v>1</v>
      </c>
      <c r="R702" s="46">
        <f t="shared" si="77"/>
        <v>1</v>
      </c>
      <c r="S702" s="46">
        <f t="shared" si="78"/>
        <v>0</v>
      </c>
      <c r="T702" s="46">
        <f t="shared" si="81"/>
        <v>80</v>
      </c>
      <c r="U702" s="46">
        <f t="shared" si="79"/>
        <v>80</v>
      </c>
      <c r="V702" s="54">
        <f t="shared" si="80"/>
        <v>76.785714285714292</v>
      </c>
    </row>
    <row r="703" spans="1:22" x14ac:dyDescent="0.2">
      <c r="A703" s="46" t="s">
        <v>26</v>
      </c>
      <c r="B703" s="46" t="s">
        <v>122</v>
      </c>
      <c r="C703" s="46" t="s">
        <v>95</v>
      </c>
      <c r="D703" s="46" t="s">
        <v>178</v>
      </c>
      <c r="E703" s="46">
        <v>2</v>
      </c>
      <c r="F703" s="46" t="s">
        <v>60</v>
      </c>
      <c r="G703" s="46">
        <v>1</v>
      </c>
      <c r="H703" s="47">
        <v>1</v>
      </c>
      <c r="I703" s="47" t="s">
        <v>101</v>
      </c>
      <c r="J703" s="48">
        <v>4</v>
      </c>
      <c r="K703" s="48">
        <v>0</v>
      </c>
      <c r="R703" s="46">
        <f t="shared" si="77"/>
        <v>1</v>
      </c>
      <c r="S703" s="46">
        <f t="shared" si="78"/>
        <v>0</v>
      </c>
      <c r="T703" s="46">
        <f t="shared" si="81"/>
        <v>90</v>
      </c>
      <c r="U703" s="46">
        <f t="shared" si="79"/>
        <v>90</v>
      </c>
      <c r="V703" s="54">
        <f t="shared" si="80"/>
        <v>76.785714285714292</v>
      </c>
    </row>
    <row r="704" spans="1:22" x14ac:dyDescent="0.2">
      <c r="A704" s="46" t="s">
        <v>26</v>
      </c>
      <c r="B704" s="46" t="s">
        <v>122</v>
      </c>
      <c r="C704" s="46" t="s">
        <v>95</v>
      </c>
      <c r="D704" s="46" t="s">
        <v>178</v>
      </c>
      <c r="E704" s="46">
        <v>4</v>
      </c>
      <c r="F704" s="46" t="s">
        <v>60</v>
      </c>
      <c r="G704" s="46">
        <v>2</v>
      </c>
      <c r="H704" s="47">
        <v>2</v>
      </c>
      <c r="I704" s="47" t="s">
        <v>127</v>
      </c>
      <c r="J704" s="48">
        <v>4</v>
      </c>
      <c r="K704" s="48">
        <v>0</v>
      </c>
      <c r="N704" s="48">
        <v>1</v>
      </c>
      <c r="R704" s="46">
        <f t="shared" si="77"/>
        <v>1</v>
      </c>
      <c r="S704" s="46">
        <f t="shared" si="78"/>
        <v>0</v>
      </c>
      <c r="T704" s="46">
        <f t="shared" si="81"/>
        <v>90</v>
      </c>
      <c r="U704" s="46">
        <f t="shared" si="79"/>
        <v>85</v>
      </c>
      <c r="V704" s="54">
        <f t="shared" si="80"/>
        <v>76.785714285714292</v>
      </c>
    </row>
    <row r="705" spans="1:22" x14ac:dyDescent="0.2">
      <c r="A705" s="46" t="s">
        <v>26</v>
      </c>
      <c r="B705" s="46" t="s">
        <v>122</v>
      </c>
      <c r="C705" s="46" t="s">
        <v>95</v>
      </c>
      <c r="D705" s="46" t="s">
        <v>178</v>
      </c>
      <c r="E705" s="46">
        <v>3</v>
      </c>
      <c r="F705" s="46" t="s">
        <v>60</v>
      </c>
      <c r="G705" s="46">
        <v>2</v>
      </c>
      <c r="H705" s="47">
        <v>6</v>
      </c>
      <c r="I705" s="47" t="s">
        <v>127</v>
      </c>
      <c r="J705" s="48">
        <v>4</v>
      </c>
      <c r="K705" s="48">
        <v>0</v>
      </c>
      <c r="M705" s="48">
        <v>1</v>
      </c>
      <c r="R705" s="46">
        <f t="shared" si="77"/>
        <v>1</v>
      </c>
      <c r="S705" s="46">
        <f t="shared" si="78"/>
        <v>0</v>
      </c>
      <c r="T705" s="46">
        <f t="shared" si="81"/>
        <v>90</v>
      </c>
      <c r="U705" s="46">
        <f t="shared" si="79"/>
        <v>110</v>
      </c>
      <c r="V705" s="54">
        <f t="shared" si="80"/>
        <v>76.785714285714292</v>
      </c>
    </row>
    <row r="706" spans="1:22" x14ac:dyDescent="0.2">
      <c r="A706" s="46" t="s">
        <v>26</v>
      </c>
      <c r="B706" s="46" t="s">
        <v>122</v>
      </c>
      <c r="C706" s="46" t="s">
        <v>95</v>
      </c>
      <c r="D706" s="46" t="s">
        <v>178</v>
      </c>
      <c r="E706" s="46">
        <v>2</v>
      </c>
      <c r="F706" s="46" t="s">
        <v>60</v>
      </c>
      <c r="G706" s="46">
        <v>2</v>
      </c>
      <c r="H706" s="47">
        <v>10</v>
      </c>
      <c r="I706" s="47" t="s">
        <v>127</v>
      </c>
      <c r="J706" s="48">
        <v>4</v>
      </c>
      <c r="K706" s="48">
        <v>0</v>
      </c>
      <c r="M706" s="48">
        <v>1</v>
      </c>
      <c r="R706" s="46">
        <f t="shared" ref="R706:R769" si="82">IF(J706=4,1,0)</f>
        <v>1</v>
      </c>
      <c r="S706" s="46">
        <f t="shared" ref="S706:S769" si="83">IF(K706=3,1,0)</f>
        <v>0</v>
      </c>
      <c r="T706" s="46">
        <f t="shared" si="81"/>
        <v>90</v>
      </c>
      <c r="U706" s="46">
        <f t="shared" ref="U706:U769" si="84">T706+M706*(20) + (SUM(O706:Q706)*(10)) - L706*(5) - N706*(5)</f>
        <v>110</v>
      </c>
      <c r="V706" s="54">
        <f t="shared" ref="V706:V769" si="85">AVERAGEIFS(U:U,A:A,A706,F:F,"Pre")</f>
        <v>76.785714285714292</v>
      </c>
    </row>
    <row r="707" spans="1:22" x14ac:dyDescent="0.2">
      <c r="A707" s="46" t="s">
        <v>26</v>
      </c>
      <c r="B707" s="46" t="s">
        <v>122</v>
      </c>
      <c r="C707" s="46" t="s">
        <v>95</v>
      </c>
      <c r="D707" s="46" t="s">
        <v>178</v>
      </c>
      <c r="E707" s="46">
        <v>2</v>
      </c>
      <c r="F707" s="46" t="s">
        <v>60</v>
      </c>
      <c r="G707" s="46">
        <v>3</v>
      </c>
      <c r="H707" s="47">
        <v>19</v>
      </c>
      <c r="I707" s="47" t="s">
        <v>116</v>
      </c>
      <c r="J707" s="48">
        <v>4</v>
      </c>
      <c r="K707" s="48">
        <v>0</v>
      </c>
      <c r="R707" s="46">
        <f t="shared" si="82"/>
        <v>1</v>
      </c>
      <c r="S707" s="46">
        <f t="shared" si="83"/>
        <v>0</v>
      </c>
      <c r="T707" s="46">
        <f t="shared" si="81"/>
        <v>90</v>
      </c>
      <c r="U707" s="46">
        <f t="shared" si="84"/>
        <v>90</v>
      </c>
      <c r="V707" s="54">
        <f t="shared" si="85"/>
        <v>76.785714285714292</v>
      </c>
    </row>
    <row r="708" spans="1:22" x14ac:dyDescent="0.2">
      <c r="A708" s="46" t="s">
        <v>26</v>
      </c>
      <c r="B708" s="46" t="s">
        <v>122</v>
      </c>
      <c r="C708" s="46" t="s">
        <v>95</v>
      </c>
      <c r="D708" s="46" t="s">
        <v>178</v>
      </c>
      <c r="E708" s="46">
        <v>1</v>
      </c>
      <c r="F708" s="46" t="s">
        <v>60</v>
      </c>
      <c r="G708" s="46">
        <v>4</v>
      </c>
      <c r="H708" s="47">
        <v>20</v>
      </c>
      <c r="I708" s="47" t="s">
        <v>102</v>
      </c>
      <c r="J708" s="48">
        <v>4</v>
      </c>
      <c r="K708" s="48">
        <v>0</v>
      </c>
      <c r="R708" s="46">
        <f t="shared" si="82"/>
        <v>1</v>
      </c>
      <c r="S708" s="46">
        <f t="shared" si="83"/>
        <v>0</v>
      </c>
      <c r="T708" s="46">
        <f t="shared" si="81"/>
        <v>90</v>
      </c>
      <c r="U708" s="46">
        <f t="shared" si="84"/>
        <v>90</v>
      </c>
      <c r="V708" s="54">
        <f t="shared" si="85"/>
        <v>76.785714285714292</v>
      </c>
    </row>
    <row r="709" spans="1:22" x14ac:dyDescent="0.2">
      <c r="A709" s="46" t="s">
        <v>26</v>
      </c>
      <c r="B709" s="46" t="s">
        <v>122</v>
      </c>
      <c r="C709" s="46" t="s">
        <v>95</v>
      </c>
      <c r="D709" s="46" t="s">
        <v>178</v>
      </c>
      <c r="E709" s="46">
        <v>3</v>
      </c>
      <c r="F709" s="46" t="s">
        <v>60</v>
      </c>
      <c r="G709" s="46">
        <v>1</v>
      </c>
      <c r="H709" s="47">
        <v>21</v>
      </c>
      <c r="I709" s="47" t="s">
        <v>101</v>
      </c>
      <c r="J709" s="48">
        <v>4</v>
      </c>
      <c r="K709" s="48">
        <v>0</v>
      </c>
      <c r="R709" s="46">
        <f t="shared" si="82"/>
        <v>1</v>
      </c>
      <c r="S709" s="46">
        <f t="shared" si="83"/>
        <v>0</v>
      </c>
      <c r="T709" s="46">
        <f t="shared" si="81"/>
        <v>90</v>
      </c>
      <c r="U709" s="46">
        <f t="shared" si="84"/>
        <v>90</v>
      </c>
      <c r="V709" s="54">
        <f t="shared" si="85"/>
        <v>76.785714285714292</v>
      </c>
    </row>
    <row r="710" spans="1:22" x14ac:dyDescent="0.2">
      <c r="A710" s="46" t="s">
        <v>26</v>
      </c>
      <c r="B710" s="46" t="s">
        <v>122</v>
      </c>
      <c r="C710" s="46" t="s">
        <v>95</v>
      </c>
      <c r="D710" s="46" t="s">
        <v>178</v>
      </c>
      <c r="E710" s="46">
        <v>1</v>
      </c>
      <c r="F710" s="46" t="s">
        <v>60</v>
      </c>
      <c r="G710" s="46">
        <v>2</v>
      </c>
      <c r="H710" s="47">
        <v>26</v>
      </c>
      <c r="I710" s="47" t="s">
        <v>127</v>
      </c>
      <c r="J710" s="48">
        <v>4</v>
      </c>
      <c r="K710" s="48">
        <v>0</v>
      </c>
      <c r="R710" s="46">
        <f t="shared" si="82"/>
        <v>1</v>
      </c>
      <c r="S710" s="46">
        <f t="shared" si="83"/>
        <v>0</v>
      </c>
      <c r="T710" s="46">
        <f t="shared" si="81"/>
        <v>90</v>
      </c>
      <c r="U710" s="46">
        <f t="shared" si="84"/>
        <v>90</v>
      </c>
      <c r="V710" s="54">
        <f t="shared" si="85"/>
        <v>76.785714285714292</v>
      </c>
    </row>
    <row r="711" spans="1:22" x14ac:dyDescent="0.2">
      <c r="A711" s="46" t="s">
        <v>26</v>
      </c>
      <c r="B711" s="46" t="s">
        <v>122</v>
      </c>
      <c r="C711" s="46" t="s">
        <v>95</v>
      </c>
      <c r="D711" s="46" t="s">
        <v>178</v>
      </c>
      <c r="E711" s="46">
        <v>1</v>
      </c>
      <c r="F711" s="46" t="s">
        <v>60</v>
      </c>
      <c r="G711" s="46">
        <v>1</v>
      </c>
      <c r="H711" s="47">
        <v>37</v>
      </c>
      <c r="I711" s="47" t="s">
        <v>101</v>
      </c>
      <c r="J711" s="48">
        <v>4</v>
      </c>
      <c r="K711" s="48">
        <v>0</v>
      </c>
      <c r="R711" s="46">
        <f t="shared" si="82"/>
        <v>1</v>
      </c>
      <c r="S711" s="46">
        <f t="shared" si="83"/>
        <v>0</v>
      </c>
      <c r="T711" s="46">
        <f t="shared" si="81"/>
        <v>90</v>
      </c>
      <c r="U711" s="46">
        <f t="shared" si="84"/>
        <v>90</v>
      </c>
      <c r="V711" s="54">
        <f t="shared" si="85"/>
        <v>76.785714285714292</v>
      </c>
    </row>
    <row r="712" spans="1:22" x14ac:dyDescent="0.2">
      <c r="A712" s="46" t="s">
        <v>26</v>
      </c>
      <c r="B712" s="46" t="s">
        <v>122</v>
      </c>
      <c r="C712" s="46" t="s">
        <v>95</v>
      </c>
      <c r="D712" s="46" t="s">
        <v>178</v>
      </c>
      <c r="E712" s="46">
        <v>2</v>
      </c>
      <c r="F712" s="46" t="s">
        <v>60</v>
      </c>
      <c r="G712" s="46">
        <v>1</v>
      </c>
      <c r="H712" s="47">
        <v>41</v>
      </c>
      <c r="I712" s="47" t="s">
        <v>101</v>
      </c>
      <c r="J712" s="48">
        <v>4</v>
      </c>
      <c r="K712" s="48">
        <v>0</v>
      </c>
      <c r="R712" s="46">
        <f t="shared" si="82"/>
        <v>1</v>
      </c>
      <c r="S712" s="46">
        <f t="shared" si="83"/>
        <v>0</v>
      </c>
      <c r="T712" s="46">
        <f t="shared" si="81"/>
        <v>90</v>
      </c>
      <c r="U712" s="46">
        <f t="shared" si="84"/>
        <v>90</v>
      </c>
      <c r="V712" s="54">
        <f t="shared" si="85"/>
        <v>76.785714285714292</v>
      </c>
    </row>
    <row r="713" spans="1:22" x14ac:dyDescent="0.2">
      <c r="A713" s="46" t="s">
        <v>26</v>
      </c>
      <c r="B713" s="46" t="s">
        <v>122</v>
      </c>
      <c r="C713" s="46" t="s">
        <v>95</v>
      </c>
      <c r="D713" s="46" t="s">
        <v>178</v>
      </c>
      <c r="E713" s="46">
        <v>1</v>
      </c>
      <c r="F713" s="46" t="s">
        <v>60</v>
      </c>
      <c r="G713" s="46">
        <v>2</v>
      </c>
      <c r="H713" s="47">
        <v>46</v>
      </c>
      <c r="I713" s="47" t="s">
        <v>127</v>
      </c>
      <c r="J713" s="48">
        <v>4</v>
      </c>
      <c r="K713" s="48">
        <v>0</v>
      </c>
      <c r="M713" s="48">
        <v>1</v>
      </c>
      <c r="N713" s="48">
        <v>1</v>
      </c>
      <c r="R713" s="46">
        <f t="shared" si="82"/>
        <v>1</v>
      </c>
      <c r="S713" s="46">
        <f t="shared" si="83"/>
        <v>0</v>
      </c>
      <c r="T713" s="46">
        <f t="shared" si="81"/>
        <v>90</v>
      </c>
      <c r="U713" s="46">
        <f t="shared" si="84"/>
        <v>105</v>
      </c>
      <c r="V713" s="54">
        <f t="shared" si="85"/>
        <v>76.785714285714292</v>
      </c>
    </row>
    <row r="714" spans="1:22" x14ac:dyDescent="0.2">
      <c r="A714" s="46" t="s">
        <v>26</v>
      </c>
      <c r="B714" s="46" t="s">
        <v>122</v>
      </c>
      <c r="C714" s="46" t="s">
        <v>95</v>
      </c>
      <c r="D714" s="46" t="s">
        <v>178</v>
      </c>
      <c r="E714" s="46">
        <v>1</v>
      </c>
      <c r="F714" s="46" t="s">
        <v>62</v>
      </c>
      <c r="G714" s="46">
        <v>3</v>
      </c>
      <c r="H714" s="47" t="s">
        <v>80</v>
      </c>
      <c r="I714" s="47" t="s">
        <v>116</v>
      </c>
      <c r="J714" s="48">
        <v>4</v>
      </c>
      <c r="K714" s="48">
        <v>0</v>
      </c>
      <c r="M714" s="48">
        <v>1</v>
      </c>
      <c r="R714" s="46">
        <f t="shared" si="82"/>
        <v>1</v>
      </c>
      <c r="S714" s="46">
        <f t="shared" si="83"/>
        <v>0</v>
      </c>
      <c r="T714" s="46">
        <f t="shared" si="81"/>
        <v>90</v>
      </c>
      <c r="U714" s="46">
        <f t="shared" si="84"/>
        <v>110</v>
      </c>
      <c r="V714" s="54">
        <f t="shared" si="85"/>
        <v>76.785714285714292</v>
      </c>
    </row>
    <row r="715" spans="1:22" x14ac:dyDescent="0.2">
      <c r="A715" s="46" t="s">
        <v>26</v>
      </c>
      <c r="B715" s="46" t="s">
        <v>122</v>
      </c>
      <c r="C715" s="46" t="s">
        <v>95</v>
      </c>
      <c r="D715" s="46" t="s">
        <v>178</v>
      </c>
      <c r="E715" s="46">
        <v>4</v>
      </c>
      <c r="F715" s="46" t="s">
        <v>62</v>
      </c>
      <c r="G715" s="46">
        <v>3</v>
      </c>
      <c r="H715" s="47" t="s">
        <v>80</v>
      </c>
      <c r="I715" s="47" t="s">
        <v>219</v>
      </c>
      <c r="J715" s="48">
        <v>4</v>
      </c>
      <c r="K715" s="48">
        <v>0</v>
      </c>
      <c r="R715" s="46">
        <f t="shared" si="82"/>
        <v>1</v>
      </c>
      <c r="S715" s="46">
        <f t="shared" si="83"/>
        <v>0</v>
      </c>
      <c r="T715" s="46">
        <f t="shared" si="81"/>
        <v>90</v>
      </c>
      <c r="U715" s="46">
        <f t="shared" si="84"/>
        <v>90</v>
      </c>
      <c r="V715" s="54">
        <f t="shared" si="85"/>
        <v>76.785714285714292</v>
      </c>
    </row>
    <row r="716" spans="1:22" x14ac:dyDescent="0.2">
      <c r="A716" s="46" t="s">
        <v>26</v>
      </c>
      <c r="B716" s="46" t="s">
        <v>122</v>
      </c>
      <c r="C716" s="46" t="s">
        <v>95</v>
      </c>
      <c r="D716" s="46" t="s">
        <v>178</v>
      </c>
      <c r="E716" s="46">
        <v>1</v>
      </c>
      <c r="F716" s="46" t="s">
        <v>62</v>
      </c>
      <c r="G716" s="46">
        <v>2</v>
      </c>
      <c r="H716" s="47" t="s">
        <v>82</v>
      </c>
      <c r="I716" s="47" t="s">
        <v>127</v>
      </c>
      <c r="J716" s="48">
        <v>4</v>
      </c>
      <c r="K716" s="48">
        <v>0</v>
      </c>
      <c r="R716" s="46">
        <f t="shared" si="82"/>
        <v>1</v>
      </c>
      <c r="S716" s="46">
        <f t="shared" si="83"/>
        <v>0</v>
      </c>
      <c r="T716" s="46">
        <f t="shared" si="81"/>
        <v>90</v>
      </c>
      <c r="U716" s="46">
        <f t="shared" si="84"/>
        <v>90</v>
      </c>
      <c r="V716" s="54">
        <f t="shared" si="85"/>
        <v>76.785714285714292</v>
      </c>
    </row>
    <row r="717" spans="1:22" x14ac:dyDescent="0.2">
      <c r="A717" s="46" t="s">
        <v>26</v>
      </c>
      <c r="B717" s="46" t="s">
        <v>122</v>
      </c>
      <c r="C717" s="46" t="s">
        <v>95</v>
      </c>
      <c r="D717" s="46" t="s">
        <v>178</v>
      </c>
      <c r="E717" s="46">
        <v>4</v>
      </c>
      <c r="F717" s="46" t="s">
        <v>62</v>
      </c>
      <c r="G717" s="46">
        <v>3</v>
      </c>
      <c r="H717" s="47" t="s">
        <v>64</v>
      </c>
      <c r="I717" s="47" t="s">
        <v>219</v>
      </c>
      <c r="J717" s="48">
        <v>4</v>
      </c>
      <c r="K717" s="48">
        <v>0</v>
      </c>
      <c r="R717" s="46">
        <f t="shared" si="82"/>
        <v>1</v>
      </c>
      <c r="S717" s="46">
        <f t="shared" si="83"/>
        <v>0</v>
      </c>
      <c r="T717" s="46">
        <f t="shared" si="81"/>
        <v>90</v>
      </c>
      <c r="U717" s="46">
        <f t="shared" si="84"/>
        <v>90</v>
      </c>
      <c r="V717" s="54">
        <f t="shared" si="85"/>
        <v>76.785714285714292</v>
      </c>
    </row>
    <row r="718" spans="1:22" x14ac:dyDescent="0.2">
      <c r="A718" s="46" t="s">
        <v>26</v>
      </c>
      <c r="B718" s="46" t="s">
        <v>122</v>
      </c>
      <c r="C718" s="46" t="s">
        <v>95</v>
      </c>
      <c r="D718" s="46" t="s">
        <v>178</v>
      </c>
      <c r="E718" s="46">
        <v>1</v>
      </c>
      <c r="F718" s="46" t="s">
        <v>62</v>
      </c>
      <c r="G718" s="46">
        <v>2</v>
      </c>
      <c r="H718" s="47" t="s">
        <v>83</v>
      </c>
      <c r="I718" s="47" t="s">
        <v>127</v>
      </c>
      <c r="J718" s="48">
        <v>4</v>
      </c>
      <c r="K718" s="48">
        <v>0</v>
      </c>
      <c r="M718" s="48">
        <v>1</v>
      </c>
      <c r="R718" s="46">
        <f t="shared" si="82"/>
        <v>1</v>
      </c>
      <c r="S718" s="46">
        <f t="shared" si="83"/>
        <v>0</v>
      </c>
      <c r="T718" s="46">
        <f t="shared" si="81"/>
        <v>90</v>
      </c>
      <c r="U718" s="46">
        <f t="shared" si="84"/>
        <v>110</v>
      </c>
      <c r="V718" s="54">
        <f t="shared" si="85"/>
        <v>76.785714285714292</v>
      </c>
    </row>
    <row r="719" spans="1:22" x14ac:dyDescent="0.2">
      <c r="A719" s="46" t="s">
        <v>26</v>
      </c>
      <c r="B719" s="46" t="s">
        <v>122</v>
      </c>
      <c r="C719" s="46" t="s">
        <v>95</v>
      </c>
      <c r="D719" s="46" t="s">
        <v>178</v>
      </c>
      <c r="E719" s="46">
        <v>5</v>
      </c>
      <c r="F719" s="46" t="s">
        <v>60</v>
      </c>
      <c r="G719" s="46">
        <v>2</v>
      </c>
      <c r="H719" s="47">
        <v>6</v>
      </c>
      <c r="I719" s="47" t="s">
        <v>127</v>
      </c>
      <c r="J719" s="48">
        <v>4</v>
      </c>
      <c r="K719" s="48">
        <v>1</v>
      </c>
      <c r="R719" s="46">
        <f t="shared" si="82"/>
        <v>1</v>
      </c>
      <c r="S719" s="46">
        <f t="shared" si="83"/>
        <v>0</v>
      </c>
      <c r="T719" s="46">
        <f t="shared" si="81"/>
        <v>80</v>
      </c>
      <c r="U719" s="46">
        <f t="shared" si="84"/>
        <v>80</v>
      </c>
      <c r="V719" s="54">
        <f t="shared" si="85"/>
        <v>76.785714285714292</v>
      </c>
    </row>
    <row r="720" spans="1:22" x14ac:dyDescent="0.2">
      <c r="A720" s="46" t="s">
        <v>26</v>
      </c>
      <c r="B720" s="46" t="s">
        <v>122</v>
      </c>
      <c r="C720" s="46" t="s">
        <v>95</v>
      </c>
      <c r="D720" s="46" t="s">
        <v>178</v>
      </c>
      <c r="E720" s="46">
        <v>5</v>
      </c>
      <c r="F720" s="46" t="s">
        <v>60</v>
      </c>
      <c r="G720" s="46">
        <v>3</v>
      </c>
      <c r="H720" s="47">
        <v>15</v>
      </c>
      <c r="I720" s="47" t="s">
        <v>159</v>
      </c>
      <c r="J720" s="48">
        <v>4</v>
      </c>
      <c r="K720" s="48">
        <v>0</v>
      </c>
      <c r="R720" s="46">
        <f t="shared" si="82"/>
        <v>1</v>
      </c>
      <c r="S720" s="46">
        <f t="shared" si="83"/>
        <v>0</v>
      </c>
      <c r="T720" s="46">
        <f t="shared" si="81"/>
        <v>90</v>
      </c>
      <c r="U720" s="46">
        <f t="shared" si="84"/>
        <v>90</v>
      </c>
      <c r="V720" s="54">
        <f t="shared" si="85"/>
        <v>76.785714285714292</v>
      </c>
    </row>
    <row r="721" spans="1:22" x14ac:dyDescent="0.2">
      <c r="A721" s="46" t="s">
        <v>26</v>
      </c>
      <c r="B721" s="46" t="s">
        <v>122</v>
      </c>
      <c r="C721" s="46" t="s">
        <v>95</v>
      </c>
      <c r="D721" s="46" t="s">
        <v>178</v>
      </c>
      <c r="E721" s="46">
        <v>5</v>
      </c>
      <c r="F721" s="46" t="s">
        <v>60</v>
      </c>
      <c r="G721" s="46">
        <v>2</v>
      </c>
      <c r="H721" s="47">
        <v>22</v>
      </c>
      <c r="I721" s="47" t="s">
        <v>127</v>
      </c>
      <c r="J721" s="48">
        <v>3</v>
      </c>
      <c r="K721" s="48">
        <v>1</v>
      </c>
      <c r="R721" s="46">
        <f t="shared" si="82"/>
        <v>0</v>
      </c>
      <c r="S721" s="46">
        <f t="shared" si="83"/>
        <v>0</v>
      </c>
      <c r="T721" s="46">
        <f t="shared" si="81"/>
        <v>60</v>
      </c>
      <c r="U721" s="46">
        <f t="shared" si="84"/>
        <v>60</v>
      </c>
      <c r="V721" s="54">
        <f t="shared" si="85"/>
        <v>76.785714285714292</v>
      </c>
    </row>
    <row r="722" spans="1:22" x14ac:dyDescent="0.2">
      <c r="A722" s="46" t="s">
        <v>26</v>
      </c>
      <c r="B722" s="46" t="s">
        <v>122</v>
      </c>
      <c r="C722" s="46" t="s">
        <v>95</v>
      </c>
      <c r="D722" s="46" t="s">
        <v>178</v>
      </c>
      <c r="E722" s="46">
        <v>5</v>
      </c>
      <c r="F722" s="46" t="s">
        <v>60</v>
      </c>
      <c r="G722" s="46">
        <v>3</v>
      </c>
      <c r="H722" s="47">
        <v>31</v>
      </c>
      <c r="I722" s="47" t="s">
        <v>159</v>
      </c>
      <c r="J722" s="48">
        <v>4</v>
      </c>
      <c r="K722" s="48">
        <v>0</v>
      </c>
      <c r="R722" s="46">
        <f t="shared" si="82"/>
        <v>1</v>
      </c>
      <c r="S722" s="46">
        <f t="shared" si="83"/>
        <v>0</v>
      </c>
      <c r="T722" s="46">
        <f t="shared" si="81"/>
        <v>90</v>
      </c>
      <c r="U722" s="46">
        <f t="shared" si="84"/>
        <v>90</v>
      </c>
      <c r="V722" s="54">
        <f t="shared" si="85"/>
        <v>76.785714285714292</v>
      </c>
    </row>
    <row r="723" spans="1:22" x14ac:dyDescent="0.2">
      <c r="A723" s="46" t="s">
        <v>26</v>
      </c>
      <c r="B723" s="46" t="s">
        <v>122</v>
      </c>
      <c r="C723" s="46" t="s">
        <v>95</v>
      </c>
      <c r="D723" s="46" t="s">
        <v>178</v>
      </c>
      <c r="E723" s="46">
        <v>5</v>
      </c>
      <c r="F723" s="46" t="s">
        <v>60</v>
      </c>
      <c r="G723" s="46">
        <v>1</v>
      </c>
      <c r="H723" s="47">
        <v>33</v>
      </c>
      <c r="I723" s="47" t="s">
        <v>101</v>
      </c>
      <c r="J723" s="48">
        <v>3</v>
      </c>
      <c r="K723" s="48">
        <v>1</v>
      </c>
      <c r="R723" s="46">
        <f t="shared" si="82"/>
        <v>0</v>
      </c>
      <c r="S723" s="46">
        <f t="shared" si="83"/>
        <v>0</v>
      </c>
      <c r="T723" s="46">
        <f t="shared" si="81"/>
        <v>60</v>
      </c>
      <c r="U723" s="46">
        <f t="shared" si="84"/>
        <v>60</v>
      </c>
      <c r="V723" s="54">
        <f t="shared" si="85"/>
        <v>76.785714285714292</v>
      </c>
    </row>
    <row r="724" spans="1:22" x14ac:dyDescent="0.2">
      <c r="A724" s="46" t="s">
        <v>26</v>
      </c>
      <c r="B724" s="46" t="s">
        <v>122</v>
      </c>
      <c r="C724" s="46" t="s">
        <v>95</v>
      </c>
      <c r="D724" s="46" t="s">
        <v>178</v>
      </c>
      <c r="E724" s="46">
        <v>5</v>
      </c>
      <c r="F724" s="46" t="s">
        <v>60</v>
      </c>
      <c r="G724" s="46">
        <v>4</v>
      </c>
      <c r="H724" s="47">
        <v>44</v>
      </c>
      <c r="I724" s="47" t="s">
        <v>102</v>
      </c>
      <c r="J724" s="48">
        <v>4</v>
      </c>
      <c r="K724" s="48">
        <v>0</v>
      </c>
      <c r="R724" s="46">
        <f t="shared" si="82"/>
        <v>1</v>
      </c>
      <c r="S724" s="46">
        <f t="shared" si="83"/>
        <v>0</v>
      </c>
      <c r="T724" s="46">
        <f t="shared" si="81"/>
        <v>90</v>
      </c>
      <c r="U724" s="46">
        <f t="shared" si="84"/>
        <v>90</v>
      </c>
      <c r="V724" s="54">
        <f t="shared" si="85"/>
        <v>76.785714285714292</v>
      </c>
    </row>
    <row r="725" spans="1:22" x14ac:dyDescent="0.2">
      <c r="A725" s="46" t="s">
        <v>26</v>
      </c>
      <c r="B725" s="46" t="s">
        <v>122</v>
      </c>
      <c r="C725" s="46" t="s">
        <v>95</v>
      </c>
      <c r="D725" s="46" t="s">
        <v>178</v>
      </c>
      <c r="E725" s="46">
        <v>5</v>
      </c>
      <c r="F725" s="46" t="s">
        <v>62</v>
      </c>
      <c r="G725" s="46">
        <v>2</v>
      </c>
      <c r="H725" s="47" t="s">
        <v>79</v>
      </c>
      <c r="I725" s="47" t="s">
        <v>127</v>
      </c>
      <c r="J725" s="48">
        <v>4</v>
      </c>
      <c r="K725" s="48">
        <v>1</v>
      </c>
      <c r="N725" s="48">
        <v>1</v>
      </c>
      <c r="R725" s="46">
        <f t="shared" si="82"/>
        <v>1</v>
      </c>
      <c r="S725" s="46">
        <f t="shared" si="83"/>
        <v>0</v>
      </c>
      <c r="T725" s="46">
        <f t="shared" si="81"/>
        <v>80</v>
      </c>
      <c r="U725" s="46">
        <f t="shared" si="84"/>
        <v>75</v>
      </c>
      <c r="V725" s="54">
        <f t="shared" si="85"/>
        <v>76.785714285714292</v>
      </c>
    </row>
    <row r="726" spans="1:22" x14ac:dyDescent="0.2">
      <c r="A726" s="46" t="s">
        <v>26</v>
      </c>
      <c r="B726" s="46" t="s">
        <v>122</v>
      </c>
      <c r="C726" s="46" t="s">
        <v>95</v>
      </c>
      <c r="D726" s="46" t="s">
        <v>178</v>
      </c>
      <c r="E726" s="46">
        <v>5</v>
      </c>
      <c r="F726" s="46" t="s">
        <v>62</v>
      </c>
      <c r="G726" s="46">
        <v>3</v>
      </c>
      <c r="H726" s="47" t="s">
        <v>85</v>
      </c>
      <c r="I726" s="47" t="s">
        <v>219</v>
      </c>
      <c r="J726" s="48">
        <v>4</v>
      </c>
      <c r="K726" s="48">
        <v>0</v>
      </c>
      <c r="R726" s="46">
        <f t="shared" si="82"/>
        <v>1</v>
      </c>
      <c r="S726" s="46">
        <f t="shared" si="83"/>
        <v>0</v>
      </c>
      <c r="T726" s="46">
        <f t="shared" si="81"/>
        <v>90</v>
      </c>
      <c r="U726" s="46">
        <f t="shared" si="84"/>
        <v>90</v>
      </c>
      <c r="V726" s="54">
        <f t="shared" si="85"/>
        <v>76.785714285714292</v>
      </c>
    </row>
    <row r="727" spans="1:22" x14ac:dyDescent="0.2">
      <c r="A727" s="46" t="s">
        <v>26</v>
      </c>
      <c r="B727" s="46" t="s">
        <v>122</v>
      </c>
      <c r="C727" s="46" t="str">
        <f>VLOOKUP(B727,$B$2:$C$3219,2,FALSE)</f>
        <v>Tacoma</v>
      </c>
      <c r="D727" s="46" t="s">
        <v>178</v>
      </c>
      <c r="E727" s="46">
        <v>5</v>
      </c>
      <c r="F727" s="46" t="s">
        <v>62</v>
      </c>
      <c r="G727" s="46">
        <v>3</v>
      </c>
      <c r="H727" s="47" t="s">
        <v>87</v>
      </c>
      <c r="I727" s="47" t="s">
        <v>219</v>
      </c>
      <c r="J727" s="48">
        <v>4</v>
      </c>
      <c r="K727" s="48">
        <v>0</v>
      </c>
      <c r="R727" s="46">
        <f t="shared" si="82"/>
        <v>1</v>
      </c>
      <c r="S727" s="46">
        <f t="shared" si="83"/>
        <v>0</v>
      </c>
      <c r="T727" s="46">
        <f t="shared" si="81"/>
        <v>90</v>
      </c>
      <c r="U727" s="46">
        <f t="shared" si="84"/>
        <v>90</v>
      </c>
      <c r="V727" s="54">
        <f t="shared" si="85"/>
        <v>76.785714285714292</v>
      </c>
    </row>
    <row r="728" spans="1:22" x14ac:dyDescent="0.2">
      <c r="A728" s="46" t="s">
        <v>216</v>
      </c>
      <c r="B728" s="46" t="s">
        <v>55</v>
      </c>
      <c r="C728" s="46" t="s">
        <v>90</v>
      </c>
      <c r="D728" s="46" t="s">
        <v>178</v>
      </c>
      <c r="E728" s="46">
        <v>3</v>
      </c>
      <c r="F728" s="46" t="s">
        <v>60</v>
      </c>
      <c r="G728" s="46">
        <v>1</v>
      </c>
      <c r="H728" s="47">
        <v>5</v>
      </c>
      <c r="I728" s="47" t="s">
        <v>101</v>
      </c>
      <c r="J728" s="48">
        <v>0</v>
      </c>
      <c r="K728" s="48">
        <v>1</v>
      </c>
      <c r="R728" s="46">
        <f t="shared" si="82"/>
        <v>0</v>
      </c>
      <c r="S728" s="46">
        <f t="shared" si="83"/>
        <v>0</v>
      </c>
      <c r="T728" s="46">
        <f t="shared" si="81"/>
        <v>0</v>
      </c>
      <c r="U728" s="46">
        <f t="shared" si="84"/>
        <v>0</v>
      </c>
      <c r="V728" s="54">
        <f t="shared" si="85"/>
        <v>1.7647058823529411</v>
      </c>
    </row>
    <row r="729" spans="1:22" x14ac:dyDescent="0.2">
      <c r="A729" s="46" t="s">
        <v>216</v>
      </c>
      <c r="B729" s="46" t="s">
        <v>55</v>
      </c>
      <c r="C729" s="46" t="s">
        <v>90</v>
      </c>
      <c r="D729" s="46" t="s">
        <v>178</v>
      </c>
      <c r="E729" s="46">
        <v>4</v>
      </c>
      <c r="F729" s="46" t="s">
        <v>60</v>
      </c>
      <c r="G729" s="46">
        <v>3</v>
      </c>
      <c r="H729" s="47">
        <v>7</v>
      </c>
      <c r="I729" s="47" t="s">
        <v>159</v>
      </c>
      <c r="J729" s="48">
        <v>0</v>
      </c>
      <c r="K729" s="48">
        <v>0</v>
      </c>
      <c r="R729" s="46">
        <f t="shared" si="82"/>
        <v>0</v>
      </c>
      <c r="S729" s="46">
        <f t="shared" si="83"/>
        <v>0</v>
      </c>
      <c r="T729" s="46">
        <f t="shared" si="81"/>
        <v>0</v>
      </c>
      <c r="U729" s="46">
        <f t="shared" si="84"/>
        <v>0</v>
      </c>
      <c r="V729" s="54">
        <f t="shared" si="85"/>
        <v>1.7647058823529411</v>
      </c>
    </row>
    <row r="730" spans="1:22" x14ac:dyDescent="0.2">
      <c r="A730" s="46" t="s">
        <v>216</v>
      </c>
      <c r="B730" s="46" t="s">
        <v>55</v>
      </c>
      <c r="C730" s="46" t="s">
        <v>90</v>
      </c>
      <c r="D730" s="46" t="s">
        <v>178</v>
      </c>
      <c r="E730" s="46">
        <v>3</v>
      </c>
      <c r="F730" s="46" t="s">
        <v>60</v>
      </c>
      <c r="G730" s="46">
        <v>3</v>
      </c>
      <c r="H730" s="47">
        <v>15</v>
      </c>
      <c r="I730" s="47" t="s">
        <v>116</v>
      </c>
      <c r="J730" s="48">
        <v>0</v>
      </c>
      <c r="K730" s="48">
        <v>0</v>
      </c>
      <c r="R730" s="46">
        <f t="shared" si="82"/>
        <v>0</v>
      </c>
      <c r="S730" s="46">
        <f t="shared" si="83"/>
        <v>0</v>
      </c>
      <c r="T730" s="46">
        <f t="shared" si="81"/>
        <v>0</v>
      </c>
      <c r="U730" s="46">
        <f t="shared" si="84"/>
        <v>0</v>
      </c>
      <c r="V730" s="54">
        <f t="shared" si="85"/>
        <v>1.7647058823529411</v>
      </c>
    </row>
    <row r="731" spans="1:22" x14ac:dyDescent="0.2">
      <c r="A731" s="46" t="s">
        <v>216</v>
      </c>
      <c r="B731" s="46" t="s">
        <v>55</v>
      </c>
      <c r="C731" s="46" t="s">
        <v>90</v>
      </c>
      <c r="D731" s="46" t="s">
        <v>178</v>
      </c>
      <c r="E731" s="46">
        <v>4</v>
      </c>
      <c r="F731" s="46" t="s">
        <v>60</v>
      </c>
      <c r="G731" s="46">
        <v>4</v>
      </c>
      <c r="H731" s="47">
        <v>16</v>
      </c>
      <c r="I731" s="47" t="s">
        <v>102</v>
      </c>
      <c r="J731" s="48">
        <v>0</v>
      </c>
      <c r="K731" s="48">
        <v>0</v>
      </c>
      <c r="R731" s="46">
        <f t="shared" si="82"/>
        <v>0</v>
      </c>
      <c r="S731" s="46">
        <f t="shared" si="83"/>
        <v>0</v>
      </c>
      <c r="T731" s="46">
        <f t="shared" si="81"/>
        <v>0</v>
      </c>
      <c r="U731" s="46">
        <f t="shared" si="84"/>
        <v>0</v>
      </c>
      <c r="V731" s="54">
        <f t="shared" si="85"/>
        <v>1.7647058823529411</v>
      </c>
    </row>
    <row r="732" spans="1:22" x14ac:dyDescent="0.2">
      <c r="A732" s="46" t="s">
        <v>216</v>
      </c>
      <c r="B732" s="46" t="s">
        <v>55</v>
      </c>
      <c r="C732" s="46" t="s">
        <v>90</v>
      </c>
      <c r="D732" s="46" t="s">
        <v>178</v>
      </c>
      <c r="E732" s="46">
        <v>3</v>
      </c>
      <c r="F732" s="46" t="s">
        <v>60</v>
      </c>
      <c r="G732" s="46">
        <v>2</v>
      </c>
      <c r="H732" s="47">
        <v>22</v>
      </c>
      <c r="I732" s="47" t="s">
        <v>127</v>
      </c>
      <c r="J732" s="48">
        <v>0</v>
      </c>
      <c r="K732" s="48">
        <v>0</v>
      </c>
      <c r="R732" s="46">
        <f t="shared" si="82"/>
        <v>0</v>
      </c>
      <c r="S732" s="46">
        <f t="shared" si="83"/>
        <v>0</v>
      </c>
      <c r="T732" s="46">
        <f t="shared" si="81"/>
        <v>0</v>
      </c>
      <c r="U732" s="46">
        <f t="shared" si="84"/>
        <v>0</v>
      </c>
      <c r="V732" s="54">
        <f t="shared" si="85"/>
        <v>1.7647058823529411</v>
      </c>
    </row>
    <row r="733" spans="1:22" x14ac:dyDescent="0.2">
      <c r="A733" s="46" t="s">
        <v>216</v>
      </c>
      <c r="B733" s="46" t="s">
        <v>55</v>
      </c>
      <c r="C733" s="46" t="s">
        <v>90</v>
      </c>
      <c r="D733" s="46" t="s">
        <v>178</v>
      </c>
      <c r="E733" s="46">
        <v>4</v>
      </c>
      <c r="F733" s="46" t="s">
        <v>60</v>
      </c>
      <c r="G733" s="46">
        <v>4</v>
      </c>
      <c r="H733" s="47">
        <v>24</v>
      </c>
      <c r="I733" s="47" t="s">
        <v>102</v>
      </c>
      <c r="J733" s="48">
        <v>0</v>
      </c>
      <c r="K733" s="48">
        <v>0</v>
      </c>
      <c r="R733" s="46">
        <f t="shared" si="82"/>
        <v>0</v>
      </c>
      <c r="S733" s="46">
        <f t="shared" si="83"/>
        <v>0</v>
      </c>
      <c r="T733" s="46">
        <f t="shared" si="81"/>
        <v>0</v>
      </c>
      <c r="U733" s="46">
        <f t="shared" si="84"/>
        <v>0</v>
      </c>
      <c r="V733" s="54">
        <f t="shared" si="85"/>
        <v>1.7647058823529411</v>
      </c>
    </row>
    <row r="734" spans="1:22" x14ac:dyDescent="0.2">
      <c r="A734" s="46" t="s">
        <v>216</v>
      </c>
      <c r="B734" s="46" t="s">
        <v>55</v>
      </c>
      <c r="C734" s="46" t="s">
        <v>90</v>
      </c>
      <c r="D734" s="46" t="s">
        <v>178</v>
      </c>
      <c r="E734" s="46">
        <v>3</v>
      </c>
      <c r="F734" s="46" t="s">
        <v>60</v>
      </c>
      <c r="G734" s="46">
        <v>1</v>
      </c>
      <c r="H734" s="47">
        <v>29</v>
      </c>
      <c r="I734" s="47" t="s">
        <v>101</v>
      </c>
      <c r="J734" s="48">
        <v>0</v>
      </c>
      <c r="K734" s="48">
        <v>0</v>
      </c>
      <c r="R734" s="46">
        <f t="shared" si="82"/>
        <v>0</v>
      </c>
      <c r="S734" s="46">
        <f t="shared" si="83"/>
        <v>0</v>
      </c>
      <c r="T734" s="46">
        <f t="shared" si="81"/>
        <v>0</v>
      </c>
      <c r="U734" s="46">
        <f t="shared" si="84"/>
        <v>0</v>
      </c>
      <c r="V734" s="54">
        <f t="shared" si="85"/>
        <v>1.7647058823529411</v>
      </c>
    </row>
    <row r="735" spans="1:22" x14ac:dyDescent="0.2">
      <c r="A735" s="46" t="s">
        <v>216</v>
      </c>
      <c r="B735" s="46" t="s">
        <v>55</v>
      </c>
      <c r="C735" s="46" t="s">
        <v>90</v>
      </c>
      <c r="D735" s="46" t="s">
        <v>178</v>
      </c>
      <c r="E735" s="46">
        <v>4</v>
      </c>
      <c r="F735" s="46" t="s">
        <v>60</v>
      </c>
      <c r="G735" s="46">
        <v>2</v>
      </c>
      <c r="H735" s="47">
        <v>34</v>
      </c>
      <c r="I735" s="47" t="s">
        <v>127</v>
      </c>
      <c r="J735" s="48">
        <v>0</v>
      </c>
      <c r="K735" s="48">
        <v>0</v>
      </c>
      <c r="R735" s="46">
        <f t="shared" si="82"/>
        <v>0</v>
      </c>
      <c r="S735" s="46">
        <f t="shared" si="83"/>
        <v>0</v>
      </c>
      <c r="T735" s="46">
        <f t="shared" si="81"/>
        <v>0</v>
      </c>
      <c r="U735" s="46">
        <f t="shared" si="84"/>
        <v>0</v>
      </c>
      <c r="V735" s="54">
        <f t="shared" si="85"/>
        <v>1.7647058823529411</v>
      </c>
    </row>
    <row r="736" spans="1:22" x14ac:dyDescent="0.2">
      <c r="A736" s="46" t="s">
        <v>216</v>
      </c>
      <c r="B736" s="46" t="s">
        <v>55</v>
      </c>
      <c r="C736" s="46" t="s">
        <v>90</v>
      </c>
      <c r="D736" s="46" t="s">
        <v>178</v>
      </c>
      <c r="E736" s="46">
        <v>3</v>
      </c>
      <c r="F736" s="46" t="s">
        <v>60</v>
      </c>
      <c r="G736" s="46">
        <v>3</v>
      </c>
      <c r="H736" s="47">
        <v>39</v>
      </c>
      <c r="I736" s="47" t="s">
        <v>116</v>
      </c>
      <c r="J736" s="48">
        <v>0</v>
      </c>
      <c r="K736" s="48">
        <v>0</v>
      </c>
      <c r="R736" s="46">
        <f t="shared" si="82"/>
        <v>0</v>
      </c>
      <c r="S736" s="46">
        <f t="shared" si="83"/>
        <v>0</v>
      </c>
      <c r="T736" s="46">
        <f t="shared" si="81"/>
        <v>0</v>
      </c>
      <c r="U736" s="46">
        <f t="shared" si="84"/>
        <v>0</v>
      </c>
      <c r="V736" s="54">
        <f t="shared" si="85"/>
        <v>1.7647058823529411</v>
      </c>
    </row>
    <row r="737" spans="1:22" x14ac:dyDescent="0.2">
      <c r="A737" s="46" t="s">
        <v>216</v>
      </c>
      <c r="B737" s="46" t="s">
        <v>55</v>
      </c>
      <c r="C737" s="46" t="s">
        <v>90</v>
      </c>
      <c r="D737" s="46" t="s">
        <v>178</v>
      </c>
      <c r="E737" s="46">
        <v>4</v>
      </c>
      <c r="F737" s="46" t="s">
        <v>60</v>
      </c>
      <c r="G737" s="46">
        <v>2</v>
      </c>
      <c r="H737" s="47">
        <v>42</v>
      </c>
      <c r="I737" s="47" t="s">
        <v>127</v>
      </c>
      <c r="J737" s="48">
        <v>0</v>
      </c>
      <c r="K737" s="48">
        <v>0</v>
      </c>
      <c r="R737" s="46">
        <f t="shared" si="82"/>
        <v>0</v>
      </c>
      <c r="S737" s="46">
        <f t="shared" si="83"/>
        <v>0</v>
      </c>
      <c r="T737" s="46">
        <f t="shared" si="81"/>
        <v>0</v>
      </c>
      <c r="U737" s="46">
        <f t="shared" si="84"/>
        <v>0</v>
      </c>
      <c r="V737" s="54">
        <f t="shared" si="85"/>
        <v>1.7647058823529411</v>
      </c>
    </row>
    <row r="738" spans="1:22" x14ac:dyDescent="0.2">
      <c r="A738" s="46" t="s">
        <v>216</v>
      </c>
      <c r="B738" s="46" t="s">
        <v>55</v>
      </c>
      <c r="C738" s="46" t="s">
        <v>90</v>
      </c>
      <c r="D738" s="46" t="s">
        <v>178</v>
      </c>
      <c r="E738" s="46">
        <v>3</v>
      </c>
      <c r="F738" s="46" t="s">
        <v>60</v>
      </c>
      <c r="G738" s="46">
        <v>2</v>
      </c>
      <c r="H738" s="47">
        <v>46</v>
      </c>
      <c r="I738" s="47" t="s">
        <v>127</v>
      </c>
      <c r="J738" s="48">
        <v>0</v>
      </c>
      <c r="K738" s="48">
        <v>0</v>
      </c>
      <c r="R738" s="46">
        <f t="shared" si="82"/>
        <v>0</v>
      </c>
      <c r="S738" s="46">
        <f t="shared" si="83"/>
        <v>0</v>
      </c>
      <c r="T738" s="46">
        <f t="shared" si="81"/>
        <v>0</v>
      </c>
      <c r="U738" s="46">
        <f t="shared" si="84"/>
        <v>0</v>
      </c>
      <c r="V738" s="54">
        <f t="shared" si="85"/>
        <v>1.7647058823529411</v>
      </c>
    </row>
    <row r="739" spans="1:22" x14ac:dyDescent="0.2">
      <c r="A739" s="46" t="s">
        <v>216</v>
      </c>
      <c r="B739" s="46" t="s">
        <v>55</v>
      </c>
      <c r="C739" s="46" t="s">
        <v>90</v>
      </c>
      <c r="D739" s="46" t="s">
        <v>178</v>
      </c>
      <c r="E739" s="46">
        <v>4</v>
      </c>
      <c r="F739" s="46" t="s">
        <v>60</v>
      </c>
      <c r="G739" s="46">
        <v>1</v>
      </c>
      <c r="H739" s="47">
        <v>49</v>
      </c>
      <c r="I739" s="47" t="s">
        <v>101</v>
      </c>
      <c r="J739" s="48">
        <v>0</v>
      </c>
      <c r="K739" s="48">
        <v>1</v>
      </c>
      <c r="R739" s="46">
        <f t="shared" si="82"/>
        <v>0</v>
      </c>
      <c r="S739" s="46">
        <f t="shared" si="83"/>
        <v>0</v>
      </c>
      <c r="T739" s="46">
        <f t="shared" si="81"/>
        <v>0</v>
      </c>
      <c r="U739" s="46">
        <f t="shared" si="84"/>
        <v>0</v>
      </c>
      <c r="V739" s="54">
        <f t="shared" si="85"/>
        <v>1.7647058823529411</v>
      </c>
    </row>
    <row r="740" spans="1:22" x14ac:dyDescent="0.2">
      <c r="A740" s="46" t="s">
        <v>216</v>
      </c>
      <c r="B740" s="46" t="s">
        <v>55</v>
      </c>
      <c r="C740" s="46" t="s">
        <v>90</v>
      </c>
      <c r="D740" s="46" t="s">
        <v>178</v>
      </c>
      <c r="E740" s="46">
        <v>3</v>
      </c>
      <c r="F740" s="46" t="s">
        <v>61</v>
      </c>
      <c r="G740" s="46">
        <v>1</v>
      </c>
      <c r="H740" s="47" t="s">
        <v>67</v>
      </c>
      <c r="I740" s="47" t="s">
        <v>101</v>
      </c>
      <c r="J740" s="48">
        <v>0</v>
      </c>
      <c r="K740" s="48">
        <v>0</v>
      </c>
      <c r="R740" s="46">
        <f t="shared" si="82"/>
        <v>0</v>
      </c>
      <c r="S740" s="46">
        <f t="shared" si="83"/>
        <v>0</v>
      </c>
      <c r="T740" s="46">
        <f t="shared" si="81"/>
        <v>0</v>
      </c>
      <c r="U740" s="46">
        <f t="shared" si="84"/>
        <v>0</v>
      </c>
      <c r="V740" s="54">
        <f t="shared" si="85"/>
        <v>1.7647058823529411</v>
      </c>
    </row>
    <row r="741" spans="1:22" x14ac:dyDescent="0.2">
      <c r="A741" s="46" t="s">
        <v>216</v>
      </c>
      <c r="B741" s="46" t="s">
        <v>55</v>
      </c>
      <c r="C741" s="46" t="s">
        <v>90</v>
      </c>
      <c r="D741" s="46" t="s">
        <v>178</v>
      </c>
      <c r="E741" s="46">
        <v>4</v>
      </c>
      <c r="F741" s="46" t="s">
        <v>61</v>
      </c>
      <c r="G741" s="46">
        <v>1</v>
      </c>
      <c r="H741" s="47" t="s">
        <v>67</v>
      </c>
      <c r="I741" s="47" t="s">
        <v>101</v>
      </c>
      <c r="J741" s="48">
        <v>0</v>
      </c>
      <c r="K741" s="48">
        <v>0</v>
      </c>
      <c r="R741" s="46">
        <f t="shared" si="82"/>
        <v>0</v>
      </c>
      <c r="S741" s="46">
        <f t="shared" si="83"/>
        <v>0</v>
      </c>
      <c r="T741" s="46">
        <f t="shared" ref="T741:T798" si="86">quizscore(J741,K741)</f>
        <v>0</v>
      </c>
      <c r="U741" s="46">
        <f t="shared" si="84"/>
        <v>0</v>
      </c>
      <c r="V741" s="54">
        <f t="shared" si="85"/>
        <v>1.7647058823529411</v>
      </c>
    </row>
    <row r="742" spans="1:22" x14ac:dyDescent="0.2">
      <c r="A742" s="46" t="s">
        <v>216</v>
      </c>
      <c r="B742" s="46" t="s">
        <v>55</v>
      </c>
      <c r="C742" s="46" t="s">
        <v>90</v>
      </c>
      <c r="D742" s="46" t="s">
        <v>178</v>
      </c>
      <c r="E742" s="46">
        <v>3</v>
      </c>
      <c r="F742" s="46" t="s">
        <v>61</v>
      </c>
      <c r="G742" s="46">
        <v>2</v>
      </c>
      <c r="H742" s="47" t="s">
        <v>76</v>
      </c>
      <c r="I742" s="47" t="s">
        <v>127</v>
      </c>
      <c r="J742" s="48">
        <v>0</v>
      </c>
      <c r="K742" s="48">
        <v>0</v>
      </c>
      <c r="R742" s="46">
        <f t="shared" si="82"/>
        <v>0</v>
      </c>
      <c r="S742" s="46">
        <f t="shared" si="83"/>
        <v>0</v>
      </c>
      <c r="T742" s="46">
        <f t="shared" si="86"/>
        <v>0</v>
      </c>
      <c r="U742" s="46">
        <f t="shared" si="84"/>
        <v>0</v>
      </c>
      <c r="V742" s="54">
        <f t="shared" si="85"/>
        <v>1.7647058823529411</v>
      </c>
    </row>
    <row r="743" spans="1:22" x14ac:dyDescent="0.2">
      <c r="A743" s="46" t="s">
        <v>216</v>
      </c>
      <c r="B743" s="46" t="s">
        <v>55</v>
      </c>
      <c r="C743" s="46" t="s">
        <v>90</v>
      </c>
      <c r="D743" s="46" t="s">
        <v>178</v>
      </c>
      <c r="E743" s="46">
        <v>4</v>
      </c>
      <c r="F743" s="46" t="s">
        <v>61</v>
      </c>
      <c r="G743" s="46">
        <v>2</v>
      </c>
      <c r="H743" s="47" t="s">
        <v>76</v>
      </c>
      <c r="I743" s="47" t="s">
        <v>127</v>
      </c>
      <c r="J743" s="48">
        <v>0</v>
      </c>
      <c r="K743" s="48">
        <v>1</v>
      </c>
      <c r="R743" s="46">
        <f t="shared" si="82"/>
        <v>0</v>
      </c>
      <c r="S743" s="46">
        <f t="shared" si="83"/>
        <v>0</v>
      </c>
      <c r="T743" s="46">
        <f t="shared" si="86"/>
        <v>0</v>
      </c>
      <c r="U743" s="46">
        <f t="shared" si="84"/>
        <v>0</v>
      </c>
      <c r="V743" s="54">
        <f t="shared" si="85"/>
        <v>1.7647058823529411</v>
      </c>
    </row>
    <row r="744" spans="1:22" x14ac:dyDescent="0.2">
      <c r="A744" s="46" t="s">
        <v>216</v>
      </c>
      <c r="B744" s="46" t="s">
        <v>55</v>
      </c>
      <c r="C744" s="46" t="s">
        <v>90</v>
      </c>
      <c r="D744" s="46" t="s">
        <v>178</v>
      </c>
      <c r="E744" s="46">
        <v>3</v>
      </c>
      <c r="F744" s="46" t="s">
        <v>61</v>
      </c>
      <c r="G744" s="46">
        <v>2</v>
      </c>
      <c r="H744" s="47" t="s">
        <v>66</v>
      </c>
      <c r="I744" s="47" t="s">
        <v>127</v>
      </c>
      <c r="J744" s="48">
        <v>0</v>
      </c>
      <c r="K744" s="48">
        <v>0</v>
      </c>
      <c r="R744" s="46">
        <f t="shared" si="82"/>
        <v>0</v>
      </c>
      <c r="S744" s="46">
        <f t="shared" si="83"/>
        <v>0</v>
      </c>
      <c r="T744" s="46">
        <f t="shared" si="86"/>
        <v>0</v>
      </c>
      <c r="U744" s="46">
        <f t="shared" si="84"/>
        <v>0</v>
      </c>
      <c r="V744" s="54">
        <f t="shared" si="85"/>
        <v>1.7647058823529411</v>
      </c>
    </row>
    <row r="745" spans="1:22" x14ac:dyDescent="0.2">
      <c r="A745" s="46" t="s">
        <v>216</v>
      </c>
      <c r="B745" s="46" t="s">
        <v>55</v>
      </c>
      <c r="C745" s="46" t="s">
        <v>90</v>
      </c>
      <c r="D745" s="46" t="s">
        <v>178</v>
      </c>
      <c r="E745" s="46">
        <v>4</v>
      </c>
      <c r="F745" s="46" t="s">
        <v>61</v>
      </c>
      <c r="G745" s="46">
        <v>2</v>
      </c>
      <c r="H745" s="47" t="s">
        <v>66</v>
      </c>
      <c r="I745" s="47" t="s">
        <v>127</v>
      </c>
      <c r="J745" s="48">
        <v>0</v>
      </c>
      <c r="K745" s="48">
        <v>0</v>
      </c>
      <c r="R745" s="46">
        <f t="shared" si="82"/>
        <v>0</v>
      </c>
      <c r="S745" s="46">
        <f t="shared" si="83"/>
        <v>0</v>
      </c>
      <c r="T745" s="46">
        <f t="shared" si="86"/>
        <v>0</v>
      </c>
      <c r="U745" s="46">
        <f t="shared" si="84"/>
        <v>0</v>
      </c>
      <c r="V745" s="54">
        <f t="shared" si="85"/>
        <v>1.7647058823529411</v>
      </c>
    </row>
    <row r="746" spans="1:22" x14ac:dyDescent="0.2">
      <c r="A746" s="46" t="s">
        <v>216</v>
      </c>
      <c r="B746" s="46" t="s">
        <v>55</v>
      </c>
      <c r="C746" s="46" t="s">
        <v>90</v>
      </c>
      <c r="D746" s="46" t="s">
        <v>178</v>
      </c>
      <c r="E746" s="46">
        <v>4</v>
      </c>
      <c r="F746" s="46" t="s">
        <v>61</v>
      </c>
      <c r="G746" s="46">
        <v>1</v>
      </c>
      <c r="H746" s="47" t="s">
        <v>71</v>
      </c>
      <c r="I746" s="47" t="s">
        <v>101</v>
      </c>
      <c r="J746" s="48">
        <v>0</v>
      </c>
      <c r="K746" s="48">
        <v>0</v>
      </c>
      <c r="R746" s="46">
        <f t="shared" si="82"/>
        <v>0</v>
      </c>
      <c r="S746" s="46">
        <f t="shared" si="83"/>
        <v>0</v>
      </c>
      <c r="T746" s="46">
        <f t="shared" si="86"/>
        <v>0</v>
      </c>
      <c r="U746" s="46">
        <f t="shared" si="84"/>
        <v>0</v>
      </c>
      <c r="V746" s="54">
        <f t="shared" si="85"/>
        <v>1.7647058823529411</v>
      </c>
    </row>
    <row r="747" spans="1:22" x14ac:dyDescent="0.2">
      <c r="A747" s="46" t="s">
        <v>216</v>
      </c>
      <c r="B747" s="46" t="s">
        <v>55</v>
      </c>
      <c r="C747" s="46" t="s">
        <v>90</v>
      </c>
      <c r="D747" s="46" t="s">
        <v>178</v>
      </c>
      <c r="E747" s="46">
        <v>5</v>
      </c>
      <c r="F747" s="46" t="s">
        <v>60</v>
      </c>
      <c r="G747" s="46">
        <v>3</v>
      </c>
      <c r="H747" s="47">
        <v>11</v>
      </c>
      <c r="I747" s="47" t="s">
        <v>159</v>
      </c>
      <c r="J747" s="48">
        <v>0</v>
      </c>
      <c r="K747" s="48">
        <v>0</v>
      </c>
      <c r="R747" s="46">
        <f t="shared" si="82"/>
        <v>0</v>
      </c>
      <c r="S747" s="46">
        <f t="shared" si="83"/>
        <v>0</v>
      </c>
      <c r="T747" s="46">
        <f t="shared" si="86"/>
        <v>0</v>
      </c>
      <c r="U747" s="46">
        <f t="shared" si="84"/>
        <v>0</v>
      </c>
      <c r="V747" s="54">
        <f t="shared" si="85"/>
        <v>1.7647058823529411</v>
      </c>
    </row>
    <row r="748" spans="1:22" x14ac:dyDescent="0.2">
      <c r="A748" s="46" t="s">
        <v>216</v>
      </c>
      <c r="B748" s="46" t="s">
        <v>55</v>
      </c>
      <c r="C748" s="46" t="s">
        <v>90</v>
      </c>
      <c r="D748" s="46" t="s">
        <v>178</v>
      </c>
      <c r="E748" s="46">
        <v>5</v>
      </c>
      <c r="F748" s="46" t="s">
        <v>60</v>
      </c>
      <c r="G748" s="46">
        <v>4</v>
      </c>
      <c r="H748" s="47">
        <v>28</v>
      </c>
      <c r="I748" s="47" t="s">
        <v>102</v>
      </c>
      <c r="J748" s="48">
        <v>1</v>
      </c>
      <c r="K748" s="48">
        <v>0</v>
      </c>
      <c r="O748" s="48">
        <v>1</v>
      </c>
      <c r="R748" s="46">
        <f t="shared" si="82"/>
        <v>0</v>
      </c>
      <c r="S748" s="46">
        <f t="shared" si="83"/>
        <v>0</v>
      </c>
      <c r="T748" s="46">
        <f t="shared" si="86"/>
        <v>20</v>
      </c>
      <c r="U748" s="46">
        <f t="shared" si="84"/>
        <v>30</v>
      </c>
      <c r="V748" s="54">
        <f t="shared" si="85"/>
        <v>1.7647058823529411</v>
      </c>
    </row>
    <row r="749" spans="1:22" x14ac:dyDescent="0.2">
      <c r="A749" s="46" t="s">
        <v>216</v>
      </c>
      <c r="B749" s="46" t="s">
        <v>55</v>
      </c>
      <c r="C749" s="46" t="s">
        <v>90</v>
      </c>
      <c r="D749" s="46" t="s">
        <v>178</v>
      </c>
      <c r="E749" s="46">
        <v>5</v>
      </c>
      <c r="F749" s="46" t="s">
        <v>60</v>
      </c>
      <c r="G749" s="46">
        <v>1</v>
      </c>
      <c r="H749" s="47">
        <v>33</v>
      </c>
      <c r="I749" s="47" t="s">
        <v>101</v>
      </c>
      <c r="J749" s="48">
        <v>0</v>
      </c>
      <c r="K749" s="48">
        <v>0</v>
      </c>
      <c r="R749" s="46">
        <f t="shared" si="82"/>
        <v>0</v>
      </c>
      <c r="S749" s="46">
        <f t="shared" si="83"/>
        <v>0</v>
      </c>
      <c r="T749" s="46">
        <f t="shared" si="86"/>
        <v>0</v>
      </c>
      <c r="U749" s="46">
        <f t="shared" si="84"/>
        <v>0</v>
      </c>
      <c r="V749" s="54">
        <f t="shared" si="85"/>
        <v>1.7647058823529411</v>
      </c>
    </row>
    <row r="750" spans="1:22" x14ac:dyDescent="0.2">
      <c r="A750" s="46" t="s">
        <v>216</v>
      </c>
      <c r="B750" s="46" t="s">
        <v>206</v>
      </c>
      <c r="C750" s="46" t="s">
        <v>91</v>
      </c>
      <c r="D750" s="46" t="s">
        <v>178</v>
      </c>
      <c r="E750" s="46">
        <v>5</v>
      </c>
      <c r="F750" s="46" t="s">
        <v>60</v>
      </c>
      <c r="G750" s="46">
        <v>2</v>
      </c>
      <c r="H750" s="47">
        <v>42</v>
      </c>
      <c r="I750" s="47" t="s">
        <v>127</v>
      </c>
      <c r="J750" s="48">
        <v>0</v>
      </c>
      <c r="K750" s="48">
        <v>0</v>
      </c>
      <c r="R750" s="46">
        <f t="shared" si="82"/>
        <v>0</v>
      </c>
      <c r="S750" s="46">
        <f t="shared" si="83"/>
        <v>0</v>
      </c>
      <c r="T750" s="46">
        <f t="shared" si="86"/>
        <v>0</v>
      </c>
      <c r="U750" s="46">
        <f t="shared" si="84"/>
        <v>0</v>
      </c>
      <c r="V750" s="54">
        <f t="shared" si="85"/>
        <v>1.7647058823529411</v>
      </c>
    </row>
    <row r="751" spans="1:22" x14ac:dyDescent="0.2">
      <c r="A751" s="46" t="s">
        <v>216</v>
      </c>
      <c r="B751" s="46" t="s">
        <v>55</v>
      </c>
      <c r="C751" s="46" t="s">
        <v>90</v>
      </c>
      <c r="D751" s="46" t="s">
        <v>178</v>
      </c>
      <c r="E751" s="46">
        <v>5</v>
      </c>
      <c r="F751" s="46" t="s">
        <v>60</v>
      </c>
      <c r="G751" s="46">
        <v>1</v>
      </c>
      <c r="H751" s="47">
        <v>49</v>
      </c>
      <c r="I751" s="47" t="s">
        <v>101</v>
      </c>
      <c r="J751" s="48">
        <v>0</v>
      </c>
      <c r="K751" s="48">
        <v>0</v>
      </c>
      <c r="R751" s="46">
        <f t="shared" si="82"/>
        <v>0</v>
      </c>
      <c r="S751" s="46">
        <f t="shared" si="83"/>
        <v>0</v>
      </c>
      <c r="T751" s="46">
        <f t="shared" si="86"/>
        <v>0</v>
      </c>
      <c r="U751" s="46">
        <f t="shared" si="84"/>
        <v>0</v>
      </c>
      <c r="V751" s="54">
        <f t="shared" si="85"/>
        <v>1.7647058823529411</v>
      </c>
    </row>
    <row r="752" spans="1:22" x14ac:dyDescent="0.2">
      <c r="A752" s="46" t="s">
        <v>216</v>
      </c>
      <c r="B752" s="46" t="s">
        <v>55</v>
      </c>
      <c r="C752" s="46" t="s">
        <v>90</v>
      </c>
      <c r="D752" s="46" t="s">
        <v>178</v>
      </c>
      <c r="E752" s="46">
        <v>5</v>
      </c>
      <c r="F752" s="46" t="s">
        <v>61</v>
      </c>
      <c r="G752" s="46">
        <v>1</v>
      </c>
      <c r="H752" s="47" t="s">
        <v>70</v>
      </c>
      <c r="I752" s="47" t="s">
        <v>101</v>
      </c>
      <c r="J752" s="48">
        <v>0</v>
      </c>
      <c r="K752" s="48">
        <v>0</v>
      </c>
      <c r="R752" s="46">
        <f t="shared" si="82"/>
        <v>0</v>
      </c>
      <c r="S752" s="46">
        <f t="shared" si="83"/>
        <v>0</v>
      </c>
      <c r="T752" s="46">
        <f t="shared" si="86"/>
        <v>0</v>
      </c>
      <c r="U752" s="46">
        <f t="shared" si="84"/>
        <v>0</v>
      </c>
      <c r="V752" s="54">
        <f t="shared" si="85"/>
        <v>1.7647058823529411</v>
      </c>
    </row>
    <row r="753" spans="1:22" x14ac:dyDescent="0.2">
      <c r="A753" s="46" t="s">
        <v>216</v>
      </c>
      <c r="B753" s="46" t="s">
        <v>55</v>
      </c>
      <c r="C753" s="46" t="s">
        <v>90</v>
      </c>
      <c r="D753" s="46" t="s">
        <v>178</v>
      </c>
      <c r="E753" s="46">
        <v>5</v>
      </c>
      <c r="F753" s="46" t="s">
        <v>61</v>
      </c>
      <c r="G753" s="46">
        <v>2</v>
      </c>
      <c r="H753" s="47" t="s">
        <v>76</v>
      </c>
      <c r="I753" s="47" t="s">
        <v>127</v>
      </c>
      <c r="J753" s="48">
        <v>0</v>
      </c>
      <c r="K753" s="48">
        <v>1</v>
      </c>
      <c r="R753" s="46">
        <f t="shared" si="82"/>
        <v>0</v>
      </c>
      <c r="S753" s="46">
        <f t="shared" si="83"/>
        <v>0</v>
      </c>
      <c r="T753" s="46">
        <f t="shared" si="86"/>
        <v>0</v>
      </c>
      <c r="U753" s="46">
        <f t="shared" si="84"/>
        <v>0</v>
      </c>
      <c r="V753" s="54">
        <f t="shared" si="85"/>
        <v>1.7647058823529411</v>
      </c>
    </row>
    <row r="754" spans="1:22" x14ac:dyDescent="0.2">
      <c r="A754" s="46" t="s">
        <v>111</v>
      </c>
      <c r="B754" s="46" t="s">
        <v>115</v>
      </c>
      <c r="C754" s="46" t="s">
        <v>93</v>
      </c>
      <c r="D754" s="46" t="s">
        <v>178</v>
      </c>
      <c r="E754" s="46">
        <v>3</v>
      </c>
      <c r="F754" s="46" t="s">
        <v>60</v>
      </c>
      <c r="G754" s="46">
        <v>1</v>
      </c>
      <c r="H754" s="47">
        <v>13</v>
      </c>
      <c r="I754" s="47" t="s">
        <v>101</v>
      </c>
      <c r="J754" s="48">
        <v>0</v>
      </c>
      <c r="K754" s="48">
        <v>0</v>
      </c>
      <c r="R754" s="46">
        <f t="shared" si="82"/>
        <v>0</v>
      </c>
      <c r="S754" s="46">
        <f t="shared" si="83"/>
        <v>0</v>
      </c>
      <c r="T754" s="46">
        <f t="shared" si="86"/>
        <v>0</v>
      </c>
      <c r="U754" s="46">
        <f t="shared" si="84"/>
        <v>0</v>
      </c>
      <c r="V754" s="54">
        <f t="shared" si="85"/>
        <v>11.166666666666666</v>
      </c>
    </row>
    <row r="755" spans="1:22" x14ac:dyDescent="0.2">
      <c r="A755" s="46" t="s">
        <v>111</v>
      </c>
      <c r="B755" s="46" t="s">
        <v>115</v>
      </c>
      <c r="C755" s="46" t="s">
        <v>93</v>
      </c>
      <c r="D755" s="46" t="s">
        <v>178</v>
      </c>
      <c r="E755" s="46">
        <v>4</v>
      </c>
      <c r="F755" s="46" t="s">
        <v>60</v>
      </c>
      <c r="G755" s="46">
        <v>2</v>
      </c>
      <c r="H755" s="47">
        <v>14</v>
      </c>
      <c r="I755" s="47" t="s">
        <v>127</v>
      </c>
      <c r="J755" s="48">
        <v>0</v>
      </c>
      <c r="K755" s="48">
        <v>0</v>
      </c>
      <c r="R755" s="46">
        <f t="shared" si="82"/>
        <v>0</v>
      </c>
      <c r="S755" s="46">
        <f t="shared" si="83"/>
        <v>0</v>
      </c>
      <c r="T755" s="46">
        <f t="shared" si="86"/>
        <v>0</v>
      </c>
      <c r="U755" s="46">
        <f t="shared" si="84"/>
        <v>0</v>
      </c>
      <c r="V755" s="54">
        <f t="shared" si="85"/>
        <v>11.166666666666666</v>
      </c>
    </row>
    <row r="756" spans="1:22" x14ac:dyDescent="0.2">
      <c r="A756" s="46" t="s">
        <v>111</v>
      </c>
      <c r="B756" s="46" t="s">
        <v>115</v>
      </c>
      <c r="C756" s="46" t="s">
        <v>93</v>
      </c>
      <c r="D756" s="46" t="s">
        <v>178</v>
      </c>
      <c r="E756" s="46">
        <v>2</v>
      </c>
      <c r="F756" s="46" t="s">
        <v>60</v>
      </c>
      <c r="G756" s="46">
        <v>3</v>
      </c>
      <c r="H756" s="47">
        <v>15</v>
      </c>
      <c r="I756" s="47" t="s">
        <v>116</v>
      </c>
      <c r="J756" s="48">
        <v>0</v>
      </c>
      <c r="K756" s="48">
        <v>0</v>
      </c>
      <c r="R756" s="46">
        <f t="shared" si="82"/>
        <v>0</v>
      </c>
      <c r="S756" s="46">
        <f t="shared" si="83"/>
        <v>0</v>
      </c>
      <c r="T756" s="46">
        <f t="shared" si="86"/>
        <v>0</v>
      </c>
      <c r="U756" s="46">
        <f t="shared" si="84"/>
        <v>0</v>
      </c>
      <c r="V756" s="54">
        <f t="shared" si="85"/>
        <v>11.166666666666666</v>
      </c>
    </row>
    <row r="757" spans="1:22" x14ac:dyDescent="0.2">
      <c r="A757" s="46" t="s">
        <v>111</v>
      </c>
      <c r="B757" s="46" t="s">
        <v>115</v>
      </c>
      <c r="C757" s="46" t="s">
        <v>93</v>
      </c>
      <c r="D757" s="46" t="s">
        <v>178</v>
      </c>
      <c r="E757" s="46">
        <v>1</v>
      </c>
      <c r="F757" s="46" t="s">
        <v>60</v>
      </c>
      <c r="G757" s="46">
        <v>4</v>
      </c>
      <c r="H757" s="47">
        <v>16</v>
      </c>
      <c r="I757" s="47" t="s">
        <v>102</v>
      </c>
      <c r="J757" s="48">
        <v>0</v>
      </c>
      <c r="K757" s="48">
        <v>0</v>
      </c>
      <c r="R757" s="46">
        <f t="shared" si="82"/>
        <v>0</v>
      </c>
      <c r="S757" s="46">
        <f t="shared" si="83"/>
        <v>0</v>
      </c>
      <c r="T757" s="46">
        <f t="shared" si="86"/>
        <v>0</v>
      </c>
      <c r="U757" s="46">
        <f t="shared" si="84"/>
        <v>0</v>
      </c>
      <c r="V757" s="54">
        <f t="shared" si="85"/>
        <v>11.166666666666666</v>
      </c>
    </row>
    <row r="758" spans="1:22" x14ac:dyDescent="0.2">
      <c r="A758" s="46" t="s">
        <v>111</v>
      </c>
      <c r="B758" s="46" t="s">
        <v>115</v>
      </c>
      <c r="C758" s="46" t="s">
        <v>93</v>
      </c>
      <c r="D758" s="46" t="s">
        <v>178</v>
      </c>
      <c r="E758" s="46">
        <v>3</v>
      </c>
      <c r="F758" s="46" t="s">
        <v>60</v>
      </c>
      <c r="G758" s="46">
        <v>4</v>
      </c>
      <c r="H758" s="47">
        <v>20</v>
      </c>
      <c r="I758" s="47" t="s">
        <v>102</v>
      </c>
      <c r="J758" s="48">
        <v>0</v>
      </c>
      <c r="K758" s="48">
        <v>1</v>
      </c>
      <c r="R758" s="46">
        <f t="shared" si="82"/>
        <v>0</v>
      </c>
      <c r="S758" s="46">
        <f t="shared" si="83"/>
        <v>0</v>
      </c>
      <c r="T758" s="46">
        <f t="shared" si="86"/>
        <v>0</v>
      </c>
      <c r="U758" s="46">
        <f t="shared" si="84"/>
        <v>0</v>
      </c>
      <c r="V758" s="54">
        <f t="shared" si="85"/>
        <v>11.166666666666666</v>
      </c>
    </row>
    <row r="759" spans="1:22" x14ac:dyDescent="0.2">
      <c r="A759" s="46" t="s">
        <v>111</v>
      </c>
      <c r="B759" s="46" t="s">
        <v>115</v>
      </c>
      <c r="C759" s="46" t="s">
        <v>93</v>
      </c>
      <c r="D759" s="46" t="s">
        <v>178</v>
      </c>
      <c r="E759" s="46">
        <v>2</v>
      </c>
      <c r="F759" s="46" t="s">
        <v>60</v>
      </c>
      <c r="G759" s="46">
        <v>1</v>
      </c>
      <c r="H759" s="47">
        <v>21</v>
      </c>
      <c r="I759" s="47" t="s">
        <v>101</v>
      </c>
      <c r="J759" s="48">
        <v>0</v>
      </c>
      <c r="K759" s="48">
        <v>0</v>
      </c>
      <c r="R759" s="46">
        <f t="shared" si="82"/>
        <v>0</v>
      </c>
      <c r="S759" s="46">
        <f t="shared" si="83"/>
        <v>0</v>
      </c>
      <c r="T759" s="46">
        <f t="shared" si="86"/>
        <v>0</v>
      </c>
      <c r="U759" s="46">
        <f t="shared" si="84"/>
        <v>0</v>
      </c>
      <c r="V759" s="54">
        <f t="shared" si="85"/>
        <v>11.166666666666666</v>
      </c>
    </row>
    <row r="760" spans="1:22" x14ac:dyDescent="0.2">
      <c r="A760" s="46" t="s">
        <v>111</v>
      </c>
      <c r="B760" s="46" t="s">
        <v>115</v>
      </c>
      <c r="C760" s="46" t="s">
        <v>93</v>
      </c>
      <c r="D760" s="46" t="s">
        <v>178</v>
      </c>
      <c r="E760" s="46">
        <v>4</v>
      </c>
      <c r="F760" s="46" t="s">
        <v>60</v>
      </c>
      <c r="G760" s="46">
        <v>1</v>
      </c>
      <c r="H760" s="47">
        <v>21</v>
      </c>
      <c r="I760" s="47" t="s">
        <v>101</v>
      </c>
      <c r="J760" s="48">
        <v>0</v>
      </c>
      <c r="K760" s="48">
        <v>1</v>
      </c>
      <c r="R760" s="46">
        <f t="shared" si="82"/>
        <v>0</v>
      </c>
      <c r="S760" s="46">
        <f t="shared" si="83"/>
        <v>0</v>
      </c>
      <c r="T760" s="46">
        <f t="shared" si="86"/>
        <v>0</v>
      </c>
      <c r="U760" s="46">
        <f t="shared" si="84"/>
        <v>0</v>
      </c>
      <c r="V760" s="54">
        <f t="shared" si="85"/>
        <v>11.166666666666666</v>
      </c>
    </row>
    <row r="761" spans="1:22" x14ac:dyDescent="0.2">
      <c r="A761" s="46" t="s">
        <v>111</v>
      </c>
      <c r="B761" s="46" t="s">
        <v>115</v>
      </c>
      <c r="C761" s="46" t="s">
        <v>93</v>
      </c>
      <c r="D761" s="46" t="s">
        <v>178</v>
      </c>
      <c r="E761" s="46">
        <v>1</v>
      </c>
      <c r="F761" s="46" t="s">
        <v>60</v>
      </c>
      <c r="G761" s="46">
        <v>3</v>
      </c>
      <c r="H761" s="47">
        <v>23</v>
      </c>
      <c r="I761" s="47" t="s">
        <v>116</v>
      </c>
      <c r="J761" s="48">
        <v>0</v>
      </c>
      <c r="K761" s="48">
        <v>0</v>
      </c>
      <c r="R761" s="46">
        <f t="shared" si="82"/>
        <v>0</v>
      </c>
      <c r="S761" s="46">
        <f t="shared" si="83"/>
        <v>0</v>
      </c>
      <c r="T761" s="46">
        <f t="shared" si="86"/>
        <v>0</v>
      </c>
      <c r="U761" s="46">
        <f t="shared" si="84"/>
        <v>0</v>
      </c>
      <c r="V761" s="54">
        <f t="shared" si="85"/>
        <v>11.166666666666666</v>
      </c>
    </row>
    <row r="762" spans="1:22" x14ac:dyDescent="0.2">
      <c r="A762" s="46" t="s">
        <v>111</v>
      </c>
      <c r="B762" s="46" t="s">
        <v>115</v>
      </c>
      <c r="C762" s="46" t="s">
        <v>93</v>
      </c>
      <c r="D762" s="46" t="s">
        <v>178</v>
      </c>
      <c r="E762" s="46">
        <v>4</v>
      </c>
      <c r="F762" s="46" t="s">
        <v>60</v>
      </c>
      <c r="G762" s="46">
        <v>3</v>
      </c>
      <c r="H762" s="47">
        <v>27</v>
      </c>
      <c r="I762" s="47" t="s">
        <v>159</v>
      </c>
      <c r="J762" s="48">
        <v>0</v>
      </c>
      <c r="K762" s="48">
        <v>0</v>
      </c>
      <c r="R762" s="46">
        <f t="shared" si="82"/>
        <v>0</v>
      </c>
      <c r="S762" s="46">
        <f t="shared" si="83"/>
        <v>0</v>
      </c>
      <c r="T762" s="46">
        <f t="shared" si="86"/>
        <v>0</v>
      </c>
      <c r="U762" s="46">
        <f t="shared" si="84"/>
        <v>0</v>
      </c>
      <c r="V762" s="54">
        <f t="shared" si="85"/>
        <v>11.166666666666666</v>
      </c>
    </row>
    <row r="763" spans="1:22" x14ac:dyDescent="0.2">
      <c r="A763" s="46" t="s">
        <v>111</v>
      </c>
      <c r="B763" s="46" t="s">
        <v>115</v>
      </c>
      <c r="C763" s="46" t="s">
        <v>93</v>
      </c>
      <c r="D763" s="46" t="s">
        <v>178</v>
      </c>
      <c r="E763" s="46">
        <v>3</v>
      </c>
      <c r="F763" s="46" t="s">
        <v>60</v>
      </c>
      <c r="G763" s="46">
        <v>4</v>
      </c>
      <c r="H763" s="47">
        <v>28</v>
      </c>
      <c r="I763" s="47" t="s">
        <v>102</v>
      </c>
      <c r="J763" s="48">
        <v>0</v>
      </c>
      <c r="K763" s="48">
        <v>1</v>
      </c>
      <c r="R763" s="46">
        <f t="shared" si="82"/>
        <v>0</v>
      </c>
      <c r="S763" s="46">
        <f t="shared" si="83"/>
        <v>0</v>
      </c>
      <c r="T763" s="46">
        <f t="shared" si="86"/>
        <v>0</v>
      </c>
      <c r="U763" s="46">
        <f t="shared" si="84"/>
        <v>0</v>
      </c>
      <c r="V763" s="54">
        <f t="shared" si="85"/>
        <v>11.166666666666666</v>
      </c>
    </row>
    <row r="764" spans="1:22" x14ac:dyDescent="0.2">
      <c r="A764" s="46" t="s">
        <v>111</v>
      </c>
      <c r="B764" s="46" t="s">
        <v>115</v>
      </c>
      <c r="C764" s="46" t="s">
        <v>93</v>
      </c>
      <c r="D764" s="46" t="s">
        <v>178</v>
      </c>
      <c r="E764" s="46">
        <v>3</v>
      </c>
      <c r="F764" s="46" t="s">
        <v>60</v>
      </c>
      <c r="G764" s="46">
        <v>3</v>
      </c>
      <c r="H764" s="47">
        <v>31</v>
      </c>
      <c r="I764" s="47" t="s">
        <v>116</v>
      </c>
      <c r="J764" s="48">
        <v>0</v>
      </c>
      <c r="K764" s="48">
        <v>1</v>
      </c>
      <c r="R764" s="46">
        <f t="shared" si="82"/>
        <v>0</v>
      </c>
      <c r="S764" s="46">
        <f t="shared" si="83"/>
        <v>0</v>
      </c>
      <c r="T764" s="46">
        <f t="shared" si="86"/>
        <v>0</v>
      </c>
      <c r="U764" s="46">
        <f t="shared" si="84"/>
        <v>0</v>
      </c>
      <c r="V764" s="54">
        <f t="shared" si="85"/>
        <v>11.166666666666666</v>
      </c>
    </row>
    <row r="765" spans="1:22" x14ac:dyDescent="0.2">
      <c r="A765" s="46" t="s">
        <v>111</v>
      </c>
      <c r="B765" s="46" t="s">
        <v>115</v>
      </c>
      <c r="C765" s="46" t="s">
        <v>93</v>
      </c>
      <c r="D765" s="46" t="s">
        <v>178</v>
      </c>
      <c r="E765" s="46">
        <v>2</v>
      </c>
      <c r="F765" s="46" t="s">
        <v>60</v>
      </c>
      <c r="G765" s="46">
        <v>1</v>
      </c>
      <c r="H765" s="47">
        <v>33</v>
      </c>
      <c r="I765" s="47" t="s">
        <v>101</v>
      </c>
      <c r="J765" s="48">
        <v>0</v>
      </c>
      <c r="K765" s="48">
        <v>0</v>
      </c>
      <c r="R765" s="46">
        <f t="shared" si="82"/>
        <v>0</v>
      </c>
      <c r="S765" s="46">
        <f t="shared" si="83"/>
        <v>0</v>
      </c>
      <c r="T765" s="46">
        <f t="shared" si="86"/>
        <v>0</v>
      </c>
      <c r="U765" s="46">
        <f t="shared" si="84"/>
        <v>0</v>
      </c>
      <c r="V765" s="54">
        <f t="shared" si="85"/>
        <v>11.166666666666666</v>
      </c>
    </row>
    <row r="766" spans="1:22" x14ac:dyDescent="0.2">
      <c r="A766" s="46" t="s">
        <v>111</v>
      </c>
      <c r="B766" s="46" t="s">
        <v>115</v>
      </c>
      <c r="C766" s="46" t="s">
        <v>93</v>
      </c>
      <c r="D766" s="46" t="s">
        <v>178</v>
      </c>
      <c r="E766" s="46">
        <v>4</v>
      </c>
      <c r="F766" s="46" t="s">
        <v>60</v>
      </c>
      <c r="G766" s="46">
        <v>4</v>
      </c>
      <c r="H766" s="47">
        <v>36</v>
      </c>
      <c r="I766" s="47" t="s">
        <v>102</v>
      </c>
      <c r="J766" s="48">
        <v>0</v>
      </c>
      <c r="K766" s="48">
        <v>0</v>
      </c>
      <c r="R766" s="46">
        <f t="shared" si="82"/>
        <v>0</v>
      </c>
      <c r="S766" s="46">
        <f t="shared" si="83"/>
        <v>0</v>
      </c>
      <c r="T766" s="46">
        <f t="shared" si="86"/>
        <v>0</v>
      </c>
      <c r="U766" s="46">
        <f t="shared" si="84"/>
        <v>0</v>
      </c>
      <c r="V766" s="54">
        <f t="shared" si="85"/>
        <v>11.166666666666666</v>
      </c>
    </row>
    <row r="767" spans="1:22" x14ac:dyDescent="0.2">
      <c r="A767" s="46" t="s">
        <v>111</v>
      </c>
      <c r="B767" s="46" t="s">
        <v>115</v>
      </c>
      <c r="C767" s="46" t="s">
        <v>93</v>
      </c>
      <c r="D767" s="46" t="s">
        <v>178</v>
      </c>
      <c r="E767" s="46">
        <v>1</v>
      </c>
      <c r="F767" s="46" t="s">
        <v>60</v>
      </c>
      <c r="G767" s="46">
        <v>1</v>
      </c>
      <c r="H767" s="47">
        <v>41</v>
      </c>
      <c r="I767" s="47" t="s">
        <v>101</v>
      </c>
      <c r="J767" s="48">
        <v>0</v>
      </c>
      <c r="K767" s="48">
        <v>0</v>
      </c>
      <c r="R767" s="46">
        <f t="shared" si="82"/>
        <v>0</v>
      </c>
      <c r="S767" s="46">
        <f t="shared" si="83"/>
        <v>0</v>
      </c>
      <c r="T767" s="46">
        <f t="shared" si="86"/>
        <v>0</v>
      </c>
      <c r="U767" s="46">
        <f t="shared" si="84"/>
        <v>0</v>
      </c>
      <c r="V767" s="54">
        <f t="shared" si="85"/>
        <v>11.166666666666666</v>
      </c>
    </row>
    <row r="768" spans="1:22" x14ac:dyDescent="0.2">
      <c r="A768" s="46" t="s">
        <v>111</v>
      </c>
      <c r="B768" s="46" t="s">
        <v>115</v>
      </c>
      <c r="C768" s="46" t="s">
        <v>93</v>
      </c>
      <c r="D768" s="46" t="s">
        <v>178</v>
      </c>
      <c r="E768" s="46">
        <v>2</v>
      </c>
      <c r="F768" s="46" t="s">
        <v>60</v>
      </c>
      <c r="G768" s="46">
        <v>4</v>
      </c>
      <c r="H768" s="47">
        <v>44</v>
      </c>
      <c r="I768" s="47" t="s">
        <v>102</v>
      </c>
      <c r="J768" s="48">
        <v>0</v>
      </c>
      <c r="K768" s="48">
        <v>1</v>
      </c>
      <c r="R768" s="46">
        <f t="shared" si="82"/>
        <v>0</v>
      </c>
      <c r="S768" s="46">
        <f t="shared" si="83"/>
        <v>0</v>
      </c>
      <c r="T768" s="46">
        <f t="shared" si="86"/>
        <v>0</v>
      </c>
      <c r="U768" s="46">
        <f t="shared" si="84"/>
        <v>0</v>
      </c>
      <c r="V768" s="54">
        <f t="shared" si="85"/>
        <v>11.166666666666666</v>
      </c>
    </row>
    <row r="769" spans="1:22" x14ac:dyDescent="0.2">
      <c r="A769" s="46" t="s">
        <v>111</v>
      </c>
      <c r="B769" s="46" t="s">
        <v>115</v>
      </c>
      <c r="C769" s="46" t="s">
        <v>93</v>
      </c>
      <c r="D769" s="46" t="s">
        <v>178</v>
      </c>
      <c r="E769" s="46">
        <v>1</v>
      </c>
      <c r="F769" s="46" t="s">
        <v>60</v>
      </c>
      <c r="G769" s="46">
        <v>1</v>
      </c>
      <c r="H769" s="47">
        <v>49</v>
      </c>
      <c r="I769" s="47" t="s">
        <v>101</v>
      </c>
      <c r="J769" s="48">
        <v>0</v>
      </c>
      <c r="K769" s="48">
        <v>0</v>
      </c>
      <c r="R769" s="46">
        <f t="shared" si="82"/>
        <v>0</v>
      </c>
      <c r="S769" s="46">
        <f t="shared" si="83"/>
        <v>0</v>
      </c>
      <c r="T769" s="46">
        <f t="shared" si="86"/>
        <v>0</v>
      </c>
      <c r="U769" s="46">
        <f t="shared" si="84"/>
        <v>0</v>
      </c>
      <c r="V769" s="54">
        <f t="shared" si="85"/>
        <v>11.166666666666666</v>
      </c>
    </row>
    <row r="770" spans="1:22" x14ac:dyDescent="0.2">
      <c r="A770" s="46" t="s">
        <v>111</v>
      </c>
      <c r="B770" s="46" t="s">
        <v>115</v>
      </c>
      <c r="C770" s="46" t="s">
        <v>93</v>
      </c>
      <c r="D770" s="46" t="s">
        <v>178</v>
      </c>
      <c r="E770" s="46">
        <v>4</v>
      </c>
      <c r="F770" s="46" t="s">
        <v>60</v>
      </c>
      <c r="G770" s="46">
        <v>2</v>
      </c>
      <c r="H770" s="47">
        <v>50</v>
      </c>
      <c r="I770" s="47" t="s">
        <v>127</v>
      </c>
      <c r="J770" s="48">
        <v>0</v>
      </c>
      <c r="K770" s="48">
        <v>0</v>
      </c>
      <c r="M770" s="48">
        <v>1</v>
      </c>
      <c r="R770" s="46">
        <f t="shared" ref="R770:R833" si="87">IF(J770=4,1,0)</f>
        <v>0</v>
      </c>
      <c r="S770" s="46">
        <f t="shared" ref="S770:S833" si="88">IF(K770=3,1,0)</f>
        <v>0</v>
      </c>
      <c r="T770" s="46">
        <f t="shared" si="86"/>
        <v>0</v>
      </c>
      <c r="U770" s="46">
        <f t="shared" ref="U770:U833" si="89">T770+M770*(20) + (SUM(O770:Q770)*(10)) - L770*(5) - N770*(5)</f>
        <v>20</v>
      </c>
      <c r="V770" s="54">
        <f t="shared" ref="V770:V833" si="90">AVERAGEIFS(U:U,A:A,A770,F:F,"Pre")</f>
        <v>11.166666666666666</v>
      </c>
    </row>
    <row r="771" spans="1:22" x14ac:dyDescent="0.2">
      <c r="A771" s="46" t="s">
        <v>111</v>
      </c>
      <c r="B771" s="46" t="s">
        <v>115</v>
      </c>
      <c r="C771" s="46" t="s">
        <v>93</v>
      </c>
      <c r="D771" s="46" t="s">
        <v>178</v>
      </c>
      <c r="E771" s="46">
        <v>3</v>
      </c>
      <c r="F771" s="46" t="s">
        <v>62</v>
      </c>
      <c r="G771" s="46">
        <v>3</v>
      </c>
      <c r="H771" s="47" t="s">
        <v>84</v>
      </c>
      <c r="I771" s="47" t="s">
        <v>116</v>
      </c>
      <c r="J771" s="48">
        <v>0</v>
      </c>
      <c r="K771" s="48">
        <v>0</v>
      </c>
      <c r="R771" s="46">
        <f t="shared" si="87"/>
        <v>0</v>
      </c>
      <c r="S771" s="46">
        <f t="shared" si="88"/>
        <v>0</v>
      </c>
      <c r="T771" s="46">
        <f t="shared" si="86"/>
        <v>0</v>
      </c>
      <c r="U771" s="46">
        <f t="shared" si="89"/>
        <v>0</v>
      </c>
      <c r="V771" s="54">
        <f t="shared" si="90"/>
        <v>11.166666666666666</v>
      </c>
    </row>
    <row r="772" spans="1:22" x14ac:dyDescent="0.2">
      <c r="A772" s="46" t="s">
        <v>111</v>
      </c>
      <c r="B772" s="46" t="s">
        <v>115</v>
      </c>
      <c r="C772" s="46" t="s">
        <v>93</v>
      </c>
      <c r="D772" s="46" t="s">
        <v>178</v>
      </c>
      <c r="E772" s="46">
        <v>4</v>
      </c>
      <c r="F772" s="46" t="s">
        <v>62</v>
      </c>
      <c r="G772" s="46">
        <v>3</v>
      </c>
      <c r="H772" s="47" t="s">
        <v>85</v>
      </c>
      <c r="I772" s="47" t="s">
        <v>219</v>
      </c>
      <c r="J772" s="48">
        <v>0</v>
      </c>
      <c r="K772" s="48">
        <v>0</v>
      </c>
      <c r="R772" s="46">
        <f t="shared" si="87"/>
        <v>0</v>
      </c>
      <c r="S772" s="46">
        <f t="shared" si="88"/>
        <v>0</v>
      </c>
      <c r="T772" s="46">
        <f t="shared" si="86"/>
        <v>0</v>
      </c>
      <c r="U772" s="46">
        <f t="shared" si="89"/>
        <v>0</v>
      </c>
      <c r="V772" s="54">
        <f t="shared" si="90"/>
        <v>11.166666666666666</v>
      </c>
    </row>
    <row r="773" spans="1:22" x14ac:dyDescent="0.2">
      <c r="A773" s="46" t="s">
        <v>111</v>
      </c>
      <c r="B773" s="46" t="s">
        <v>115</v>
      </c>
      <c r="C773" s="46" t="s">
        <v>93</v>
      </c>
      <c r="D773" s="46" t="s">
        <v>178</v>
      </c>
      <c r="E773" s="46">
        <v>3</v>
      </c>
      <c r="F773" s="46" t="s">
        <v>62</v>
      </c>
      <c r="G773" s="46">
        <v>3</v>
      </c>
      <c r="H773" s="47" t="s">
        <v>87</v>
      </c>
      <c r="I773" s="47" t="s">
        <v>116</v>
      </c>
      <c r="J773" s="48">
        <v>0</v>
      </c>
      <c r="K773" s="48">
        <v>0</v>
      </c>
      <c r="R773" s="46">
        <f t="shared" si="87"/>
        <v>0</v>
      </c>
      <c r="S773" s="46">
        <f t="shared" si="88"/>
        <v>0</v>
      </c>
      <c r="T773" s="46">
        <f t="shared" si="86"/>
        <v>0</v>
      </c>
      <c r="U773" s="46">
        <f t="shared" si="89"/>
        <v>0</v>
      </c>
      <c r="V773" s="54">
        <f t="shared" si="90"/>
        <v>11.166666666666666</v>
      </c>
    </row>
    <row r="774" spans="1:22" x14ac:dyDescent="0.2">
      <c r="A774" s="46" t="s">
        <v>111</v>
      </c>
      <c r="B774" s="46" t="s">
        <v>115</v>
      </c>
      <c r="C774" s="46" t="s">
        <v>93</v>
      </c>
      <c r="D774" s="46" t="s">
        <v>178</v>
      </c>
      <c r="E774" s="46">
        <v>1</v>
      </c>
      <c r="F774" s="46" t="s">
        <v>63</v>
      </c>
      <c r="G774" s="46">
        <v>4</v>
      </c>
      <c r="H774" s="47" t="s">
        <v>148</v>
      </c>
      <c r="I774" s="47" t="s">
        <v>102</v>
      </c>
      <c r="J774" s="48">
        <v>0</v>
      </c>
      <c r="K774" s="48">
        <v>1</v>
      </c>
      <c r="R774" s="46">
        <f t="shared" si="87"/>
        <v>0</v>
      </c>
      <c r="S774" s="46">
        <f t="shared" si="88"/>
        <v>0</v>
      </c>
      <c r="T774" s="46">
        <f t="shared" si="86"/>
        <v>0</v>
      </c>
      <c r="U774" s="46">
        <f t="shared" si="89"/>
        <v>0</v>
      </c>
      <c r="V774" s="54">
        <f t="shared" si="90"/>
        <v>11.166666666666666</v>
      </c>
    </row>
    <row r="775" spans="1:22" x14ac:dyDescent="0.2">
      <c r="A775" s="46" t="s">
        <v>111</v>
      </c>
      <c r="B775" s="46" t="s">
        <v>115</v>
      </c>
      <c r="C775" s="46" t="s">
        <v>93</v>
      </c>
      <c r="D775" s="46" t="s">
        <v>178</v>
      </c>
      <c r="E775" s="46">
        <v>2</v>
      </c>
      <c r="F775" s="46" t="s">
        <v>63</v>
      </c>
      <c r="G775" s="46">
        <v>4</v>
      </c>
      <c r="H775" s="47" t="s">
        <v>149</v>
      </c>
      <c r="I775" s="47" t="s">
        <v>102</v>
      </c>
      <c r="J775" s="48">
        <v>0</v>
      </c>
      <c r="K775" s="48">
        <v>1</v>
      </c>
      <c r="R775" s="46">
        <f t="shared" si="87"/>
        <v>0</v>
      </c>
      <c r="S775" s="46">
        <f t="shared" si="88"/>
        <v>0</v>
      </c>
      <c r="T775" s="46">
        <f t="shared" si="86"/>
        <v>0</v>
      </c>
      <c r="U775" s="46">
        <f t="shared" si="89"/>
        <v>0</v>
      </c>
      <c r="V775" s="54">
        <f t="shared" si="90"/>
        <v>11.166666666666666</v>
      </c>
    </row>
    <row r="776" spans="1:22" x14ac:dyDescent="0.2">
      <c r="A776" s="46" t="s">
        <v>111</v>
      </c>
      <c r="B776" s="46" t="s">
        <v>115</v>
      </c>
      <c r="C776" s="46" t="s">
        <v>93</v>
      </c>
      <c r="D776" s="46" t="s">
        <v>178</v>
      </c>
      <c r="E776" s="46">
        <v>2</v>
      </c>
      <c r="F776" s="46" t="s">
        <v>60</v>
      </c>
      <c r="G776" s="46">
        <v>3</v>
      </c>
      <c r="H776" s="47">
        <v>19</v>
      </c>
      <c r="I776" s="47" t="s">
        <v>116</v>
      </c>
      <c r="J776" s="48">
        <v>1</v>
      </c>
      <c r="K776" s="48">
        <v>2</v>
      </c>
      <c r="R776" s="46">
        <f t="shared" si="87"/>
        <v>0</v>
      </c>
      <c r="S776" s="46">
        <f t="shared" si="88"/>
        <v>0</v>
      </c>
      <c r="T776" s="46">
        <f t="shared" si="86"/>
        <v>10</v>
      </c>
      <c r="U776" s="46">
        <f t="shared" si="89"/>
        <v>10</v>
      </c>
      <c r="V776" s="54">
        <f t="shared" si="90"/>
        <v>11.166666666666666</v>
      </c>
    </row>
    <row r="777" spans="1:22" x14ac:dyDescent="0.2">
      <c r="A777" s="46" t="s">
        <v>111</v>
      </c>
      <c r="B777" s="46" t="s">
        <v>115</v>
      </c>
      <c r="C777" s="46" t="s">
        <v>93</v>
      </c>
      <c r="D777" s="46" t="s">
        <v>178</v>
      </c>
      <c r="E777" s="46">
        <v>1</v>
      </c>
      <c r="F777" s="46" t="s">
        <v>60</v>
      </c>
      <c r="G777" s="46">
        <v>2</v>
      </c>
      <c r="H777" s="47">
        <v>6</v>
      </c>
      <c r="I777" s="47" t="s">
        <v>127</v>
      </c>
      <c r="J777" s="48">
        <v>1</v>
      </c>
      <c r="K777" s="48">
        <v>0</v>
      </c>
      <c r="O777" s="48">
        <v>1</v>
      </c>
      <c r="R777" s="46">
        <f t="shared" si="87"/>
        <v>0</v>
      </c>
      <c r="S777" s="46">
        <f t="shared" si="88"/>
        <v>0</v>
      </c>
      <c r="T777" s="46">
        <f t="shared" si="86"/>
        <v>20</v>
      </c>
      <c r="U777" s="46">
        <f t="shared" si="89"/>
        <v>30</v>
      </c>
      <c r="V777" s="54">
        <f t="shared" si="90"/>
        <v>11.166666666666666</v>
      </c>
    </row>
    <row r="778" spans="1:22" x14ac:dyDescent="0.2">
      <c r="A778" s="46" t="s">
        <v>111</v>
      </c>
      <c r="B778" s="46" t="s">
        <v>115</v>
      </c>
      <c r="C778" s="46" t="s">
        <v>93</v>
      </c>
      <c r="D778" s="46" t="s">
        <v>178</v>
      </c>
      <c r="E778" s="46">
        <v>2</v>
      </c>
      <c r="F778" s="46" t="s">
        <v>60</v>
      </c>
      <c r="G778" s="46">
        <v>2</v>
      </c>
      <c r="H778" s="47">
        <v>6</v>
      </c>
      <c r="I778" s="47" t="s">
        <v>127</v>
      </c>
      <c r="J778" s="48">
        <v>1</v>
      </c>
      <c r="K778" s="48">
        <v>1</v>
      </c>
      <c r="R778" s="46">
        <f t="shared" si="87"/>
        <v>0</v>
      </c>
      <c r="S778" s="46">
        <f t="shared" si="88"/>
        <v>0</v>
      </c>
      <c r="T778" s="46">
        <f t="shared" si="86"/>
        <v>20</v>
      </c>
      <c r="U778" s="46">
        <f t="shared" si="89"/>
        <v>20</v>
      </c>
      <c r="V778" s="54">
        <f t="shared" si="90"/>
        <v>11.166666666666666</v>
      </c>
    </row>
    <row r="779" spans="1:22" x14ac:dyDescent="0.2">
      <c r="A779" s="46" t="s">
        <v>111</v>
      </c>
      <c r="B779" s="46" t="s">
        <v>115</v>
      </c>
      <c r="C779" s="46" t="s">
        <v>93</v>
      </c>
      <c r="D779" s="46" t="s">
        <v>178</v>
      </c>
      <c r="E779" s="46">
        <v>4</v>
      </c>
      <c r="F779" s="46" t="s">
        <v>60</v>
      </c>
      <c r="G779" s="46">
        <v>3</v>
      </c>
      <c r="H779" s="47">
        <v>7</v>
      </c>
      <c r="I779" s="47" t="s">
        <v>159</v>
      </c>
      <c r="J779" s="48">
        <v>1</v>
      </c>
      <c r="K779" s="48">
        <v>1</v>
      </c>
      <c r="N779" s="48">
        <v>1</v>
      </c>
      <c r="R779" s="46">
        <f t="shared" si="87"/>
        <v>0</v>
      </c>
      <c r="S779" s="46">
        <f t="shared" si="88"/>
        <v>0</v>
      </c>
      <c r="T779" s="46">
        <f t="shared" si="86"/>
        <v>20</v>
      </c>
      <c r="U779" s="46">
        <f t="shared" si="89"/>
        <v>15</v>
      </c>
      <c r="V779" s="54">
        <f t="shared" si="90"/>
        <v>11.166666666666666</v>
      </c>
    </row>
    <row r="780" spans="1:22" x14ac:dyDescent="0.2">
      <c r="A780" s="46" t="s">
        <v>111</v>
      </c>
      <c r="B780" s="46" t="s">
        <v>115</v>
      </c>
      <c r="C780" s="46" t="s">
        <v>93</v>
      </c>
      <c r="D780" s="46" t="s">
        <v>178</v>
      </c>
      <c r="E780" s="46">
        <v>1</v>
      </c>
      <c r="F780" s="46" t="s">
        <v>60</v>
      </c>
      <c r="G780" s="46">
        <v>2</v>
      </c>
      <c r="H780" s="47">
        <v>30</v>
      </c>
      <c r="I780" s="47" t="s">
        <v>127</v>
      </c>
      <c r="J780" s="48">
        <v>1</v>
      </c>
      <c r="K780" s="48">
        <v>0</v>
      </c>
      <c r="R780" s="46">
        <f t="shared" si="87"/>
        <v>0</v>
      </c>
      <c r="S780" s="46">
        <f t="shared" si="88"/>
        <v>0</v>
      </c>
      <c r="T780" s="46">
        <f t="shared" si="86"/>
        <v>20</v>
      </c>
      <c r="U780" s="46">
        <f t="shared" si="89"/>
        <v>20</v>
      </c>
      <c r="V780" s="54">
        <f t="shared" si="90"/>
        <v>11.166666666666666</v>
      </c>
    </row>
    <row r="781" spans="1:22" x14ac:dyDescent="0.2">
      <c r="A781" s="46" t="s">
        <v>111</v>
      </c>
      <c r="B781" s="46" t="s">
        <v>115</v>
      </c>
      <c r="C781" s="46" t="s">
        <v>93</v>
      </c>
      <c r="D781" s="46" t="s">
        <v>178</v>
      </c>
      <c r="E781" s="46">
        <v>3</v>
      </c>
      <c r="F781" s="46" t="s">
        <v>60</v>
      </c>
      <c r="G781" s="46">
        <v>2</v>
      </c>
      <c r="H781" s="47">
        <v>50</v>
      </c>
      <c r="I781" s="47" t="s">
        <v>127</v>
      </c>
      <c r="J781" s="48">
        <v>1</v>
      </c>
      <c r="K781" s="48">
        <v>0</v>
      </c>
      <c r="R781" s="46">
        <f t="shared" si="87"/>
        <v>0</v>
      </c>
      <c r="S781" s="46">
        <f t="shared" si="88"/>
        <v>0</v>
      </c>
      <c r="T781" s="46">
        <f t="shared" si="86"/>
        <v>20</v>
      </c>
      <c r="U781" s="46">
        <f t="shared" si="89"/>
        <v>20</v>
      </c>
      <c r="V781" s="54">
        <f t="shared" si="90"/>
        <v>11.166666666666666</v>
      </c>
    </row>
    <row r="782" spans="1:22" x14ac:dyDescent="0.2">
      <c r="A782" s="46" t="s">
        <v>111</v>
      </c>
      <c r="B782" s="46" t="s">
        <v>115</v>
      </c>
      <c r="C782" s="46" t="s">
        <v>93</v>
      </c>
      <c r="D782" s="46" t="s">
        <v>178</v>
      </c>
      <c r="E782" s="46">
        <v>3</v>
      </c>
      <c r="F782" s="46" t="s">
        <v>62</v>
      </c>
      <c r="G782" s="46">
        <v>3</v>
      </c>
      <c r="H782" s="47" t="s">
        <v>80</v>
      </c>
      <c r="I782" s="47" t="s">
        <v>116</v>
      </c>
      <c r="J782" s="48">
        <v>1</v>
      </c>
      <c r="K782" s="48">
        <v>1</v>
      </c>
      <c r="R782" s="46">
        <f t="shared" si="87"/>
        <v>0</v>
      </c>
      <c r="S782" s="46">
        <f t="shared" si="88"/>
        <v>0</v>
      </c>
      <c r="T782" s="46">
        <f t="shared" si="86"/>
        <v>20</v>
      </c>
      <c r="U782" s="46">
        <f t="shared" si="89"/>
        <v>20</v>
      </c>
      <c r="V782" s="54">
        <f t="shared" si="90"/>
        <v>11.166666666666666</v>
      </c>
    </row>
    <row r="783" spans="1:22" x14ac:dyDescent="0.2">
      <c r="A783" s="46" t="s">
        <v>111</v>
      </c>
      <c r="B783" s="46" t="s">
        <v>115</v>
      </c>
      <c r="C783" s="46" t="s">
        <v>93</v>
      </c>
      <c r="D783" s="46" t="s">
        <v>178</v>
      </c>
      <c r="E783" s="46">
        <v>4</v>
      </c>
      <c r="F783" s="46" t="s">
        <v>62</v>
      </c>
      <c r="G783" s="46">
        <v>2</v>
      </c>
      <c r="H783" s="47" t="s">
        <v>81</v>
      </c>
      <c r="I783" s="47" t="s">
        <v>127</v>
      </c>
      <c r="J783" s="48">
        <v>1</v>
      </c>
      <c r="K783" s="48">
        <v>1</v>
      </c>
      <c r="R783" s="46">
        <f t="shared" si="87"/>
        <v>0</v>
      </c>
      <c r="S783" s="46">
        <f t="shared" si="88"/>
        <v>0</v>
      </c>
      <c r="T783" s="46">
        <f t="shared" si="86"/>
        <v>20</v>
      </c>
      <c r="U783" s="46">
        <f t="shared" si="89"/>
        <v>20</v>
      </c>
      <c r="V783" s="54">
        <f t="shared" si="90"/>
        <v>11.166666666666666</v>
      </c>
    </row>
    <row r="784" spans="1:22" x14ac:dyDescent="0.2">
      <c r="A784" s="46" t="s">
        <v>111</v>
      </c>
      <c r="B784" s="46" t="s">
        <v>115</v>
      </c>
      <c r="C784" s="46" t="s">
        <v>93</v>
      </c>
      <c r="D784" s="46" t="s">
        <v>178</v>
      </c>
      <c r="E784" s="46">
        <v>1</v>
      </c>
      <c r="F784" s="46" t="s">
        <v>63</v>
      </c>
      <c r="G784" s="46">
        <v>4</v>
      </c>
      <c r="H784" s="47" t="s">
        <v>146</v>
      </c>
      <c r="I784" s="47" t="s">
        <v>102</v>
      </c>
      <c r="J784" s="48">
        <v>1</v>
      </c>
      <c r="K784" s="48">
        <v>0</v>
      </c>
      <c r="L784" s="48">
        <v>1</v>
      </c>
      <c r="R784" s="46">
        <f t="shared" si="87"/>
        <v>0</v>
      </c>
      <c r="S784" s="46">
        <f t="shared" si="88"/>
        <v>0</v>
      </c>
      <c r="T784" s="46">
        <f t="shared" si="86"/>
        <v>20</v>
      </c>
      <c r="U784" s="46">
        <f t="shared" si="89"/>
        <v>15</v>
      </c>
      <c r="V784" s="54">
        <f t="shared" si="90"/>
        <v>11.166666666666666</v>
      </c>
    </row>
    <row r="785" spans="1:22" x14ac:dyDescent="0.2">
      <c r="A785" s="46" t="s">
        <v>111</v>
      </c>
      <c r="B785" s="46" t="s">
        <v>115</v>
      </c>
      <c r="C785" s="46" t="s">
        <v>93</v>
      </c>
      <c r="D785" s="46" t="s">
        <v>178</v>
      </c>
      <c r="E785" s="46">
        <v>2</v>
      </c>
      <c r="F785" s="46" t="s">
        <v>63</v>
      </c>
      <c r="G785" s="46">
        <v>4</v>
      </c>
      <c r="H785" s="47" t="s">
        <v>150</v>
      </c>
      <c r="I785" s="47" t="s">
        <v>102</v>
      </c>
      <c r="J785" s="48">
        <v>1</v>
      </c>
      <c r="K785" s="48">
        <v>0</v>
      </c>
      <c r="O785" s="48">
        <v>1</v>
      </c>
      <c r="R785" s="46">
        <f t="shared" si="87"/>
        <v>0</v>
      </c>
      <c r="S785" s="46">
        <f t="shared" si="88"/>
        <v>0</v>
      </c>
      <c r="T785" s="46">
        <f t="shared" si="86"/>
        <v>20</v>
      </c>
      <c r="U785" s="46">
        <f t="shared" si="89"/>
        <v>30</v>
      </c>
      <c r="V785" s="54">
        <f t="shared" si="90"/>
        <v>11.166666666666666</v>
      </c>
    </row>
    <row r="786" spans="1:22" x14ac:dyDescent="0.2">
      <c r="A786" s="46" t="s">
        <v>111</v>
      </c>
      <c r="B786" s="46" t="s">
        <v>115</v>
      </c>
      <c r="C786" s="46" t="s">
        <v>93</v>
      </c>
      <c r="D786" s="46" t="s">
        <v>178</v>
      </c>
      <c r="E786" s="46">
        <v>1</v>
      </c>
      <c r="F786" s="46" t="s">
        <v>63</v>
      </c>
      <c r="G786" s="46">
        <v>4</v>
      </c>
      <c r="H786" s="47" t="s">
        <v>151</v>
      </c>
      <c r="I786" s="47" t="s">
        <v>102</v>
      </c>
      <c r="J786" s="48">
        <v>1</v>
      </c>
      <c r="K786" s="48">
        <v>0</v>
      </c>
      <c r="O786" s="48">
        <v>1</v>
      </c>
      <c r="R786" s="46">
        <f t="shared" si="87"/>
        <v>0</v>
      </c>
      <c r="S786" s="46">
        <f t="shared" si="88"/>
        <v>0</v>
      </c>
      <c r="T786" s="46">
        <f t="shared" si="86"/>
        <v>20</v>
      </c>
      <c r="U786" s="46">
        <f t="shared" si="89"/>
        <v>30</v>
      </c>
      <c r="V786" s="54">
        <f t="shared" si="90"/>
        <v>11.166666666666666</v>
      </c>
    </row>
    <row r="787" spans="1:22" x14ac:dyDescent="0.2">
      <c r="A787" s="46" t="s">
        <v>111</v>
      </c>
      <c r="B787" s="46" t="s">
        <v>115</v>
      </c>
      <c r="C787" s="46" t="s">
        <v>93</v>
      </c>
      <c r="D787" s="46" t="s">
        <v>178</v>
      </c>
      <c r="E787" s="46">
        <v>3</v>
      </c>
      <c r="F787" s="46" t="s">
        <v>60</v>
      </c>
      <c r="G787" s="46">
        <v>4</v>
      </c>
      <c r="H787" s="47">
        <v>44</v>
      </c>
      <c r="I787" s="47" t="s">
        <v>102</v>
      </c>
      <c r="J787" s="48">
        <v>2</v>
      </c>
      <c r="K787" s="48">
        <v>1</v>
      </c>
      <c r="M787" s="48">
        <v>1</v>
      </c>
      <c r="R787" s="46">
        <f t="shared" si="87"/>
        <v>0</v>
      </c>
      <c r="S787" s="46">
        <f t="shared" si="88"/>
        <v>0</v>
      </c>
      <c r="T787" s="46">
        <f t="shared" si="86"/>
        <v>40</v>
      </c>
      <c r="U787" s="46">
        <f t="shared" si="89"/>
        <v>60</v>
      </c>
      <c r="V787" s="54">
        <f t="shared" si="90"/>
        <v>11.166666666666666</v>
      </c>
    </row>
    <row r="788" spans="1:22" x14ac:dyDescent="0.2">
      <c r="A788" s="46" t="s">
        <v>111</v>
      </c>
      <c r="B788" s="46" t="s">
        <v>115</v>
      </c>
      <c r="C788" s="46" t="s">
        <v>93</v>
      </c>
      <c r="D788" s="46" t="s">
        <v>178</v>
      </c>
      <c r="E788" s="46">
        <v>2</v>
      </c>
      <c r="F788" s="46" t="s">
        <v>63</v>
      </c>
      <c r="G788" s="46">
        <v>4</v>
      </c>
      <c r="H788" s="47" t="s">
        <v>151</v>
      </c>
      <c r="I788" s="47" t="s">
        <v>102</v>
      </c>
      <c r="J788" s="48">
        <v>2</v>
      </c>
      <c r="K788" s="48">
        <v>0</v>
      </c>
      <c r="R788" s="46">
        <f t="shared" si="87"/>
        <v>0</v>
      </c>
      <c r="S788" s="46">
        <f t="shared" si="88"/>
        <v>0</v>
      </c>
      <c r="T788" s="46">
        <f t="shared" si="86"/>
        <v>40</v>
      </c>
      <c r="U788" s="46">
        <f t="shared" si="89"/>
        <v>40</v>
      </c>
      <c r="V788" s="54">
        <f t="shared" si="90"/>
        <v>11.166666666666666</v>
      </c>
    </row>
    <row r="789" spans="1:22" x14ac:dyDescent="0.2">
      <c r="A789" s="46" t="s">
        <v>111</v>
      </c>
      <c r="B789" s="46" t="s">
        <v>115</v>
      </c>
      <c r="C789" s="46" t="s">
        <v>93</v>
      </c>
      <c r="D789" s="46" t="s">
        <v>178</v>
      </c>
      <c r="E789" s="46">
        <v>5</v>
      </c>
      <c r="F789" s="46" t="s">
        <v>60</v>
      </c>
      <c r="G789" s="46">
        <v>2</v>
      </c>
      <c r="H789" s="47">
        <v>2</v>
      </c>
      <c r="I789" s="47" t="s">
        <v>127</v>
      </c>
      <c r="J789" s="48">
        <v>2</v>
      </c>
      <c r="K789" s="48">
        <v>0</v>
      </c>
      <c r="R789" s="46">
        <f t="shared" si="87"/>
        <v>0</v>
      </c>
      <c r="S789" s="46">
        <f t="shared" si="88"/>
        <v>0</v>
      </c>
      <c r="T789" s="46">
        <f t="shared" si="86"/>
        <v>40</v>
      </c>
      <c r="U789" s="46">
        <f t="shared" si="89"/>
        <v>40</v>
      </c>
      <c r="V789" s="54">
        <f t="shared" si="90"/>
        <v>11.166666666666666</v>
      </c>
    </row>
    <row r="790" spans="1:22" x14ac:dyDescent="0.2">
      <c r="A790" s="46" t="s">
        <v>111</v>
      </c>
      <c r="B790" s="46" t="s">
        <v>115</v>
      </c>
      <c r="C790" s="46" t="s">
        <v>93</v>
      </c>
      <c r="D790" s="46" t="s">
        <v>178</v>
      </c>
      <c r="E790" s="46">
        <v>5</v>
      </c>
      <c r="F790" s="46" t="s">
        <v>60</v>
      </c>
      <c r="G790" s="46">
        <v>1</v>
      </c>
      <c r="H790" s="47">
        <v>9</v>
      </c>
      <c r="I790" s="47" t="s">
        <v>101</v>
      </c>
      <c r="J790" s="48">
        <v>0</v>
      </c>
      <c r="K790" s="48">
        <v>2</v>
      </c>
      <c r="R790" s="46">
        <f t="shared" si="87"/>
        <v>0</v>
      </c>
      <c r="S790" s="46">
        <f t="shared" si="88"/>
        <v>0</v>
      </c>
      <c r="T790" s="46">
        <f t="shared" si="86"/>
        <v>-10</v>
      </c>
      <c r="U790" s="46">
        <f t="shared" si="89"/>
        <v>-10</v>
      </c>
      <c r="V790" s="54">
        <f t="shared" si="90"/>
        <v>11.166666666666666</v>
      </c>
    </row>
    <row r="791" spans="1:22" x14ac:dyDescent="0.2">
      <c r="A791" s="46" t="s">
        <v>111</v>
      </c>
      <c r="B791" s="46" t="s">
        <v>115</v>
      </c>
      <c r="C791" s="46" t="s">
        <v>93</v>
      </c>
      <c r="D791" s="46" t="s">
        <v>178</v>
      </c>
      <c r="E791" s="46">
        <v>5</v>
      </c>
      <c r="F791" s="46" t="s">
        <v>60</v>
      </c>
      <c r="G791" s="46">
        <v>4</v>
      </c>
      <c r="H791" s="47">
        <v>16</v>
      </c>
      <c r="I791" s="47" t="s">
        <v>102</v>
      </c>
      <c r="J791" s="48">
        <v>1</v>
      </c>
      <c r="K791" s="48">
        <v>0</v>
      </c>
      <c r="R791" s="46">
        <f t="shared" si="87"/>
        <v>0</v>
      </c>
      <c r="S791" s="46">
        <f t="shared" si="88"/>
        <v>0</v>
      </c>
      <c r="T791" s="46">
        <f t="shared" si="86"/>
        <v>20</v>
      </c>
      <c r="U791" s="46">
        <f t="shared" si="89"/>
        <v>20</v>
      </c>
      <c r="V791" s="54">
        <f t="shared" si="90"/>
        <v>11.166666666666666</v>
      </c>
    </row>
    <row r="792" spans="1:22" x14ac:dyDescent="0.2">
      <c r="A792" s="46" t="s">
        <v>111</v>
      </c>
      <c r="B792" s="46" t="s">
        <v>115</v>
      </c>
      <c r="C792" s="46" t="s">
        <v>93</v>
      </c>
      <c r="D792" s="46" t="s">
        <v>178</v>
      </c>
      <c r="E792" s="46">
        <v>5</v>
      </c>
      <c r="F792" s="46" t="s">
        <v>60</v>
      </c>
      <c r="G792" s="46">
        <v>1</v>
      </c>
      <c r="H792" s="47">
        <v>21</v>
      </c>
      <c r="I792" s="47" t="s">
        <v>101</v>
      </c>
      <c r="J792" s="48">
        <v>0</v>
      </c>
      <c r="K792" s="48">
        <v>0</v>
      </c>
      <c r="R792" s="46">
        <f t="shared" si="87"/>
        <v>0</v>
      </c>
      <c r="S792" s="46">
        <f t="shared" si="88"/>
        <v>0</v>
      </c>
      <c r="T792" s="46">
        <f t="shared" si="86"/>
        <v>0</v>
      </c>
      <c r="U792" s="46">
        <f t="shared" si="89"/>
        <v>0</v>
      </c>
      <c r="V792" s="54">
        <f t="shared" si="90"/>
        <v>11.166666666666666</v>
      </c>
    </row>
    <row r="793" spans="1:22" x14ac:dyDescent="0.2">
      <c r="A793" s="46" t="s">
        <v>111</v>
      </c>
      <c r="B793" s="46" t="s">
        <v>115</v>
      </c>
      <c r="C793" s="46" t="s">
        <v>93</v>
      </c>
      <c r="D793" s="46" t="s">
        <v>178</v>
      </c>
      <c r="E793" s="46">
        <v>5</v>
      </c>
      <c r="F793" s="46" t="s">
        <v>60</v>
      </c>
      <c r="G793" s="46">
        <v>3</v>
      </c>
      <c r="H793" s="47">
        <v>35</v>
      </c>
      <c r="I793" s="47" t="s">
        <v>159</v>
      </c>
      <c r="J793" s="48">
        <v>1</v>
      </c>
      <c r="K793" s="48">
        <v>0</v>
      </c>
      <c r="O793" s="48">
        <v>1</v>
      </c>
      <c r="R793" s="46">
        <f t="shared" si="87"/>
        <v>0</v>
      </c>
      <c r="S793" s="46">
        <f t="shared" si="88"/>
        <v>0</v>
      </c>
      <c r="T793" s="46">
        <f t="shared" si="86"/>
        <v>20</v>
      </c>
      <c r="U793" s="46">
        <f t="shared" si="89"/>
        <v>30</v>
      </c>
      <c r="V793" s="54">
        <f t="shared" si="90"/>
        <v>11.166666666666666</v>
      </c>
    </row>
    <row r="794" spans="1:22" x14ac:dyDescent="0.2">
      <c r="A794" s="46" t="s">
        <v>111</v>
      </c>
      <c r="B794" s="46" t="s">
        <v>115</v>
      </c>
      <c r="C794" s="46" t="s">
        <v>93</v>
      </c>
      <c r="D794" s="46" t="s">
        <v>178</v>
      </c>
      <c r="E794" s="46">
        <v>5</v>
      </c>
      <c r="F794" s="46" t="s">
        <v>60</v>
      </c>
      <c r="G794" s="46">
        <v>4</v>
      </c>
      <c r="H794" s="47">
        <v>44</v>
      </c>
      <c r="I794" s="47" t="s">
        <v>102</v>
      </c>
      <c r="J794" s="48">
        <v>3</v>
      </c>
      <c r="K794" s="48">
        <v>0</v>
      </c>
      <c r="R794" s="46">
        <f t="shared" si="87"/>
        <v>0</v>
      </c>
      <c r="S794" s="46">
        <f t="shared" si="88"/>
        <v>0</v>
      </c>
      <c r="T794" s="46">
        <f t="shared" si="86"/>
        <v>60</v>
      </c>
      <c r="U794" s="46">
        <f t="shared" si="89"/>
        <v>60</v>
      </c>
      <c r="V794" s="54">
        <f t="shared" si="90"/>
        <v>11.166666666666666</v>
      </c>
    </row>
    <row r="795" spans="1:22" x14ac:dyDescent="0.2">
      <c r="A795" s="46" t="s">
        <v>111</v>
      </c>
      <c r="B795" s="46" t="s">
        <v>115</v>
      </c>
      <c r="C795" s="46" t="s">
        <v>93</v>
      </c>
      <c r="D795" s="46" t="s">
        <v>178</v>
      </c>
      <c r="E795" s="46">
        <v>5</v>
      </c>
      <c r="F795" s="46" t="s">
        <v>62</v>
      </c>
      <c r="G795" s="46">
        <v>2</v>
      </c>
      <c r="H795" s="47" t="s">
        <v>81</v>
      </c>
      <c r="I795" s="47" t="s">
        <v>127</v>
      </c>
      <c r="J795" s="48">
        <v>1</v>
      </c>
      <c r="K795" s="48">
        <v>0</v>
      </c>
      <c r="O795" s="48">
        <v>1</v>
      </c>
      <c r="R795" s="46">
        <f t="shared" si="87"/>
        <v>0</v>
      </c>
      <c r="S795" s="46">
        <f t="shared" si="88"/>
        <v>0</v>
      </c>
      <c r="T795" s="46">
        <f t="shared" si="86"/>
        <v>20</v>
      </c>
      <c r="U795" s="46">
        <f t="shared" si="89"/>
        <v>30</v>
      </c>
      <c r="V795" s="54">
        <f t="shared" si="90"/>
        <v>11.166666666666666</v>
      </c>
    </row>
    <row r="796" spans="1:22" x14ac:dyDescent="0.2">
      <c r="A796" s="46" t="s">
        <v>111</v>
      </c>
      <c r="B796" s="46" t="s">
        <v>115</v>
      </c>
      <c r="C796" s="46" t="s">
        <v>93</v>
      </c>
      <c r="D796" s="46" t="s">
        <v>178</v>
      </c>
      <c r="E796" s="46">
        <v>5</v>
      </c>
      <c r="F796" s="46" t="s">
        <v>62</v>
      </c>
      <c r="G796" s="46">
        <v>2</v>
      </c>
      <c r="H796" s="47" t="s">
        <v>82</v>
      </c>
      <c r="I796" s="47" t="s">
        <v>127</v>
      </c>
      <c r="J796" s="48">
        <v>0</v>
      </c>
      <c r="K796" s="48">
        <v>2</v>
      </c>
      <c r="R796" s="46">
        <f t="shared" si="87"/>
        <v>0</v>
      </c>
      <c r="S796" s="46">
        <f t="shared" si="88"/>
        <v>0</v>
      </c>
      <c r="T796" s="46">
        <f t="shared" si="86"/>
        <v>-10</v>
      </c>
      <c r="U796" s="46">
        <f t="shared" si="89"/>
        <v>-10</v>
      </c>
      <c r="V796" s="54">
        <f t="shared" si="90"/>
        <v>11.166666666666666</v>
      </c>
    </row>
    <row r="797" spans="1:22" x14ac:dyDescent="0.2">
      <c r="A797" s="46" t="s">
        <v>111</v>
      </c>
      <c r="B797" s="46" t="s">
        <v>115</v>
      </c>
      <c r="C797" s="46" t="s">
        <v>93</v>
      </c>
      <c r="D797" s="46" t="s">
        <v>178</v>
      </c>
      <c r="E797" s="46">
        <v>5</v>
      </c>
      <c r="F797" s="46" t="s">
        <v>62</v>
      </c>
      <c r="G797" s="46">
        <v>2</v>
      </c>
      <c r="H797" s="47" t="s">
        <v>86</v>
      </c>
      <c r="I797" s="47" t="s">
        <v>127</v>
      </c>
      <c r="J797" s="48">
        <v>1</v>
      </c>
      <c r="K797" s="48">
        <v>0</v>
      </c>
      <c r="R797" s="46">
        <f t="shared" si="87"/>
        <v>0</v>
      </c>
      <c r="S797" s="46">
        <f t="shared" si="88"/>
        <v>0</v>
      </c>
      <c r="T797" s="46">
        <f t="shared" si="86"/>
        <v>20</v>
      </c>
      <c r="U797" s="46">
        <f t="shared" si="89"/>
        <v>20</v>
      </c>
      <c r="V797" s="54">
        <f t="shared" si="90"/>
        <v>11.166666666666666</v>
      </c>
    </row>
    <row r="798" spans="1:22" x14ac:dyDescent="0.2">
      <c r="A798" s="46" t="s">
        <v>111</v>
      </c>
      <c r="B798" s="46" t="s">
        <v>115</v>
      </c>
      <c r="C798" s="46" t="str">
        <f>VLOOKUP(B798,$B$2:$C$3219,2,FALSE)</f>
        <v>Lighthouse</v>
      </c>
      <c r="D798" s="46" t="s">
        <v>178</v>
      </c>
      <c r="E798" s="46">
        <v>5</v>
      </c>
      <c r="F798" s="46" t="s">
        <v>62</v>
      </c>
      <c r="G798" s="46">
        <v>3</v>
      </c>
      <c r="H798" s="47" t="s">
        <v>64</v>
      </c>
      <c r="I798" s="47" t="s">
        <v>219</v>
      </c>
      <c r="J798" s="48">
        <v>0</v>
      </c>
      <c r="K798" s="48">
        <v>0</v>
      </c>
      <c r="R798" s="46">
        <f t="shared" si="87"/>
        <v>0</v>
      </c>
      <c r="S798" s="46">
        <f t="shared" si="88"/>
        <v>0</v>
      </c>
      <c r="T798" s="46">
        <f t="shared" si="86"/>
        <v>0</v>
      </c>
      <c r="U798" s="46">
        <f t="shared" si="89"/>
        <v>0</v>
      </c>
      <c r="V798" s="54">
        <f t="shared" si="90"/>
        <v>11.166666666666666</v>
      </c>
    </row>
    <row r="799" spans="1:22" x14ac:dyDescent="0.2">
      <c r="A799" s="46" t="s">
        <v>111</v>
      </c>
      <c r="B799" s="46" t="s">
        <v>115</v>
      </c>
      <c r="C799" s="46" t="str">
        <f>VLOOKUP(B799,$B$2:$C$3219,2,FALSE)</f>
        <v>Lighthouse</v>
      </c>
      <c r="D799" s="46" t="s">
        <v>178</v>
      </c>
      <c r="E799" s="46">
        <v>5</v>
      </c>
      <c r="F799" s="46" t="s">
        <v>62</v>
      </c>
      <c r="G799" s="46">
        <v>3</v>
      </c>
      <c r="H799" s="47" t="s">
        <v>83</v>
      </c>
      <c r="I799" s="47" t="s">
        <v>219</v>
      </c>
      <c r="J799" s="48">
        <v>0</v>
      </c>
      <c r="K799" s="48">
        <v>0</v>
      </c>
      <c r="R799" s="46">
        <f t="shared" si="87"/>
        <v>0</v>
      </c>
      <c r="S799" s="46">
        <f t="shared" si="88"/>
        <v>0</v>
      </c>
      <c r="U799" s="46">
        <f t="shared" si="89"/>
        <v>0</v>
      </c>
      <c r="V799" s="54">
        <f t="shared" si="90"/>
        <v>11.166666666666666</v>
      </c>
    </row>
    <row r="800" spans="1:22" x14ac:dyDescent="0.2">
      <c r="A800" s="46" t="s">
        <v>34</v>
      </c>
      <c r="B800" s="46" t="s">
        <v>177</v>
      </c>
      <c r="C800" s="46" t="s">
        <v>96</v>
      </c>
      <c r="D800" s="46" t="s">
        <v>178</v>
      </c>
      <c r="E800" s="46">
        <v>1</v>
      </c>
      <c r="F800" s="46" t="s">
        <v>61</v>
      </c>
      <c r="G800" s="46">
        <v>1</v>
      </c>
      <c r="H800" s="47" t="s">
        <v>78</v>
      </c>
      <c r="I800" s="47" t="s">
        <v>101</v>
      </c>
      <c r="J800" s="48">
        <v>0</v>
      </c>
      <c r="K800" s="48">
        <v>2</v>
      </c>
      <c r="R800" s="46">
        <f t="shared" si="87"/>
        <v>0</v>
      </c>
      <c r="S800" s="46">
        <f t="shared" si="88"/>
        <v>0</v>
      </c>
      <c r="T800" s="46">
        <f t="shared" ref="T800:T831" si="91">quizscore(J800,K800)</f>
        <v>-10</v>
      </c>
      <c r="U800" s="46">
        <f t="shared" si="89"/>
        <v>-10</v>
      </c>
      <c r="V800" s="54">
        <f t="shared" si="90"/>
        <v>55.333333333333336</v>
      </c>
    </row>
    <row r="801" spans="1:22" x14ac:dyDescent="0.2">
      <c r="A801" s="46" t="s">
        <v>34</v>
      </c>
      <c r="B801" s="46" t="s">
        <v>177</v>
      </c>
      <c r="C801" s="46" t="s">
        <v>96</v>
      </c>
      <c r="D801" s="46" t="s">
        <v>178</v>
      </c>
      <c r="E801" s="46">
        <v>1</v>
      </c>
      <c r="F801" s="46" t="s">
        <v>61</v>
      </c>
      <c r="G801" s="46">
        <v>1</v>
      </c>
      <c r="H801" s="47" t="s">
        <v>78</v>
      </c>
      <c r="I801" s="47" t="s">
        <v>101</v>
      </c>
      <c r="J801" s="48">
        <v>0</v>
      </c>
      <c r="K801" s="48">
        <v>2</v>
      </c>
      <c r="R801" s="46">
        <f t="shared" si="87"/>
        <v>0</v>
      </c>
      <c r="S801" s="46">
        <f t="shared" si="88"/>
        <v>0</v>
      </c>
      <c r="T801" s="46">
        <f t="shared" si="91"/>
        <v>-10</v>
      </c>
      <c r="U801" s="46">
        <f t="shared" si="89"/>
        <v>-10</v>
      </c>
      <c r="V801" s="54">
        <f t="shared" si="90"/>
        <v>55.333333333333336</v>
      </c>
    </row>
    <row r="802" spans="1:22" x14ac:dyDescent="0.2">
      <c r="A802" s="46" t="s">
        <v>34</v>
      </c>
      <c r="B802" s="46" t="s">
        <v>177</v>
      </c>
      <c r="C802" s="46" t="s">
        <v>96</v>
      </c>
      <c r="D802" s="46" t="s">
        <v>178</v>
      </c>
      <c r="E802" s="46">
        <v>3</v>
      </c>
      <c r="F802" s="46" t="s">
        <v>60</v>
      </c>
      <c r="G802" s="46">
        <v>2</v>
      </c>
      <c r="H802" s="47">
        <v>10</v>
      </c>
      <c r="I802" s="47" t="s">
        <v>127</v>
      </c>
      <c r="J802" s="48">
        <v>0</v>
      </c>
      <c r="K802" s="48">
        <v>0</v>
      </c>
      <c r="M802" s="48">
        <v>1</v>
      </c>
      <c r="R802" s="46">
        <f t="shared" si="87"/>
        <v>0</v>
      </c>
      <c r="S802" s="46">
        <f t="shared" si="88"/>
        <v>0</v>
      </c>
      <c r="T802" s="46">
        <f t="shared" si="91"/>
        <v>0</v>
      </c>
      <c r="U802" s="46">
        <f t="shared" si="89"/>
        <v>20</v>
      </c>
      <c r="V802" s="54">
        <f t="shared" si="90"/>
        <v>55.333333333333336</v>
      </c>
    </row>
    <row r="803" spans="1:22" x14ac:dyDescent="0.2">
      <c r="A803" s="46" t="s">
        <v>34</v>
      </c>
      <c r="B803" s="46" t="s">
        <v>177</v>
      </c>
      <c r="C803" s="46" t="s">
        <v>96</v>
      </c>
      <c r="D803" s="46" t="s">
        <v>178</v>
      </c>
      <c r="E803" s="46">
        <v>1</v>
      </c>
      <c r="F803" s="46" t="s">
        <v>60</v>
      </c>
      <c r="G803" s="46">
        <v>2</v>
      </c>
      <c r="H803" s="47">
        <v>42</v>
      </c>
      <c r="I803" s="47" t="s">
        <v>127</v>
      </c>
      <c r="J803" s="48">
        <v>0</v>
      </c>
      <c r="K803" s="48">
        <v>0</v>
      </c>
      <c r="R803" s="46">
        <f t="shared" si="87"/>
        <v>0</v>
      </c>
      <c r="S803" s="46">
        <f t="shared" si="88"/>
        <v>0</v>
      </c>
      <c r="T803" s="46">
        <f t="shared" si="91"/>
        <v>0</v>
      </c>
      <c r="U803" s="46">
        <f t="shared" si="89"/>
        <v>0</v>
      </c>
      <c r="V803" s="54">
        <f t="shared" si="90"/>
        <v>55.333333333333336</v>
      </c>
    </row>
    <row r="804" spans="1:22" x14ac:dyDescent="0.2">
      <c r="A804" s="46" t="s">
        <v>34</v>
      </c>
      <c r="B804" s="46" t="s">
        <v>177</v>
      </c>
      <c r="C804" s="46" t="s">
        <v>96</v>
      </c>
      <c r="D804" s="46" t="s">
        <v>178</v>
      </c>
      <c r="E804" s="46">
        <v>4</v>
      </c>
      <c r="F804" s="46" t="s">
        <v>60</v>
      </c>
      <c r="G804" s="46">
        <v>2</v>
      </c>
      <c r="H804" s="47">
        <v>42</v>
      </c>
      <c r="I804" s="47" t="s">
        <v>127</v>
      </c>
      <c r="J804" s="48">
        <v>0</v>
      </c>
      <c r="K804" s="48">
        <v>0</v>
      </c>
      <c r="M804" s="48">
        <v>2</v>
      </c>
      <c r="R804" s="46">
        <f t="shared" si="87"/>
        <v>0</v>
      </c>
      <c r="S804" s="46">
        <f t="shared" si="88"/>
        <v>0</v>
      </c>
      <c r="T804" s="46">
        <f t="shared" si="91"/>
        <v>0</v>
      </c>
      <c r="U804" s="46">
        <f t="shared" si="89"/>
        <v>40</v>
      </c>
      <c r="V804" s="54">
        <f t="shared" si="90"/>
        <v>55.333333333333336</v>
      </c>
    </row>
    <row r="805" spans="1:22" x14ac:dyDescent="0.2">
      <c r="A805" s="46" t="s">
        <v>34</v>
      </c>
      <c r="B805" s="46" t="s">
        <v>177</v>
      </c>
      <c r="C805" s="46" t="s">
        <v>96</v>
      </c>
      <c r="D805" s="46" t="s">
        <v>178</v>
      </c>
      <c r="E805" s="46">
        <v>1</v>
      </c>
      <c r="F805" s="46" t="s">
        <v>61</v>
      </c>
      <c r="G805" s="46">
        <v>1</v>
      </c>
      <c r="H805" s="47" t="s">
        <v>74</v>
      </c>
      <c r="I805" s="47" t="s">
        <v>101</v>
      </c>
      <c r="J805" s="48">
        <v>0</v>
      </c>
      <c r="K805" s="48">
        <v>0</v>
      </c>
      <c r="R805" s="46">
        <f t="shared" si="87"/>
        <v>0</v>
      </c>
      <c r="S805" s="46">
        <f t="shared" si="88"/>
        <v>0</v>
      </c>
      <c r="T805" s="46">
        <f t="shared" si="91"/>
        <v>0</v>
      </c>
      <c r="U805" s="46">
        <f t="shared" si="89"/>
        <v>0</v>
      </c>
      <c r="V805" s="54">
        <f t="shared" si="90"/>
        <v>55.333333333333336</v>
      </c>
    </row>
    <row r="806" spans="1:22" x14ac:dyDescent="0.2">
      <c r="A806" s="46" t="s">
        <v>34</v>
      </c>
      <c r="B806" s="46" t="s">
        <v>177</v>
      </c>
      <c r="C806" s="46" t="s">
        <v>96</v>
      </c>
      <c r="D806" s="46" t="s">
        <v>178</v>
      </c>
      <c r="E806" s="46">
        <v>3</v>
      </c>
      <c r="F806" s="46" t="s">
        <v>61</v>
      </c>
      <c r="G806" s="46">
        <v>1</v>
      </c>
      <c r="H806" s="47" t="s">
        <v>74</v>
      </c>
      <c r="I806" s="47" t="s">
        <v>101</v>
      </c>
      <c r="J806" s="48">
        <v>0</v>
      </c>
      <c r="K806" s="48">
        <v>1</v>
      </c>
      <c r="R806" s="46">
        <f t="shared" si="87"/>
        <v>0</v>
      </c>
      <c r="S806" s="46">
        <f t="shared" si="88"/>
        <v>0</v>
      </c>
      <c r="T806" s="46">
        <f t="shared" si="91"/>
        <v>0</v>
      </c>
      <c r="U806" s="46">
        <f t="shared" si="89"/>
        <v>0</v>
      </c>
      <c r="V806" s="54">
        <f t="shared" si="90"/>
        <v>55.333333333333336</v>
      </c>
    </row>
    <row r="807" spans="1:22" x14ac:dyDescent="0.2">
      <c r="A807" s="46" t="s">
        <v>34</v>
      </c>
      <c r="B807" s="46" t="s">
        <v>177</v>
      </c>
      <c r="C807" s="46" t="s">
        <v>96</v>
      </c>
      <c r="D807" s="46" t="s">
        <v>178</v>
      </c>
      <c r="E807" s="46">
        <v>3</v>
      </c>
      <c r="F807" s="46" t="s">
        <v>60</v>
      </c>
      <c r="G807" s="46">
        <v>2</v>
      </c>
      <c r="H807" s="47">
        <v>42</v>
      </c>
      <c r="I807" s="47" t="s">
        <v>127</v>
      </c>
      <c r="J807" s="48">
        <v>1</v>
      </c>
      <c r="K807" s="48">
        <v>2</v>
      </c>
      <c r="R807" s="46">
        <f t="shared" si="87"/>
        <v>0</v>
      </c>
      <c r="S807" s="46">
        <f t="shared" si="88"/>
        <v>0</v>
      </c>
      <c r="T807" s="46">
        <f t="shared" si="91"/>
        <v>10</v>
      </c>
      <c r="U807" s="46">
        <f t="shared" si="89"/>
        <v>10</v>
      </c>
      <c r="V807" s="54">
        <f t="shared" si="90"/>
        <v>55.333333333333336</v>
      </c>
    </row>
    <row r="808" spans="1:22" x14ac:dyDescent="0.2">
      <c r="A808" s="46" t="s">
        <v>34</v>
      </c>
      <c r="B808" s="46" t="s">
        <v>177</v>
      </c>
      <c r="C808" s="46" t="s">
        <v>96</v>
      </c>
      <c r="D808" s="46" t="s">
        <v>178</v>
      </c>
      <c r="E808" s="46">
        <v>2</v>
      </c>
      <c r="F808" s="46" t="s">
        <v>60</v>
      </c>
      <c r="G808" s="46">
        <v>4</v>
      </c>
      <c r="H808" s="47">
        <v>12</v>
      </c>
      <c r="I808" s="47" t="s">
        <v>102</v>
      </c>
      <c r="J808" s="48">
        <v>1</v>
      </c>
      <c r="K808" s="48">
        <v>0</v>
      </c>
      <c r="O808" s="48">
        <v>1</v>
      </c>
      <c r="R808" s="46">
        <f t="shared" si="87"/>
        <v>0</v>
      </c>
      <c r="S808" s="46">
        <f t="shared" si="88"/>
        <v>0</v>
      </c>
      <c r="T808" s="46">
        <f t="shared" si="91"/>
        <v>20</v>
      </c>
      <c r="U808" s="46">
        <f t="shared" si="89"/>
        <v>30</v>
      </c>
      <c r="V808" s="54">
        <f t="shared" si="90"/>
        <v>55.333333333333336</v>
      </c>
    </row>
    <row r="809" spans="1:22" x14ac:dyDescent="0.2">
      <c r="A809" s="46" t="s">
        <v>34</v>
      </c>
      <c r="B809" s="46" t="s">
        <v>177</v>
      </c>
      <c r="C809" s="46" t="s">
        <v>96</v>
      </c>
      <c r="D809" s="46" t="s">
        <v>178</v>
      </c>
      <c r="E809" s="46">
        <v>2</v>
      </c>
      <c r="F809" s="46" t="s">
        <v>61</v>
      </c>
      <c r="G809" s="46">
        <v>1</v>
      </c>
      <c r="H809" s="47" t="s">
        <v>70</v>
      </c>
      <c r="I809" s="47" t="s">
        <v>101</v>
      </c>
      <c r="J809" s="48">
        <v>1</v>
      </c>
      <c r="K809" s="48">
        <v>0</v>
      </c>
      <c r="R809" s="46">
        <f t="shared" si="87"/>
        <v>0</v>
      </c>
      <c r="S809" s="46">
        <f t="shared" si="88"/>
        <v>0</v>
      </c>
      <c r="T809" s="46">
        <f t="shared" si="91"/>
        <v>20</v>
      </c>
      <c r="U809" s="46">
        <f t="shared" si="89"/>
        <v>20</v>
      </c>
      <c r="V809" s="54">
        <f t="shared" si="90"/>
        <v>55.333333333333336</v>
      </c>
    </row>
    <row r="810" spans="1:22" x14ac:dyDescent="0.2">
      <c r="A810" s="46" t="s">
        <v>34</v>
      </c>
      <c r="B810" s="46" t="s">
        <v>177</v>
      </c>
      <c r="C810" s="46" t="s">
        <v>96</v>
      </c>
      <c r="D810" s="46" t="s">
        <v>178</v>
      </c>
      <c r="E810" s="46">
        <v>4</v>
      </c>
      <c r="F810" s="46" t="s">
        <v>61</v>
      </c>
      <c r="G810" s="46">
        <v>1</v>
      </c>
      <c r="H810" s="47" t="s">
        <v>70</v>
      </c>
      <c r="I810" s="47" t="s">
        <v>101</v>
      </c>
      <c r="J810" s="48">
        <v>1</v>
      </c>
      <c r="K810" s="48">
        <v>0</v>
      </c>
      <c r="R810" s="46">
        <f t="shared" si="87"/>
        <v>0</v>
      </c>
      <c r="S810" s="46">
        <f t="shared" si="88"/>
        <v>0</v>
      </c>
      <c r="T810" s="46">
        <f t="shared" si="91"/>
        <v>20</v>
      </c>
      <c r="U810" s="46">
        <f t="shared" si="89"/>
        <v>20</v>
      </c>
      <c r="V810" s="54">
        <f t="shared" si="90"/>
        <v>55.333333333333336</v>
      </c>
    </row>
    <row r="811" spans="1:22" x14ac:dyDescent="0.2">
      <c r="A811" s="46" t="s">
        <v>34</v>
      </c>
      <c r="B811" s="46" t="s">
        <v>177</v>
      </c>
      <c r="C811" s="46" t="s">
        <v>96</v>
      </c>
      <c r="D811" s="46" t="s">
        <v>178</v>
      </c>
      <c r="E811" s="46">
        <v>3</v>
      </c>
      <c r="F811" s="46" t="s">
        <v>61</v>
      </c>
      <c r="G811" s="46">
        <v>1</v>
      </c>
      <c r="H811" s="47" t="s">
        <v>68</v>
      </c>
      <c r="I811" s="47" t="s">
        <v>101</v>
      </c>
      <c r="J811" s="48">
        <v>1</v>
      </c>
      <c r="K811" s="48">
        <v>0</v>
      </c>
      <c r="R811" s="46">
        <f t="shared" si="87"/>
        <v>0</v>
      </c>
      <c r="S811" s="46">
        <f t="shared" si="88"/>
        <v>0</v>
      </c>
      <c r="T811" s="46">
        <f t="shared" si="91"/>
        <v>20</v>
      </c>
      <c r="U811" s="46">
        <f t="shared" si="89"/>
        <v>20</v>
      </c>
      <c r="V811" s="54">
        <f t="shared" si="90"/>
        <v>55.333333333333336</v>
      </c>
    </row>
    <row r="812" spans="1:22" x14ac:dyDescent="0.2">
      <c r="A812" s="46" t="s">
        <v>34</v>
      </c>
      <c r="B812" s="46" t="s">
        <v>177</v>
      </c>
      <c r="C812" s="46" t="s">
        <v>96</v>
      </c>
      <c r="D812" s="46" t="s">
        <v>178</v>
      </c>
      <c r="E812" s="46">
        <v>4</v>
      </c>
      <c r="F812" s="46" t="s">
        <v>61</v>
      </c>
      <c r="G812" s="46">
        <v>1</v>
      </c>
      <c r="H812" s="47" t="s">
        <v>68</v>
      </c>
      <c r="I812" s="47" t="s">
        <v>101</v>
      </c>
      <c r="J812" s="48">
        <v>1</v>
      </c>
      <c r="K812" s="48">
        <v>0</v>
      </c>
      <c r="R812" s="46">
        <f t="shared" si="87"/>
        <v>0</v>
      </c>
      <c r="S812" s="46">
        <f t="shared" si="88"/>
        <v>0</v>
      </c>
      <c r="T812" s="46">
        <f t="shared" si="91"/>
        <v>20</v>
      </c>
      <c r="U812" s="46">
        <f t="shared" si="89"/>
        <v>20</v>
      </c>
      <c r="V812" s="54">
        <f t="shared" si="90"/>
        <v>55.333333333333336</v>
      </c>
    </row>
    <row r="813" spans="1:22" x14ac:dyDescent="0.2">
      <c r="A813" s="46" t="s">
        <v>34</v>
      </c>
      <c r="B813" s="46" t="s">
        <v>177</v>
      </c>
      <c r="C813" s="46" t="s">
        <v>96</v>
      </c>
      <c r="D813" s="46" t="s">
        <v>178</v>
      </c>
      <c r="E813" s="46">
        <v>1</v>
      </c>
      <c r="F813" s="46" t="s">
        <v>61</v>
      </c>
      <c r="G813" s="46">
        <v>1</v>
      </c>
      <c r="H813" s="47" t="s">
        <v>69</v>
      </c>
      <c r="I813" s="47" t="s">
        <v>101</v>
      </c>
      <c r="J813" s="48">
        <v>1</v>
      </c>
      <c r="K813" s="48">
        <v>0</v>
      </c>
      <c r="R813" s="46">
        <f t="shared" si="87"/>
        <v>0</v>
      </c>
      <c r="S813" s="46">
        <f t="shared" si="88"/>
        <v>0</v>
      </c>
      <c r="T813" s="46">
        <f t="shared" si="91"/>
        <v>20</v>
      </c>
      <c r="U813" s="46">
        <f t="shared" si="89"/>
        <v>20</v>
      </c>
      <c r="V813" s="54">
        <f t="shared" si="90"/>
        <v>55.333333333333336</v>
      </c>
    </row>
    <row r="814" spans="1:22" x14ac:dyDescent="0.2">
      <c r="A814" s="46" t="s">
        <v>34</v>
      </c>
      <c r="B814" s="46" t="s">
        <v>177</v>
      </c>
      <c r="C814" s="46" t="s">
        <v>96</v>
      </c>
      <c r="D814" s="46" t="s">
        <v>178</v>
      </c>
      <c r="E814" s="46">
        <v>4</v>
      </c>
      <c r="F814" s="46" t="s">
        <v>61</v>
      </c>
      <c r="G814" s="46">
        <v>1</v>
      </c>
      <c r="H814" s="47" t="s">
        <v>69</v>
      </c>
      <c r="I814" s="47" t="s">
        <v>101</v>
      </c>
      <c r="J814" s="48">
        <v>1</v>
      </c>
      <c r="K814" s="48">
        <v>0</v>
      </c>
      <c r="M814" s="48">
        <v>1</v>
      </c>
      <c r="R814" s="46">
        <f t="shared" si="87"/>
        <v>0</v>
      </c>
      <c r="S814" s="46">
        <f t="shared" si="88"/>
        <v>0</v>
      </c>
      <c r="T814" s="46">
        <f t="shared" si="91"/>
        <v>20</v>
      </c>
      <c r="U814" s="46">
        <f t="shared" si="89"/>
        <v>40</v>
      </c>
      <c r="V814" s="54">
        <f t="shared" si="90"/>
        <v>55.333333333333336</v>
      </c>
    </row>
    <row r="815" spans="1:22" x14ac:dyDescent="0.2">
      <c r="A815" s="46" t="s">
        <v>34</v>
      </c>
      <c r="B815" s="46" t="s">
        <v>177</v>
      </c>
      <c r="C815" s="46" t="s">
        <v>96</v>
      </c>
      <c r="D815" s="46" t="s">
        <v>178</v>
      </c>
      <c r="E815" s="46">
        <v>2</v>
      </c>
      <c r="F815" s="46" t="s">
        <v>61</v>
      </c>
      <c r="G815" s="46">
        <v>2</v>
      </c>
      <c r="H815" s="47" t="s">
        <v>66</v>
      </c>
      <c r="I815" s="47" t="s">
        <v>127</v>
      </c>
      <c r="J815" s="48">
        <v>1</v>
      </c>
      <c r="K815" s="48">
        <v>0</v>
      </c>
      <c r="R815" s="46">
        <f t="shared" si="87"/>
        <v>0</v>
      </c>
      <c r="S815" s="46">
        <f t="shared" si="88"/>
        <v>0</v>
      </c>
      <c r="T815" s="46">
        <f t="shared" si="91"/>
        <v>20</v>
      </c>
      <c r="U815" s="46">
        <f t="shared" si="89"/>
        <v>20</v>
      </c>
      <c r="V815" s="54">
        <f t="shared" si="90"/>
        <v>55.333333333333336</v>
      </c>
    </row>
    <row r="816" spans="1:22" x14ac:dyDescent="0.2">
      <c r="A816" s="46" t="s">
        <v>34</v>
      </c>
      <c r="B816" s="46" t="s">
        <v>177</v>
      </c>
      <c r="C816" s="46" t="s">
        <v>96</v>
      </c>
      <c r="D816" s="46" t="s">
        <v>178</v>
      </c>
      <c r="E816" s="46">
        <v>3</v>
      </c>
      <c r="F816" s="46" t="s">
        <v>61</v>
      </c>
      <c r="G816" s="46">
        <v>1</v>
      </c>
      <c r="H816" s="47" t="s">
        <v>71</v>
      </c>
      <c r="I816" s="47" t="s">
        <v>101</v>
      </c>
      <c r="J816" s="48">
        <v>1</v>
      </c>
      <c r="K816" s="48">
        <v>0</v>
      </c>
      <c r="R816" s="46">
        <f t="shared" si="87"/>
        <v>0</v>
      </c>
      <c r="S816" s="46">
        <f t="shared" si="88"/>
        <v>0</v>
      </c>
      <c r="T816" s="46">
        <f t="shared" si="91"/>
        <v>20</v>
      </c>
      <c r="U816" s="46">
        <f t="shared" si="89"/>
        <v>20</v>
      </c>
      <c r="V816" s="54">
        <f t="shared" si="90"/>
        <v>55.333333333333336</v>
      </c>
    </row>
    <row r="817" spans="1:22" x14ac:dyDescent="0.2">
      <c r="A817" s="46" t="s">
        <v>34</v>
      </c>
      <c r="B817" s="46" t="s">
        <v>177</v>
      </c>
      <c r="C817" s="46" t="s">
        <v>96</v>
      </c>
      <c r="D817" s="46" t="s">
        <v>178</v>
      </c>
      <c r="E817" s="46">
        <v>1</v>
      </c>
      <c r="F817" s="46" t="s">
        <v>61</v>
      </c>
      <c r="G817" s="46">
        <v>1</v>
      </c>
      <c r="H817" s="47" t="s">
        <v>78</v>
      </c>
      <c r="I817" s="47" t="s">
        <v>101</v>
      </c>
      <c r="J817" s="48">
        <v>1</v>
      </c>
      <c r="K817" s="48">
        <v>1</v>
      </c>
      <c r="R817" s="46">
        <f t="shared" si="87"/>
        <v>0</v>
      </c>
      <c r="S817" s="46">
        <f t="shared" si="88"/>
        <v>0</v>
      </c>
      <c r="T817" s="46">
        <f t="shared" si="91"/>
        <v>20</v>
      </c>
      <c r="U817" s="46">
        <f t="shared" si="89"/>
        <v>20</v>
      </c>
      <c r="V817" s="54">
        <f t="shared" si="90"/>
        <v>55.333333333333336</v>
      </c>
    </row>
    <row r="818" spans="1:22" x14ac:dyDescent="0.2">
      <c r="A818" s="46" t="s">
        <v>34</v>
      </c>
      <c r="B818" s="46" t="s">
        <v>177</v>
      </c>
      <c r="C818" s="46" t="s">
        <v>96</v>
      </c>
      <c r="D818" s="46" t="s">
        <v>178</v>
      </c>
      <c r="E818" s="46">
        <v>2</v>
      </c>
      <c r="F818" s="46" t="s">
        <v>60</v>
      </c>
      <c r="G818" s="46">
        <v>1</v>
      </c>
      <c r="H818" s="47">
        <v>1</v>
      </c>
      <c r="I818" s="47" t="s">
        <v>101</v>
      </c>
      <c r="J818" s="48">
        <v>2</v>
      </c>
      <c r="K818" s="48">
        <v>2</v>
      </c>
      <c r="R818" s="46">
        <f t="shared" si="87"/>
        <v>0</v>
      </c>
      <c r="S818" s="46">
        <f t="shared" si="88"/>
        <v>0</v>
      </c>
      <c r="T818" s="46">
        <f t="shared" si="91"/>
        <v>30</v>
      </c>
      <c r="U818" s="46">
        <f t="shared" si="89"/>
        <v>30</v>
      </c>
      <c r="V818" s="54">
        <f t="shared" si="90"/>
        <v>55.333333333333336</v>
      </c>
    </row>
    <row r="819" spans="1:22" x14ac:dyDescent="0.2">
      <c r="A819" s="46" t="s">
        <v>34</v>
      </c>
      <c r="B819" s="46" t="s">
        <v>177</v>
      </c>
      <c r="C819" s="46" t="s">
        <v>96</v>
      </c>
      <c r="D819" s="46" t="s">
        <v>178</v>
      </c>
      <c r="E819" s="46">
        <v>3</v>
      </c>
      <c r="F819" s="46" t="s">
        <v>60</v>
      </c>
      <c r="G819" s="46">
        <v>3</v>
      </c>
      <c r="H819" s="47">
        <v>3</v>
      </c>
      <c r="I819" s="47" t="s">
        <v>116</v>
      </c>
      <c r="J819" s="48">
        <v>2</v>
      </c>
      <c r="K819" s="48">
        <v>0</v>
      </c>
      <c r="R819" s="46">
        <f t="shared" si="87"/>
        <v>0</v>
      </c>
      <c r="S819" s="46">
        <f t="shared" si="88"/>
        <v>0</v>
      </c>
      <c r="T819" s="46">
        <f t="shared" si="91"/>
        <v>40</v>
      </c>
      <c r="U819" s="46">
        <f t="shared" si="89"/>
        <v>40</v>
      </c>
      <c r="V819" s="54">
        <f t="shared" si="90"/>
        <v>55.333333333333336</v>
      </c>
    </row>
    <row r="820" spans="1:22" x14ac:dyDescent="0.2">
      <c r="A820" s="46" t="s">
        <v>34</v>
      </c>
      <c r="B820" s="46" t="s">
        <v>177</v>
      </c>
      <c r="C820" s="46" t="s">
        <v>96</v>
      </c>
      <c r="D820" s="46" t="s">
        <v>178</v>
      </c>
      <c r="E820" s="46">
        <v>4</v>
      </c>
      <c r="F820" s="46" t="s">
        <v>60</v>
      </c>
      <c r="G820" s="46">
        <v>1</v>
      </c>
      <c r="H820" s="47">
        <v>13</v>
      </c>
      <c r="I820" s="47" t="s">
        <v>101</v>
      </c>
      <c r="J820" s="48">
        <v>2</v>
      </c>
      <c r="K820" s="48">
        <v>0</v>
      </c>
      <c r="R820" s="46">
        <f t="shared" si="87"/>
        <v>0</v>
      </c>
      <c r="S820" s="46">
        <f t="shared" si="88"/>
        <v>0</v>
      </c>
      <c r="T820" s="46">
        <f t="shared" si="91"/>
        <v>40</v>
      </c>
      <c r="U820" s="46">
        <f t="shared" si="89"/>
        <v>40</v>
      </c>
      <c r="V820" s="54">
        <f t="shared" si="90"/>
        <v>55.333333333333336</v>
      </c>
    </row>
    <row r="821" spans="1:22" x14ac:dyDescent="0.2">
      <c r="A821" s="46" t="s">
        <v>34</v>
      </c>
      <c r="B821" s="46" t="s">
        <v>177</v>
      </c>
      <c r="C821" s="46" t="s">
        <v>96</v>
      </c>
      <c r="D821" s="46" t="s">
        <v>178</v>
      </c>
      <c r="E821" s="46">
        <v>2</v>
      </c>
      <c r="F821" s="46" t="s">
        <v>60</v>
      </c>
      <c r="G821" s="46">
        <v>3</v>
      </c>
      <c r="H821" s="47">
        <v>23</v>
      </c>
      <c r="I821" s="47" t="s">
        <v>116</v>
      </c>
      <c r="J821" s="48">
        <v>2</v>
      </c>
      <c r="K821" s="48">
        <v>0</v>
      </c>
      <c r="M821" s="48">
        <v>1</v>
      </c>
      <c r="R821" s="46">
        <f t="shared" si="87"/>
        <v>0</v>
      </c>
      <c r="S821" s="46">
        <f t="shared" si="88"/>
        <v>0</v>
      </c>
      <c r="T821" s="46">
        <f t="shared" si="91"/>
        <v>40</v>
      </c>
      <c r="U821" s="46">
        <f t="shared" si="89"/>
        <v>60</v>
      </c>
      <c r="V821" s="54">
        <f t="shared" si="90"/>
        <v>55.333333333333336</v>
      </c>
    </row>
    <row r="822" spans="1:22" x14ac:dyDescent="0.2">
      <c r="A822" s="46" t="s">
        <v>34</v>
      </c>
      <c r="B822" s="46" t="s">
        <v>177</v>
      </c>
      <c r="C822" s="46" t="s">
        <v>96</v>
      </c>
      <c r="D822" s="46" t="s">
        <v>178</v>
      </c>
      <c r="E822" s="46">
        <v>2</v>
      </c>
      <c r="F822" s="46" t="s">
        <v>60</v>
      </c>
      <c r="G822" s="46">
        <v>1</v>
      </c>
      <c r="H822" s="47">
        <v>29</v>
      </c>
      <c r="I822" s="47" t="s">
        <v>101</v>
      </c>
      <c r="J822" s="48">
        <v>2</v>
      </c>
      <c r="K822" s="48">
        <v>0</v>
      </c>
      <c r="M822" s="48">
        <v>1</v>
      </c>
      <c r="R822" s="46">
        <f t="shared" si="87"/>
        <v>0</v>
      </c>
      <c r="S822" s="46">
        <f t="shared" si="88"/>
        <v>0</v>
      </c>
      <c r="T822" s="46">
        <f t="shared" si="91"/>
        <v>40</v>
      </c>
      <c r="U822" s="46">
        <f t="shared" si="89"/>
        <v>60</v>
      </c>
      <c r="V822" s="54">
        <f t="shared" si="90"/>
        <v>55.333333333333336</v>
      </c>
    </row>
    <row r="823" spans="1:22" x14ac:dyDescent="0.2">
      <c r="A823" s="46" t="s">
        <v>34</v>
      </c>
      <c r="B823" s="46" t="s">
        <v>177</v>
      </c>
      <c r="C823" s="46" t="s">
        <v>96</v>
      </c>
      <c r="D823" s="46" t="s">
        <v>178</v>
      </c>
      <c r="E823" s="46">
        <v>4</v>
      </c>
      <c r="F823" s="46" t="s">
        <v>60</v>
      </c>
      <c r="G823" s="46">
        <v>1</v>
      </c>
      <c r="H823" s="47">
        <v>29</v>
      </c>
      <c r="I823" s="47" t="s">
        <v>101</v>
      </c>
      <c r="J823" s="48">
        <v>2</v>
      </c>
      <c r="K823" s="48">
        <v>0</v>
      </c>
      <c r="R823" s="46">
        <f t="shared" si="87"/>
        <v>0</v>
      </c>
      <c r="S823" s="46">
        <f t="shared" si="88"/>
        <v>0</v>
      </c>
      <c r="T823" s="46">
        <f t="shared" si="91"/>
        <v>40</v>
      </c>
      <c r="U823" s="46">
        <f t="shared" si="89"/>
        <v>40</v>
      </c>
      <c r="V823" s="54">
        <f t="shared" si="90"/>
        <v>55.333333333333336</v>
      </c>
    </row>
    <row r="824" spans="1:22" x14ac:dyDescent="0.2">
      <c r="A824" s="46" t="s">
        <v>34</v>
      </c>
      <c r="B824" s="46" t="s">
        <v>177</v>
      </c>
      <c r="C824" s="46" t="s">
        <v>96</v>
      </c>
      <c r="D824" s="46" t="s">
        <v>178</v>
      </c>
      <c r="E824" s="46">
        <v>2</v>
      </c>
      <c r="F824" s="46" t="s">
        <v>60</v>
      </c>
      <c r="G824" s="46">
        <v>2</v>
      </c>
      <c r="H824" s="47">
        <v>38</v>
      </c>
      <c r="I824" s="47" t="s">
        <v>127</v>
      </c>
      <c r="J824" s="48">
        <v>2</v>
      </c>
      <c r="K824" s="48">
        <v>1</v>
      </c>
      <c r="R824" s="46">
        <f t="shared" si="87"/>
        <v>0</v>
      </c>
      <c r="S824" s="46">
        <f t="shared" si="88"/>
        <v>0</v>
      </c>
      <c r="T824" s="46">
        <f t="shared" si="91"/>
        <v>40</v>
      </c>
      <c r="U824" s="46">
        <f t="shared" si="89"/>
        <v>40</v>
      </c>
      <c r="V824" s="54">
        <f t="shared" si="90"/>
        <v>55.333333333333336</v>
      </c>
    </row>
    <row r="825" spans="1:22" x14ac:dyDescent="0.2">
      <c r="A825" s="46" t="s">
        <v>34</v>
      </c>
      <c r="B825" s="46" t="s">
        <v>177</v>
      </c>
      <c r="C825" s="46" t="s">
        <v>96</v>
      </c>
      <c r="D825" s="46" t="s">
        <v>178</v>
      </c>
      <c r="E825" s="46">
        <v>2</v>
      </c>
      <c r="F825" s="46" t="s">
        <v>61</v>
      </c>
      <c r="G825" s="46">
        <v>1</v>
      </c>
      <c r="H825" s="47" t="s">
        <v>68</v>
      </c>
      <c r="I825" s="47" t="s">
        <v>101</v>
      </c>
      <c r="J825" s="48">
        <v>2</v>
      </c>
      <c r="K825" s="48">
        <v>0</v>
      </c>
      <c r="R825" s="46">
        <f t="shared" si="87"/>
        <v>0</v>
      </c>
      <c r="S825" s="46">
        <f t="shared" si="88"/>
        <v>0</v>
      </c>
      <c r="T825" s="46">
        <f t="shared" si="91"/>
        <v>40</v>
      </c>
      <c r="U825" s="46">
        <f t="shared" si="89"/>
        <v>40</v>
      </c>
      <c r="V825" s="54">
        <f t="shared" si="90"/>
        <v>55.333333333333336</v>
      </c>
    </row>
    <row r="826" spans="1:22" x14ac:dyDescent="0.2">
      <c r="A826" s="46" t="s">
        <v>34</v>
      </c>
      <c r="B826" s="46" t="s">
        <v>177</v>
      </c>
      <c r="C826" s="46" t="s">
        <v>96</v>
      </c>
      <c r="D826" s="46" t="s">
        <v>178</v>
      </c>
      <c r="E826" s="46">
        <v>3</v>
      </c>
      <c r="F826" s="46" t="s">
        <v>61</v>
      </c>
      <c r="G826" s="46">
        <v>1</v>
      </c>
      <c r="H826" s="47" t="s">
        <v>69</v>
      </c>
      <c r="I826" s="47" t="s">
        <v>101</v>
      </c>
      <c r="J826" s="48">
        <v>2</v>
      </c>
      <c r="K826" s="48">
        <v>1</v>
      </c>
      <c r="R826" s="46">
        <f t="shared" si="87"/>
        <v>0</v>
      </c>
      <c r="S826" s="46">
        <f t="shared" si="88"/>
        <v>0</v>
      </c>
      <c r="T826" s="46">
        <f t="shared" si="91"/>
        <v>40</v>
      </c>
      <c r="U826" s="46">
        <f t="shared" si="89"/>
        <v>40</v>
      </c>
      <c r="V826" s="54">
        <f t="shared" si="90"/>
        <v>55.333333333333336</v>
      </c>
    </row>
    <row r="827" spans="1:22" x14ac:dyDescent="0.2">
      <c r="A827" s="46" t="s">
        <v>34</v>
      </c>
      <c r="B827" s="46" t="s">
        <v>177</v>
      </c>
      <c r="C827" s="46" t="s">
        <v>96</v>
      </c>
      <c r="D827" s="46" t="s">
        <v>178</v>
      </c>
      <c r="E827" s="46">
        <v>1</v>
      </c>
      <c r="F827" s="46" t="s">
        <v>61</v>
      </c>
      <c r="G827" s="46">
        <v>1</v>
      </c>
      <c r="H827" s="47" t="s">
        <v>71</v>
      </c>
      <c r="I827" s="47" t="s">
        <v>101</v>
      </c>
      <c r="J827" s="48">
        <v>2</v>
      </c>
      <c r="K827" s="48">
        <v>0</v>
      </c>
      <c r="M827" s="48">
        <v>1</v>
      </c>
      <c r="R827" s="46">
        <f t="shared" si="87"/>
        <v>0</v>
      </c>
      <c r="S827" s="46">
        <f t="shared" si="88"/>
        <v>0</v>
      </c>
      <c r="T827" s="46">
        <f t="shared" si="91"/>
        <v>40</v>
      </c>
      <c r="U827" s="46">
        <f t="shared" si="89"/>
        <v>60</v>
      </c>
      <c r="V827" s="54">
        <f t="shared" si="90"/>
        <v>55.333333333333336</v>
      </c>
    </row>
    <row r="828" spans="1:22" x14ac:dyDescent="0.2">
      <c r="A828" s="46" t="s">
        <v>34</v>
      </c>
      <c r="B828" s="46" t="s">
        <v>177</v>
      </c>
      <c r="C828" s="46" t="s">
        <v>96</v>
      </c>
      <c r="D828" s="46" t="s">
        <v>178</v>
      </c>
      <c r="E828" s="46">
        <v>2</v>
      </c>
      <c r="F828" s="46" t="s">
        <v>61</v>
      </c>
      <c r="G828" s="46">
        <v>1</v>
      </c>
      <c r="H828" s="47" t="s">
        <v>71</v>
      </c>
      <c r="I828" s="47" t="s">
        <v>101</v>
      </c>
      <c r="J828" s="48">
        <v>2</v>
      </c>
      <c r="K828" s="48">
        <v>0</v>
      </c>
      <c r="R828" s="46">
        <f t="shared" si="87"/>
        <v>0</v>
      </c>
      <c r="S828" s="46">
        <f t="shared" si="88"/>
        <v>0</v>
      </c>
      <c r="T828" s="46">
        <f t="shared" si="91"/>
        <v>40</v>
      </c>
      <c r="U828" s="46">
        <f t="shared" si="89"/>
        <v>40</v>
      </c>
      <c r="V828" s="54">
        <f t="shared" si="90"/>
        <v>55.333333333333336</v>
      </c>
    </row>
    <row r="829" spans="1:22" x14ac:dyDescent="0.2">
      <c r="A829" s="46" t="s">
        <v>34</v>
      </c>
      <c r="B829" s="46" t="s">
        <v>177</v>
      </c>
      <c r="C829" s="46" t="s">
        <v>96</v>
      </c>
      <c r="D829" s="46" t="s">
        <v>178</v>
      </c>
      <c r="E829" s="46">
        <v>4</v>
      </c>
      <c r="F829" s="46" t="s">
        <v>61</v>
      </c>
      <c r="G829" s="46">
        <v>1</v>
      </c>
      <c r="H829" s="47" t="s">
        <v>71</v>
      </c>
      <c r="I829" s="47" t="s">
        <v>101</v>
      </c>
      <c r="J829" s="48">
        <v>2</v>
      </c>
      <c r="K829" s="48">
        <v>0</v>
      </c>
      <c r="R829" s="46">
        <f t="shared" si="87"/>
        <v>0</v>
      </c>
      <c r="S829" s="46">
        <f t="shared" si="88"/>
        <v>0</v>
      </c>
      <c r="T829" s="46">
        <f t="shared" si="91"/>
        <v>40</v>
      </c>
      <c r="U829" s="46">
        <f t="shared" si="89"/>
        <v>40</v>
      </c>
      <c r="V829" s="54">
        <f t="shared" si="90"/>
        <v>55.333333333333336</v>
      </c>
    </row>
    <row r="830" spans="1:22" x14ac:dyDescent="0.2">
      <c r="A830" s="46" t="s">
        <v>34</v>
      </c>
      <c r="B830" s="46" t="s">
        <v>177</v>
      </c>
      <c r="C830" s="46" t="s">
        <v>96</v>
      </c>
      <c r="D830" s="46" t="s">
        <v>178</v>
      </c>
      <c r="E830" s="46">
        <v>1</v>
      </c>
      <c r="F830" s="46" t="s">
        <v>61</v>
      </c>
      <c r="G830" s="46">
        <v>1</v>
      </c>
      <c r="H830" s="47" t="s">
        <v>78</v>
      </c>
      <c r="I830" s="47" t="s">
        <v>101</v>
      </c>
      <c r="J830" s="48">
        <v>2</v>
      </c>
      <c r="K830" s="48">
        <v>1</v>
      </c>
      <c r="R830" s="46">
        <f t="shared" si="87"/>
        <v>0</v>
      </c>
      <c r="S830" s="46">
        <f t="shared" si="88"/>
        <v>0</v>
      </c>
      <c r="T830" s="46">
        <f t="shared" si="91"/>
        <v>40</v>
      </c>
      <c r="U830" s="46">
        <f t="shared" si="89"/>
        <v>40</v>
      </c>
      <c r="V830" s="54">
        <f t="shared" si="90"/>
        <v>55.333333333333336</v>
      </c>
    </row>
    <row r="831" spans="1:22" x14ac:dyDescent="0.2">
      <c r="A831" s="46" t="s">
        <v>34</v>
      </c>
      <c r="B831" s="46" t="s">
        <v>177</v>
      </c>
      <c r="C831" s="46" t="s">
        <v>96</v>
      </c>
      <c r="D831" s="46" t="s">
        <v>178</v>
      </c>
      <c r="E831" s="46">
        <v>1</v>
      </c>
      <c r="F831" s="46" t="s">
        <v>60</v>
      </c>
      <c r="G831" s="46">
        <v>1</v>
      </c>
      <c r="H831" s="47">
        <v>1</v>
      </c>
      <c r="I831" s="47" t="s">
        <v>101</v>
      </c>
      <c r="J831" s="48">
        <v>3</v>
      </c>
      <c r="K831" s="48">
        <v>2</v>
      </c>
      <c r="R831" s="46">
        <f t="shared" si="87"/>
        <v>0</v>
      </c>
      <c r="S831" s="46">
        <f t="shared" si="88"/>
        <v>0</v>
      </c>
      <c r="T831" s="46">
        <f t="shared" si="91"/>
        <v>50</v>
      </c>
      <c r="U831" s="46">
        <f t="shared" si="89"/>
        <v>50</v>
      </c>
      <c r="V831" s="54">
        <f t="shared" si="90"/>
        <v>55.333333333333336</v>
      </c>
    </row>
    <row r="832" spans="1:22" x14ac:dyDescent="0.2">
      <c r="A832" s="46" t="s">
        <v>34</v>
      </c>
      <c r="B832" s="46" t="s">
        <v>177</v>
      </c>
      <c r="C832" s="46" t="s">
        <v>96</v>
      </c>
      <c r="D832" s="46" t="s">
        <v>178</v>
      </c>
      <c r="E832" s="46">
        <v>1</v>
      </c>
      <c r="F832" s="46" t="s">
        <v>61</v>
      </c>
      <c r="G832" s="46">
        <v>1</v>
      </c>
      <c r="H832" s="47" t="s">
        <v>68</v>
      </c>
      <c r="I832" s="47" t="s">
        <v>101</v>
      </c>
      <c r="J832" s="48">
        <v>3</v>
      </c>
      <c r="K832" s="48">
        <v>1</v>
      </c>
      <c r="R832" s="46">
        <f t="shared" si="87"/>
        <v>0</v>
      </c>
      <c r="S832" s="46">
        <f t="shared" si="88"/>
        <v>0</v>
      </c>
      <c r="T832" s="46">
        <f t="shared" ref="T832:T854" si="92">quizscore(J832,K832)</f>
        <v>60</v>
      </c>
      <c r="U832" s="46">
        <f t="shared" si="89"/>
        <v>60</v>
      </c>
      <c r="V832" s="54">
        <f t="shared" si="90"/>
        <v>55.333333333333336</v>
      </c>
    </row>
    <row r="833" spans="1:22" x14ac:dyDescent="0.2">
      <c r="A833" s="46" t="s">
        <v>34</v>
      </c>
      <c r="B833" s="46" t="s">
        <v>177</v>
      </c>
      <c r="C833" s="46" t="s">
        <v>96</v>
      </c>
      <c r="D833" s="46" t="s">
        <v>178</v>
      </c>
      <c r="E833" s="46">
        <v>1</v>
      </c>
      <c r="F833" s="46" t="s">
        <v>60</v>
      </c>
      <c r="G833" s="46">
        <v>4</v>
      </c>
      <c r="H833" s="47">
        <v>20</v>
      </c>
      <c r="I833" s="47" t="s">
        <v>102</v>
      </c>
      <c r="J833" s="48">
        <v>4</v>
      </c>
      <c r="K833" s="48">
        <v>1</v>
      </c>
      <c r="R833" s="46">
        <f t="shared" si="87"/>
        <v>1</v>
      </c>
      <c r="S833" s="46">
        <f t="shared" si="88"/>
        <v>0</v>
      </c>
      <c r="T833" s="46">
        <f t="shared" si="92"/>
        <v>80</v>
      </c>
      <c r="U833" s="46">
        <f t="shared" si="89"/>
        <v>80</v>
      </c>
      <c r="V833" s="54">
        <f t="shared" si="90"/>
        <v>55.333333333333336</v>
      </c>
    </row>
    <row r="834" spans="1:22" x14ac:dyDescent="0.2">
      <c r="A834" s="46" t="s">
        <v>34</v>
      </c>
      <c r="B834" s="46" t="s">
        <v>177</v>
      </c>
      <c r="C834" s="46" t="s">
        <v>96</v>
      </c>
      <c r="D834" s="46" t="s">
        <v>178</v>
      </c>
      <c r="E834" s="46">
        <v>4</v>
      </c>
      <c r="F834" s="46" t="s">
        <v>60</v>
      </c>
      <c r="G834" s="46">
        <v>4</v>
      </c>
      <c r="H834" s="47">
        <v>4</v>
      </c>
      <c r="I834" s="47" t="s">
        <v>102</v>
      </c>
      <c r="J834" s="48">
        <v>4</v>
      </c>
      <c r="K834" s="48">
        <v>0</v>
      </c>
      <c r="R834" s="46">
        <f t="shared" ref="R834:R897" si="93">IF(J834=4,1,0)</f>
        <v>1</v>
      </c>
      <c r="S834" s="46">
        <f t="shared" ref="S834:S897" si="94">IF(K834=3,1,0)</f>
        <v>0</v>
      </c>
      <c r="T834" s="46">
        <f t="shared" si="92"/>
        <v>90</v>
      </c>
      <c r="U834" s="46">
        <f t="shared" ref="U834:U897" si="95">T834+M834*(20) + (SUM(O834:Q834)*(10)) - L834*(5) - N834*(5)</f>
        <v>90</v>
      </c>
      <c r="V834" s="54">
        <f t="shared" ref="V834:V897" si="96">AVERAGEIFS(U:U,A:A,A834,F:F,"Pre")</f>
        <v>55.333333333333336</v>
      </c>
    </row>
    <row r="835" spans="1:22" x14ac:dyDescent="0.2">
      <c r="A835" s="46" t="s">
        <v>34</v>
      </c>
      <c r="B835" s="46" t="s">
        <v>177</v>
      </c>
      <c r="C835" s="46" t="s">
        <v>96</v>
      </c>
      <c r="D835" s="46" t="s">
        <v>178</v>
      </c>
      <c r="E835" s="46">
        <v>2</v>
      </c>
      <c r="F835" s="46" t="s">
        <v>60</v>
      </c>
      <c r="G835" s="46">
        <v>4</v>
      </c>
      <c r="H835" s="47">
        <v>16</v>
      </c>
      <c r="I835" s="47" t="s">
        <v>102</v>
      </c>
      <c r="J835" s="48">
        <v>4</v>
      </c>
      <c r="K835" s="48">
        <v>0</v>
      </c>
      <c r="R835" s="46">
        <f t="shared" si="93"/>
        <v>1</v>
      </c>
      <c r="S835" s="46">
        <f t="shared" si="94"/>
        <v>0</v>
      </c>
      <c r="T835" s="46">
        <f t="shared" si="92"/>
        <v>90</v>
      </c>
      <c r="U835" s="46">
        <f t="shared" si="95"/>
        <v>90</v>
      </c>
      <c r="V835" s="54">
        <f t="shared" si="96"/>
        <v>55.333333333333336</v>
      </c>
    </row>
    <row r="836" spans="1:22" x14ac:dyDescent="0.2">
      <c r="A836" s="46" t="s">
        <v>34</v>
      </c>
      <c r="B836" s="46" t="s">
        <v>177</v>
      </c>
      <c r="C836" s="46" t="s">
        <v>96</v>
      </c>
      <c r="D836" s="46" t="s">
        <v>178</v>
      </c>
      <c r="E836" s="46">
        <v>3</v>
      </c>
      <c r="F836" s="46" t="s">
        <v>60</v>
      </c>
      <c r="G836" s="46">
        <v>4</v>
      </c>
      <c r="H836" s="47">
        <v>16</v>
      </c>
      <c r="I836" s="47" t="s">
        <v>102</v>
      </c>
      <c r="J836" s="48">
        <v>4</v>
      </c>
      <c r="K836" s="48">
        <v>0</v>
      </c>
      <c r="R836" s="46">
        <f t="shared" si="93"/>
        <v>1</v>
      </c>
      <c r="S836" s="46">
        <f t="shared" si="94"/>
        <v>0</v>
      </c>
      <c r="T836" s="46">
        <f t="shared" si="92"/>
        <v>90</v>
      </c>
      <c r="U836" s="46">
        <f t="shared" si="95"/>
        <v>90</v>
      </c>
      <c r="V836" s="54">
        <f t="shared" si="96"/>
        <v>55.333333333333336</v>
      </c>
    </row>
    <row r="837" spans="1:22" x14ac:dyDescent="0.2">
      <c r="A837" s="46" t="s">
        <v>34</v>
      </c>
      <c r="B837" s="46" t="s">
        <v>177</v>
      </c>
      <c r="C837" s="46" t="s">
        <v>96</v>
      </c>
      <c r="D837" s="46" t="s">
        <v>178</v>
      </c>
      <c r="E837" s="46">
        <v>4</v>
      </c>
      <c r="F837" s="46" t="s">
        <v>60</v>
      </c>
      <c r="G837" s="46">
        <v>3</v>
      </c>
      <c r="H837" s="47">
        <v>23</v>
      </c>
      <c r="I837" s="47" t="s">
        <v>159</v>
      </c>
      <c r="J837" s="48">
        <v>4</v>
      </c>
      <c r="K837" s="48">
        <v>0</v>
      </c>
      <c r="R837" s="46">
        <f t="shared" si="93"/>
        <v>1</v>
      </c>
      <c r="S837" s="46">
        <f t="shared" si="94"/>
        <v>0</v>
      </c>
      <c r="T837" s="46">
        <f t="shared" si="92"/>
        <v>90</v>
      </c>
      <c r="U837" s="46">
        <f t="shared" si="95"/>
        <v>90</v>
      </c>
      <c r="V837" s="54">
        <f t="shared" si="96"/>
        <v>55.333333333333336</v>
      </c>
    </row>
    <row r="838" spans="1:22" x14ac:dyDescent="0.2">
      <c r="A838" s="46" t="s">
        <v>34</v>
      </c>
      <c r="B838" s="46" t="s">
        <v>177</v>
      </c>
      <c r="C838" s="46" t="s">
        <v>96</v>
      </c>
      <c r="D838" s="46" t="s">
        <v>178</v>
      </c>
      <c r="E838" s="46">
        <v>3</v>
      </c>
      <c r="F838" s="46" t="s">
        <v>60</v>
      </c>
      <c r="G838" s="46">
        <v>1</v>
      </c>
      <c r="H838" s="47">
        <v>25</v>
      </c>
      <c r="I838" s="47" t="s">
        <v>116</v>
      </c>
      <c r="J838" s="48">
        <v>4</v>
      </c>
      <c r="K838" s="48">
        <v>0</v>
      </c>
      <c r="R838" s="46">
        <f t="shared" si="93"/>
        <v>1</v>
      </c>
      <c r="S838" s="46">
        <f t="shared" si="94"/>
        <v>0</v>
      </c>
      <c r="T838" s="46">
        <f t="shared" si="92"/>
        <v>90</v>
      </c>
      <c r="U838" s="46">
        <f t="shared" si="95"/>
        <v>90</v>
      </c>
      <c r="V838" s="54">
        <f t="shared" si="96"/>
        <v>55.333333333333336</v>
      </c>
    </row>
    <row r="839" spans="1:22" x14ac:dyDescent="0.2">
      <c r="A839" s="46" t="s">
        <v>34</v>
      </c>
      <c r="B839" s="46" t="s">
        <v>177</v>
      </c>
      <c r="C839" s="46" t="s">
        <v>96</v>
      </c>
      <c r="D839" s="46" t="s">
        <v>178</v>
      </c>
      <c r="E839" s="46">
        <v>1</v>
      </c>
      <c r="F839" s="46" t="s">
        <v>60</v>
      </c>
      <c r="G839" s="46">
        <v>4</v>
      </c>
      <c r="H839" s="47">
        <v>28</v>
      </c>
      <c r="I839" s="47" t="s">
        <v>102</v>
      </c>
      <c r="J839" s="48">
        <v>4</v>
      </c>
      <c r="K839" s="48">
        <v>0</v>
      </c>
      <c r="R839" s="46">
        <f t="shared" si="93"/>
        <v>1</v>
      </c>
      <c r="S839" s="46">
        <f t="shared" si="94"/>
        <v>0</v>
      </c>
      <c r="T839" s="46">
        <f t="shared" si="92"/>
        <v>90</v>
      </c>
      <c r="U839" s="46">
        <f t="shared" si="95"/>
        <v>90</v>
      </c>
      <c r="V839" s="54">
        <f t="shared" si="96"/>
        <v>55.333333333333336</v>
      </c>
    </row>
    <row r="840" spans="1:22" x14ac:dyDescent="0.2">
      <c r="A840" s="46" t="s">
        <v>34</v>
      </c>
      <c r="B840" s="46" t="s">
        <v>177</v>
      </c>
      <c r="C840" s="46" t="s">
        <v>96</v>
      </c>
      <c r="D840" s="46" t="s">
        <v>178</v>
      </c>
      <c r="E840" s="46">
        <v>3</v>
      </c>
      <c r="F840" s="46" t="s">
        <v>60</v>
      </c>
      <c r="G840" s="46">
        <v>1</v>
      </c>
      <c r="H840" s="47">
        <v>33</v>
      </c>
      <c r="I840" s="47" t="s">
        <v>101</v>
      </c>
      <c r="J840" s="48">
        <v>4</v>
      </c>
      <c r="K840" s="48">
        <v>0</v>
      </c>
      <c r="R840" s="46">
        <f t="shared" si="93"/>
        <v>1</v>
      </c>
      <c r="S840" s="46">
        <f t="shared" si="94"/>
        <v>0</v>
      </c>
      <c r="T840" s="46">
        <f t="shared" si="92"/>
        <v>90</v>
      </c>
      <c r="U840" s="46">
        <f t="shared" si="95"/>
        <v>90</v>
      </c>
      <c r="V840" s="54">
        <f t="shared" si="96"/>
        <v>55.333333333333336</v>
      </c>
    </row>
    <row r="841" spans="1:22" x14ac:dyDescent="0.2">
      <c r="A841" s="46" t="s">
        <v>34</v>
      </c>
      <c r="B841" s="46" t="s">
        <v>177</v>
      </c>
      <c r="C841" s="46" t="s">
        <v>96</v>
      </c>
      <c r="D841" s="46" t="s">
        <v>178</v>
      </c>
      <c r="E841" s="46">
        <v>1</v>
      </c>
      <c r="F841" s="46" t="s">
        <v>60</v>
      </c>
      <c r="G841" s="46">
        <v>3</v>
      </c>
      <c r="H841" s="47">
        <v>35</v>
      </c>
      <c r="I841" s="47" t="s">
        <v>116</v>
      </c>
      <c r="J841" s="48">
        <v>4</v>
      </c>
      <c r="K841" s="48">
        <v>0</v>
      </c>
      <c r="R841" s="46">
        <f t="shared" si="93"/>
        <v>1</v>
      </c>
      <c r="S841" s="46">
        <f t="shared" si="94"/>
        <v>0</v>
      </c>
      <c r="T841" s="46">
        <f t="shared" si="92"/>
        <v>90</v>
      </c>
      <c r="U841" s="46">
        <f t="shared" si="95"/>
        <v>90</v>
      </c>
      <c r="V841" s="54">
        <f t="shared" si="96"/>
        <v>55.333333333333336</v>
      </c>
    </row>
    <row r="842" spans="1:22" x14ac:dyDescent="0.2">
      <c r="A842" s="46" t="s">
        <v>34</v>
      </c>
      <c r="B842" s="46" t="s">
        <v>177</v>
      </c>
      <c r="C842" s="46" t="s">
        <v>96</v>
      </c>
      <c r="D842" s="46" t="s">
        <v>178</v>
      </c>
      <c r="E842" s="46">
        <v>4</v>
      </c>
      <c r="F842" s="46" t="s">
        <v>60</v>
      </c>
      <c r="G842" s="46">
        <v>2</v>
      </c>
      <c r="H842" s="47">
        <v>38</v>
      </c>
      <c r="I842" s="47" t="s">
        <v>127</v>
      </c>
      <c r="J842" s="48">
        <v>4</v>
      </c>
      <c r="K842" s="48">
        <v>0</v>
      </c>
      <c r="R842" s="46">
        <f t="shared" si="93"/>
        <v>1</v>
      </c>
      <c r="S842" s="46">
        <f t="shared" si="94"/>
        <v>0</v>
      </c>
      <c r="T842" s="46">
        <f t="shared" si="92"/>
        <v>90</v>
      </c>
      <c r="U842" s="46">
        <f t="shared" si="95"/>
        <v>90</v>
      </c>
      <c r="V842" s="54">
        <f t="shared" si="96"/>
        <v>55.333333333333336</v>
      </c>
    </row>
    <row r="843" spans="1:22" x14ac:dyDescent="0.2">
      <c r="A843" s="46" t="s">
        <v>34</v>
      </c>
      <c r="B843" s="46" t="s">
        <v>177</v>
      </c>
      <c r="C843" s="46" t="s">
        <v>96</v>
      </c>
      <c r="D843" s="46" t="s">
        <v>178</v>
      </c>
      <c r="E843" s="46">
        <v>1</v>
      </c>
      <c r="F843" s="46" t="s">
        <v>60</v>
      </c>
      <c r="G843" s="46">
        <v>1</v>
      </c>
      <c r="H843" s="47">
        <v>49</v>
      </c>
      <c r="I843" s="47" t="s">
        <v>101</v>
      </c>
      <c r="J843" s="48">
        <v>4</v>
      </c>
      <c r="K843" s="48">
        <v>0</v>
      </c>
      <c r="R843" s="46">
        <f t="shared" si="93"/>
        <v>1</v>
      </c>
      <c r="S843" s="46">
        <f t="shared" si="94"/>
        <v>0</v>
      </c>
      <c r="T843" s="46">
        <f t="shared" si="92"/>
        <v>90</v>
      </c>
      <c r="U843" s="46">
        <f t="shared" si="95"/>
        <v>90</v>
      </c>
      <c r="V843" s="54">
        <f t="shared" si="96"/>
        <v>55.333333333333336</v>
      </c>
    </row>
    <row r="844" spans="1:22" x14ac:dyDescent="0.2">
      <c r="A844" s="46" t="s">
        <v>34</v>
      </c>
      <c r="B844" s="46" t="s">
        <v>177</v>
      </c>
      <c r="C844" s="46" t="s">
        <v>96</v>
      </c>
      <c r="D844" s="46" t="s">
        <v>178</v>
      </c>
      <c r="E844" s="46">
        <v>4</v>
      </c>
      <c r="F844" s="46" t="s">
        <v>61</v>
      </c>
      <c r="G844" s="46">
        <v>1</v>
      </c>
      <c r="H844" s="47" t="s">
        <v>78</v>
      </c>
      <c r="I844" s="47" t="s">
        <v>101</v>
      </c>
      <c r="J844" s="48">
        <v>1</v>
      </c>
      <c r="K844" s="48">
        <v>0</v>
      </c>
      <c r="R844" s="46">
        <f t="shared" si="93"/>
        <v>0</v>
      </c>
      <c r="S844" s="46">
        <f t="shared" si="94"/>
        <v>0</v>
      </c>
      <c r="T844" s="46">
        <f t="shared" si="92"/>
        <v>20</v>
      </c>
      <c r="U844" s="46">
        <f t="shared" si="95"/>
        <v>20</v>
      </c>
      <c r="V844" s="54">
        <f t="shared" si="96"/>
        <v>55.333333333333336</v>
      </c>
    </row>
    <row r="845" spans="1:22" x14ac:dyDescent="0.2">
      <c r="A845" s="46" t="s">
        <v>34</v>
      </c>
      <c r="B845" s="46" t="s">
        <v>177</v>
      </c>
      <c r="C845" s="46" t="s">
        <v>96</v>
      </c>
      <c r="D845" s="46" t="s">
        <v>178</v>
      </c>
      <c r="E845" s="46">
        <v>4</v>
      </c>
      <c r="F845" s="46" t="s">
        <v>61</v>
      </c>
      <c r="G845" s="46">
        <v>1</v>
      </c>
      <c r="H845" s="47" t="s">
        <v>78</v>
      </c>
      <c r="I845" s="47" t="s">
        <v>101</v>
      </c>
      <c r="J845" s="48">
        <v>1</v>
      </c>
      <c r="K845" s="48">
        <v>0</v>
      </c>
      <c r="R845" s="46">
        <f t="shared" si="93"/>
        <v>0</v>
      </c>
      <c r="S845" s="46">
        <f t="shared" si="94"/>
        <v>0</v>
      </c>
      <c r="T845" s="46">
        <f t="shared" si="92"/>
        <v>20</v>
      </c>
      <c r="U845" s="46">
        <f t="shared" si="95"/>
        <v>20</v>
      </c>
      <c r="V845" s="54">
        <f t="shared" si="96"/>
        <v>55.333333333333336</v>
      </c>
    </row>
    <row r="846" spans="1:22" x14ac:dyDescent="0.2">
      <c r="A846" s="46" t="s">
        <v>34</v>
      </c>
      <c r="B846" s="46" t="s">
        <v>177</v>
      </c>
      <c r="C846" s="46" t="s">
        <v>96</v>
      </c>
      <c r="D846" s="46" t="s">
        <v>178</v>
      </c>
      <c r="E846" s="46">
        <v>4</v>
      </c>
      <c r="F846" s="46" t="s">
        <v>61</v>
      </c>
      <c r="G846" s="46">
        <v>1</v>
      </c>
      <c r="H846" s="47" t="s">
        <v>78</v>
      </c>
      <c r="I846" s="47" t="s">
        <v>101</v>
      </c>
      <c r="J846" s="48">
        <v>1</v>
      </c>
      <c r="K846" s="48">
        <v>0</v>
      </c>
      <c r="R846" s="46">
        <f t="shared" si="93"/>
        <v>0</v>
      </c>
      <c r="S846" s="46">
        <f t="shared" si="94"/>
        <v>0</v>
      </c>
      <c r="T846" s="46">
        <f t="shared" si="92"/>
        <v>20</v>
      </c>
      <c r="U846" s="46">
        <f t="shared" si="95"/>
        <v>20</v>
      </c>
      <c r="V846" s="54">
        <f t="shared" si="96"/>
        <v>55.333333333333336</v>
      </c>
    </row>
    <row r="847" spans="1:22" x14ac:dyDescent="0.2">
      <c r="A847" s="46" t="s">
        <v>34</v>
      </c>
      <c r="B847" s="46" t="s">
        <v>177</v>
      </c>
      <c r="C847" s="46" t="s">
        <v>96</v>
      </c>
      <c r="D847" s="46" t="s">
        <v>178</v>
      </c>
      <c r="E847" s="46">
        <v>5</v>
      </c>
      <c r="F847" s="46" t="s">
        <v>60</v>
      </c>
      <c r="G847" s="46">
        <v>4</v>
      </c>
      <c r="H847" s="47">
        <v>4</v>
      </c>
      <c r="I847" s="47" t="s">
        <v>102</v>
      </c>
      <c r="J847" s="48">
        <v>1</v>
      </c>
      <c r="K847" s="48">
        <v>2</v>
      </c>
      <c r="R847" s="46">
        <f t="shared" si="93"/>
        <v>0</v>
      </c>
      <c r="S847" s="46">
        <f t="shared" si="94"/>
        <v>0</v>
      </c>
      <c r="T847" s="46">
        <f t="shared" si="92"/>
        <v>10</v>
      </c>
      <c r="U847" s="46">
        <f t="shared" si="95"/>
        <v>10</v>
      </c>
      <c r="V847" s="54">
        <f t="shared" si="96"/>
        <v>55.333333333333336</v>
      </c>
    </row>
    <row r="848" spans="1:22" x14ac:dyDescent="0.2">
      <c r="A848" s="46" t="s">
        <v>34</v>
      </c>
      <c r="B848" s="46" t="s">
        <v>177</v>
      </c>
      <c r="C848" s="46" t="s">
        <v>96</v>
      </c>
      <c r="D848" s="46" t="s">
        <v>178</v>
      </c>
      <c r="E848" s="46">
        <v>5</v>
      </c>
      <c r="F848" s="46" t="s">
        <v>60</v>
      </c>
      <c r="G848" s="46">
        <v>2</v>
      </c>
      <c r="H848" s="47">
        <v>10</v>
      </c>
      <c r="I848" s="47" t="s">
        <v>127</v>
      </c>
      <c r="J848" s="48">
        <v>2</v>
      </c>
      <c r="K848" s="48">
        <v>0</v>
      </c>
      <c r="R848" s="46">
        <f t="shared" si="93"/>
        <v>0</v>
      </c>
      <c r="S848" s="46">
        <f t="shared" si="94"/>
        <v>0</v>
      </c>
      <c r="T848" s="46">
        <f t="shared" si="92"/>
        <v>40</v>
      </c>
      <c r="U848" s="46">
        <f t="shared" si="95"/>
        <v>40</v>
      </c>
      <c r="V848" s="54">
        <f t="shared" si="96"/>
        <v>55.333333333333336</v>
      </c>
    </row>
    <row r="849" spans="1:22" x14ac:dyDescent="0.2">
      <c r="A849" s="46" t="s">
        <v>34</v>
      </c>
      <c r="B849" s="46" t="s">
        <v>177</v>
      </c>
      <c r="C849" s="46" t="s">
        <v>96</v>
      </c>
      <c r="D849" s="46" t="s">
        <v>178</v>
      </c>
      <c r="E849" s="46">
        <v>5</v>
      </c>
      <c r="F849" s="46" t="s">
        <v>60</v>
      </c>
      <c r="G849" s="46">
        <v>2</v>
      </c>
      <c r="H849" s="47">
        <v>26</v>
      </c>
      <c r="I849" s="47" t="s">
        <v>127</v>
      </c>
      <c r="J849" s="48">
        <v>3</v>
      </c>
      <c r="K849" s="48">
        <v>0</v>
      </c>
      <c r="R849" s="46">
        <f t="shared" si="93"/>
        <v>0</v>
      </c>
      <c r="S849" s="46">
        <f t="shared" si="94"/>
        <v>0</v>
      </c>
      <c r="T849" s="46">
        <f t="shared" si="92"/>
        <v>60</v>
      </c>
      <c r="U849" s="46">
        <f t="shared" si="95"/>
        <v>60</v>
      </c>
      <c r="V849" s="54">
        <f t="shared" si="96"/>
        <v>55.333333333333336</v>
      </c>
    </row>
    <row r="850" spans="1:22" x14ac:dyDescent="0.2">
      <c r="A850" s="46" t="s">
        <v>34</v>
      </c>
      <c r="B850" s="46" t="s">
        <v>177</v>
      </c>
      <c r="C850" s="46" t="s">
        <v>96</v>
      </c>
      <c r="D850" s="46" t="s">
        <v>178</v>
      </c>
      <c r="E850" s="46">
        <v>5</v>
      </c>
      <c r="F850" s="46" t="s">
        <v>60</v>
      </c>
      <c r="G850" s="46">
        <v>3</v>
      </c>
      <c r="H850" s="47">
        <v>35</v>
      </c>
      <c r="I850" s="47" t="s">
        <v>159</v>
      </c>
      <c r="J850" s="48">
        <v>2</v>
      </c>
      <c r="K850" s="48">
        <v>0</v>
      </c>
      <c r="R850" s="46">
        <f t="shared" si="93"/>
        <v>0</v>
      </c>
      <c r="S850" s="46">
        <f t="shared" si="94"/>
        <v>0</v>
      </c>
      <c r="T850" s="46">
        <f t="shared" si="92"/>
        <v>40</v>
      </c>
      <c r="U850" s="46">
        <f t="shared" si="95"/>
        <v>40</v>
      </c>
      <c r="V850" s="54">
        <f t="shared" si="96"/>
        <v>55.333333333333336</v>
      </c>
    </row>
    <row r="851" spans="1:22" x14ac:dyDescent="0.2">
      <c r="A851" s="46" t="s">
        <v>34</v>
      </c>
      <c r="B851" s="46" t="s">
        <v>177</v>
      </c>
      <c r="C851" s="46" t="s">
        <v>96</v>
      </c>
      <c r="D851" s="46" t="s">
        <v>178</v>
      </c>
      <c r="E851" s="46">
        <v>5</v>
      </c>
      <c r="F851" s="46" t="s">
        <v>60</v>
      </c>
      <c r="G851" s="46">
        <v>1</v>
      </c>
      <c r="H851" s="47">
        <v>41</v>
      </c>
      <c r="I851" s="47" t="s">
        <v>101</v>
      </c>
      <c r="J851" s="48">
        <v>2</v>
      </c>
      <c r="K851" s="48">
        <v>1</v>
      </c>
      <c r="R851" s="46">
        <f t="shared" si="93"/>
        <v>0</v>
      </c>
      <c r="S851" s="46">
        <f t="shared" si="94"/>
        <v>0</v>
      </c>
      <c r="T851" s="46">
        <f t="shared" si="92"/>
        <v>40</v>
      </c>
      <c r="U851" s="46">
        <f t="shared" si="95"/>
        <v>40</v>
      </c>
      <c r="V851" s="54">
        <f t="shared" si="96"/>
        <v>55.333333333333336</v>
      </c>
    </row>
    <row r="852" spans="1:22" x14ac:dyDescent="0.2">
      <c r="A852" s="46" t="s">
        <v>34</v>
      </c>
      <c r="B852" s="46" t="s">
        <v>177</v>
      </c>
      <c r="C852" s="46" t="s">
        <v>96</v>
      </c>
      <c r="D852" s="46" t="s">
        <v>178</v>
      </c>
      <c r="E852" s="46">
        <v>5</v>
      </c>
      <c r="F852" s="46" t="s">
        <v>60</v>
      </c>
      <c r="G852" s="46">
        <v>1</v>
      </c>
      <c r="H852" s="47">
        <v>45</v>
      </c>
      <c r="I852" s="47" t="s">
        <v>101</v>
      </c>
      <c r="J852" s="48">
        <v>2</v>
      </c>
      <c r="K852" s="48">
        <v>2</v>
      </c>
      <c r="R852" s="46">
        <f t="shared" si="93"/>
        <v>0</v>
      </c>
      <c r="S852" s="46">
        <f t="shared" si="94"/>
        <v>0</v>
      </c>
      <c r="T852" s="46">
        <f t="shared" si="92"/>
        <v>30</v>
      </c>
      <c r="U852" s="46">
        <f t="shared" si="95"/>
        <v>30</v>
      </c>
      <c r="V852" s="54">
        <f t="shared" si="96"/>
        <v>55.333333333333336</v>
      </c>
    </row>
    <row r="853" spans="1:22" x14ac:dyDescent="0.2">
      <c r="A853" s="46" t="s">
        <v>34</v>
      </c>
      <c r="B853" s="46" t="s">
        <v>177</v>
      </c>
      <c r="C853" s="46" t="s">
        <v>96</v>
      </c>
      <c r="D853" s="46" t="s">
        <v>178</v>
      </c>
      <c r="E853" s="46">
        <v>5</v>
      </c>
      <c r="F853" s="46" t="s">
        <v>61</v>
      </c>
      <c r="G853" s="46">
        <v>1</v>
      </c>
      <c r="H853" s="47" t="s">
        <v>74</v>
      </c>
      <c r="I853" s="47" t="s">
        <v>101</v>
      </c>
      <c r="J853" s="48">
        <v>2</v>
      </c>
      <c r="K853" s="48">
        <v>0</v>
      </c>
      <c r="M853" s="48">
        <v>1</v>
      </c>
      <c r="R853" s="46">
        <f t="shared" si="93"/>
        <v>0</v>
      </c>
      <c r="S853" s="46">
        <f t="shared" si="94"/>
        <v>0</v>
      </c>
      <c r="T853" s="46">
        <f t="shared" si="92"/>
        <v>40</v>
      </c>
      <c r="U853" s="46">
        <f t="shared" si="95"/>
        <v>60</v>
      </c>
      <c r="V853" s="54">
        <f t="shared" si="96"/>
        <v>55.333333333333336</v>
      </c>
    </row>
    <row r="854" spans="1:22" x14ac:dyDescent="0.2">
      <c r="A854" s="46" t="s">
        <v>34</v>
      </c>
      <c r="B854" s="46" t="s">
        <v>177</v>
      </c>
      <c r="C854" s="46" t="s">
        <v>96</v>
      </c>
      <c r="D854" s="46" t="s">
        <v>178</v>
      </c>
      <c r="E854" s="46">
        <v>5</v>
      </c>
      <c r="F854" s="46" t="s">
        <v>61</v>
      </c>
      <c r="G854" s="46">
        <v>1</v>
      </c>
      <c r="H854" s="47" t="s">
        <v>75</v>
      </c>
      <c r="I854" s="47" t="s">
        <v>101</v>
      </c>
      <c r="J854" s="48">
        <v>2</v>
      </c>
      <c r="K854" s="48">
        <v>0</v>
      </c>
      <c r="M854" s="48">
        <v>1</v>
      </c>
      <c r="R854" s="46">
        <f t="shared" si="93"/>
        <v>0</v>
      </c>
      <c r="S854" s="46">
        <f t="shared" si="94"/>
        <v>0</v>
      </c>
      <c r="T854" s="46">
        <f t="shared" si="92"/>
        <v>40</v>
      </c>
      <c r="U854" s="46">
        <f t="shared" si="95"/>
        <v>60</v>
      </c>
      <c r="V854" s="54">
        <f t="shared" si="96"/>
        <v>55.333333333333336</v>
      </c>
    </row>
    <row r="855" spans="1:22" x14ac:dyDescent="0.2">
      <c r="A855" s="46" t="s">
        <v>34</v>
      </c>
      <c r="B855" s="46" t="s">
        <v>177</v>
      </c>
      <c r="C855" s="46" t="s">
        <v>96</v>
      </c>
      <c r="D855" s="46" t="s">
        <v>178</v>
      </c>
      <c r="E855" s="46">
        <v>5</v>
      </c>
      <c r="F855" s="46" t="s">
        <v>61</v>
      </c>
      <c r="G855" s="46">
        <v>1</v>
      </c>
      <c r="H855" s="47" t="s">
        <v>78</v>
      </c>
      <c r="I855" s="47" t="s">
        <v>101</v>
      </c>
      <c r="J855" s="48">
        <v>0</v>
      </c>
      <c r="K855" s="48">
        <v>0</v>
      </c>
      <c r="R855" s="46">
        <f t="shared" si="93"/>
        <v>0</v>
      </c>
      <c r="S855" s="46">
        <f t="shared" si="94"/>
        <v>0</v>
      </c>
      <c r="U855" s="46">
        <f t="shared" si="95"/>
        <v>0</v>
      </c>
      <c r="V855" s="54">
        <f t="shared" si="96"/>
        <v>55.333333333333336</v>
      </c>
    </row>
    <row r="856" spans="1:22" x14ac:dyDescent="0.2">
      <c r="A856" s="46" t="s">
        <v>34</v>
      </c>
      <c r="B856" s="46" t="s">
        <v>177</v>
      </c>
      <c r="C856" s="46" t="s">
        <v>96</v>
      </c>
      <c r="D856" s="46" t="s">
        <v>178</v>
      </c>
      <c r="E856" s="46">
        <v>5</v>
      </c>
      <c r="F856" s="46" t="s">
        <v>61</v>
      </c>
      <c r="G856" s="46">
        <v>1</v>
      </c>
      <c r="H856" s="47" t="s">
        <v>78</v>
      </c>
      <c r="I856" s="47" t="s">
        <v>101</v>
      </c>
      <c r="J856" s="48">
        <v>0</v>
      </c>
      <c r="K856" s="48">
        <v>0</v>
      </c>
      <c r="R856" s="46">
        <f t="shared" si="93"/>
        <v>0</v>
      </c>
      <c r="S856" s="46">
        <f t="shared" si="94"/>
        <v>0</v>
      </c>
      <c r="U856" s="46">
        <f t="shared" si="95"/>
        <v>0</v>
      </c>
      <c r="V856" s="54">
        <f t="shared" si="96"/>
        <v>55.333333333333336</v>
      </c>
    </row>
    <row r="857" spans="1:22" x14ac:dyDescent="0.2">
      <c r="A857" s="46" t="s">
        <v>40</v>
      </c>
      <c r="B857" s="46" t="s">
        <v>118</v>
      </c>
      <c r="C857" s="46" t="s">
        <v>95</v>
      </c>
      <c r="D857" s="46" t="s">
        <v>178</v>
      </c>
      <c r="E857" s="46">
        <v>1</v>
      </c>
      <c r="F857" s="46" t="s">
        <v>60</v>
      </c>
      <c r="G857" s="46">
        <v>1</v>
      </c>
      <c r="H857" s="47">
        <v>5</v>
      </c>
      <c r="I857" s="47" t="s">
        <v>101</v>
      </c>
      <c r="J857" s="48">
        <v>0</v>
      </c>
      <c r="K857" s="48">
        <v>2</v>
      </c>
      <c r="R857" s="46">
        <f t="shared" si="93"/>
        <v>0</v>
      </c>
      <c r="S857" s="46">
        <f t="shared" si="94"/>
        <v>0</v>
      </c>
      <c r="T857" s="46">
        <f t="shared" ref="T857:T888" si="97">quizscore(J857,K857)</f>
        <v>-10</v>
      </c>
      <c r="U857" s="46">
        <f t="shared" si="95"/>
        <v>-10</v>
      </c>
      <c r="V857" s="54">
        <f t="shared" si="96"/>
        <v>0.16666666666666666</v>
      </c>
    </row>
    <row r="858" spans="1:22" x14ac:dyDescent="0.2">
      <c r="A858" s="46" t="s">
        <v>40</v>
      </c>
      <c r="B858" s="46" t="s">
        <v>118</v>
      </c>
      <c r="C858" s="46" t="s">
        <v>95</v>
      </c>
      <c r="D858" s="46" t="s">
        <v>178</v>
      </c>
      <c r="E858" s="46">
        <v>2</v>
      </c>
      <c r="F858" s="46" t="s">
        <v>60</v>
      </c>
      <c r="G858" s="46">
        <v>1</v>
      </c>
      <c r="H858" s="47">
        <v>5</v>
      </c>
      <c r="I858" s="47" t="s">
        <v>101</v>
      </c>
      <c r="J858" s="48">
        <v>0</v>
      </c>
      <c r="K858" s="48">
        <v>0</v>
      </c>
      <c r="R858" s="46">
        <f t="shared" si="93"/>
        <v>0</v>
      </c>
      <c r="S858" s="46">
        <f t="shared" si="94"/>
        <v>0</v>
      </c>
      <c r="T858" s="46">
        <f t="shared" si="97"/>
        <v>0</v>
      </c>
      <c r="U858" s="46">
        <f t="shared" si="95"/>
        <v>0</v>
      </c>
      <c r="V858" s="54">
        <f t="shared" si="96"/>
        <v>0.16666666666666666</v>
      </c>
    </row>
    <row r="859" spans="1:22" x14ac:dyDescent="0.2">
      <c r="A859" s="46" t="s">
        <v>40</v>
      </c>
      <c r="B859" s="46" t="s">
        <v>118</v>
      </c>
      <c r="C859" s="46" t="s">
        <v>95</v>
      </c>
      <c r="D859" s="46" t="s">
        <v>178</v>
      </c>
      <c r="E859" s="46">
        <v>3</v>
      </c>
      <c r="F859" s="46" t="s">
        <v>60</v>
      </c>
      <c r="G859" s="46">
        <v>3</v>
      </c>
      <c r="H859" s="47">
        <v>7</v>
      </c>
      <c r="I859" s="47" t="s">
        <v>116</v>
      </c>
      <c r="J859" s="48">
        <v>0</v>
      </c>
      <c r="K859" s="48">
        <v>0</v>
      </c>
      <c r="R859" s="46">
        <f t="shared" si="93"/>
        <v>0</v>
      </c>
      <c r="S859" s="46">
        <f t="shared" si="94"/>
        <v>0</v>
      </c>
      <c r="T859" s="46">
        <f t="shared" si="97"/>
        <v>0</v>
      </c>
      <c r="U859" s="46">
        <f t="shared" si="95"/>
        <v>0</v>
      </c>
      <c r="V859" s="54">
        <f t="shared" si="96"/>
        <v>0.16666666666666666</v>
      </c>
    </row>
    <row r="860" spans="1:22" x14ac:dyDescent="0.2">
      <c r="A860" s="46" t="s">
        <v>40</v>
      </c>
      <c r="B860" s="46" t="s">
        <v>118</v>
      </c>
      <c r="C860" s="46" t="s">
        <v>95</v>
      </c>
      <c r="D860" s="46" t="s">
        <v>178</v>
      </c>
      <c r="E860" s="46">
        <v>4</v>
      </c>
      <c r="F860" s="46" t="s">
        <v>60</v>
      </c>
      <c r="G860" s="46">
        <v>4</v>
      </c>
      <c r="H860" s="47">
        <v>8</v>
      </c>
      <c r="I860" s="47" t="s">
        <v>102</v>
      </c>
      <c r="J860" s="48">
        <v>0</v>
      </c>
      <c r="K860" s="48">
        <v>0</v>
      </c>
      <c r="R860" s="46">
        <f t="shared" si="93"/>
        <v>0</v>
      </c>
      <c r="S860" s="46">
        <f t="shared" si="94"/>
        <v>0</v>
      </c>
      <c r="T860" s="46">
        <f t="shared" si="97"/>
        <v>0</v>
      </c>
      <c r="U860" s="46">
        <f t="shared" si="95"/>
        <v>0</v>
      </c>
      <c r="V860" s="54">
        <f t="shared" si="96"/>
        <v>0.16666666666666666</v>
      </c>
    </row>
    <row r="861" spans="1:22" x14ac:dyDescent="0.2">
      <c r="A861" s="46" t="s">
        <v>40</v>
      </c>
      <c r="B861" s="46" t="s">
        <v>118</v>
      </c>
      <c r="C861" s="46" t="s">
        <v>95</v>
      </c>
      <c r="D861" s="46" t="s">
        <v>178</v>
      </c>
      <c r="E861" s="46">
        <v>1</v>
      </c>
      <c r="F861" s="46" t="s">
        <v>60</v>
      </c>
      <c r="G861" s="46">
        <v>4</v>
      </c>
      <c r="H861" s="47">
        <v>12</v>
      </c>
      <c r="I861" s="47" t="s">
        <v>102</v>
      </c>
      <c r="J861" s="48">
        <v>0</v>
      </c>
      <c r="K861" s="48">
        <v>0</v>
      </c>
      <c r="R861" s="46">
        <f t="shared" si="93"/>
        <v>0</v>
      </c>
      <c r="S861" s="46">
        <f t="shared" si="94"/>
        <v>0</v>
      </c>
      <c r="T861" s="46">
        <f t="shared" si="97"/>
        <v>0</v>
      </c>
      <c r="U861" s="46">
        <f t="shared" si="95"/>
        <v>0</v>
      </c>
      <c r="V861" s="54">
        <f t="shared" si="96"/>
        <v>0.16666666666666666</v>
      </c>
    </row>
    <row r="862" spans="1:22" x14ac:dyDescent="0.2">
      <c r="A862" s="46" t="s">
        <v>40</v>
      </c>
      <c r="B862" s="46" t="s">
        <v>118</v>
      </c>
      <c r="C862" s="46" t="s">
        <v>95</v>
      </c>
      <c r="D862" s="46" t="s">
        <v>178</v>
      </c>
      <c r="E862" s="46">
        <v>3</v>
      </c>
      <c r="F862" s="46" t="s">
        <v>60</v>
      </c>
      <c r="G862" s="46">
        <v>4</v>
      </c>
      <c r="H862" s="47">
        <v>12</v>
      </c>
      <c r="I862" s="47" t="s">
        <v>102</v>
      </c>
      <c r="J862" s="48">
        <v>0</v>
      </c>
      <c r="K862" s="48">
        <v>0</v>
      </c>
      <c r="R862" s="46">
        <f t="shared" si="93"/>
        <v>0</v>
      </c>
      <c r="S862" s="46">
        <f t="shared" si="94"/>
        <v>0</v>
      </c>
      <c r="T862" s="46">
        <f t="shared" si="97"/>
        <v>0</v>
      </c>
      <c r="U862" s="46">
        <f t="shared" si="95"/>
        <v>0</v>
      </c>
      <c r="V862" s="54">
        <f t="shared" si="96"/>
        <v>0.16666666666666666</v>
      </c>
    </row>
    <row r="863" spans="1:22" x14ac:dyDescent="0.2">
      <c r="A863" s="46" t="s">
        <v>40</v>
      </c>
      <c r="B863" s="46" t="s">
        <v>118</v>
      </c>
      <c r="C863" s="46" t="s">
        <v>95</v>
      </c>
      <c r="D863" s="46" t="s">
        <v>178</v>
      </c>
      <c r="E863" s="46">
        <v>2</v>
      </c>
      <c r="F863" s="46" t="s">
        <v>60</v>
      </c>
      <c r="G863" s="46">
        <v>2</v>
      </c>
      <c r="H863" s="47">
        <v>14</v>
      </c>
      <c r="I863" s="47" t="s">
        <v>127</v>
      </c>
      <c r="J863" s="48">
        <v>0</v>
      </c>
      <c r="K863" s="48">
        <v>0</v>
      </c>
      <c r="R863" s="46">
        <f t="shared" si="93"/>
        <v>0</v>
      </c>
      <c r="S863" s="46">
        <f t="shared" si="94"/>
        <v>0</v>
      </c>
      <c r="T863" s="46">
        <f t="shared" si="97"/>
        <v>0</v>
      </c>
      <c r="U863" s="46">
        <f t="shared" si="95"/>
        <v>0</v>
      </c>
      <c r="V863" s="54">
        <f t="shared" si="96"/>
        <v>0.16666666666666666</v>
      </c>
    </row>
    <row r="864" spans="1:22" x14ac:dyDescent="0.2">
      <c r="A864" s="46" t="s">
        <v>40</v>
      </c>
      <c r="B864" s="46" t="s">
        <v>118</v>
      </c>
      <c r="C864" s="46" t="s">
        <v>95</v>
      </c>
      <c r="D864" s="46" t="s">
        <v>178</v>
      </c>
      <c r="E864" s="46">
        <v>4</v>
      </c>
      <c r="F864" s="46" t="s">
        <v>60</v>
      </c>
      <c r="G864" s="46">
        <v>3</v>
      </c>
      <c r="H864" s="47">
        <v>15</v>
      </c>
      <c r="I864" s="47" t="s">
        <v>159</v>
      </c>
      <c r="J864" s="48">
        <v>0</v>
      </c>
      <c r="K864" s="48">
        <v>0</v>
      </c>
      <c r="R864" s="46">
        <f t="shared" si="93"/>
        <v>0</v>
      </c>
      <c r="S864" s="46">
        <f t="shared" si="94"/>
        <v>0</v>
      </c>
      <c r="T864" s="46">
        <f t="shared" si="97"/>
        <v>0</v>
      </c>
      <c r="U864" s="46">
        <f t="shared" si="95"/>
        <v>0</v>
      </c>
      <c r="V864" s="54">
        <f t="shared" si="96"/>
        <v>0.16666666666666666</v>
      </c>
    </row>
    <row r="865" spans="1:22" x14ac:dyDescent="0.2">
      <c r="A865" s="46" t="s">
        <v>40</v>
      </c>
      <c r="B865" s="46" t="s">
        <v>118</v>
      </c>
      <c r="C865" s="46" t="s">
        <v>95</v>
      </c>
      <c r="D865" s="46" t="s">
        <v>178</v>
      </c>
      <c r="E865" s="46">
        <v>3</v>
      </c>
      <c r="F865" s="46" t="s">
        <v>60</v>
      </c>
      <c r="G865" s="46">
        <v>1</v>
      </c>
      <c r="H865" s="47">
        <v>17</v>
      </c>
      <c r="I865" s="47" t="s">
        <v>101</v>
      </c>
      <c r="J865" s="48">
        <v>0</v>
      </c>
      <c r="K865" s="48">
        <v>0</v>
      </c>
      <c r="L865" s="48">
        <v>1</v>
      </c>
      <c r="R865" s="46">
        <f t="shared" si="93"/>
        <v>0</v>
      </c>
      <c r="S865" s="46">
        <f t="shared" si="94"/>
        <v>0</v>
      </c>
      <c r="T865" s="46">
        <f t="shared" si="97"/>
        <v>0</v>
      </c>
      <c r="U865" s="46">
        <f t="shared" si="95"/>
        <v>-5</v>
      </c>
      <c r="V865" s="54">
        <f t="shared" si="96"/>
        <v>0.16666666666666666</v>
      </c>
    </row>
    <row r="866" spans="1:22" x14ac:dyDescent="0.2">
      <c r="A866" s="46" t="s">
        <v>40</v>
      </c>
      <c r="B866" s="46" t="s">
        <v>118</v>
      </c>
      <c r="C866" s="46" t="s">
        <v>95</v>
      </c>
      <c r="D866" s="46" t="s">
        <v>178</v>
      </c>
      <c r="E866" s="46">
        <v>4</v>
      </c>
      <c r="F866" s="46" t="s">
        <v>60</v>
      </c>
      <c r="G866" s="46">
        <v>1</v>
      </c>
      <c r="H866" s="47">
        <v>17</v>
      </c>
      <c r="I866" s="47" t="s">
        <v>101</v>
      </c>
      <c r="J866" s="48">
        <v>0</v>
      </c>
      <c r="K866" s="48">
        <v>0</v>
      </c>
      <c r="R866" s="46">
        <f t="shared" si="93"/>
        <v>0</v>
      </c>
      <c r="S866" s="46">
        <f t="shared" si="94"/>
        <v>0</v>
      </c>
      <c r="T866" s="46">
        <f t="shared" si="97"/>
        <v>0</v>
      </c>
      <c r="U866" s="46">
        <f t="shared" si="95"/>
        <v>0</v>
      </c>
      <c r="V866" s="54">
        <f t="shared" si="96"/>
        <v>0.16666666666666666</v>
      </c>
    </row>
    <row r="867" spans="1:22" x14ac:dyDescent="0.2">
      <c r="A867" s="46" t="s">
        <v>40</v>
      </c>
      <c r="B867" s="46" t="s">
        <v>118</v>
      </c>
      <c r="C867" s="46" t="s">
        <v>95</v>
      </c>
      <c r="D867" s="46" t="s">
        <v>178</v>
      </c>
      <c r="E867" s="46">
        <v>2</v>
      </c>
      <c r="F867" s="46" t="s">
        <v>60</v>
      </c>
      <c r="G867" s="46">
        <v>2</v>
      </c>
      <c r="H867" s="47">
        <v>18</v>
      </c>
      <c r="I867" s="47" t="s">
        <v>127</v>
      </c>
      <c r="J867" s="48">
        <v>0</v>
      </c>
      <c r="K867" s="48">
        <v>1</v>
      </c>
      <c r="N867" s="48">
        <v>1</v>
      </c>
      <c r="R867" s="46">
        <f t="shared" si="93"/>
        <v>0</v>
      </c>
      <c r="S867" s="46">
        <f t="shared" si="94"/>
        <v>0</v>
      </c>
      <c r="T867" s="46">
        <f t="shared" si="97"/>
        <v>0</v>
      </c>
      <c r="U867" s="46">
        <f t="shared" si="95"/>
        <v>-5</v>
      </c>
      <c r="V867" s="54">
        <f t="shared" si="96"/>
        <v>0.16666666666666666</v>
      </c>
    </row>
    <row r="868" spans="1:22" x14ac:dyDescent="0.2">
      <c r="A868" s="46" t="s">
        <v>40</v>
      </c>
      <c r="B868" s="46" t="s">
        <v>118</v>
      </c>
      <c r="C868" s="46" t="s">
        <v>95</v>
      </c>
      <c r="D868" s="46" t="s">
        <v>178</v>
      </c>
      <c r="E868" s="46">
        <v>1</v>
      </c>
      <c r="F868" s="46" t="s">
        <v>60</v>
      </c>
      <c r="G868" s="46">
        <v>3</v>
      </c>
      <c r="H868" s="47">
        <v>23</v>
      </c>
      <c r="I868" s="47" t="s">
        <v>116</v>
      </c>
      <c r="J868" s="48">
        <v>0</v>
      </c>
      <c r="K868" s="48">
        <v>0</v>
      </c>
      <c r="R868" s="46">
        <f t="shared" si="93"/>
        <v>0</v>
      </c>
      <c r="S868" s="46">
        <f t="shared" si="94"/>
        <v>0</v>
      </c>
      <c r="T868" s="46">
        <f t="shared" si="97"/>
        <v>0</v>
      </c>
      <c r="U868" s="46">
        <f t="shared" si="95"/>
        <v>0</v>
      </c>
      <c r="V868" s="54">
        <f t="shared" si="96"/>
        <v>0.16666666666666666</v>
      </c>
    </row>
    <row r="869" spans="1:22" x14ac:dyDescent="0.2">
      <c r="A869" s="46" t="s">
        <v>40</v>
      </c>
      <c r="B869" s="46" t="s">
        <v>118</v>
      </c>
      <c r="C869" s="46" t="s">
        <v>95</v>
      </c>
      <c r="D869" s="46" t="s">
        <v>178</v>
      </c>
      <c r="E869" s="46">
        <v>2</v>
      </c>
      <c r="F869" s="46" t="s">
        <v>60</v>
      </c>
      <c r="G869" s="46">
        <v>1</v>
      </c>
      <c r="H869" s="47">
        <v>25</v>
      </c>
      <c r="I869" s="47" t="s">
        <v>101</v>
      </c>
      <c r="J869" s="48">
        <v>0</v>
      </c>
      <c r="K869" s="48">
        <v>0</v>
      </c>
      <c r="R869" s="46">
        <f t="shared" si="93"/>
        <v>0</v>
      </c>
      <c r="S869" s="46">
        <f t="shared" si="94"/>
        <v>0</v>
      </c>
      <c r="T869" s="46">
        <f t="shared" si="97"/>
        <v>0</v>
      </c>
      <c r="U869" s="46">
        <f t="shared" si="95"/>
        <v>0</v>
      </c>
      <c r="V869" s="54">
        <f t="shared" si="96"/>
        <v>0.16666666666666666</v>
      </c>
    </row>
    <row r="870" spans="1:22" x14ac:dyDescent="0.2">
      <c r="A870" s="46" t="s">
        <v>40</v>
      </c>
      <c r="B870" s="46" t="s">
        <v>118</v>
      </c>
      <c r="C870" s="46" t="s">
        <v>95</v>
      </c>
      <c r="D870" s="46" t="s">
        <v>178</v>
      </c>
      <c r="E870" s="46">
        <v>4</v>
      </c>
      <c r="F870" s="46" t="s">
        <v>60</v>
      </c>
      <c r="G870" s="46">
        <v>2</v>
      </c>
      <c r="H870" s="47">
        <v>26</v>
      </c>
      <c r="I870" s="47" t="s">
        <v>127</v>
      </c>
      <c r="J870" s="48">
        <v>0</v>
      </c>
      <c r="K870" s="48">
        <v>0</v>
      </c>
      <c r="R870" s="46">
        <f t="shared" si="93"/>
        <v>0</v>
      </c>
      <c r="S870" s="46">
        <f t="shared" si="94"/>
        <v>0</v>
      </c>
      <c r="T870" s="46">
        <f t="shared" si="97"/>
        <v>0</v>
      </c>
      <c r="U870" s="46">
        <f t="shared" si="95"/>
        <v>0</v>
      </c>
      <c r="V870" s="54">
        <f t="shared" si="96"/>
        <v>0.16666666666666666</v>
      </c>
    </row>
    <row r="871" spans="1:22" x14ac:dyDescent="0.2">
      <c r="A871" s="46" t="s">
        <v>40</v>
      </c>
      <c r="B871" s="46" t="s">
        <v>118</v>
      </c>
      <c r="C871" s="46" t="s">
        <v>95</v>
      </c>
      <c r="D871" s="46" t="s">
        <v>178</v>
      </c>
      <c r="E871" s="46">
        <v>1</v>
      </c>
      <c r="F871" s="46" t="s">
        <v>60</v>
      </c>
      <c r="G871" s="46">
        <v>3</v>
      </c>
      <c r="H871" s="47">
        <v>31</v>
      </c>
      <c r="I871" s="47" t="s">
        <v>116</v>
      </c>
      <c r="J871" s="48">
        <v>0</v>
      </c>
      <c r="K871" s="48">
        <v>0</v>
      </c>
      <c r="R871" s="46">
        <f t="shared" si="93"/>
        <v>0</v>
      </c>
      <c r="S871" s="46">
        <f t="shared" si="94"/>
        <v>0</v>
      </c>
      <c r="T871" s="46">
        <f t="shared" si="97"/>
        <v>0</v>
      </c>
      <c r="U871" s="46">
        <f t="shared" si="95"/>
        <v>0</v>
      </c>
      <c r="V871" s="54">
        <f t="shared" si="96"/>
        <v>0.16666666666666666</v>
      </c>
    </row>
    <row r="872" spans="1:22" x14ac:dyDescent="0.2">
      <c r="A872" s="46" t="s">
        <v>40</v>
      </c>
      <c r="B872" s="46" t="s">
        <v>118</v>
      </c>
      <c r="C872" s="46" t="s">
        <v>95</v>
      </c>
      <c r="D872" s="46" t="s">
        <v>178</v>
      </c>
      <c r="E872" s="46">
        <v>2</v>
      </c>
      <c r="F872" s="46" t="s">
        <v>60</v>
      </c>
      <c r="G872" s="46">
        <v>3</v>
      </c>
      <c r="H872" s="47">
        <v>35</v>
      </c>
      <c r="I872" s="47" t="s">
        <v>116</v>
      </c>
      <c r="J872" s="48">
        <v>0</v>
      </c>
      <c r="K872" s="48">
        <v>0</v>
      </c>
      <c r="R872" s="46">
        <f t="shared" si="93"/>
        <v>0</v>
      </c>
      <c r="S872" s="46">
        <f t="shared" si="94"/>
        <v>0</v>
      </c>
      <c r="T872" s="46">
        <f t="shared" si="97"/>
        <v>0</v>
      </c>
      <c r="U872" s="46">
        <f t="shared" si="95"/>
        <v>0</v>
      </c>
      <c r="V872" s="54">
        <f t="shared" si="96"/>
        <v>0.16666666666666666</v>
      </c>
    </row>
    <row r="873" spans="1:22" x14ac:dyDescent="0.2">
      <c r="A873" s="46" t="s">
        <v>40</v>
      </c>
      <c r="B873" s="46" t="s">
        <v>118</v>
      </c>
      <c r="C873" s="46" t="s">
        <v>95</v>
      </c>
      <c r="D873" s="46" t="s">
        <v>178</v>
      </c>
      <c r="E873" s="46">
        <v>1</v>
      </c>
      <c r="F873" s="46" t="s">
        <v>60</v>
      </c>
      <c r="G873" s="46">
        <v>2</v>
      </c>
      <c r="H873" s="47">
        <v>38</v>
      </c>
      <c r="I873" s="47" t="s">
        <v>127</v>
      </c>
      <c r="J873" s="48">
        <v>0</v>
      </c>
      <c r="K873" s="48">
        <v>0</v>
      </c>
      <c r="L873" s="48">
        <v>1</v>
      </c>
      <c r="R873" s="46">
        <f t="shared" si="93"/>
        <v>0</v>
      </c>
      <c r="S873" s="46">
        <f t="shared" si="94"/>
        <v>0</v>
      </c>
      <c r="T873" s="46">
        <f t="shared" si="97"/>
        <v>0</v>
      </c>
      <c r="U873" s="46">
        <f t="shared" si="95"/>
        <v>-5</v>
      </c>
      <c r="V873" s="54">
        <f t="shared" si="96"/>
        <v>0.16666666666666666</v>
      </c>
    </row>
    <row r="874" spans="1:22" x14ac:dyDescent="0.2">
      <c r="A874" s="46" t="s">
        <v>40</v>
      </c>
      <c r="B874" s="46" t="s">
        <v>118</v>
      </c>
      <c r="C874" s="46" t="s">
        <v>95</v>
      </c>
      <c r="D874" s="46" t="s">
        <v>178</v>
      </c>
      <c r="E874" s="46">
        <v>4</v>
      </c>
      <c r="F874" s="46" t="s">
        <v>60</v>
      </c>
      <c r="G874" s="46">
        <v>2</v>
      </c>
      <c r="H874" s="47">
        <v>38</v>
      </c>
      <c r="I874" s="47" t="s">
        <v>127</v>
      </c>
      <c r="J874" s="48">
        <v>0</v>
      </c>
      <c r="K874" s="48">
        <v>0</v>
      </c>
      <c r="L874" s="48">
        <v>1</v>
      </c>
      <c r="R874" s="46">
        <f t="shared" si="93"/>
        <v>0</v>
      </c>
      <c r="S874" s="46">
        <f t="shared" si="94"/>
        <v>0</v>
      </c>
      <c r="T874" s="46">
        <f t="shared" si="97"/>
        <v>0</v>
      </c>
      <c r="U874" s="46">
        <f t="shared" si="95"/>
        <v>-5</v>
      </c>
      <c r="V874" s="54">
        <f t="shared" si="96"/>
        <v>0.16666666666666666</v>
      </c>
    </row>
    <row r="875" spans="1:22" x14ac:dyDescent="0.2">
      <c r="A875" s="46" t="s">
        <v>40</v>
      </c>
      <c r="B875" s="46" t="s">
        <v>118</v>
      </c>
      <c r="C875" s="46" t="s">
        <v>95</v>
      </c>
      <c r="D875" s="46" t="s">
        <v>178</v>
      </c>
      <c r="E875" s="46">
        <v>3</v>
      </c>
      <c r="F875" s="46" t="s">
        <v>60</v>
      </c>
      <c r="G875" s="46">
        <v>4</v>
      </c>
      <c r="H875" s="47">
        <v>40</v>
      </c>
      <c r="I875" s="47" t="s">
        <v>102</v>
      </c>
      <c r="J875" s="48">
        <v>0</v>
      </c>
      <c r="K875" s="48">
        <v>1</v>
      </c>
      <c r="R875" s="46">
        <f t="shared" si="93"/>
        <v>0</v>
      </c>
      <c r="S875" s="46">
        <f t="shared" si="94"/>
        <v>0</v>
      </c>
      <c r="T875" s="46">
        <f t="shared" si="97"/>
        <v>0</v>
      </c>
      <c r="U875" s="46">
        <f t="shared" si="95"/>
        <v>0</v>
      </c>
      <c r="V875" s="54">
        <f t="shared" si="96"/>
        <v>0.16666666666666666</v>
      </c>
    </row>
    <row r="876" spans="1:22" x14ac:dyDescent="0.2">
      <c r="A876" s="46" t="s">
        <v>40</v>
      </c>
      <c r="B876" s="46" t="s">
        <v>118</v>
      </c>
      <c r="C876" s="46" t="s">
        <v>95</v>
      </c>
      <c r="D876" s="46" t="s">
        <v>178</v>
      </c>
      <c r="E876" s="46">
        <v>2</v>
      </c>
      <c r="F876" s="46" t="s">
        <v>60</v>
      </c>
      <c r="G876" s="46">
        <v>4</v>
      </c>
      <c r="H876" s="47">
        <v>44</v>
      </c>
      <c r="I876" s="47" t="s">
        <v>102</v>
      </c>
      <c r="J876" s="48">
        <v>0</v>
      </c>
      <c r="K876" s="48">
        <v>0</v>
      </c>
      <c r="R876" s="46">
        <f t="shared" si="93"/>
        <v>0</v>
      </c>
      <c r="S876" s="46">
        <f t="shared" si="94"/>
        <v>0</v>
      </c>
      <c r="T876" s="46">
        <f t="shared" si="97"/>
        <v>0</v>
      </c>
      <c r="U876" s="46">
        <f t="shared" si="95"/>
        <v>0</v>
      </c>
      <c r="V876" s="54">
        <f t="shared" si="96"/>
        <v>0.16666666666666666</v>
      </c>
    </row>
    <row r="877" spans="1:22" x14ac:dyDescent="0.2">
      <c r="A877" s="46" t="s">
        <v>40</v>
      </c>
      <c r="B877" s="46" t="s">
        <v>118</v>
      </c>
      <c r="C877" s="46" t="s">
        <v>95</v>
      </c>
      <c r="D877" s="46" t="s">
        <v>178</v>
      </c>
      <c r="E877" s="46">
        <v>1</v>
      </c>
      <c r="F877" s="46" t="s">
        <v>60</v>
      </c>
      <c r="G877" s="46">
        <v>4</v>
      </c>
      <c r="H877" s="47">
        <v>48</v>
      </c>
      <c r="I877" s="47" t="s">
        <v>102</v>
      </c>
      <c r="J877" s="48">
        <v>0</v>
      </c>
      <c r="K877" s="48">
        <v>0</v>
      </c>
      <c r="L877" s="48">
        <v>1</v>
      </c>
      <c r="R877" s="46">
        <f t="shared" si="93"/>
        <v>0</v>
      </c>
      <c r="S877" s="46">
        <f t="shared" si="94"/>
        <v>0</v>
      </c>
      <c r="T877" s="46">
        <f t="shared" si="97"/>
        <v>0</v>
      </c>
      <c r="U877" s="46">
        <f t="shared" si="95"/>
        <v>-5</v>
      </c>
      <c r="V877" s="54">
        <f t="shared" si="96"/>
        <v>0.16666666666666666</v>
      </c>
    </row>
    <row r="878" spans="1:22" x14ac:dyDescent="0.2">
      <c r="A878" s="46" t="s">
        <v>40</v>
      </c>
      <c r="B878" s="46" t="s">
        <v>118</v>
      </c>
      <c r="C878" s="46" t="s">
        <v>95</v>
      </c>
      <c r="D878" s="46" t="s">
        <v>178</v>
      </c>
      <c r="E878" s="46">
        <v>4</v>
      </c>
      <c r="F878" s="46" t="s">
        <v>60</v>
      </c>
      <c r="G878" s="46">
        <v>1</v>
      </c>
      <c r="H878" s="47">
        <v>49</v>
      </c>
      <c r="I878" s="47" t="s">
        <v>101</v>
      </c>
      <c r="J878" s="48">
        <v>0</v>
      </c>
      <c r="K878" s="48">
        <v>0</v>
      </c>
      <c r="R878" s="46">
        <f t="shared" si="93"/>
        <v>0</v>
      </c>
      <c r="S878" s="46">
        <f t="shared" si="94"/>
        <v>0</v>
      </c>
      <c r="T878" s="46">
        <f t="shared" si="97"/>
        <v>0</v>
      </c>
      <c r="U878" s="46">
        <f t="shared" si="95"/>
        <v>0</v>
      </c>
      <c r="V878" s="54">
        <f t="shared" si="96"/>
        <v>0.16666666666666666</v>
      </c>
    </row>
    <row r="879" spans="1:22" x14ac:dyDescent="0.2">
      <c r="A879" s="46" t="s">
        <v>40</v>
      </c>
      <c r="B879" s="46" t="s">
        <v>118</v>
      </c>
      <c r="C879" s="46" t="s">
        <v>95</v>
      </c>
      <c r="D879" s="46" t="s">
        <v>178</v>
      </c>
      <c r="E879" s="46">
        <v>2</v>
      </c>
      <c r="F879" s="46" t="s">
        <v>62</v>
      </c>
      <c r="G879" s="46">
        <v>2</v>
      </c>
      <c r="H879" s="47" t="s">
        <v>81</v>
      </c>
      <c r="I879" s="47" t="s">
        <v>127</v>
      </c>
      <c r="J879" s="48">
        <v>0</v>
      </c>
      <c r="K879" s="48">
        <v>0</v>
      </c>
      <c r="R879" s="46">
        <f t="shared" si="93"/>
        <v>0</v>
      </c>
      <c r="S879" s="46">
        <f t="shared" si="94"/>
        <v>0</v>
      </c>
      <c r="T879" s="46">
        <f t="shared" si="97"/>
        <v>0</v>
      </c>
      <c r="U879" s="46">
        <f t="shared" si="95"/>
        <v>0</v>
      </c>
      <c r="V879" s="54">
        <f t="shared" si="96"/>
        <v>0.16666666666666666</v>
      </c>
    </row>
    <row r="880" spans="1:22" x14ac:dyDescent="0.2">
      <c r="A880" s="46" t="s">
        <v>40</v>
      </c>
      <c r="B880" s="46" t="s">
        <v>118</v>
      </c>
      <c r="C880" s="46" t="s">
        <v>95</v>
      </c>
      <c r="D880" s="46" t="s">
        <v>178</v>
      </c>
      <c r="E880" s="46">
        <v>2</v>
      </c>
      <c r="F880" s="46" t="s">
        <v>62</v>
      </c>
      <c r="G880" s="46">
        <v>3</v>
      </c>
      <c r="H880" s="47" t="s">
        <v>84</v>
      </c>
      <c r="I880" s="47" t="s">
        <v>116</v>
      </c>
      <c r="J880" s="48">
        <v>0</v>
      </c>
      <c r="K880" s="48">
        <v>0</v>
      </c>
      <c r="R880" s="46">
        <f t="shared" si="93"/>
        <v>0</v>
      </c>
      <c r="S880" s="46">
        <f t="shared" si="94"/>
        <v>0</v>
      </c>
      <c r="T880" s="46">
        <f t="shared" si="97"/>
        <v>0</v>
      </c>
      <c r="U880" s="46">
        <f t="shared" si="95"/>
        <v>0</v>
      </c>
      <c r="V880" s="54">
        <f t="shared" si="96"/>
        <v>0.16666666666666666</v>
      </c>
    </row>
    <row r="881" spans="1:22" x14ac:dyDescent="0.2">
      <c r="A881" s="46" t="s">
        <v>40</v>
      </c>
      <c r="B881" s="46" t="s">
        <v>118</v>
      </c>
      <c r="C881" s="46" t="s">
        <v>95</v>
      </c>
      <c r="D881" s="46" t="s">
        <v>178</v>
      </c>
      <c r="E881" s="46">
        <v>1</v>
      </c>
      <c r="F881" s="46" t="s">
        <v>62</v>
      </c>
      <c r="G881" s="46">
        <v>3</v>
      </c>
      <c r="H881" s="47" t="s">
        <v>85</v>
      </c>
      <c r="I881" s="47" t="s">
        <v>116</v>
      </c>
      <c r="J881" s="48">
        <v>0</v>
      </c>
      <c r="K881" s="48">
        <v>1</v>
      </c>
      <c r="R881" s="46">
        <f t="shared" si="93"/>
        <v>0</v>
      </c>
      <c r="S881" s="46">
        <f t="shared" si="94"/>
        <v>0</v>
      </c>
      <c r="T881" s="46">
        <f t="shared" si="97"/>
        <v>0</v>
      </c>
      <c r="U881" s="46">
        <f t="shared" si="95"/>
        <v>0</v>
      </c>
      <c r="V881" s="54">
        <f t="shared" si="96"/>
        <v>0.16666666666666666</v>
      </c>
    </row>
    <row r="882" spans="1:22" x14ac:dyDescent="0.2">
      <c r="A882" s="46" t="s">
        <v>40</v>
      </c>
      <c r="B882" s="46" t="s">
        <v>118</v>
      </c>
      <c r="C882" s="46" t="s">
        <v>95</v>
      </c>
      <c r="D882" s="46" t="s">
        <v>178</v>
      </c>
      <c r="E882" s="46">
        <v>1</v>
      </c>
      <c r="F882" s="46" t="s">
        <v>62</v>
      </c>
      <c r="G882" s="46">
        <v>3</v>
      </c>
      <c r="H882" s="47" t="s">
        <v>87</v>
      </c>
      <c r="I882" s="47" t="s">
        <v>116</v>
      </c>
      <c r="J882" s="48">
        <v>0</v>
      </c>
      <c r="K882" s="48">
        <v>0</v>
      </c>
      <c r="R882" s="46">
        <f t="shared" si="93"/>
        <v>0</v>
      </c>
      <c r="S882" s="46">
        <f t="shared" si="94"/>
        <v>0</v>
      </c>
      <c r="T882" s="46">
        <f t="shared" si="97"/>
        <v>0</v>
      </c>
      <c r="U882" s="46">
        <f t="shared" si="95"/>
        <v>0</v>
      </c>
      <c r="V882" s="54">
        <f t="shared" si="96"/>
        <v>0.16666666666666666</v>
      </c>
    </row>
    <row r="883" spans="1:22" x14ac:dyDescent="0.2">
      <c r="A883" s="46" t="s">
        <v>40</v>
      </c>
      <c r="B883" s="46" t="s">
        <v>118</v>
      </c>
      <c r="C883" s="46" t="s">
        <v>95</v>
      </c>
      <c r="D883" s="46" t="s">
        <v>178</v>
      </c>
      <c r="E883" s="46">
        <v>2</v>
      </c>
      <c r="F883" s="46" t="s">
        <v>62</v>
      </c>
      <c r="G883" s="46">
        <v>3</v>
      </c>
      <c r="H883" s="47" t="s">
        <v>87</v>
      </c>
      <c r="I883" s="47" t="s">
        <v>116</v>
      </c>
      <c r="J883" s="48">
        <v>0</v>
      </c>
      <c r="K883" s="48">
        <v>1</v>
      </c>
      <c r="R883" s="46">
        <f t="shared" si="93"/>
        <v>0</v>
      </c>
      <c r="S883" s="46">
        <f t="shared" si="94"/>
        <v>0</v>
      </c>
      <c r="T883" s="46">
        <f t="shared" si="97"/>
        <v>0</v>
      </c>
      <c r="U883" s="46">
        <f t="shared" si="95"/>
        <v>0</v>
      </c>
      <c r="V883" s="54">
        <f t="shared" si="96"/>
        <v>0.16666666666666666</v>
      </c>
    </row>
    <row r="884" spans="1:22" x14ac:dyDescent="0.2">
      <c r="A884" s="46" t="s">
        <v>40</v>
      </c>
      <c r="B884" s="46" t="s">
        <v>118</v>
      </c>
      <c r="C884" s="46" t="s">
        <v>95</v>
      </c>
      <c r="D884" s="46" t="s">
        <v>178</v>
      </c>
      <c r="E884" s="46">
        <v>1</v>
      </c>
      <c r="F884" s="46" t="s">
        <v>62</v>
      </c>
      <c r="G884" s="46">
        <v>3</v>
      </c>
      <c r="H884" s="47" t="s">
        <v>64</v>
      </c>
      <c r="I884" s="47" t="s">
        <v>116</v>
      </c>
      <c r="J884" s="48">
        <v>0</v>
      </c>
      <c r="K884" s="48">
        <v>0</v>
      </c>
      <c r="R884" s="46">
        <f t="shared" si="93"/>
        <v>0</v>
      </c>
      <c r="S884" s="46">
        <f t="shared" si="94"/>
        <v>0</v>
      </c>
      <c r="T884" s="46">
        <f t="shared" si="97"/>
        <v>0</v>
      </c>
      <c r="U884" s="46">
        <f t="shared" si="95"/>
        <v>0</v>
      </c>
      <c r="V884" s="54">
        <f t="shared" si="96"/>
        <v>0.16666666666666666</v>
      </c>
    </row>
    <row r="885" spans="1:22" x14ac:dyDescent="0.2">
      <c r="A885" s="46" t="s">
        <v>40</v>
      </c>
      <c r="B885" s="46" t="s">
        <v>118</v>
      </c>
      <c r="C885" s="46" t="s">
        <v>95</v>
      </c>
      <c r="D885" s="46" t="s">
        <v>178</v>
      </c>
      <c r="E885" s="46">
        <v>2</v>
      </c>
      <c r="F885" s="46" t="s">
        <v>62</v>
      </c>
      <c r="G885" s="46">
        <v>3</v>
      </c>
      <c r="H885" s="47" t="s">
        <v>64</v>
      </c>
      <c r="I885" s="47" t="s">
        <v>116</v>
      </c>
      <c r="J885" s="48">
        <v>0</v>
      </c>
      <c r="K885" s="48">
        <v>0</v>
      </c>
      <c r="R885" s="46">
        <f t="shared" si="93"/>
        <v>0</v>
      </c>
      <c r="S885" s="46">
        <f t="shared" si="94"/>
        <v>0</v>
      </c>
      <c r="T885" s="46">
        <f t="shared" si="97"/>
        <v>0</v>
      </c>
      <c r="U885" s="46">
        <f t="shared" si="95"/>
        <v>0</v>
      </c>
      <c r="V885" s="54">
        <f t="shared" si="96"/>
        <v>0.16666666666666666</v>
      </c>
    </row>
    <row r="886" spans="1:22" x14ac:dyDescent="0.2">
      <c r="A886" s="46" t="s">
        <v>40</v>
      </c>
      <c r="B886" s="46" t="s">
        <v>118</v>
      </c>
      <c r="C886" s="46" t="s">
        <v>95</v>
      </c>
      <c r="D886" s="46" t="s">
        <v>178</v>
      </c>
      <c r="E886" s="46">
        <v>2</v>
      </c>
      <c r="F886" s="46" t="s">
        <v>62</v>
      </c>
      <c r="G886" s="46">
        <v>2</v>
      </c>
      <c r="H886" s="47" t="s">
        <v>83</v>
      </c>
      <c r="I886" s="47" t="s">
        <v>127</v>
      </c>
      <c r="J886" s="48">
        <v>0</v>
      </c>
      <c r="K886" s="48">
        <v>0</v>
      </c>
      <c r="R886" s="46">
        <f t="shared" si="93"/>
        <v>0</v>
      </c>
      <c r="S886" s="46">
        <f t="shared" si="94"/>
        <v>0</v>
      </c>
      <c r="T886" s="46">
        <f t="shared" si="97"/>
        <v>0</v>
      </c>
      <c r="U886" s="46">
        <f t="shared" si="95"/>
        <v>0</v>
      </c>
      <c r="V886" s="54">
        <f t="shared" si="96"/>
        <v>0.16666666666666666</v>
      </c>
    </row>
    <row r="887" spans="1:22" x14ac:dyDescent="0.2">
      <c r="A887" s="46" t="s">
        <v>40</v>
      </c>
      <c r="B887" s="46" t="s">
        <v>118</v>
      </c>
      <c r="C887" s="46" t="s">
        <v>95</v>
      </c>
      <c r="D887" s="46" t="s">
        <v>178</v>
      </c>
      <c r="E887" s="46">
        <v>3</v>
      </c>
      <c r="F887" s="46" t="s">
        <v>63</v>
      </c>
      <c r="G887" s="46">
        <v>4</v>
      </c>
      <c r="H887" s="47" t="s">
        <v>146</v>
      </c>
      <c r="I887" s="47" t="s">
        <v>102</v>
      </c>
      <c r="J887" s="48">
        <v>0</v>
      </c>
      <c r="K887" s="48">
        <v>0</v>
      </c>
      <c r="R887" s="46">
        <f t="shared" si="93"/>
        <v>0</v>
      </c>
      <c r="S887" s="46">
        <f t="shared" si="94"/>
        <v>0</v>
      </c>
      <c r="T887" s="46">
        <f t="shared" si="97"/>
        <v>0</v>
      </c>
      <c r="U887" s="46">
        <f t="shared" si="95"/>
        <v>0</v>
      </c>
      <c r="V887" s="54">
        <f t="shared" si="96"/>
        <v>0.16666666666666666</v>
      </c>
    </row>
    <row r="888" spans="1:22" x14ac:dyDescent="0.2">
      <c r="A888" s="46" t="s">
        <v>40</v>
      </c>
      <c r="B888" s="46" t="s">
        <v>118</v>
      </c>
      <c r="C888" s="46" t="s">
        <v>95</v>
      </c>
      <c r="D888" s="46" t="s">
        <v>178</v>
      </c>
      <c r="E888" s="46">
        <v>4</v>
      </c>
      <c r="F888" s="46" t="s">
        <v>63</v>
      </c>
      <c r="G888" s="46">
        <v>4</v>
      </c>
      <c r="H888" s="47" t="s">
        <v>146</v>
      </c>
      <c r="I888" s="47" t="s">
        <v>102</v>
      </c>
      <c r="J888" s="48">
        <v>0</v>
      </c>
      <c r="K888" s="48">
        <v>0</v>
      </c>
      <c r="R888" s="46">
        <f t="shared" si="93"/>
        <v>0</v>
      </c>
      <c r="S888" s="46">
        <f t="shared" si="94"/>
        <v>0</v>
      </c>
      <c r="T888" s="46">
        <f t="shared" si="97"/>
        <v>0</v>
      </c>
      <c r="U888" s="46">
        <f t="shared" si="95"/>
        <v>0</v>
      </c>
      <c r="V888" s="54">
        <f t="shared" si="96"/>
        <v>0.16666666666666666</v>
      </c>
    </row>
    <row r="889" spans="1:22" x14ac:dyDescent="0.2">
      <c r="A889" s="46" t="s">
        <v>40</v>
      </c>
      <c r="B889" s="46" t="s">
        <v>118</v>
      </c>
      <c r="C889" s="46" t="s">
        <v>95</v>
      </c>
      <c r="D889" s="46" t="s">
        <v>178</v>
      </c>
      <c r="E889" s="46">
        <v>4</v>
      </c>
      <c r="F889" s="46" t="s">
        <v>63</v>
      </c>
      <c r="G889" s="46">
        <v>4</v>
      </c>
      <c r="H889" s="47" t="s">
        <v>149</v>
      </c>
      <c r="I889" s="47" t="s">
        <v>102</v>
      </c>
      <c r="J889" s="48">
        <v>0</v>
      </c>
      <c r="K889" s="48">
        <v>1</v>
      </c>
      <c r="R889" s="46">
        <f t="shared" si="93"/>
        <v>0</v>
      </c>
      <c r="S889" s="46">
        <f t="shared" si="94"/>
        <v>0</v>
      </c>
      <c r="T889" s="46">
        <f t="shared" ref="T889:T920" si="98">quizscore(J889,K889)</f>
        <v>0</v>
      </c>
      <c r="U889" s="46">
        <f t="shared" si="95"/>
        <v>0</v>
      </c>
      <c r="V889" s="54">
        <f t="shared" si="96"/>
        <v>0.16666666666666666</v>
      </c>
    </row>
    <row r="890" spans="1:22" x14ac:dyDescent="0.2">
      <c r="A890" s="46" t="s">
        <v>40</v>
      </c>
      <c r="B890" s="46" t="s">
        <v>118</v>
      </c>
      <c r="C890" s="46" t="s">
        <v>95</v>
      </c>
      <c r="D890" s="46" t="s">
        <v>178</v>
      </c>
      <c r="E890" s="46">
        <v>3</v>
      </c>
      <c r="F890" s="46" t="s">
        <v>63</v>
      </c>
      <c r="G890" s="46">
        <v>4</v>
      </c>
      <c r="H890" s="47" t="s">
        <v>152</v>
      </c>
      <c r="I890" s="47" t="s">
        <v>102</v>
      </c>
      <c r="J890" s="48">
        <v>0</v>
      </c>
      <c r="K890" s="48">
        <v>0</v>
      </c>
      <c r="R890" s="46">
        <f t="shared" si="93"/>
        <v>0</v>
      </c>
      <c r="S890" s="46">
        <f t="shared" si="94"/>
        <v>0</v>
      </c>
      <c r="T890" s="46">
        <f t="shared" si="98"/>
        <v>0</v>
      </c>
      <c r="U890" s="46">
        <f t="shared" si="95"/>
        <v>0</v>
      </c>
      <c r="V890" s="54">
        <f t="shared" si="96"/>
        <v>0.16666666666666666</v>
      </c>
    </row>
    <row r="891" spans="1:22" x14ac:dyDescent="0.2">
      <c r="A891" s="46" t="s">
        <v>40</v>
      </c>
      <c r="B891" s="46" t="s">
        <v>118</v>
      </c>
      <c r="C891" s="46" t="s">
        <v>95</v>
      </c>
      <c r="D891" s="46" t="s">
        <v>178</v>
      </c>
      <c r="E891" s="46">
        <v>3</v>
      </c>
      <c r="F891" s="46" t="s">
        <v>63</v>
      </c>
      <c r="G891" s="46">
        <v>4</v>
      </c>
      <c r="H891" s="47" t="s">
        <v>172</v>
      </c>
      <c r="I891" s="47" t="s">
        <v>102</v>
      </c>
      <c r="J891" s="48">
        <v>0</v>
      </c>
      <c r="K891" s="48">
        <v>0</v>
      </c>
      <c r="R891" s="46">
        <f t="shared" si="93"/>
        <v>0</v>
      </c>
      <c r="S891" s="46">
        <f t="shared" si="94"/>
        <v>0</v>
      </c>
      <c r="T891" s="46">
        <f t="shared" si="98"/>
        <v>0</v>
      </c>
      <c r="U891" s="46">
        <f t="shared" si="95"/>
        <v>0</v>
      </c>
      <c r="V891" s="54">
        <f t="shared" si="96"/>
        <v>0.16666666666666666</v>
      </c>
    </row>
    <row r="892" spans="1:22" x14ac:dyDescent="0.2">
      <c r="A892" s="46" t="s">
        <v>40</v>
      </c>
      <c r="B892" s="46" t="s">
        <v>118</v>
      </c>
      <c r="C892" s="46" t="s">
        <v>95</v>
      </c>
      <c r="D892" s="46" t="s">
        <v>178</v>
      </c>
      <c r="E892" s="46">
        <v>3</v>
      </c>
      <c r="F892" s="46" t="s">
        <v>60</v>
      </c>
      <c r="G892" s="46">
        <v>2</v>
      </c>
      <c r="H892" s="47">
        <v>26</v>
      </c>
      <c r="I892" s="47" t="s">
        <v>127</v>
      </c>
      <c r="J892" s="48">
        <v>1</v>
      </c>
      <c r="K892" s="48">
        <v>1</v>
      </c>
      <c r="R892" s="46">
        <f t="shared" si="93"/>
        <v>0</v>
      </c>
      <c r="S892" s="46">
        <f t="shared" si="94"/>
        <v>0</v>
      </c>
      <c r="T892" s="46">
        <f t="shared" si="98"/>
        <v>20</v>
      </c>
      <c r="U892" s="46">
        <f t="shared" si="95"/>
        <v>20</v>
      </c>
      <c r="V892" s="54">
        <f t="shared" si="96"/>
        <v>0.16666666666666666</v>
      </c>
    </row>
    <row r="893" spans="1:22" x14ac:dyDescent="0.2">
      <c r="A893" s="46" t="s">
        <v>40</v>
      </c>
      <c r="B893" s="46" t="s">
        <v>118</v>
      </c>
      <c r="C893" s="46" t="s">
        <v>95</v>
      </c>
      <c r="D893" s="46" t="s">
        <v>178</v>
      </c>
      <c r="E893" s="46">
        <v>3</v>
      </c>
      <c r="F893" s="46" t="s">
        <v>60</v>
      </c>
      <c r="G893" s="46">
        <v>1</v>
      </c>
      <c r="H893" s="47">
        <v>45</v>
      </c>
      <c r="I893" s="47" t="s">
        <v>101</v>
      </c>
      <c r="J893" s="48">
        <v>1</v>
      </c>
      <c r="K893" s="48">
        <v>1</v>
      </c>
      <c r="R893" s="46">
        <f t="shared" si="93"/>
        <v>0</v>
      </c>
      <c r="S893" s="46">
        <f t="shared" si="94"/>
        <v>0</v>
      </c>
      <c r="T893" s="46">
        <f t="shared" si="98"/>
        <v>20</v>
      </c>
      <c r="U893" s="46">
        <f t="shared" si="95"/>
        <v>20</v>
      </c>
      <c r="V893" s="54">
        <f t="shared" si="96"/>
        <v>0.16666666666666666</v>
      </c>
    </row>
    <row r="894" spans="1:22" x14ac:dyDescent="0.2">
      <c r="A894" s="46" t="s">
        <v>40</v>
      </c>
      <c r="B894" s="46" t="s">
        <v>118</v>
      </c>
      <c r="C894" s="46" t="s">
        <v>95</v>
      </c>
      <c r="D894" s="46" t="s">
        <v>178</v>
      </c>
      <c r="E894" s="46">
        <v>1</v>
      </c>
      <c r="F894" s="46" t="s">
        <v>62</v>
      </c>
      <c r="G894" s="46">
        <v>2</v>
      </c>
      <c r="H894" s="47" t="s">
        <v>79</v>
      </c>
      <c r="I894" s="47" t="s">
        <v>127</v>
      </c>
      <c r="J894" s="48">
        <v>1</v>
      </c>
      <c r="K894" s="48">
        <v>0</v>
      </c>
      <c r="O894" s="48">
        <v>1</v>
      </c>
      <c r="R894" s="46">
        <f t="shared" si="93"/>
        <v>0</v>
      </c>
      <c r="S894" s="46">
        <f t="shared" si="94"/>
        <v>0</v>
      </c>
      <c r="T894" s="46">
        <f t="shared" si="98"/>
        <v>20</v>
      </c>
      <c r="U894" s="46">
        <f t="shared" si="95"/>
        <v>30</v>
      </c>
      <c r="V894" s="54">
        <f t="shared" si="96"/>
        <v>0.16666666666666666</v>
      </c>
    </row>
    <row r="895" spans="1:22" x14ac:dyDescent="0.2">
      <c r="A895" s="46" t="s">
        <v>40</v>
      </c>
      <c r="B895" s="46" t="s">
        <v>118</v>
      </c>
      <c r="C895" s="46" t="s">
        <v>95</v>
      </c>
      <c r="D895" s="46" t="s">
        <v>178</v>
      </c>
      <c r="E895" s="46">
        <v>3</v>
      </c>
      <c r="F895" s="46" t="s">
        <v>63</v>
      </c>
      <c r="G895" s="46">
        <v>4</v>
      </c>
      <c r="H895" s="47" t="s">
        <v>149</v>
      </c>
      <c r="I895" s="47" t="s">
        <v>102</v>
      </c>
      <c r="J895" s="48">
        <v>1</v>
      </c>
      <c r="K895" s="48">
        <v>0</v>
      </c>
      <c r="R895" s="46">
        <f t="shared" si="93"/>
        <v>0</v>
      </c>
      <c r="S895" s="46">
        <f t="shared" si="94"/>
        <v>0</v>
      </c>
      <c r="T895" s="46">
        <f t="shared" si="98"/>
        <v>20</v>
      </c>
      <c r="U895" s="46">
        <f t="shared" si="95"/>
        <v>20</v>
      </c>
      <c r="V895" s="54">
        <f t="shared" si="96"/>
        <v>0.16666666666666666</v>
      </c>
    </row>
    <row r="896" spans="1:22" x14ac:dyDescent="0.2">
      <c r="A896" s="46" t="s">
        <v>40</v>
      </c>
      <c r="B896" s="46" t="s">
        <v>118</v>
      </c>
      <c r="C896" s="46" t="s">
        <v>95</v>
      </c>
      <c r="D896" s="46" t="s">
        <v>178</v>
      </c>
      <c r="E896" s="46">
        <v>4</v>
      </c>
      <c r="F896" s="46" t="s">
        <v>63</v>
      </c>
      <c r="G896" s="46">
        <v>4</v>
      </c>
      <c r="H896" s="47" t="s">
        <v>152</v>
      </c>
      <c r="I896" s="47" t="s">
        <v>102</v>
      </c>
      <c r="J896" s="48">
        <v>2</v>
      </c>
      <c r="K896" s="48">
        <v>0</v>
      </c>
      <c r="O896" s="48">
        <v>1</v>
      </c>
      <c r="R896" s="46">
        <f t="shared" si="93"/>
        <v>0</v>
      </c>
      <c r="S896" s="46">
        <f t="shared" si="94"/>
        <v>0</v>
      </c>
      <c r="T896" s="46">
        <f t="shared" si="98"/>
        <v>40</v>
      </c>
      <c r="U896" s="46">
        <f t="shared" si="95"/>
        <v>50</v>
      </c>
      <c r="V896" s="54">
        <f t="shared" si="96"/>
        <v>0.16666666666666666</v>
      </c>
    </row>
    <row r="897" spans="1:22" x14ac:dyDescent="0.2">
      <c r="A897" s="46" t="s">
        <v>40</v>
      </c>
      <c r="B897" s="46" t="s">
        <v>118</v>
      </c>
      <c r="C897" s="46" t="s">
        <v>95</v>
      </c>
      <c r="D897" s="46" t="s">
        <v>178</v>
      </c>
      <c r="E897" s="46">
        <v>5</v>
      </c>
      <c r="F897" s="46" t="s">
        <v>60</v>
      </c>
      <c r="G897" s="46">
        <v>2</v>
      </c>
      <c r="H897" s="47">
        <v>6</v>
      </c>
      <c r="I897" s="47" t="s">
        <v>127</v>
      </c>
      <c r="J897" s="48">
        <v>0</v>
      </c>
      <c r="K897" s="48">
        <v>0</v>
      </c>
      <c r="R897" s="46">
        <f t="shared" si="93"/>
        <v>0</v>
      </c>
      <c r="S897" s="46">
        <f t="shared" si="94"/>
        <v>0</v>
      </c>
      <c r="T897" s="46">
        <f t="shared" si="98"/>
        <v>0</v>
      </c>
      <c r="U897" s="46">
        <f t="shared" si="95"/>
        <v>0</v>
      </c>
      <c r="V897" s="54">
        <f t="shared" si="96"/>
        <v>0.16666666666666666</v>
      </c>
    </row>
    <row r="898" spans="1:22" x14ac:dyDescent="0.2">
      <c r="A898" s="46" t="s">
        <v>40</v>
      </c>
      <c r="B898" s="46" t="s">
        <v>118</v>
      </c>
      <c r="C898" s="46" t="s">
        <v>95</v>
      </c>
      <c r="D898" s="46" t="s">
        <v>178</v>
      </c>
      <c r="E898" s="46">
        <v>5</v>
      </c>
      <c r="F898" s="46" t="s">
        <v>60</v>
      </c>
      <c r="G898" s="46">
        <v>1</v>
      </c>
      <c r="H898" s="47">
        <v>13</v>
      </c>
      <c r="I898" s="47" t="s">
        <v>101</v>
      </c>
      <c r="J898" s="48">
        <v>0</v>
      </c>
      <c r="K898" s="48">
        <v>1</v>
      </c>
      <c r="R898" s="46">
        <f t="shared" ref="R898:R961" si="99">IF(J898=4,1,0)</f>
        <v>0</v>
      </c>
      <c r="S898" s="46">
        <f t="shared" ref="S898:S961" si="100">IF(K898=3,1,0)</f>
        <v>0</v>
      </c>
      <c r="T898" s="46">
        <f t="shared" si="98"/>
        <v>0</v>
      </c>
      <c r="U898" s="46">
        <f t="shared" ref="U898:U961" si="101">T898+M898*(20) + (SUM(O898:Q898)*(10)) - L898*(5) - N898*(5)</f>
        <v>0</v>
      </c>
      <c r="V898" s="54">
        <f t="shared" ref="V898:V961" si="102">AVERAGEIFS(U:U,A:A,A898,F:F,"Pre")</f>
        <v>0.16666666666666666</v>
      </c>
    </row>
    <row r="899" spans="1:22" x14ac:dyDescent="0.2">
      <c r="A899" s="46" t="s">
        <v>40</v>
      </c>
      <c r="B899" s="46" t="s">
        <v>118</v>
      </c>
      <c r="C899" s="46" t="s">
        <v>95</v>
      </c>
      <c r="D899" s="46" t="s">
        <v>178</v>
      </c>
      <c r="E899" s="46">
        <v>5</v>
      </c>
      <c r="F899" s="46" t="s">
        <v>60</v>
      </c>
      <c r="G899" s="46">
        <v>4</v>
      </c>
      <c r="H899" s="47">
        <v>24</v>
      </c>
      <c r="I899" s="47" t="s">
        <v>102</v>
      </c>
      <c r="J899" s="48">
        <v>0</v>
      </c>
      <c r="K899" s="48">
        <v>0</v>
      </c>
      <c r="R899" s="46">
        <f t="shared" si="99"/>
        <v>0</v>
      </c>
      <c r="S899" s="46">
        <f t="shared" si="100"/>
        <v>0</v>
      </c>
      <c r="T899" s="46">
        <f t="shared" si="98"/>
        <v>0</v>
      </c>
      <c r="U899" s="46">
        <f t="shared" si="101"/>
        <v>0</v>
      </c>
      <c r="V899" s="54">
        <f t="shared" si="102"/>
        <v>0.16666666666666666</v>
      </c>
    </row>
    <row r="900" spans="1:22" x14ac:dyDescent="0.2">
      <c r="A900" s="46" t="s">
        <v>40</v>
      </c>
      <c r="B900" s="46" t="s">
        <v>118</v>
      </c>
      <c r="C900" s="46" t="s">
        <v>95</v>
      </c>
      <c r="D900" s="46" t="s">
        <v>178</v>
      </c>
      <c r="E900" s="46">
        <v>5</v>
      </c>
      <c r="F900" s="46" t="s">
        <v>60</v>
      </c>
      <c r="G900" s="46">
        <v>2</v>
      </c>
      <c r="H900" s="47">
        <v>26</v>
      </c>
      <c r="I900" s="47" t="s">
        <v>127</v>
      </c>
      <c r="J900" s="48">
        <v>0</v>
      </c>
      <c r="K900" s="48">
        <v>0</v>
      </c>
      <c r="R900" s="46">
        <f t="shared" si="99"/>
        <v>0</v>
      </c>
      <c r="S900" s="46">
        <f t="shared" si="100"/>
        <v>0</v>
      </c>
      <c r="T900" s="46">
        <f t="shared" si="98"/>
        <v>0</v>
      </c>
      <c r="U900" s="46">
        <f t="shared" si="101"/>
        <v>0</v>
      </c>
      <c r="V900" s="54">
        <f t="shared" si="102"/>
        <v>0.16666666666666666</v>
      </c>
    </row>
    <row r="901" spans="1:22" x14ac:dyDescent="0.2">
      <c r="A901" s="46" t="s">
        <v>40</v>
      </c>
      <c r="B901" s="46" t="s">
        <v>118</v>
      </c>
      <c r="C901" s="46" t="s">
        <v>95</v>
      </c>
      <c r="D901" s="46" t="s">
        <v>178</v>
      </c>
      <c r="E901" s="46">
        <v>5</v>
      </c>
      <c r="F901" s="46" t="s">
        <v>60</v>
      </c>
      <c r="G901" s="46">
        <v>1</v>
      </c>
      <c r="H901" s="47">
        <v>37</v>
      </c>
      <c r="I901" s="47" t="s">
        <v>101</v>
      </c>
      <c r="J901" s="48">
        <v>0</v>
      </c>
      <c r="K901" s="48">
        <v>1</v>
      </c>
      <c r="R901" s="46">
        <f t="shared" si="99"/>
        <v>0</v>
      </c>
      <c r="S901" s="46">
        <f t="shared" si="100"/>
        <v>0</v>
      </c>
      <c r="T901" s="46">
        <f t="shared" si="98"/>
        <v>0</v>
      </c>
      <c r="U901" s="46">
        <f t="shared" si="101"/>
        <v>0</v>
      </c>
      <c r="V901" s="54">
        <f t="shared" si="102"/>
        <v>0.16666666666666666</v>
      </c>
    </row>
    <row r="902" spans="1:22" x14ac:dyDescent="0.2">
      <c r="A902" s="46" t="s">
        <v>40</v>
      </c>
      <c r="B902" s="46" t="s">
        <v>118</v>
      </c>
      <c r="C902" s="46" t="s">
        <v>95</v>
      </c>
      <c r="D902" s="46" t="s">
        <v>178</v>
      </c>
      <c r="E902" s="46">
        <v>5</v>
      </c>
      <c r="F902" s="46" t="s">
        <v>60</v>
      </c>
      <c r="G902" s="46">
        <v>3</v>
      </c>
      <c r="H902" s="47">
        <v>47</v>
      </c>
      <c r="I902" s="47" t="s">
        <v>159</v>
      </c>
      <c r="J902" s="48">
        <v>0</v>
      </c>
      <c r="K902" s="48">
        <v>0</v>
      </c>
      <c r="R902" s="46">
        <f t="shared" si="99"/>
        <v>0</v>
      </c>
      <c r="S902" s="46">
        <f t="shared" si="100"/>
        <v>0</v>
      </c>
      <c r="T902" s="46">
        <f t="shared" si="98"/>
        <v>0</v>
      </c>
      <c r="U902" s="46">
        <f t="shared" si="101"/>
        <v>0</v>
      </c>
      <c r="V902" s="54">
        <f t="shared" si="102"/>
        <v>0.16666666666666666</v>
      </c>
    </row>
    <row r="903" spans="1:22" x14ac:dyDescent="0.2">
      <c r="A903" s="46" t="s">
        <v>40</v>
      </c>
      <c r="B903" s="46" t="s">
        <v>118</v>
      </c>
      <c r="C903" s="46" t="str">
        <f>VLOOKUP(B903,$B$2:$C$3219,2,FALSE)</f>
        <v>Tacoma</v>
      </c>
      <c r="D903" s="46" t="s">
        <v>178</v>
      </c>
      <c r="E903" s="46">
        <v>5</v>
      </c>
      <c r="F903" s="46" t="s">
        <v>63</v>
      </c>
      <c r="G903" s="46">
        <v>4</v>
      </c>
      <c r="H903" s="47" t="s">
        <v>146</v>
      </c>
      <c r="I903" s="47" t="s">
        <v>102</v>
      </c>
      <c r="J903" s="48">
        <v>0</v>
      </c>
      <c r="K903" s="48">
        <v>0</v>
      </c>
      <c r="R903" s="46">
        <f t="shared" si="99"/>
        <v>0</v>
      </c>
      <c r="S903" s="46">
        <f t="shared" si="100"/>
        <v>0</v>
      </c>
      <c r="T903" s="46">
        <f t="shared" si="98"/>
        <v>0</v>
      </c>
      <c r="U903" s="46">
        <f t="shared" si="101"/>
        <v>0</v>
      </c>
      <c r="V903" s="54">
        <f t="shared" si="102"/>
        <v>0.16666666666666666</v>
      </c>
    </row>
    <row r="904" spans="1:22" x14ac:dyDescent="0.2">
      <c r="A904" s="46" t="s">
        <v>40</v>
      </c>
      <c r="B904" s="46" t="s">
        <v>118</v>
      </c>
      <c r="C904" s="46" t="str">
        <f>VLOOKUP(B904,$B$2:$C$3219,2,FALSE)</f>
        <v>Tacoma</v>
      </c>
      <c r="D904" s="46" t="s">
        <v>178</v>
      </c>
      <c r="E904" s="46">
        <v>5</v>
      </c>
      <c r="F904" s="46" t="s">
        <v>63</v>
      </c>
      <c r="G904" s="46">
        <v>4</v>
      </c>
      <c r="H904" s="47" t="s">
        <v>149</v>
      </c>
      <c r="I904" s="47" t="s">
        <v>102</v>
      </c>
      <c r="J904" s="48">
        <v>0</v>
      </c>
      <c r="K904" s="48">
        <v>0</v>
      </c>
      <c r="R904" s="46">
        <f t="shared" si="99"/>
        <v>0</v>
      </c>
      <c r="S904" s="46">
        <f t="shared" si="100"/>
        <v>0</v>
      </c>
      <c r="T904" s="46">
        <f t="shared" si="98"/>
        <v>0</v>
      </c>
      <c r="U904" s="46">
        <f t="shared" si="101"/>
        <v>0</v>
      </c>
      <c r="V904" s="54">
        <f t="shared" si="102"/>
        <v>0.16666666666666666</v>
      </c>
    </row>
    <row r="905" spans="1:22" x14ac:dyDescent="0.2">
      <c r="A905" s="46" t="s">
        <v>40</v>
      </c>
      <c r="B905" s="46" t="s">
        <v>118</v>
      </c>
      <c r="C905" s="46" t="str">
        <f>VLOOKUP(B905,$B$2:$C$3219,2,FALSE)</f>
        <v>Tacoma</v>
      </c>
      <c r="D905" s="46" t="s">
        <v>178</v>
      </c>
      <c r="E905" s="46">
        <v>5</v>
      </c>
      <c r="F905" s="46" t="s">
        <v>63</v>
      </c>
      <c r="G905" s="46">
        <v>4</v>
      </c>
      <c r="H905" s="47" t="s">
        <v>152</v>
      </c>
      <c r="I905" s="47" t="s">
        <v>102</v>
      </c>
      <c r="J905" s="48">
        <v>0</v>
      </c>
      <c r="K905" s="48">
        <v>0</v>
      </c>
      <c r="R905" s="46">
        <f t="shared" si="99"/>
        <v>0</v>
      </c>
      <c r="S905" s="46">
        <f t="shared" si="100"/>
        <v>0</v>
      </c>
      <c r="T905" s="46">
        <f t="shared" si="98"/>
        <v>0</v>
      </c>
      <c r="U905" s="46">
        <f t="shared" si="101"/>
        <v>0</v>
      </c>
      <c r="V905" s="54">
        <f t="shared" si="102"/>
        <v>0.16666666666666666</v>
      </c>
    </row>
    <row r="906" spans="1:22" x14ac:dyDescent="0.2">
      <c r="A906" s="46" t="s">
        <v>43</v>
      </c>
      <c r="B906" s="46" t="s">
        <v>47</v>
      </c>
      <c r="C906" s="46" t="s">
        <v>88</v>
      </c>
      <c r="D906" s="46" t="s">
        <v>178</v>
      </c>
      <c r="E906" s="46">
        <v>3</v>
      </c>
      <c r="F906" s="46" t="s">
        <v>60</v>
      </c>
      <c r="G906" s="46">
        <v>4</v>
      </c>
      <c r="H906" s="47">
        <v>24</v>
      </c>
      <c r="I906" s="47" t="s">
        <v>102</v>
      </c>
      <c r="J906" s="48">
        <v>0</v>
      </c>
      <c r="K906" s="48">
        <v>3</v>
      </c>
      <c r="R906" s="46">
        <f t="shared" si="99"/>
        <v>0</v>
      </c>
      <c r="S906" s="46">
        <f t="shared" si="100"/>
        <v>1</v>
      </c>
      <c r="T906" s="46">
        <f t="shared" si="98"/>
        <v>-20</v>
      </c>
      <c r="U906" s="46">
        <f t="shared" si="101"/>
        <v>-20</v>
      </c>
      <c r="V906" s="54">
        <f t="shared" si="102"/>
        <v>43.5</v>
      </c>
    </row>
    <row r="907" spans="1:22" x14ac:dyDescent="0.2">
      <c r="A907" s="46" t="s">
        <v>43</v>
      </c>
      <c r="B907" s="46" t="s">
        <v>47</v>
      </c>
      <c r="C907" s="46" t="s">
        <v>88</v>
      </c>
      <c r="D907" s="46" t="s">
        <v>178</v>
      </c>
      <c r="E907" s="46">
        <v>3</v>
      </c>
      <c r="F907" s="46" t="s">
        <v>61</v>
      </c>
      <c r="G907" s="46">
        <v>1</v>
      </c>
      <c r="H907" s="47" t="s">
        <v>78</v>
      </c>
      <c r="I907" s="47" t="s">
        <v>101</v>
      </c>
      <c r="J907" s="48">
        <v>0</v>
      </c>
      <c r="K907" s="48">
        <v>3</v>
      </c>
      <c r="R907" s="46">
        <f t="shared" si="99"/>
        <v>0</v>
      </c>
      <c r="S907" s="46">
        <f t="shared" si="100"/>
        <v>1</v>
      </c>
      <c r="T907" s="46">
        <f t="shared" si="98"/>
        <v>-20</v>
      </c>
      <c r="U907" s="46">
        <f t="shared" si="101"/>
        <v>-20</v>
      </c>
      <c r="V907" s="54">
        <f t="shared" si="102"/>
        <v>43.5</v>
      </c>
    </row>
    <row r="908" spans="1:22" x14ac:dyDescent="0.2">
      <c r="A908" s="46" t="s">
        <v>43</v>
      </c>
      <c r="B908" s="46" t="s">
        <v>47</v>
      </c>
      <c r="C908" s="46" t="s">
        <v>88</v>
      </c>
      <c r="D908" s="46" t="s">
        <v>178</v>
      </c>
      <c r="E908" s="46">
        <v>4</v>
      </c>
      <c r="F908" s="46" t="s">
        <v>60</v>
      </c>
      <c r="G908" s="46">
        <v>2</v>
      </c>
      <c r="H908" s="47">
        <v>18</v>
      </c>
      <c r="I908" s="47" t="s">
        <v>127</v>
      </c>
      <c r="J908" s="48">
        <v>0</v>
      </c>
      <c r="K908" s="48">
        <v>2</v>
      </c>
      <c r="R908" s="46">
        <f t="shared" si="99"/>
        <v>0</v>
      </c>
      <c r="S908" s="46">
        <f t="shared" si="100"/>
        <v>0</v>
      </c>
      <c r="T908" s="46">
        <f t="shared" si="98"/>
        <v>-10</v>
      </c>
      <c r="U908" s="46">
        <f t="shared" si="101"/>
        <v>-10</v>
      </c>
      <c r="V908" s="54">
        <f t="shared" si="102"/>
        <v>43.5</v>
      </c>
    </row>
    <row r="909" spans="1:22" x14ac:dyDescent="0.2">
      <c r="A909" s="46" t="s">
        <v>43</v>
      </c>
      <c r="B909" s="46" t="s">
        <v>47</v>
      </c>
      <c r="C909" s="46" t="s">
        <v>88</v>
      </c>
      <c r="D909" s="46" t="s">
        <v>178</v>
      </c>
      <c r="E909" s="46">
        <v>3</v>
      </c>
      <c r="F909" s="46" t="s">
        <v>61</v>
      </c>
      <c r="G909" s="46">
        <v>1</v>
      </c>
      <c r="H909" s="47" t="s">
        <v>74</v>
      </c>
      <c r="I909" s="47" t="s">
        <v>101</v>
      </c>
      <c r="J909" s="48">
        <v>0</v>
      </c>
      <c r="K909" s="48">
        <v>2</v>
      </c>
      <c r="N909" s="48">
        <v>1</v>
      </c>
      <c r="R909" s="46">
        <f t="shared" si="99"/>
        <v>0</v>
      </c>
      <c r="S909" s="46">
        <f t="shared" si="100"/>
        <v>0</v>
      </c>
      <c r="T909" s="46">
        <f t="shared" si="98"/>
        <v>-10</v>
      </c>
      <c r="U909" s="46">
        <f t="shared" si="101"/>
        <v>-15</v>
      </c>
      <c r="V909" s="54">
        <f t="shared" si="102"/>
        <v>43.5</v>
      </c>
    </row>
    <row r="910" spans="1:22" x14ac:dyDescent="0.2">
      <c r="A910" s="46" t="s">
        <v>43</v>
      </c>
      <c r="B910" s="46" t="s">
        <v>47</v>
      </c>
      <c r="C910" s="46" t="s">
        <v>88</v>
      </c>
      <c r="D910" s="46" t="s">
        <v>178</v>
      </c>
      <c r="E910" s="46">
        <v>3</v>
      </c>
      <c r="F910" s="46" t="s">
        <v>60</v>
      </c>
      <c r="G910" s="46">
        <v>1</v>
      </c>
      <c r="H910" s="47">
        <v>9</v>
      </c>
      <c r="I910" s="47" t="s">
        <v>101</v>
      </c>
      <c r="J910" s="48">
        <v>0</v>
      </c>
      <c r="K910" s="48">
        <v>1</v>
      </c>
      <c r="R910" s="46">
        <f t="shared" si="99"/>
        <v>0</v>
      </c>
      <c r="S910" s="46">
        <f t="shared" si="100"/>
        <v>0</v>
      </c>
      <c r="T910" s="46">
        <f t="shared" si="98"/>
        <v>0</v>
      </c>
      <c r="U910" s="46">
        <f t="shared" si="101"/>
        <v>0</v>
      </c>
      <c r="V910" s="54">
        <f t="shared" si="102"/>
        <v>43.5</v>
      </c>
    </row>
    <row r="911" spans="1:22" x14ac:dyDescent="0.2">
      <c r="A911" s="46" t="s">
        <v>43</v>
      </c>
      <c r="B911" s="46" t="s">
        <v>47</v>
      </c>
      <c r="C911" s="46" t="s">
        <v>88</v>
      </c>
      <c r="D911" s="46" t="s">
        <v>178</v>
      </c>
      <c r="E911" s="46">
        <v>2</v>
      </c>
      <c r="F911" s="46" t="s">
        <v>60</v>
      </c>
      <c r="G911" s="46">
        <v>4</v>
      </c>
      <c r="H911" s="47">
        <v>40</v>
      </c>
      <c r="I911" s="47" t="s">
        <v>102</v>
      </c>
      <c r="J911" s="48">
        <v>1</v>
      </c>
      <c r="K911" s="48">
        <v>3</v>
      </c>
      <c r="R911" s="46">
        <f t="shared" si="99"/>
        <v>0</v>
      </c>
      <c r="S911" s="46">
        <f t="shared" si="100"/>
        <v>1</v>
      </c>
      <c r="T911" s="46">
        <f t="shared" si="98"/>
        <v>0</v>
      </c>
      <c r="U911" s="46">
        <f t="shared" si="101"/>
        <v>0</v>
      </c>
      <c r="V911" s="54">
        <f t="shared" si="102"/>
        <v>43.5</v>
      </c>
    </row>
    <row r="912" spans="1:22" x14ac:dyDescent="0.2">
      <c r="A912" s="46" t="s">
        <v>43</v>
      </c>
      <c r="B912" s="46" t="s">
        <v>47</v>
      </c>
      <c r="C912" s="46" t="s">
        <v>88</v>
      </c>
      <c r="D912" s="46" t="s">
        <v>178</v>
      </c>
      <c r="E912" s="46">
        <v>1</v>
      </c>
      <c r="F912" s="46" t="s">
        <v>61</v>
      </c>
      <c r="G912" s="46">
        <v>1</v>
      </c>
      <c r="H912" s="47" t="s">
        <v>78</v>
      </c>
      <c r="I912" s="47" t="s">
        <v>101</v>
      </c>
      <c r="J912" s="48">
        <v>0</v>
      </c>
      <c r="K912" s="48">
        <v>0</v>
      </c>
      <c r="M912" s="48">
        <v>1</v>
      </c>
      <c r="R912" s="46">
        <f t="shared" si="99"/>
        <v>0</v>
      </c>
      <c r="S912" s="46">
        <f t="shared" si="100"/>
        <v>0</v>
      </c>
      <c r="T912" s="46">
        <f t="shared" si="98"/>
        <v>0</v>
      </c>
      <c r="U912" s="46">
        <f t="shared" si="101"/>
        <v>20</v>
      </c>
      <c r="V912" s="54">
        <f t="shared" si="102"/>
        <v>43.5</v>
      </c>
    </row>
    <row r="913" spans="1:22" x14ac:dyDescent="0.2">
      <c r="A913" s="46" t="s">
        <v>43</v>
      </c>
      <c r="B913" s="46" t="s">
        <v>47</v>
      </c>
      <c r="C913" s="46" t="s">
        <v>88</v>
      </c>
      <c r="D913" s="46" t="s">
        <v>178</v>
      </c>
      <c r="E913" s="46">
        <v>1</v>
      </c>
      <c r="F913" s="46" t="s">
        <v>60</v>
      </c>
      <c r="G913" s="46">
        <v>1</v>
      </c>
      <c r="H913" s="47">
        <v>13</v>
      </c>
      <c r="I913" s="47" t="s">
        <v>101</v>
      </c>
      <c r="J913" s="48">
        <v>1</v>
      </c>
      <c r="K913" s="48">
        <v>2</v>
      </c>
      <c r="R913" s="46">
        <f t="shared" si="99"/>
        <v>0</v>
      </c>
      <c r="S913" s="46">
        <f t="shared" si="100"/>
        <v>0</v>
      </c>
      <c r="T913" s="46">
        <f t="shared" si="98"/>
        <v>10</v>
      </c>
      <c r="U913" s="46">
        <f t="shared" si="101"/>
        <v>10</v>
      </c>
      <c r="V913" s="54">
        <f t="shared" si="102"/>
        <v>43.5</v>
      </c>
    </row>
    <row r="914" spans="1:22" x14ac:dyDescent="0.2">
      <c r="A914" s="46" t="s">
        <v>43</v>
      </c>
      <c r="B914" s="46" t="s">
        <v>47</v>
      </c>
      <c r="C914" s="46" t="s">
        <v>88</v>
      </c>
      <c r="D914" s="46" t="s">
        <v>178</v>
      </c>
      <c r="E914" s="46">
        <v>1</v>
      </c>
      <c r="F914" s="46" t="s">
        <v>60</v>
      </c>
      <c r="G914" s="46">
        <v>3</v>
      </c>
      <c r="H914" s="47">
        <v>23</v>
      </c>
      <c r="I914" s="47" t="s">
        <v>116</v>
      </c>
      <c r="J914" s="48">
        <v>1</v>
      </c>
      <c r="K914" s="48">
        <v>2</v>
      </c>
      <c r="O914" s="48">
        <v>1</v>
      </c>
      <c r="R914" s="46">
        <f t="shared" si="99"/>
        <v>0</v>
      </c>
      <c r="S914" s="46">
        <f t="shared" si="100"/>
        <v>0</v>
      </c>
      <c r="T914" s="46">
        <f t="shared" si="98"/>
        <v>10</v>
      </c>
      <c r="U914" s="46">
        <f t="shared" si="101"/>
        <v>20</v>
      </c>
      <c r="V914" s="54">
        <f t="shared" si="102"/>
        <v>43.5</v>
      </c>
    </row>
    <row r="915" spans="1:22" x14ac:dyDescent="0.2">
      <c r="A915" s="46" t="s">
        <v>43</v>
      </c>
      <c r="B915" s="46" t="s">
        <v>47</v>
      </c>
      <c r="C915" s="46" t="s">
        <v>88</v>
      </c>
      <c r="D915" s="46" t="s">
        <v>178</v>
      </c>
      <c r="E915" s="46">
        <v>2</v>
      </c>
      <c r="F915" s="46" t="s">
        <v>60</v>
      </c>
      <c r="G915" s="46">
        <v>2</v>
      </c>
      <c r="H915" s="47">
        <v>42</v>
      </c>
      <c r="I915" s="47" t="s">
        <v>127</v>
      </c>
      <c r="J915" s="48">
        <v>1</v>
      </c>
      <c r="K915" s="48">
        <v>2</v>
      </c>
      <c r="O915" s="48">
        <v>1</v>
      </c>
      <c r="R915" s="46">
        <f t="shared" si="99"/>
        <v>0</v>
      </c>
      <c r="S915" s="46">
        <f t="shared" si="100"/>
        <v>0</v>
      </c>
      <c r="T915" s="46">
        <f t="shared" si="98"/>
        <v>10</v>
      </c>
      <c r="U915" s="46">
        <f t="shared" si="101"/>
        <v>20</v>
      </c>
      <c r="V915" s="54">
        <f t="shared" si="102"/>
        <v>43.5</v>
      </c>
    </row>
    <row r="916" spans="1:22" x14ac:dyDescent="0.2">
      <c r="A916" s="46" t="s">
        <v>43</v>
      </c>
      <c r="B916" s="46" t="s">
        <v>47</v>
      </c>
      <c r="C916" s="46" t="s">
        <v>88</v>
      </c>
      <c r="D916" s="46" t="s">
        <v>178</v>
      </c>
      <c r="E916" s="46">
        <v>4</v>
      </c>
      <c r="F916" s="46" t="s">
        <v>61</v>
      </c>
      <c r="G916" s="46">
        <v>1</v>
      </c>
      <c r="H916" s="47" t="s">
        <v>67</v>
      </c>
      <c r="I916" s="47" t="s">
        <v>101</v>
      </c>
      <c r="J916" s="48">
        <v>1</v>
      </c>
      <c r="K916" s="48">
        <v>2</v>
      </c>
      <c r="R916" s="46">
        <f t="shared" si="99"/>
        <v>0</v>
      </c>
      <c r="S916" s="46">
        <f t="shared" si="100"/>
        <v>0</v>
      </c>
      <c r="T916" s="46">
        <f t="shared" si="98"/>
        <v>10</v>
      </c>
      <c r="U916" s="46">
        <f t="shared" si="101"/>
        <v>10</v>
      </c>
      <c r="V916" s="54">
        <f t="shared" si="102"/>
        <v>43.5</v>
      </c>
    </row>
    <row r="917" spans="1:22" x14ac:dyDescent="0.2">
      <c r="A917" s="46" t="s">
        <v>43</v>
      </c>
      <c r="B917" s="46" t="s">
        <v>47</v>
      </c>
      <c r="C917" s="46" t="s">
        <v>88</v>
      </c>
      <c r="D917" s="46" t="s">
        <v>178</v>
      </c>
      <c r="E917" s="46">
        <v>4</v>
      </c>
      <c r="F917" s="46" t="s">
        <v>60</v>
      </c>
      <c r="G917" s="46">
        <v>1</v>
      </c>
      <c r="H917" s="47">
        <v>1</v>
      </c>
      <c r="I917" s="47" t="s">
        <v>101</v>
      </c>
      <c r="J917" s="48">
        <v>1</v>
      </c>
      <c r="K917" s="48">
        <v>1</v>
      </c>
      <c r="O917" s="48">
        <v>1</v>
      </c>
      <c r="R917" s="46">
        <f t="shared" si="99"/>
        <v>0</v>
      </c>
      <c r="S917" s="46">
        <f t="shared" si="100"/>
        <v>0</v>
      </c>
      <c r="T917" s="46">
        <f t="shared" si="98"/>
        <v>20</v>
      </c>
      <c r="U917" s="46">
        <f t="shared" si="101"/>
        <v>30</v>
      </c>
      <c r="V917" s="54">
        <f t="shared" si="102"/>
        <v>43.5</v>
      </c>
    </row>
    <row r="918" spans="1:22" x14ac:dyDescent="0.2">
      <c r="A918" s="46" t="s">
        <v>43</v>
      </c>
      <c r="B918" s="46" t="s">
        <v>47</v>
      </c>
      <c r="C918" s="46" t="s">
        <v>88</v>
      </c>
      <c r="D918" s="46" t="s">
        <v>178</v>
      </c>
      <c r="E918" s="46">
        <v>3</v>
      </c>
      <c r="F918" s="46" t="s">
        <v>60</v>
      </c>
      <c r="G918" s="46">
        <v>1</v>
      </c>
      <c r="H918" s="47">
        <v>17</v>
      </c>
      <c r="I918" s="47" t="s">
        <v>101</v>
      </c>
      <c r="J918" s="48">
        <v>1</v>
      </c>
      <c r="K918" s="48">
        <v>1</v>
      </c>
      <c r="O918" s="48">
        <v>1</v>
      </c>
      <c r="R918" s="46">
        <f t="shared" si="99"/>
        <v>0</v>
      </c>
      <c r="S918" s="46">
        <f t="shared" si="100"/>
        <v>0</v>
      </c>
      <c r="T918" s="46">
        <f t="shared" si="98"/>
        <v>20</v>
      </c>
      <c r="U918" s="46">
        <f t="shared" si="101"/>
        <v>30</v>
      </c>
      <c r="V918" s="54">
        <f t="shared" si="102"/>
        <v>43.5</v>
      </c>
    </row>
    <row r="919" spans="1:22" x14ac:dyDescent="0.2">
      <c r="A919" s="46" t="s">
        <v>43</v>
      </c>
      <c r="B919" s="46" t="s">
        <v>47</v>
      </c>
      <c r="C919" s="46" t="s">
        <v>88</v>
      </c>
      <c r="D919" s="46" t="s">
        <v>178</v>
      </c>
      <c r="E919" s="46">
        <v>4</v>
      </c>
      <c r="F919" s="46" t="s">
        <v>60</v>
      </c>
      <c r="G919" s="46">
        <v>2</v>
      </c>
      <c r="H919" s="47">
        <v>26</v>
      </c>
      <c r="I919" s="47" t="s">
        <v>127</v>
      </c>
      <c r="J919" s="48">
        <v>1</v>
      </c>
      <c r="K919" s="48">
        <v>1</v>
      </c>
      <c r="M919" s="48">
        <v>1</v>
      </c>
      <c r="R919" s="46">
        <f t="shared" si="99"/>
        <v>0</v>
      </c>
      <c r="S919" s="46">
        <f t="shared" si="100"/>
        <v>0</v>
      </c>
      <c r="T919" s="46">
        <f t="shared" si="98"/>
        <v>20</v>
      </c>
      <c r="U919" s="46">
        <f t="shared" si="101"/>
        <v>40</v>
      </c>
      <c r="V919" s="54">
        <f t="shared" si="102"/>
        <v>43.5</v>
      </c>
    </row>
    <row r="920" spans="1:22" x14ac:dyDescent="0.2">
      <c r="A920" s="46" t="s">
        <v>43</v>
      </c>
      <c r="B920" s="46" t="s">
        <v>47</v>
      </c>
      <c r="C920" s="46" t="s">
        <v>88</v>
      </c>
      <c r="D920" s="46" t="s">
        <v>178</v>
      </c>
      <c r="E920" s="46">
        <v>1</v>
      </c>
      <c r="F920" s="46" t="s">
        <v>60</v>
      </c>
      <c r="G920" s="46">
        <v>2</v>
      </c>
      <c r="H920" s="47">
        <v>42</v>
      </c>
      <c r="I920" s="47" t="s">
        <v>127</v>
      </c>
      <c r="J920" s="48">
        <v>1</v>
      </c>
      <c r="K920" s="48">
        <v>1</v>
      </c>
      <c r="O920" s="48">
        <v>1</v>
      </c>
      <c r="R920" s="46">
        <f t="shared" si="99"/>
        <v>0</v>
      </c>
      <c r="S920" s="46">
        <f t="shared" si="100"/>
        <v>0</v>
      </c>
      <c r="T920" s="46">
        <f t="shared" si="98"/>
        <v>20</v>
      </c>
      <c r="U920" s="46">
        <f t="shared" si="101"/>
        <v>30</v>
      </c>
      <c r="V920" s="54">
        <f t="shared" si="102"/>
        <v>43.5</v>
      </c>
    </row>
    <row r="921" spans="1:22" x14ac:dyDescent="0.2">
      <c r="A921" s="46" t="s">
        <v>43</v>
      </c>
      <c r="B921" s="46" t="s">
        <v>47</v>
      </c>
      <c r="C921" s="46" t="s">
        <v>88</v>
      </c>
      <c r="D921" s="46" t="s">
        <v>178</v>
      </c>
      <c r="E921" s="46">
        <v>2</v>
      </c>
      <c r="F921" s="46" t="s">
        <v>61</v>
      </c>
      <c r="G921" s="46">
        <v>1</v>
      </c>
      <c r="H921" s="47" t="s">
        <v>69</v>
      </c>
      <c r="I921" s="47" t="s">
        <v>101</v>
      </c>
      <c r="J921" s="48">
        <v>1</v>
      </c>
      <c r="K921" s="48">
        <v>1</v>
      </c>
      <c r="R921" s="46">
        <f t="shared" si="99"/>
        <v>0</v>
      </c>
      <c r="S921" s="46">
        <f t="shared" si="100"/>
        <v>0</v>
      </c>
      <c r="T921" s="46">
        <f t="shared" ref="T921:T952" si="103">quizscore(J921,K921)</f>
        <v>20</v>
      </c>
      <c r="U921" s="46">
        <f t="shared" si="101"/>
        <v>20</v>
      </c>
      <c r="V921" s="54">
        <f t="shared" si="102"/>
        <v>43.5</v>
      </c>
    </row>
    <row r="922" spans="1:22" x14ac:dyDescent="0.2">
      <c r="A922" s="46" t="s">
        <v>43</v>
      </c>
      <c r="B922" s="46" t="s">
        <v>47</v>
      </c>
      <c r="C922" s="46" t="s">
        <v>88</v>
      </c>
      <c r="D922" s="46" t="s">
        <v>178</v>
      </c>
      <c r="E922" s="46">
        <v>1</v>
      </c>
      <c r="F922" s="46" t="s">
        <v>61</v>
      </c>
      <c r="G922" s="46">
        <v>1</v>
      </c>
      <c r="H922" s="47" t="s">
        <v>78</v>
      </c>
      <c r="I922" s="47" t="s">
        <v>101</v>
      </c>
      <c r="J922" s="48">
        <v>1</v>
      </c>
      <c r="K922" s="48">
        <v>1</v>
      </c>
      <c r="R922" s="46">
        <f t="shared" si="99"/>
        <v>0</v>
      </c>
      <c r="S922" s="46">
        <f t="shared" si="100"/>
        <v>0</v>
      </c>
      <c r="T922" s="46">
        <f t="shared" si="103"/>
        <v>20</v>
      </c>
      <c r="U922" s="46">
        <f t="shared" si="101"/>
        <v>20</v>
      </c>
      <c r="V922" s="54">
        <f t="shared" si="102"/>
        <v>43.5</v>
      </c>
    </row>
    <row r="923" spans="1:22" x14ac:dyDescent="0.2">
      <c r="A923" s="46" t="s">
        <v>43</v>
      </c>
      <c r="B923" s="46" t="s">
        <v>47</v>
      </c>
      <c r="C923" s="46" t="s">
        <v>88</v>
      </c>
      <c r="D923" s="46" t="s">
        <v>178</v>
      </c>
      <c r="E923" s="46">
        <v>2</v>
      </c>
      <c r="F923" s="46" t="s">
        <v>61</v>
      </c>
      <c r="G923" s="46">
        <v>1</v>
      </c>
      <c r="H923" s="47" t="s">
        <v>78</v>
      </c>
      <c r="I923" s="47" t="s">
        <v>101</v>
      </c>
      <c r="J923" s="48">
        <v>1</v>
      </c>
      <c r="K923" s="48">
        <v>0</v>
      </c>
      <c r="O923" s="48">
        <v>1</v>
      </c>
      <c r="R923" s="46">
        <f t="shared" si="99"/>
        <v>0</v>
      </c>
      <c r="S923" s="46">
        <f t="shared" si="100"/>
        <v>0</v>
      </c>
      <c r="T923" s="46">
        <f t="shared" si="103"/>
        <v>20</v>
      </c>
      <c r="U923" s="46">
        <f t="shared" si="101"/>
        <v>30</v>
      </c>
      <c r="V923" s="54">
        <f t="shared" si="102"/>
        <v>43.5</v>
      </c>
    </row>
    <row r="924" spans="1:22" x14ac:dyDescent="0.2">
      <c r="A924" s="46" t="s">
        <v>43</v>
      </c>
      <c r="B924" s="46" t="s">
        <v>47</v>
      </c>
      <c r="C924" s="46" t="s">
        <v>88</v>
      </c>
      <c r="D924" s="46" t="s">
        <v>178</v>
      </c>
      <c r="E924" s="46">
        <v>1</v>
      </c>
      <c r="F924" s="46" t="s">
        <v>60</v>
      </c>
      <c r="G924" s="46">
        <v>4</v>
      </c>
      <c r="H924" s="47">
        <v>8</v>
      </c>
      <c r="I924" s="47" t="s">
        <v>102</v>
      </c>
      <c r="J924" s="48">
        <v>2</v>
      </c>
      <c r="K924" s="48">
        <v>2</v>
      </c>
      <c r="O924" s="48">
        <v>1</v>
      </c>
      <c r="R924" s="46">
        <f t="shared" si="99"/>
        <v>0</v>
      </c>
      <c r="S924" s="46">
        <f t="shared" si="100"/>
        <v>0</v>
      </c>
      <c r="T924" s="46">
        <f t="shared" si="103"/>
        <v>30</v>
      </c>
      <c r="U924" s="46">
        <f t="shared" si="101"/>
        <v>40</v>
      </c>
      <c r="V924" s="54">
        <f t="shared" si="102"/>
        <v>43.5</v>
      </c>
    </row>
    <row r="925" spans="1:22" x14ac:dyDescent="0.2">
      <c r="A925" s="46" t="s">
        <v>43</v>
      </c>
      <c r="B925" s="46" t="s">
        <v>47</v>
      </c>
      <c r="C925" s="46" t="s">
        <v>88</v>
      </c>
      <c r="D925" s="46" t="s">
        <v>178</v>
      </c>
      <c r="E925" s="46">
        <v>1</v>
      </c>
      <c r="F925" s="46" t="s">
        <v>60</v>
      </c>
      <c r="G925" s="46">
        <v>3</v>
      </c>
      <c r="H925" s="47">
        <v>3</v>
      </c>
      <c r="I925" s="47" t="s">
        <v>116</v>
      </c>
      <c r="J925" s="48">
        <v>2</v>
      </c>
      <c r="K925" s="48">
        <v>0</v>
      </c>
      <c r="N925" s="48">
        <v>1</v>
      </c>
      <c r="O925" s="48">
        <v>1</v>
      </c>
      <c r="R925" s="46">
        <f t="shared" si="99"/>
        <v>0</v>
      </c>
      <c r="S925" s="46">
        <f t="shared" si="100"/>
        <v>0</v>
      </c>
      <c r="T925" s="46">
        <f t="shared" si="103"/>
        <v>40</v>
      </c>
      <c r="U925" s="46">
        <f t="shared" si="101"/>
        <v>45</v>
      </c>
      <c r="V925" s="54">
        <f t="shared" si="102"/>
        <v>43.5</v>
      </c>
    </row>
    <row r="926" spans="1:22" x14ac:dyDescent="0.2">
      <c r="A926" s="46" t="s">
        <v>43</v>
      </c>
      <c r="B926" s="46" t="s">
        <v>47</v>
      </c>
      <c r="C926" s="46" t="s">
        <v>88</v>
      </c>
      <c r="D926" s="46" t="s">
        <v>178</v>
      </c>
      <c r="E926" s="46">
        <v>3</v>
      </c>
      <c r="F926" s="46" t="s">
        <v>60</v>
      </c>
      <c r="G926" s="46">
        <v>3</v>
      </c>
      <c r="H926" s="47">
        <v>3</v>
      </c>
      <c r="I926" s="47" t="s">
        <v>116</v>
      </c>
      <c r="J926" s="48">
        <v>2</v>
      </c>
      <c r="K926" s="48">
        <v>1</v>
      </c>
      <c r="R926" s="46">
        <f t="shared" si="99"/>
        <v>0</v>
      </c>
      <c r="S926" s="46">
        <f t="shared" si="100"/>
        <v>0</v>
      </c>
      <c r="T926" s="46">
        <f t="shared" si="103"/>
        <v>40</v>
      </c>
      <c r="U926" s="46">
        <f t="shared" si="101"/>
        <v>40</v>
      </c>
      <c r="V926" s="54">
        <f t="shared" si="102"/>
        <v>43.5</v>
      </c>
    </row>
    <row r="927" spans="1:22" x14ac:dyDescent="0.2">
      <c r="A927" s="46" t="s">
        <v>43</v>
      </c>
      <c r="B927" s="46" t="s">
        <v>47</v>
      </c>
      <c r="C927" s="46" t="s">
        <v>88</v>
      </c>
      <c r="D927" s="46" t="s">
        <v>178</v>
      </c>
      <c r="E927" s="46">
        <v>2</v>
      </c>
      <c r="F927" s="46" t="s">
        <v>60</v>
      </c>
      <c r="G927" s="46">
        <v>3</v>
      </c>
      <c r="H927" s="47">
        <v>7</v>
      </c>
      <c r="I927" s="47" t="s">
        <v>116</v>
      </c>
      <c r="J927" s="48">
        <v>2</v>
      </c>
      <c r="K927" s="48">
        <v>1</v>
      </c>
      <c r="O927" s="48">
        <v>1</v>
      </c>
      <c r="R927" s="46">
        <f t="shared" si="99"/>
        <v>0</v>
      </c>
      <c r="S927" s="46">
        <f t="shared" si="100"/>
        <v>0</v>
      </c>
      <c r="T927" s="46">
        <f t="shared" si="103"/>
        <v>40</v>
      </c>
      <c r="U927" s="46">
        <f t="shared" si="101"/>
        <v>50</v>
      </c>
      <c r="V927" s="54">
        <f t="shared" si="102"/>
        <v>43.5</v>
      </c>
    </row>
    <row r="928" spans="1:22" x14ac:dyDescent="0.2">
      <c r="A928" s="46" t="s">
        <v>43</v>
      </c>
      <c r="B928" s="46" t="s">
        <v>47</v>
      </c>
      <c r="C928" s="46" t="s">
        <v>88</v>
      </c>
      <c r="D928" s="46" t="s">
        <v>178</v>
      </c>
      <c r="E928" s="46">
        <v>2</v>
      </c>
      <c r="F928" s="46" t="s">
        <v>60</v>
      </c>
      <c r="G928" s="46">
        <v>1</v>
      </c>
      <c r="H928" s="47">
        <v>9</v>
      </c>
      <c r="I928" s="47" t="s">
        <v>101</v>
      </c>
      <c r="J928" s="48">
        <v>2</v>
      </c>
      <c r="K928" s="48">
        <v>1</v>
      </c>
      <c r="O928" s="48">
        <v>1</v>
      </c>
      <c r="R928" s="46">
        <f t="shared" si="99"/>
        <v>0</v>
      </c>
      <c r="S928" s="46">
        <f t="shared" si="100"/>
        <v>0</v>
      </c>
      <c r="T928" s="46">
        <f t="shared" si="103"/>
        <v>40</v>
      </c>
      <c r="U928" s="46">
        <f t="shared" si="101"/>
        <v>50</v>
      </c>
      <c r="V928" s="54">
        <f t="shared" si="102"/>
        <v>43.5</v>
      </c>
    </row>
    <row r="929" spans="1:22" x14ac:dyDescent="0.2">
      <c r="A929" s="46" t="s">
        <v>43</v>
      </c>
      <c r="B929" s="46" t="s">
        <v>47</v>
      </c>
      <c r="C929" s="46" t="s">
        <v>88</v>
      </c>
      <c r="D929" s="46" t="s">
        <v>178</v>
      </c>
      <c r="E929" s="46">
        <v>2</v>
      </c>
      <c r="F929" s="46" t="s">
        <v>60</v>
      </c>
      <c r="G929" s="46">
        <v>1</v>
      </c>
      <c r="H929" s="47">
        <v>17</v>
      </c>
      <c r="I929" s="47" t="s">
        <v>101</v>
      </c>
      <c r="J929" s="48">
        <v>2</v>
      </c>
      <c r="K929" s="48">
        <v>1</v>
      </c>
      <c r="R929" s="46">
        <f t="shared" si="99"/>
        <v>0</v>
      </c>
      <c r="S929" s="46">
        <f t="shared" si="100"/>
        <v>0</v>
      </c>
      <c r="T929" s="46">
        <f t="shared" si="103"/>
        <v>40</v>
      </c>
      <c r="U929" s="46">
        <f t="shared" si="101"/>
        <v>40</v>
      </c>
      <c r="V929" s="54">
        <f t="shared" si="102"/>
        <v>43.5</v>
      </c>
    </row>
    <row r="930" spans="1:22" x14ac:dyDescent="0.2">
      <c r="A930" s="46" t="s">
        <v>43</v>
      </c>
      <c r="B930" s="46" t="s">
        <v>47</v>
      </c>
      <c r="C930" s="46" t="s">
        <v>88</v>
      </c>
      <c r="D930" s="46" t="s">
        <v>178</v>
      </c>
      <c r="E930" s="46">
        <v>2</v>
      </c>
      <c r="F930" s="46" t="s">
        <v>61</v>
      </c>
      <c r="G930" s="46">
        <v>1</v>
      </c>
      <c r="H930" s="47" t="s">
        <v>75</v>
      </c>
      <c r="I930" s="47" t="s">
        <v>101</v>
      </c>
      <c r="J930" s="48">
        <v>2</v>
      </c>
      <c r="K930" s="48">
        <v>1</v>
      </c>
      <c r="R930" s="46">
        <f t="shared" si="99"/>
        <v>0</v>
      </c>
      <c r="S930" s="46">
        <f t="shared" si="100"/>
        <v>0</v>
      </c>
      <c r="T930" s="46">
        <f t="shared" si="103"/>
        <v>40</v>
      </c>
      <c r="U930" s="46">
        <f t="shared" si="101"/>
        <v>40</v>
      </c>
      <c r="V930" s="54">
        <f t="shared" si="102"/>
        <v>43.5</v>
      </c>
    </row>
    <row r="931" spans="1:22" x14ac:dyDescent="0.2">
      <c r="A931" s="46" t="s">
        <v>43</v>
      </c>
      <c r="B931" s="46" t="s">
        <v>47</v>
      </c>
      <c r="C931" s="46" t="s">
        <v>88</v>
      </c>
      <c r="D931" s="46" t="s">
        <v>178</v>
      </c>
      <c r="E931" s="46">
        <v>3</v>
      </c>
      <c r="F931" s="46" t="s">
        <v>61</v>
      </c>
      <c r="G931" s="46">
        <v>1</v>
      </c>
      <c r="H931" s="47" t="s">
        <v>75</v>
      </c>
      <c r="I931" s="47" t="s">
        <v>101</v>
      </c>
      <c r="J931" s="48">
        <v>2</v>
      </c>
      <c r="K931" s="48">
        <v>0</v>
      </c>
      <c r="R931" s="46">
        <f t="shared" si="99"/>
        <v>0</v>
      </c>
      <c r="S931" s="46">
        <f t="shared" si="100"/>
        <v>0</v>
      </c>
      <c r="T931" s="46">
        <f t="shared" si="103"/>
        <v>40</v>
      </c>
      <c r="U931" s="46">
        <f t="shared" si="101"/>
        <v>40</v>
      </c>
      <c r="V931" s="54">
        <f t="shared" si="102"/>
        <v>43.5</v>
      </c>
    </row>
    <row r="932" spans="1:22" x14ac:dyDescent="0.2">
      <c r="A932" s="46" t="s">
        <v>43</v>
      </c>
      <c r="B932" s="46" t="s">
        <v>47</v>
      </c>
      <c r="C932" s="46" t="s">
        <v>88</v>
      </c>
      <c r="D932" s="46" t="s">
        <v>178</v>
      </c>
      <c r="E932" s="46">
        <v>4</v>
      </c>
      <c r="F932" s="46" t="s">
        <v>61</v>
      </c>
      <c r="G932" s="46">
        <v>1</v>
      </c>
      <c r="H932" s="47" t="s">
        <v>75</v>
      </c>
      <c r="I932" s="47" t="s">
        <v>101</v>
      </c>
      <c r="J932" s="48">
        <v>2</v>
      </c>
      <c r="K932" s="48">
        <v>1</v>
      </c>
      <c r="R932" s="46">
        <f t="shared" si="99"/>
        <v>0</v>
      </c>
      <c r="S932" s="46">
        <f t="shared" si="100"/>
        <v>0</v>
      </c>
      <c r="T932" s="46">
        <f t="shared" si="103"/>
        <v>40</v>
      </c>
      <c r="U932" s="46">
        <f t="shared" si="101"/>
        <v>40</v>
      </c>
      <c r="V932" s="54">
        <f t="shared" si="102"/>
        <v>43.5</v>
      </c>
    </row>
    <row r="933" spans="1:22" x14ac:dyDescent="0.2">
      <c r="A933" s="46" t="s">
        <v>43</v>
      </c>
      <c r="B933" s="46" t="s">
        <v>47</v>
      </c>
      <c r="C933" s="46" t="s">
        <v>88</v>
      </c>
      <c r="D933" s="46" t="s">
        <v>178</v>
      </c>
      <c r="E933" s="46">
        <v>1</v>
      </c>
      <c r="F933" s="46" t="s">
        <v>61</v>
      </c>
      <c r="G933" s="46">
        <v>1</v>
      </c>
      <c r="H933" s="47" t="s">
        <v>69</v>
      </c>
      <c r="I933" s="47" t="s">
        <v>101</v>
      </c>
      <c r="J933" s="48">
        <v>2</v>
      </c>
      <c r="K933" s="48">
        <v>0</v>
      </c>
      <c r="R933" s="46">
        <f t="shared" si="99"/>
        <v>0</v>
      </c>
      <c r="S933" s="46">
        <f t="shared" si="100"/>
        <v>0</v>
      </c>
      <c r="T933" s="46">
        <f t="shared" si="103"/>
        <v>40</v>
      </c>
      <c r="U933" s="46">
        <f t="shared" si="101"/>
        <v>40</v>
      </c>
      <c r="V933" s="54">
        <f t="shared" si="102"/>
        <v>43.5</v>
      </c>
    </row>
    <row r="934" spans="1:22" x14ac:dyDescent="0.2">
      <c r="A934" s="46" t="s">
        <v>43</v>
      </c>
      <c r="B934" s="46" t="s">
        <v>47</v>
      </c>
      <c r="C934" s="46" t="s">
        <v>88</v>
      </c>
      <c r="D934" s="46" t="s">
        <v>178</v>
      </c>
      <c r="E934" s="46">
        <v>1</v>
      </c>
      <c r="F934" s="46" t="s">
        <v>61</v>
      </c>
      <c r="G934" s="46">
        <v>1</v>
      </c>
      <c r="H934" s="47" t="s">
        <v>78</v>
      </c>
      <c r="I934" s="47" t="s">
        <v>101</v>
      </c>
      <c r="J934" s="48">
        <v>2</v>
      </c>
      <c r="K934" s="48">
        <v>0</v>
      </c>
      <c r="R934" s="46">
        <f t="shared" si="99"/>
        <v>0</v>
      </c>
      <c r="S934" s="46">
        <f t="shared" si="100"/>
        <v>0</v>
      </c>
      <c r="T934" s="46">
        <f t="shared" si="103"/>
        <v>40</v>
      </c>
      <c r="U934" s="46">
        <f t="shared" si="101"/>
        <v>40</v>
      </c>
      <c r="V934" s="54">
        <f t="shared" si="102"/>
        <v>43.5</v>
      </c>
    </row>
    <row r="935" spans="1:22" x14ac:dyDescent="0.2">
      <c r="A935" s="46" t="s">
        <v>43</v>
      </c>
      <c r="B935" s="46" t="s">
        <v>47</v>
      </c>
      <c r="C935" s="46" t="s">
        <v>88</v>
      </c>
      <c r="D935" s="46" t="s">
        <v>178</v>
      </c>
      <c r="E935" s="46">
        <v>3</v>
      </c>
      <c r="F935" s="46" t="s">
        <v>61</v>
      </c>
      <c r="G935" s="46">
        <v>1</v>
      </c>
      <c r="H935" s="47" t="s">
        <v>78</v>
      </c>
      <c r="I935" s="47" t="s">
        <v>101</v>
      </c>
      <c r="J935" s="48">
        <v>2</v>
      </c>
      <c r="K935" s="48">
        <v>0</v>
      </c>
      <c r="R935" s="46">
        <f t="shared" si="99"/>
        <v>0</v>
      </c>
      <c r="S935" s="46">
        <f t="shared" si="100"/>
        <v>0</v>
      </c>
      <c r="T935" s="46">
        <f t="shared" si="103"/>
        <v>40</v>
      </c>
      <c r="U935" s="46">
        <f t="shared" si="101"/>
        <v>40</v>
      </c>
      <c r="V935" s="54">
        <f t="shared" si="102"/>
        <v>43.5</v>
      </c>
    </row>
    <row r="936" spans="1:22" x14ac:dyDescent="0.2">
      <c r="A936" s="46" t="s">
        <v>43</v>
      </c>
      <c r="B936" s="46" t="s">
        <v>47</v>
      </c>
      <c r="C936" s="46" t="s">
        <v>88</v>
      </c>
      <c r="D936" s="46" t="s">
        <v>178</v>
      </c>
      <c r="E936" s="46">
        <v>1</v>
      </c>
      <c r="F936" s="46" t="s">
        <v>60</v>
      </c>
      <c r="G936" s="46">
        <v>2</v>
      </c>
      <c r="H936" s="47">
        <v>34</v>
      </c>
      <c r="I936" s="47" t="s">
        <v>127</v>
      </c>
      <c r="J936" s="48">
        <v>3</v>
      </c>
      <c r="K936" s="48">
        <v>2</v>
      </c>
      <c r="O936" s="48">
        <v>1</v>
      </c>
      <c r="R936" s="46">
        <f t="shared" si="99"/>
        <v>0</v>
      </c>
      <c r="S936" s="46">
        <f t="shared" si="100"/>
        <v>0</v>
      </c>
      <c r="T936" s="46">
        <f t="shared" si="103"/>
        <v>50</v>
      </c>
      <c r="U936" s="46">
        <f t="shared" si="101"/>
        <v>60</v>
      </c>
      <c r="V936" s="54">
        <f t="shared" si="102"/>
        <v>43.5</v>
      </c>
    </row>
    <row r="937" spans="1:22" x14ac:dyDescent="0.2">
      <c r="A937" s="46" t="s">
        <v>43</v>
      </c>
      <c r="B937" s="46" t="s">
        <v>47</v>
      </c>
      <c r="C937" s="46" t="s">
        <v>88</v>
      </c>
      <c r="D937" s="46" t="s">
        <v>178</v>
      </c>
      <c r="E937" s="46">
        <v>2</v>
      </c>
      <c r="F937" s="46" t="s">
        <v>60</v>
      </c>
      <c r="G937" s="46">
        <v>2</v>
      </c>
      <c r="H937" s="47">
        <v>30</v>
      </c>
      <c r="I937" s="47" t="s">
        <v>127</v>
      </c>
      <c r="J937" s="48">
        <v>3</v>
      </c>
      <c r="K937" s="48">
        <v>1</v>
      </c>
      <c r="R937" s="46">
        <f t="shared" si="99"/>
        <v>0</v>
      </c>
      <c r="S937" s="46">
        <f t="shared" si="100"/>
        <v>0</v>
      </c>
      <c r="T937" s="46">
        <f t="shared" si="103"/>
        <v>60</v>
      </c>
      <c r="U937" s="46">
        <f t="shared" si="101"/>
        <v>60</v>
      </c>
      <c r="V937" s="54">
        <f t="shared" si="102"/>
        <v>43.5</v>
      </c>
    </row>
    <row r="938" spans="1:22" x14ac:dyDescent="0.2">
      <c r="A938" s="46" t="s">
        <v>43</v>
      </c>
      <c r="B938" s="46" t="s">
        <v>47</v>
      </c>
      <c r="C938" s="46" t="s">
        <v>88</v>
      </c>
      <c r="D938" s="46" t="s">
        <v>178</v>
      </c>
      <c r="E938" s="46">
        <v>3</v>
      </c>
      <c r="F938" s="46" t="s">
        <v>60</v>
      </c>
      <c r="G938" s="46">
        <v>2</v>
      </c>
      <c r="H938" s="47">
        <v>34</v>
      </c>
      <c r="I938" s="47" t="s">
        <v>127</v>
      </c>
      <c r="J938" s="48">
        <v>3</v>
      </c>
      <c r="K938" s="48">
        <v>0</v>
      </c>
      <c r="R938" s="46">
        <f t="shared" si="99"/>
        <v>0</v>
      </c>
      <c r="S938" s="46">
        <f t="shared" si="100"/>
        <v>0</v>
      </c>
      <c r="T938" s="46">
        <f t="shared" si="103"/>
        <v>60</v>
      </c>
      <c r="U938" s="46">
        <f t="shared" si="101"/>
        <v>60</v>
      </c>
      <c r="V938" s="54">
        <f t="shared" si="102"/>
        <v>43.5</v>
      </c>
    </row>
    <row r="939" spans="1:22" x14ac:dyDescent="0.2">
      <c r="A939" s="46" t="s">
        <v>43</v>
      </c>
      <c r="B939" s="46" t="s">
        <v>47</v>
      </c>
      <c r="C939" s="46" t="s">
        <v>88</v>
      </c>
      <c r="D939" s="46" t="s">
        <v>178</v>
      </c>
      <c r="E939" s="46">
        <v>3</v>
      </c>
      <c r="F939" s="46" t="s">
        <v>60</v>
      </c>
      <c r="G939" s="46">
        <v>4</v>
      </c>
      <c r="H939" s="47">
        <v>44</v>
      </c>
      <c r="I939" s="47" t="s">
        <v>102</v>
      </c>
      <c r="J939" s="48">
        <v>3</v>
      </c>
      <c r="K939" s="48">
        <v>1</v>
      </c>
      <c r="R939" s="46">
        <f t="shared" si="99"/>
        <v>0</v>
      </c>
      <c r="S939" s="46">
        <f t="shared" si="100"/>
        <v>0</v>
      </c>
      <c r="T939" s="46">
        <f t="shared" si="103"/>
        <v>60</v>
      </c>
      <c r="U939" s="46">
        <f t="shared" si="101"/>
        <v>60</v>
      </c>
      <c r="V939" s="54">
        <f t="shared" si="102"/>
        <v>43.5</v>
      </c>
    </row>
    <row r="940" spans="1:22" x14ac:dyDescent="0.2">
      <c r="A940" s="46" t="s">
        <v>43</v>
      </c>
      <c r="B940" s="46" t="s">
        <v>47</v>
      </c>
      <c r="C940" s="46" t="s">
        <v>88</v>
      </c>
      <c r="D940" s="46" t="s">
        <v>178</v>
      </c>
      <c r="E940" s="46">
        <v>2</v>
      </c>
      <c r="F940" s="46" t="s">
        <v>61</v>
      </c>
      <c r="G940" s="46">
        <v>1</v>
      </c>
      <c r="H940" s="47" t="s">
        <v>70</v>
      </c>
      <c r="I940" s="47" t="s">
        <v>101</v>
      </c>
      <c r="J940" s="48">
        <v>3</v>
      </c>
      <c r="K940" s="48">
        <v>0</v>
      </c>
      <c r="O940" s="48">
        <v>1</v>
      </c>
      <c r="R940" s="46">
        <f t="shared" si="99"/>
        <v>0</v>
      </c>
      <c r="S940" s="46">
        <f t="shared" si="100"/>
        <v>0</v>
      </c>
      <c r="T940" s="46">
        <f t="shared" si="103"/>
        <v>60</v>
      </c>
      <c r="U940" s="46">
        <f t="shared" si="101"/>
        <v>70</v>
      </c>
      <c r="V940" s="54">
        <f t="shared" si="102"/>
        <v>43.5</v>
      </c>
    </row>
    <row r="941" spans="1:22" x14ac:dyDescent="0.2">
      <c r="A941" s="46" t="s">
        <v>43</v>
      </c>
      <c r="B941" s="46" t="s">
        <v>47</v>
      </c>
      <c r="C941" s="46" t="s">
        <v>88</v>
      </c>
      <c r="D941" s="46" t="s">
        <v>178</v>
      </c>
      <c r="E941" s="46">
        <v>1</v>
      </c>
      <c r="F941" s="46" t="s">
        <v>61</v>
      </c>
      <c r="G941" s="46">
        <v>1</v>
      </c>
      <c r="H941" s="47" t="s">
        <v>74</v>
      </c>
      <c r="I941" s="47" t="s">
        <v>101</v>
      </c>
      <c r="J941" s="48">
        <v>3</v>
      </c>
      <c r="K941" s="48">
        <v>1</v>
      </c>
      <c r="R941" s="46">
        <f t="shared" si="99"/>
        <v>0</v>
      </c>
      <c r="S941" s="46">
        <f t="shared" si="100"/>
        <v>0</v>
      </c>
      <c r="T941" s="46">
        <f t="shared" si="103"/>
        <v>60</v>
      </c>
      <c r="U941" s="46">
        <f t="shared" si="101"/>
        <v>60</v>
      </c>
      <c r="V941" s="54">
        <f t="shared" si="102"/>
        <v>43.5</v>
      </c>
    </row>
    <row r="942" spans="1:22" x14ac:dyDescent="0.2">
      <c r="A942" s="46" t="s">
        <v>43</v>
      </c>
      <c r="B942" s="46" t="s">
        <v>47</v>
      </c>
      <c r="C942" s="46" t="s">
        <v>88</v>
      </c>
      <c r="D942" s="46" t="s">
        <v>178</v>
      </c>
      <c r="E942" s="46">
        <v>1</v>
      </c>
      <c r="F942" s="46" t="s">
        <v>61</v>
      </c>
      <c r="G942" s="46">
        <v>1</v>
      </c>
      <c r="H942" s="47" t="s">
        <v>78</v>
      </c>
      <c r="I942" s="47" t="s">
        <v>101</v>
      </c>
      <c r="J942" s="48">
        <v>3</v>
      </c>
      <c r="K942" s="48">
        <v>0</v>
      </c>
      <c r="O942" s="48">
        <v>1</v>
      </c>
      <c r="R942" s="46">
        <f t="shared" si="99"/>
        <v>0</v>
      </c>
      <c r="S942" s="46">
        <f t="shared" si="100"/>
        <v>0</v>
      </c>
      <c r="T942" s="46">
        <f t="shared" si="103"/>
        <v>60</v>
      </c>
      <c r="U942" s="46">
        <f t="shared" si="101"/>
        <v>70</v>
      </c>
      <c r="V942" s="54">
        <f t="shared" si="102"/>
        <v>43.5</v>
      </c>
    </row>
    <row r="943" spans="1:22" x14ac:dyDescent="0.2">
      <c r="A943" s="46" t="s">
        <v>43</v>
      </c>
      <c r="B943" s="46" t="s">
        <v>47</v>
      </c>
      <c r="C943" s="46" t="s">
        <v>88</v>
      </c>
      <c r="D943" s="46" t="s">
        <v>178</v>
      </c>
      <c r="E943" s="46">
        <v>2</v>
      </c>
      <c r="F943" s="46" t="s">
        <v>61</v>
      </c>
      <c r="G943" s="46">
        <v>1</v>
      </c>
      <c r="H943" s="47" t="s">
        <v>78</v>
      </c>
      <c r="I943" s="47" t="s">
        <v>101</v>
      </c>
      <c r="J943" s="48">
        <v>3</v>
      </c>
      <c r="K943" s="48">
        <v>0</v>
      </c>
      <c r="R943" s="46">
        <f t="shared" si="99"/>
        <v>0</v>
      </c>
      <c r="S943" s="46">
        <f t="shared" si="100"/>
        <v>0</v>
      </c>
      <c r="T943" s="46">
        <f t="shared" si="103"/>
        <v>60</v>
      </c>
      <c r="U943" s="46">
        <f t="shared" si="101"/>
        <v>60</v>
      </c>
      <c r="V943" s="54">
        <f t="shared" si="102"/>
        <v>43.5</v>
      </c>
    </row>
    <row r="944" spans="1:22" x14ac:dyDescent="0.2">
      <c r="A944" s="46" t="s">
        <v>43</v>
      </c>
      <c r="B944" s="46" t="s">
        <v>47</v>
      </c>
      <c r="C944" s="46" t="s">
        <v>88</v>
      </c>
      <c r="D944" s="46" t="s">
        <v>178</v>
      </c>
      <c r="E944" s="46">
        <v>4</v>
      </c>
      <c r="F944" s="46" t="s">
        <v>60</v>
      </c>
      <c r="G944" s="46">
        <v>4</v>
      </c>
      <c r="H944" s="47">
        <v>36</v>
      </c>
      <c r="I944" s="47" t="s">
        <v>102</v>
      </c>
      <c r="J944" s="48">
        <v>4</v>
      </c>
      <c r="K944" s="48">
        <v>1</v>
      </c>
      <c r="R944" s="46">
        <f t="shared" si="99"/>
        <v>1</v>
      </c>
      <c r="S944" s="46">
        <f t="shared" si="100"/>
        <v>0</v>
      </c>
      <c r="T944" s="46">
        <f t="shared" si="103"/>
        <v>80</v>
      </c>
      <c r="U944" s="46">
        <f t="shared" si="101"/>
        <v>80</v>
      </c>
      <c r="V944" s="54">
        <f t="shared" si="102"/>
        <v>43.5</v>
      </c>
    </row>
    <row r="945" spans="1:22" x14ac:dyDescent="0.2">
      <c r="A945" s="46" t="s">
        <v>43</v>
      </c>
      <c r="B945" s="46" t="s">
        <v>47</v>
      </c>
      <c r="C945" s="46" t="s">
        <v>88</v>
      </c>
      <c r="D945" s="46" t="s">
        <v>178</v>
      </c>
      <c r="E945" s="46">
        <v>4</v>
      </c>
      <c r="F945" s="46" t="s">
        <v>60</v>
      </c>
      <c r="G945" s="46">
        <v>4</v>
      </c>
      <c r="H945" s="47">
        <v>40</v>
      </c>
      <c r="I945" s="47" t="s">
        <v>102</v>
      </c>
      <c r="J945" s="48">
        <v>4</v>
      </c>
      <c r="K945" s="48">
        <v>1</v>
      </c>
      <c r="R945" s="46">
        <f t="shared" si="99"/>
        <v>1</v>
      </c>
      <c r="S945" s="46">
        <f t="shared" si="100"/>
        <v>0</v>
      </c>
      <c r="T945" s="46">
        <f t="shared" si="103"/>
        <v>80</v>
      </c>
      <c r="U945" s="46">
        <f t="shared" si="101"/>
        <v>80</v>
      </c>
      <c r="V945" s="54">
        <f t="shared" si="102"/>
        <v>43.5</v>
      </c>
    </row>
    <row r="946" spans="1:22" x14ac:dyDescent="0.2">
      <c r="A946" s="46" t="s">
        <v>43</v>
      </c>
      <c r="B946" s="46" t="s">
        <v>47</v>
      </c>
      <c r="C946" s="46" t="s">
        <v>88</v>
      </c>
      <c r="D946" s="46" t="s">
        <v>178</v>
      </c>
      <c r="E946" s="46">
        <v>4</v>
      </c>
      <c r="F946" s="46" t="s">
        <v>60</v>
      </c>
      <c r="G946" s="46">
        <v>3</v>
      </c>
      <c r="H946" s="47">
        <v>47</v>
      </c>
      <c r="I946" s="47" t="s">
        <v>159</v>
      </c>
      <c r="J946" s="48">
        <v>4</v>
      </c>
      <c r="K946" s="48">
        <v>0</v>
      </c>
      <c r="R946" s="46">
        <f t="shared" si="99"/>
        <v>1</v>
      </c>
      <c r="S946" s="46">
        <f t="shared" si="100"/>
        <v>0</v>
      </c>
      <c r="T946" s="46">
        <f t="shared" si="103"/>
        <v>90</v>
      </c>
      <c r="U946" s="46">
        <f t="shared" si="101"/>
        <v>90</v>
      </c>
      <c r="V946" s="54">
        <f t="shared" si="102"/>
        <v>43.5</v>
      </c>
    </row>
    <row r="947" spans="1:22" x14ac:dyDescent="0.2">
      <c r="A947" s="46" t="s">
        <v>43</v>
      </c>
      <c r="B947" s="46" t="s">
        <v>47</v>
      </c>
      <c r="C947" s="46" t="s">
        <v>88</v>
      </c>
      <c r="D947" s="46" t="s">
        <v>178</v>
      </c>
      <c r="E947" s="46">
        <v>1</v>
      </c>
      <c r="F947" s="46" t="s">
        <v>61</v>
      </c>
      <c r="G947" s="46">
        <v>1</v>
      </c>
      <c r="H947" s="47" t="s">
        <v>75</v>
      </c>
      <c r="I947" s="47" t="s">
        <v>101</v>
      </c>
      <c r="J947" s="48">
        <v>4</v>
      </c>
      <c r="K947" s="48">
        <v>0</v>
      </c>
      <c r="R947" s="46">
        <f t="shared" si="99"/>
        <v>1</v>
      </c>
      <c r="S947" s="46">
        <f t="shared" si="100"/>
        <v>0</v>
      </c>
      <c r="T947" s="46">
        <f t="shared" si="103"/>
        <v>90</v>
      </c>
      <c r="U947" s="46">
        <f t="shared" si="101"/>
        <v>90</v>
      </c>
      <c r="V947" s="54">
        <f t="shared" si="102"/>
        <v>43.5</v>
      </c>
    </row>
    <row r="948" spans="1:22" x14ac:dyDescent="0.2">
      <c r="A948" s="46" t="s">
        <v>43</v>
      </c>
      <c r="B948" s="46" t="s">
        <v>47</v>
      </c>
      <c r="C948" s="46" t="s">
        <v>88</v>
      </c>
      <c r="D948" s="46" t="s">
        <v>178</v>
      </c>
      <c r="E948" s="46">
        <v>4</v>
      </c>
      <c r="F948" s="46" t="s">
        <v>61</v>
      </c>
      <c r="G948" s="46">
        <v>1</v>
      </c>
      <c r="H948" s="47" t="s">
        <v>78</v>
      </c>
      <c r="I948" s="47" t="s">
        <v>101</v>
      </c>
      <c r="J948" s="48">
        <v>1</v>
      </c>
      <c r="K948" s="48">
        <v>1</v>
      </c>
      <c r="R948" s="46">
        <f t="shared" si="99"/>
        <v>0</v>
      </c>
      <c r="S948" s="46">
        <f t="shared" si="100"/>
        <v>0</v>
      </c>
      <c r="T948" s="46">
        <f t="shared" si="103"/>
        <v>20</v>
      </c>
      <c r="U948" s="46">
        <f t="shared" si="101"/>
        <v>20</v>
      </c>
      <c r="V948" s="54">
        <f t="shared" si="102"/>
        <v>43.5</v>
      </c>
    </row>
    <row r="949" spans="1:22" x14ac:dyDescent="0.2">
      <c r="A949" s="46" t="s">
        <v>43</v>
      </c>
      <c r="B949" s="46" t="s">
        <v>47</v>
      </c>
      <c r="C949" s="46" t="s">
        <v>88</v>
      </c>
      <c r="D949" s="46" t="s">
        <v>178</v>
      </c>
      <c r="E949" s="46">
        <v>4</v>
      </c>
      <c r="F949" s="46" t="s">
        <v>61</v>
      </c>
      <c r="G949" s="46">
        <v>1</v>
      </c>
      <c r="H949" s="47" t="s">
        <v>78</v>
      </c>
      <c r="I949" s="47" t="s">
        <v>101</v>
      </c>
      <c r="J949" s="48">
        <v>2</v>
      </c>
      <c r="K949" s="48">
        <v>1</v>
      </c>
      <c r="R949" s="46">
        <f t="shared" si="99"/>
        <v>0</v>
      </c>
      <c r="S949" s="46">
        <f t="shared" si="100"/>
        <v>0</v>
      </c>
      <c r="T949" s="46">
        <f t="shared" si="103"/>
        <v>40</v>
      </c>
      <c r="U949" s="46">
        <f t="shared" si="101"/>
        <v>40</v>
      </c>
      <c r="V949" s="54">
        <f t="shared" si="102"/>
        <v>43.5</v>
      </c>
    </row>
    <row r="950" spans="1:22" x14ac:dyDescent="0.2">
      <c r="A950" s="46" t="s">
        <v>43</v>
      </c>
      <c r="B950" s="46" t="s">
        <v>47</v>
      </c>
      <c r="C950" s="46" t="s">
        <v>88</v>
      </c>
      <c r="D950" s="46" t="s">
        <v>178</v>
      </c>
      <c r="E950" s="46">
        <v>4</v>
      </c>
      <c r="F950" s="46" t="s">
        <v>61</v>
      </c>
      <c r="G950" s="46">
        <v>1</v>
      </c>
      <c r="H950" s="47" t="s">
        <v>78</v>
      </c>
      <c r="I950" s="47" t="s">
        <v>101</v>
      </c>
      <c r="J950" s="48">
        <v>0</v>
      </c>
      <c r="K950" s="48">
        <v>2</v>
      </c>
      <c r="R950" s="46">
        <f t="shared" si="99"/>
        <v>0</v>
      </c>
      <c r="S950" s="46">
        <f t="shared" si="100"/>
        <v>0</v>
      </c>
      <c r="T950" s="46">
        <f t="shared" si="103"/>
        <v>-10</v>
      </c>
      <c r="U950" s="46">
        <f t="shared" si="101"/>
        <v>-10</v>
      </c>
      <c r="V950" s="54">
        <f t="shared" si="102"/>
        <v>43.5</v>
      </c>
    </row>
    <row r="951" spans="1:22" x14ac:dyDescent="0.2">
      <c r="A951" s="46" t="s">
        <v>43</v>
      </c>
      <c r="B951" s="46" t="s">
        <v>47</v>
      </c>
      <c r="C951" s="46" t="s">
        <v>88</v>
      </c>
      <c r="D951" s="46" t="s">
        <v>178</v>
      </c>
      <c r="E951" s="46">
        <v>5</v>
      </c>
      <c r="F951" s="46" t="s">
        <v>60</v>
      </c>
      <c r="G951" s="46">
        <v>1</v>
      </c>
      <c r="H951" s="47">
        <v>1</v>
      </c>
      <c r="I951" s="47" t="s">
        <v>101</v>
      </c>
      <c r="J951" s="48">
        <v>4</v>
      </c>
      <c r="K951" s="48">
        <v>2</v>
      </c>
      <c r="O951" s="48">
        <v>1</v>
      </c>
      <c r="R951" s="46">
        <f t="shared" si="99"/>
        <v>1</v>
      </c>
      <c r="S951" s="46">
        <f t="shared" si="100"/>
        <v>0</v>
      </c>
      <c r="T951" s="46">
        <f t="shared" si="103"/>
        <v>70</v>
      </c>
      <c r="U951" s="46">
        <f t="shared" si="101"/>
        <v>80</v>
      </c>
      <c r="V951" s="54">
        <f t="shared" si="102"/>
        <v>43.5</v>
      </c>
    </row>
    <row r="952" spans="1:22" x14ac:dyDescent="0.2">
      <c r="A952" s="46" t="s">
        <v>43</v>
      </c>
      <c r="B952" s="46" t="s">
        <v>47</v>
      </c>
      <c r="C952" s="46" t="s">
        <v>88</v>
      </c>
      <c r="D952" s="46" t="s">
        <v>178</v>
      </c>
      <c r="E952" s="46">
        <v>5</v>
      </c>
      <c r="F952" s="46" t="s">
        <v>60</v>
      </c>
      <c r="G952" s="46">
        <v>4</v>
      </c>
      <c r="H952" s="47">
        <v>12</v>
      </c>
      <c r="I952" s="47" t="s">
        <v>102</v>
      </c>
      <c r="J952" s="48">
        <v>4</v>
      </c>
      <c r="K952" s="48">
        <v>0</v>
      </c>
      <c r="R952" s="46">
        <f t="shared" si="99"/>
        <v>1</v>
      </c>
      <c r="S952" s="46">
        <f t="shared" si="100"/>
        <v>0</v>
      </c>
      <c r="T952" s="46">
        <f t="shared" si="103"/>
        <v>90</v>
      </c>
      <c r="U952" s="46">
        <f t="shared" si="101"/>
        <v>90</v>
      </c>
      <c r="V952" s="54">
        <f t="shared" si="102"/>
        <v>43.5</v>
      </c>
    </row>
    <row r="953" spans="1:22" x14ac:dyDescent="0.2">
      <c r="A953" s="46" t="s">
        <v>43</v>
      </c>
      <c r="B953" s="46" t="s">
        <v>47</v>
      </c>
      <c r="C953" s="46" t="s">
        <v>88</v>
      </c>
      <c r="D953" s="46" t="s">
        <v>178</v>
      </c>
      <c r="E953" s="46">
        <v>5</v>
      </c>
      <c r="F953" s="46" t="s">
        <v>60</v>
      </c>
      <c r="G953" s="46">
        <v>1</v>
      </c>
      <c r="H953" s="47">
        <v>13</v>
      </c>
      <c r="I953" s="47" t="s">
        <v>101</v>
      </c>
      <c r="J953" s="48">
        <v>4</v>
      </c>
      <c r="K953" s="48">
        <v>1</v>
      </c>
      <c r="O953" s="48">
        <v>1</v>
      </c>
      <c r="R953" s="46">
        <f t="shared" si="99"/>
        <v>1</v>
      </c>
      <c r="S953" s="46">
        <f t="shared" si="100"/>
        <v>0</v>
      </c>
      <c r="T953" s="46">
        <f t="shared" ref="T953:T959" si="104">quizscore(J953,K953)</f>
        <v>80</v>
      </c>
      <c r="U953" s="46">
        <f t="shared" si="101"/>
        <v>90</v>
      </c>
      <c r="V953" s="54">
        <f t="shared" si="102"/>
        <v>43.5</v>
      </c>
    </row>
    <row r="954" spans="1:22" x14ac:dyDescent="0.2">
      <c r="A954" s="46" t="s">
        <v>43</v>
      </c>
      <c r="B954" s="46" t="s">
        <v>47</v>
      </c>
      <c r="C954" s="46" t="s">
        <v>88</v>
      </c>
      <c r="D954" s="46" t="s">
        <v>178</v>
      </c>
      <c r="E954" s="46">
        <v>5</v>
      </c>
      <c r="F954" s="46" t="s">
        <v>60</v>
      </c>
      <c r="G954" s="46">
        <v>2</v>
      </c>
      <c r="H954" s="47">
        <v>22</v>
      </c>
      <c r="I954" s="47" t="s">
        <v>127</v>
      </c>
      <c r="J954" s="48">
        <v>3</v>
      </c>
      <c r="K954" s="48">
        <v>1</v>
      </c>
      <c r="R954" s="46">
        <f t="shared" si="99"/>
        <v>0</v>
      </c>
      <c r="S954" s="46">
        <f t="shared" si="100"/>
        <v>0</v>
      </c>
      <c r="T954" s="46">
        <f t="shared" si="104"/>
        <v>60</v>
      </c>
      <c r="U954" s="46">
        <f t="shared" si="101"/>
        <v>60</v>
      </c>
      <c r="V954" s="54">
        <f t="shared" si="102"/>
        <v>43.5</v>
      </c>
    </row>
    <row r="955" spans="1:22" x14ac:dyDescent="0.2">
      <c r="A955" s="46" t="s">
        <v>43</v>
      </c>
      <c r="B955" s="46" t="s">
        <v>47</v>
      </c>
      <c r="C955" s="46" t="s">
        <v>88</v>
      </c>
      <c r="D955" s="46" t="s">
        <v>178</v>
      </c>
      <c r="E955" s="46">
        <v>5</v>
      </c>
      <c r="F955" s="46" t="s">
        <v>60</v>
      </c>
      <c r="G955" s="46">
        <v>3</v>
      </c>
      <c r="H955" s="47">
        <v>35</v>
      </c>
      <c r="I955" s="47" t="s">
        <v>159</v>
      </c>
      <c r="J955" s="48">
        <v>2</v>
      </c>
      <c r="K955" s="48">
        <v>3</v>
      </c>
      <c r="R955" s="46">
        <f t="shared" si="99"/>
        <v>0</v>
      </c>
      <c r="S955" s="46">
        <f t="shared" si="100"/>
        <v>1</v>
      </c>
      <c r="T955" s="46">
        <f t="shared" si="104"/>
        <v>20</v>
      </c>
      <c r="U955" s="46">
        <f t="shared" si="101"/>
        <v>20</v>
      </c>
      <c r="V955" s="54">
        <f t="shared" si="102"/>
        <v>43.5</v>
      </c>
    </row>
    <row r="956" spans="1:22" x14ac:dyDescent="0.2">
      <c r="A956" s="46" t="s">
        <v>43</v>
      </c>
      <c r="B956" s="46" t="s">
        <v>47</v>
      </c>
      <c r="C956" s="46" t="s">
        <v>88</v>
      </c>
      <c r="D956" s="46" t="s">
        <v>178</v>
      </c>
      <c r="E956" s="46">
        <v>5</v>
      </c>
      <c r="F956" s="46" t="s">
        <v>60</v>
      </c>
      <c r="G956" s="46">
        <v>2</v>
      </c>
      <c r="H956" s="47">
        <v>42</v>
      </c>
      <c r="I956" s="47" t="s">
        <v>127</v>
      </c>
      <c r="J956" s="48">
        <v>3</v>
      </c>
      <c r="K956" s="48">
        <v>1</v>
      </c>
      <c r="R956" s="46">
        <f t="shared" si="99"/>
        <v>0</v>
      </c>
      <c r="S956" s="46">
        <f t="shared" si="100"/>
        <v>0</v>
      </c>
      <c r="T956" s="46">
        <f t="shared" si="104"/>
        <v>60</v>
      </c>
      <c r="U956" s="46">
        <f t="shared" si="101"/>
        <v>60</v>
      </c>
      <c r="V956" s="54">
        <f t="shared" si="102"/>
        <v>43.5</v>
      </c>
    </row>
    <row r="957" spans="1:22" x14ac:dyDescent="0.2">
      <c r="A957" s="46" t="s">
        <v>43</v>
      </c>
      <c r="B957" s="46" t="s">
        <v>47</v>
      </c>
      <c r="C957" s="46" t="s">
        <v>88</v>
      </c>
      <c r="D957" s="46" t="s">
        <v>178</v>
      </c>
      <c r="E957" s="46">
        <v>5</v>
      </c>
      <c r="F957" s="46" t="s">
        <v>61</v>
      </c>
      <c r="G957" s="46">
        <v>1</v>
      </c>
      <c r="H957" s="47" t="s">
        <v>67</v>
      </c>
      <c r="I957" s="47" t="s">
        <v>101</v>
      </c>
      <c r="J957" s="48">
        <v>2</v>
      </c>
      <c r="K957" s="48">
        <v>1</v>
      </c>
      <c r="R957" s="46">
        <f t="shared" si="99"/>
        <v>0</v>
      </c>
      <c r="S957" s="46">
        <f t="shared" si="100"/>
        <v>0</v>
      </c>
      <c r="T957" s="46">
        <f t="shared" si="104"/>
        <v>40</v>
      </c>
      <c r="U957" s="46">
        <f t="shared" si="101"/>
        <v>40</v>
      </c>
      <c r="V957" s="54">
        <f t="shared" si="102"/>
        <v>43.5</v>
      </c>
    </row>
    <row r="958" spans="1:22" x14ac:dyDescent="0.2">
      <c r="A958" s="46" t="s">
        <v>43</v>
      </c>
      <c r="B958" s="46" t="s">
        <v>47</v>
      </c>
      <c r="C958" s="46" t="s">
        <v>88</v>
      </c>
      <c r="D958" s="46" t="s">
        <v>178</v>
      </c>
      <c r="E958" s="46">
        <v>5</v>
      </c>
      <c r="F958" s="46" t="s">
        <v>61</v>
      </c>
      <c r="G958" s="46">
        <v>1</v>
      </c>
      <c r="H958" s="47" t="s">
        <v>75</v>
      </c>
      <c r="I958" s="47" t="s">
        <v>101</v>
      </c>
      <c r="J958" s="48">
        <v>0</v>
      </c>
      <c r="K958" s="48">
        <v>2</v>
      </c>
      <c r="R958" s="46">
        <f t="shared" si="99"/>
        <v>0</v>
      </c>
      <c r="S958" s="46">
        <f t="shared" si="100"/>
        <v>0</v>
      </c>
      <c r="T958" s="46">
        <f t="shared" si="104"/>
        <v>-10</v>
      </c>
      <c r="U958" s="46">
        <f t="shared" si="101"/>
        <v>-10</v>
      </c>
      <c r="V958" s="54">
        <f t="shared" si="102"/>
        <v>43.5</v>
      </c>
    </row>
    <row r="959" spans="1:22" x14ac:dyDescent="0.2">
      <c r="A959" s="46" t="s">
        <v>43</v>
      </c>
      <c r="B959" s="46" t="s">
        <v>47</v>
      </c>
      <c r="C959" s="46" t="s">
        <v>88</v>
      </c>
      <c r="D959" s="46" t="s">
        <v>178</v>
      </c>
      <c r="E959" s="46">
        <v>5</v>
      </c>
      <c r="F959" s="46" t="s">
        <v>61</v>
      </c>
      <c r="G959" s="46">
        <v>1</v>
      </c>
      <c r="H959" s="47" t="s">
        <v>69</v>
      </c>
      <c r="I959" s="47" t="s">
        <v>101</v>
      </c>
      <c r="J959" s="48">
        <v>3</v>
      </c>
      <c r="K959" s="48">
        <v>1</v>
      </c>
      <c r="O959" s="48">
        <v>1</v>
      </c>
      <c r="R959" s="46">
        <f t="shared" si="99"/>
        <v>0</v>
      </c>
      <c r="S959" s="46">
        <f t="shared" si="100"/>
        <v>0</v>
      </c>
      <c r="T959" s="46">
        <f t="shared" si="104"/>
        <v>60</v>
      </c>
      <c r="U959" s="46">
        <f t="shared" si="101"/>
        <v>70</v>
      </c>
      <c r="V959" s="54">
        <f t="shared" si="102"/>
        <v>43.5</v>
      </c>
    </row>
    <row r="960" spans="1:22" x14ac:dyDescent="0.2">
      <c r="A960" s="46" t="s">
        <v>43</v>
      </c>
      <c r="B960" s="46" t="s">
        <v>47</v>
      </c>
      <c r="C960" s="46" t="s">
        <v>88</v>
      </c>
      <c r="D960" s="46" t="s">
        <v>178</v>
      </c>
      <c r="E960" s="46">
        <v>5</v>
      </c>
      <c r="F960" s="46" t="s">
        <v>61</v>
      </c>
      <c r="G960" s="46">
        <v>1</v>
      </c>
      <c r="H960" s="47" t="s">
        <v>78</v>
      </c>
      <c r="I960" s="47" t="s">
        <v>101</v>
      </c>
      <c r="J960" s="48">
        <v>2</v>
      </c>
      <c r="K960" s="48">
        <v>1</v>
      </c>
      <c r="R960" s="46">
        <f t="shared" si="99"/>
        <v>0</v>
      </c>
      <c r="S960" s="46">
        <f t="shared" si="100"/>
        <v>0</v>
      </c>
      <c r="U960" s="46">
        <f t="shared" si="101"/>
        <v>0</v>
      </c>
      <c r="V960" s="54">
        <f t="shared" si="102"/>
        <v>43.5</v>
      </c>
    </row>
    <row r="961" spans="1:22" x14ac:dyDescent="0.2">
      <c r="A961" s="46" t="s">
        <v>43</v>
      </c>
      <c r="B961" s="46" t="s">
        <v>47</v>
      </c>
      <c r="C961" s="46" t="s">
        <v>88</v>
      </c>
      <c r="D961" s="46" t="s">
        <v>178</v>
      </c>
      <c r="E961" s="46">
        <v>5</v>
      </c>
      <c r="F961" s="46" t="s">
        <v>61</v>
      </c>
      <c r="G961" s="46">
        <v>1</v>
      </c>
      <c r="H961" s="47" t="s">
        <v>78</v>
      </c>
      <c r="I961" s="47" t="s">
        <v>101</v>
      </c>
      <c r="J961" s="48">
        <v>2</v>
      </c>
      <c r="K961" s="48">
        <v>0</v>
      </c>
      <c r="N961" s="48">
        <v>1</v>
      </c>
      <c r="R961" s="46">
        <f t="shared" si="99"/>
        <v>0</v>
      </c>
      <c r="S961" s="46">
        <f t="shared" si="100"/>
        <v>0</v>
      </c>
      <c r="U961" s="46">
        <f t="shared" si="101"/>
        <v>-5</v>
      </c>
      <c r="V961" s="54">
        <f t="shared" si="102"/>
        <v>43.5</v>
      </c>
    </row>
    <row r="962" spans="1:22" x14ac:dyDescent="0.2">
      <c r="A962" s="46" t="s">
        <v>24</v>
      </c>
      <c r="B962" s="46" t="s">
        <v>117</v>
      </c>
      <c r="C962" s="46" t="s">
        <v>54</v>
      </c>
      <c r="D962" s="46" t="s">
        <v>178</v>
      </c>
      <c r="E962" s="46">
        <v>4</v>
      </c>
      <c r="F962" s="46" t="s">
        <v>60</v>
      </c>
      <c r="G962" s="46">
        <v>2</v>
      </c>
      <c r="H962" s="47">
        <v>46</v>
      </c>
      <c r="I962" s="47" t="s">
        <v>127</v>
      </c>
      <c r="J962" s="48">
        <v>0</v>
      </c>
      <c r="K962" s="48">
        <v>3</v>
      </c>
      <c r="R962" s="46">
        <f t="shared" ref="R962:R1025" si="105">IF(J962=4,1,0)</f>
        <v>0</v>
      </c>
      <c r="S962" s="46">
        <f t="shared" ref="S962:S1025" si="106">IF(K962=3,1,0)</f>
        <v>1</v>
      </c>
      <c r="T962" s="46">
        <f t="shared" ref="T962:T993" si="107">quizscore(J962,K962)</f>
        <v>-20</v>
      </c>
      <c r="U962" s="46">
        <f t="shared" ref="U962:U1025" si="108">T962+M962*(20) + (SUM(O962:Q962)*(10)) - L962*(5) - N962*(5)</f>
        <v>-20</v>
      </c>
      <c r="V962" s="54">
        <f t="shared" ref="V962:V1025" si="109">AVERAGEIFS(U:U,A:A,A962,F:F,"Pre")</f>
        <v>56.666666666666664</v>
      </c>
    </row>
    <row r="963" spans="1:22" x14ac:dyDescent="0.2">
      <c r="A963" s="46" t="s">
        <v>24</v>
      </c>
      <c r="B963" s="46" t="s">
        <v>117</v>
      </c>
      <c r="C963" s="46" t="s">
        <v>54</v>
      </c>
      <c r="D963" s="46" t="s">
        <v>178</v>
      </c>
      <c r="E963" s="46">
        <v>3</v>
      </c>
      <c r="F963" s="46" t="s">
        <v>60</v>
      </c>
      <c r="G963" s="46">
        <v>1</v>
      </c>
      <c r="H963" s="47">
        <v>49</v>
      </c>
      <c r="I963" s="47" t="s">
        <v>101</v>
      </c>
      <c r="J963" s="48">
        <v>0</v>
      </c>
      <c r="K963" s="48">
        <v>2</v>
      </c>
      <c r="R963" s="46">
        <f t="shared" si="105"/>
        <v>0</v>
      </c>
      <c r="S963" s="46">
        <f t="shared" si="106"/>
        <v>0</v>
      </c>
      <c r="T963" s="46">
        <f t="shared" si="107"/>
        <v>-10</v>
      </c>
      <c r="U963" s="46">
        <f t="shared" si="108"/>
        <v>-10</v>
      </c>
      <c r="V963" s="54">
        <f t="shared" si="109"/>
        <v>56.666666666666664</v>
      </c>
    </row>
    <row r="964" spans="1:22" x14ac:dyDescent="0.2">
      <c r="A964" s="46" t="s">
        <v>24</v>
      </c>
      <c r="B964" s="46" t="s">
        <v>117</v>
      </c>
      <c r="C964" s="46" t="s">
        <v>54</v>
      </c>
      <c r="D964" s="46" t="s">
        <v>178</v>
      </c>
      <c r="E964" s="46">
        <v>4</v>
      </c>
      <c r="F964" s="46" t="s">
        <v>60</v>
      </c>
      <c r="G964" s="46">
        <v>2</v>
      </c>
      <c r="H964" s="47">
        <v>6</v>
      </c>
      <c r="I964" s="47" t="s">
        <v>127</v>
      </c>
      <c r="J964" s="48">
        <v>1</v>
      </c>
      <c r="K964" s="48">
        <v>3</v>
      </c>
      <c r="M964" s="48">
        <v>1</v>
      </c>
      <c r="R964" s="46">
        <f t="shared" si="105"/>
        <v>0</v>
      </c>
      <c r="S964" s="46">
        <f t="shared" si="106"/>
        <v>1</v>
      </c>
      <c r="T964" s="46">
        <f t="shared" si="107"/>
        <v>0</v>
      </c>
      <c r="U964" s="46">
        <f t="shared" si="108"/>
        <v>20</v>
      </c>
      <c r="V964" s="54">
        <f t="shared" si="109"/>
        <v>56.666666666666664</v>
      </c>
    </row>
    <row r="965" spans="1:22" x14ac:dyDescent="0.2">
      <c r="A965" s="46" t="s">
        <v>24</v>
      </c>
      <c r="B965" s="46" t="s">
        <v>117</v>
      </c>
      <c r="C965" s="46" t="s">
        <v>54</v>
      </c>
      <c r="D965" s="46" t="s">
        <v>178</v>
      </c>
      <c r="E965" s="46">
        <v>2</v>
      </c>
      <c r="F965" s="46" t="s">
        <v>61</v>
      </c>
      <c r="G965" s="46">
        <v>1</v>
      </c>
      <c r="H965" s="47" t="s">
        <v>74</v>
      </c>
      <c r="I965" s="47" t="s">
        <v>101</v>
      </c>
      <c r="J965" s="48">
        <v>1</v>
      </c>
      <c r="K965" s="48">
        <v>3</v>
      </c>
      <c r="R965" s="46">
        <f t="shared" si="105"/>
        <v>0</v>
      </c>
      <c r="S965" s="46">
        <f t="shared" si="106"/>
        <v>1</v>
      </c>
      <c r="T965" s="46">
        <f t="shared" si="107"/>
        <v>0</v>
      </c>
      <c r="U965" s="46">
        <f t="shared" si="108"/>
        <v>0</v>
      </c>
      <c r="V965" s="54">
        <f t="shared" si="109"/>
        <v>56.666666666666664</v>
      </c>
    </row>
    <row r="966" spans="1:22" x14ac:dyDescent="0.2">
      <c r="A966" s="46" t="s">
        <v>24</v>
      </c>
      <c r="B966" s="46" t="s">
        <v>117</v>
      </c>
      <c r="C966" s="46" t="s">
        <v>54</v>
      </c>
      <c r="D966" s="46" t="s">
        <v>178</v>
      </c>
      <c r="E966" s="46">
        <v>4</v>
      </c>
      <c r="F966" s="46" t="s">
        <v>61</v>
      </c>
      <c r="G966" s="46">
        <v>2</v>
      </c>
      <c r="H966" s="47" t="s">
        <v>76</v>
      </c>
      <c r="I966" s="47" t="s">
        <v>127</v>
      </c>
      <c r="J966" s="48">
        <v>0</v>
      </c>
      <c r="K966" s="48">
        <v>1</v>
      </c>
      <c r="R966" s="46">
        <f t="shared" si="105"/>
        <v>0</v>
      </c>
      <c r="S966" s="46">
        <f t="shared" si="106"/>
        <v>0</v>
      </c>
      <c r="T966" s="46">
        <f t="shared" si="107"/>
        <v>0</v>
      </c>
      <c r="U966" s="46">
        <f t="shared" si="108"/>
        <v>0</v>
      </c>
      <c r="V966" s="54">
        <f t="shared" si="109"/>
        <v>56.666666666666664</v>
      </c>
    </row>
    <row r="967" spans="1:22" x14ac:dyDescent="0.2">
      <c r="A967" s="46" t="s">
        <v>24</v>
      </c>
      <c r="B967" s="46" t="s">
        <v>117</v>
      </c>
      <c r="C967" s="46" t="s">
        <v>54</v>
      </c>
      <c r="D967" s="46" t="s">
        <v>178</v>
      </c>
      <c r="E967" s="46">
        <v>3</v>
      </c>
      <c r="F967" s="46" t="s">
        <v>61</v>
      </c>
      <c r="G967" s="46">
        <v>2</v>
      </c>
      <c r="H967" s="47" t="s">
        <v>66</v>
      </c>
      <c r="I967" s="47" t="s">
        <v>127</v>
      </c>
      <c r="J967" s="48">
        <v>0</v>
      </c>
      <c r="K967" s="48">
        <v>1</v>
      </c>
      <c r="N967" s="48">
        <v>1</v>
      </c>
      <c r="R967" s="46">
        <f t="shared" si="105"/>
        <v>0</v>
      </c>
      <c r="S967" s="46">
        <f t="shared" si="106"/>
        <v>0</v>
      </c>
      <c r="T967" s="46">
        <f t="shared" si="107"/>
        <v>0</v>
      </c>
      <c r="U967" s="46">
        <f t="shared" si="108"/>
        <v>-5</v>
      </c>
      <c r="V967" s="54">
        <f t="shared" si="109"/>
        <v>56.666666666666664</v>
      </c>
    </row>
    <row r="968" spans="1:22" x14ac:dyDescent="0.2">
      <c r="A968" s="46" t="s">
        <v>24</v>
      </c>
      <c r="B968" s="46" t="s">
        <v>117</v>
      </c>
      <c r="C968" s="46" t="s">
        <v>54</v>
      </c>
      <c r="D968" s="46" t="s">
        <v>178</v>
      </c>
      <c r="E968" s="46">
        <v>4</v>
      </c>
      <c r="F968" s="46" t="s">
        <v>60</v>
      </c>
      <c r="G968" s="46">
        <v>3</v>
      </c>
      <c r="H968" s="47">
        <v>35</v>
      </c>
      <c r="I968" s="47" t="s">
        <v>159</v>
      </c>
      <c r="J968" s="48">
        <v>1</v>
      </c>
      <c r="K968" s="48">
        <v>2</v>
      </c>
      <c r="O968" s="48">
        <v>1</v>
      </c>
      <c r="R968" s="46">
        <f t="shared" si="105"/>
        <v>0</v>
      </c>
      <c r="S968" s="46">
        <f t="shared" si="106"/>
        <v>0</v>
      </c>
      <c r="T968" s="46">
        <f t="shared" si="107"/>
        <v>10</v>
      </c>
      <c r="U968" s="46">
        <f t="shared" si="108"/>
        <v>20</v>
      </c>
      <c r="V968" s="54">
        <f t="shared" si="109"/>
        <v>56.666666666666664</v>
      </c>
    </row>
    <row r="969" spans="1:22" x14ac:dyDescent="0.2">
      <c r="A969" s="46" t="s">
        <v>24</v>
      </c>
      <c r="B969" s="46" t="s">
        <v>117</v>
      </c>
      <c r="C969" s="46" t="s">
        <v>54</v>
      </c>
      <c r="D969" s="46" t="s">
        <v>178</v>
      </c>
      <c r="E969" s="46">
        <v>4</v>
      </c>
      <c r="F969" s="46" t="s">
        <v>60</v>
      </c>
      <c r="G969" s="46">
        <v>4</v>
      </c>
      <c r="H969" s="47">
        <v>40</v>
      </c>
      <c r="I969" s="47" t="s">
        <v>102</v>
      </c>
      <c r="J969" s="48">
        <v>1</v>
      </c>
      <c r="K969" s="48">
        <v>0</v>
      </c>
      <c r="O969" s="48">
        <v>1</v>
      </c>
      <c r="R969" s="46">
        <f t="shared" si="105"/>
        <v>0</v>
      </c>
      <c r="S969" s="46">
        <f t="shared" si="106"/>
        <v>0</v>
      </c>
      <c r="T969" s="46">
        <f t="shared" si="107"/>
        <v>20</v>
      </c>
      <c r="U969" s="46">
        <f t="shared" si="108"/>
        <v>30</v>
      </c>
      <c r="V969" s="54">
        <f t="shared" si="109"/>
        <v>56.666666666666664</v>
      </c>
    </row>
    <row r="970" spans="1:22" x14ac:dyDescent="0.2">
      <c r="A970" s="46" t="s">
        <v>24</v>
      </c>
      <c r="B970" s="46" t="s">
        <v>117</v>
      </c>
      <c r="C970" s="46" t="s">
        <v>54</v>
      </c>
      <c r="D970" s="46" t="s">
        <v>178</v>
      </c>
      <c r="E970" s="46">
        <v>4</v>
      </c>
      <c r="F970" s="46" t="s">
        <v>61</v>
      </c>
      <c r="G970" s="46">
        <v>1</v>
      </c>
      <c r="H970" s="47" t="s">
        <v>70</v>
      </c>
      <c r="I970" s="47" t="s">
        <v>101</v>
      </c>
      <c r="J970" s="48">
        <v>1</v>
      </c>
      <c r="K970" s="48">
        <v>0</v>
      </c>
      <c r="R970" s="46">
        <f t="shared" si="105"/>
        <v>0</v>
      </c>
      <c r="S970" s="46">
        <f t="shared" si="106"/>
        <v>0</v>
      </c>
      <c r="T970" s="46">
        <f t="shared" si="107"/>
        <v>20</v>
      </c>
      <c r="U970" s="46">
        <f t="shared" si="108"/>
        <v>20</v>
      </c>
      <c r="V970" s="54">
        <f t="shared" si="109"/>
        <v>56.666666666666664</v>
      </c>
    </row>
    <row r="971" spans="1:22" x14ac:dyDescent="0.2">
      <c r="A971" s="46" t="s">
        <v>24</v>
      </c>
      <c r="B971" s="46" t="s">
        <v>117</v>
      </c>
      <c r="C971" s="46" t="s">
        <v>54</v>
      </c>
      <c r="D971" s="46" t="s">
        <v>178</v>
      </c>
      <c r="E971" s="46">
        <v>4</v>
      </c>
      <c r="F971" s="46" t="s">
        <v>60</v>
      </c>
      <c r="G971" s="46">
        <v>1</v>
      </c>
      <c r="H971" s="47">
        <v>13</v>
      </c>
      <c r="I971" s="47" t="s">
        <v>101</v>
      </c>
      <c r="J971" s="48">
        <v>2</v>
      </c>
      <c r="K971" s="48">
        <v>2</v>
      </c>
      <c r="R971" s="46">
        <f t="shared" si="105"/>
        <v>0</v>
      </c>
      <c r="S971" s="46">
        <f t="shared" si="106"/>
        <v>0</v>
      </c>
      <c r="T971" s="46">
        <f t="shared" si="107"/>
        <v>30</v>
      </c>
      <c r="U971" s="46">
        <f t="shared" si="108"/>
        <v>30</v>
      </c>
      <c r="V971" s="54">
        <f t="shared" si="109"/>
        <v>56.666666666666664</v>
      </c>
    </row>
    <row r="972" spans="1:22" x14ac:dyDescent="0.2">
      <c r="A972" s="46" t="s">
        <v>24</v>
      </c>
      <c r="B972" s="46" t="s">
        <v>117</v>
      </c>
      <c r="C972" s="46" t="s">
        <v>54</v>
      </c>
      <c r="D972" s="46" t="s">
        <v>178</v>
      </c>
      <c r="E972" s="46">
        <v>2</v>
      </c>
      <c r="F972" s="46" t="s">
        <v>61</v>
      </c>
      <c r="G972" s="46">
        <v>1</v>
      </c>
      <c r="H972" s="47" t="s">
        <v>68</v>
      </c>
      <c r="I972" s="47" t="s">
        <v>101</v>
      </c>
      <c r="J972" s="48">
        <v>2</v>
      </c>
      <c r="K972" s="48">
        <v>2</v>
      </c>
      <c r="R972" s="46">
        <f t="shared" si="105"/>
        <v>0</v>
      </c>
      <c r="S972" s="46">
        <f t="shared" si="106"/>
        <v>0</v>
      </c>
      <c r="T972" s="46">
        <f t="shared" si="107"/>
        <v>30</v>
      </c>
      <c r="U972" s="46">
        <f t="shared" si="108"/>
        <v>30</v>
      </c>
      <c r="V972" s="54">
        <f t="shared" si="109"/>
        <v>56.666666666666664</v>
      </c>
    </row>
    <row r="973" spans="1:22" x14ac:dyDescent="0.2">
      <c r="A973" s="46" t="s">
        <v>24</v>
      </c>
      <c r="B973" s="46" t="s">
        <v>117</v>
      </c>
      <c r="C973" s="46" t="s">
        <v>54</v>
      </c>
      <c r="D973" s="46" t="s">
        <v>178</v>
      </c>
      <c r="E973" s="46">
        <v>1</v>
      </c>
      <c r="F973" s="46" t="s">
        <v>61</v>
      </c>
      <c r="G973" s="46">
        <v>2</v>
      </c>
      <c r="H973" s="47" t="s">
        <v>76</v>
      </c>
      <c r="I973" s="47" t="s">
        <v>127</v>
      </c>
      <c r="J973" s="48">
        <v>2</v>
      </c>
      <c r="K973" s="48">
        <v>2</v>
      </c>
      <c r="R973" s="46">
        <f t="shared" si="105"/>
        <v>0</v>
      </c>
      <c r="S973" s="46">
        <f t="shared" si="106"/>
        <v>0</v>
      </c>
      <c r="T973" s="46">
        <f t="shared" si="107"/>
        <v>30</v>
      </c>
      <c r="U973" s="46">
        <f t="shared" si="108"/>
        <v>30</v>
      </c>
      <c r="V973" s="54">
        <f t="shared" si="109"/>
        <v>56.666666666666664</v>
      </c>
    </row>
    <row r="974" spans="1:22" x14ac:dyDescent="0.2">
      <c r="A974" s="46" t="s">
        <v>24</v>
      </c>
      <c r="B974" s="46" t="s">
        <v>117</v>
      </c>
      <c r="C974" s="46" t="s">
        <v>54</v>
      </c>
      <c r="D974" s="46" t="s">
        <v>178</v>
      </c>
      <c r="E974" s="46">
        <v>2</v>
      </c>
      <c r="F974" s="46" t="s">
        <v>60</v>
      </c>
      <c r="G974" s="46">
        <v>3</v>
      </c>
      <c r="H974" s="47">
        <v>7</v>
      </c>
      <c r="I974" s="47" t="s">
        <v>116</v>
      </c>
      <c r="J974" s="48">
        <v>2</v>
      </c>
      <c r="K974" s="48">
        <v>1</v>
      </c>
      <c r="R974" s="46">
        <f t="shared" si="105"/>
        <v>0</v>
      </c>
      <c r="S974" s="46">
        <f t="shared" si="106"/>
        <v>0</v>
      </c>
      <c r="T974" s="46">
        <f t="shared" si="107"/>
        <v>40</v>
      </c>
      <c r="U974" s="46">
        <f t="shared" si="108"/>
        <v>40</v>
      </c>
      <c r="V974" s="54">
        <f t="shared" si="109"/>
        <v>56.666666666666664</v>
      </c>
    </row>
    <row r="975" spans="1:22" x14ac:dyDescent="0.2">
      <c r="A975" s="46" t="s">
        <v>24</v>
      </c>
      <c r="B975" s="46" t="s">
        <v>117</v>
      </c>
      <c r="C975" s="46" t="s">
        <v>54</v>
      </c>
      <c r="D975" s="46" t="s">
        <v>178</v>
      </c>
      <c r="E975" s="46">
        <v>2</v>
      </c>
      <c r="F975" s="46" t="s">
        <v>61</v>
      </c>
      <c r="G975" s="46">
        <v>2</v>
      </c>
      <c r="H975" s="47" t="s">
        <v>66</v>
      </c>
      <c r="I975" s="47" t="s">
        <v>127</v>
      </c>
      <c r="J975" s="48">
        <v>2</v>
      </c>
      <c r="K975" s="48">
        <v>0</v>
      </c>
      <c r="R975" s="46">
        <f t="shared" si="105"/>
        <v>0</v>
      </c>
      <c r="S975" s="46">
        <f t="shared" si="106"/>
        <v>0</v>
      </c>
      <c r="T975" s="46">
        <f t="shared" si="107"/>
        <v>40</v>
      </c>
      <c r="U975" s="46">
        <f t="shared" si="108"/>
        <v>40</v>
      </c>
      <c r="V975" s="54">
        <f t="shared" si="109"/>
        <v>56.666666666666664</v>
      </c>
    </row>
    <row r="976" spans="1:22" x14ac:dyDescent="0.2">
      <c r="A976" s="46" t="s">
        <v>24</v>
      </c>
      <c r="B976" s="46" t="s">
        <v>117</v>
      </c>
      <c r="C976" s="46" t="s">
        <v>54</v>
      </c>
      <c r="D976" s="46" t="s">
        <v>178</v>
      </c>
      <c r="E976" s="46">
        <v>3</v>
      </c>
      <c r="F976" s="46" t="s">
        <v>60</v>
      </c>
      <c r="G976" s="46">
        <v>2</v>
      </c>
      <c r="H976" s="47">
        <v>22</v>
      </c>
      <c r="I976" s="47" t="s">
        <v>127</v>
      </c>
      <c r="J976" s="48">
        <v>3</v>
      </c>
      <c r="K976" s="48">
        <v>2</v>
      </c>
      <c r="R976" s="46">
        <f t="shared" si="105"/>
        <v>0</v>
      </c>
      <c r="S976" s="46">
        <f t="shared" si="106"/>
        <v>0</v>
      </c>
      <c r="T976" s="46">
        <f t="shared" si="107"/>
        <v>50</v>
      </c>
      <c r="U976" s="46">
        <f t="shared" si="108"/>
        <v>50</v>
      </c>
      <c r="V976" s="54">
        <f t="shared" si="109"/>
        <v>56.666666666666664</v>
      </c>
    </row>
    <row r="977" spans="1:22" x14ac:dyDescent="0.2">
      <c r="A977" s="46" t="s">
        <v>24</v>
      </c>
      <c r="B977" s="46" t="s">
        <v>117</v>
      </c>
      <c r="C977" s="46" t="s">
        <v>54</v>
      </c>
      <c r="D977" s="46" t="s">
        <v>178</v>
      </c>
      <c r="E977" s="46">
        <v>1</v>
      </c>
      <c r="F977" s="46" t="s">
        <v>61</v>
      </c>
      <c r="G977" s="46">
        <v>1</v>
      </c>
      <c r="H977" s="47" t="s">
        <v>67</v>
      </c>
      <c r="I977" s="47" t="s">
        <v>101</v>
      </c>
      <c r="J977" s="48">
        <v>3</v>
      </c>
      <c r="K977" s="48">
        <v>2</v>
      </c>
      <c r="R977" s="46">
        <f t="shared" si="105"/>
        <v>0</v>
      </c>
      <c r="S977" s="46">
        <f t="shared" si="106"/>
        <v>0</v>
      </c>
      <c r="T977" s="46">
        <f t="shared" si="107"/>
        <v>50</v>
      </c>
      <c r="U977" s="46">
        <f t="shared" si="108"/>
        <v>50</v>
      </c>
      <c r="V977" s="54">
        <f t="shared" si="109"/>
        <v>56.666666666666664</v>
      </c>
    </row>
    <row r="978" spans="1:22" x14ac:dyDescent="0.2">
      <c r="A978" s="46" t="s">
        <v>24</v>
      </c>
      <c r="B978" s="46" t="s">
        <v>117</v>
      </c>
      <c r="C978" s="46" t="s">
        <v>54</v>
      </c>
      <c r="D978" s="46" t="s">
        <v>178</v>
      </c>
      <c r="E978" s="46">
        <v>4</v>
      </c>
      <c r="F978" s="46" t="s">
        <v>60</v>
      </c>
      <c r="G978" s="46">
        <v>1</v>
      </c>
      <c r="H978" s="47">
        <v>21</v>
      </c>
      <c r="I978" s="47" t="s">
        <v>101</v>
      </c>
      <c r="J978" s="48">
        <v>3</v>
      </c>
      <c r="K978" s="48">
        <v>0</v>
      </c>
      <c r="O978" s="48">
        <v>1</v>
      </c>
      <c r="R978" s="46">
        <f t="shared" si="105"/>
        <v>0</v>
      </c>
      <c r="S978" s="46">
        <f t="shared" si="106"/>
        <v>0</v>
      </c>
      <c r="T978" s="46">
        <f t="shared" si="107"/>
        <v>60</v>
      </c>
      <c r="U978" s="46">
        <f t="shared" si="108"/>
        <v>70</v>
      </c>
      <c r="V978" s="54">
        <f t="shared" si="109"/>
        <v>56.666666666666664</v>
      </c>
    </row>
    <row r="979" spans="1:22" x14ac:dyDescent="0.2">
      <c r="A979" s="46" t="s">
        <v>24</v>
      </c>
      <c r="B979" s="46" t="s">
        <v>117</v>
      </c>
      <c r="C979" s="46" t="s">
        <v>54</v>
      </c>
      <c r="D979" s="46" t="s">
        <v>178</v>
      </c>
      <c r="E979" s="46">
        <v>2</v>
      </c>
      <c r="F979" s="46" t="s">
        <v>60</v>
      </c>
      <c r="G979" s="46">
        <v>4</v>
      </c>
      <c r="H979" s="47">
        <v>36</v>
      </c>
      <c r="I979" s="47" t="s">
        <v>102</v>
      </c>
      <c r="J979" s="48">
        <v>3</v>
      </c>
      <c r="K979" s="48">
        <v>0</v>
      </c>
      <c r="R979" s="46">
        <f t="shared" si="105"/>
        <v>0</v>
      </c>
      <c r="S979" s="46">
        <f t="shared" si="106"/>
        <v>0</v>
      </c>
      <c r="T979" s="46">
        <f t="shared" si="107"/>
        <v>60</v>
      </c>
      <c r="U979" s="46">
        <f t="shared" si="108"/>
        <v>60</v>
      </c>
      <c r="V979" s="54">
        <f t="shared" si="109"/>
        <v>56.666666666666664</v>
      </c>
    </row>
    <row r="980" spans="1:22" x14ac:dyDescent="0.2">
      <c r="A980" s="46" t="s">
        <v>24</v>
      </c>
      <c r="B980" s="46" t="s">
        <v>117</v>
      </c>
      <c r="C980" s="46" t="s">
        <v>54</v>
      </c>
      <c r="D980" s="46" t="s">
        <v>178</v>
      </c>
      <c r="E980" s="46">
        <v>3</v>
      </c>
      <c r="F980" s="46" t="s">
        <v>61</v>
      </c>
      <c r="G980" s="46">
        <v>1</v>
      </c>
      <c r="H980" s="47" t="s">
        <v>70</v>
      </c>
      <c r="I980" s="47" t="s">
        <v>101</v>
      </c>
      <c r="J980" s="48">
        <v>3</v>
      </c>
      <c r="K980" s="48">
        <v>0</v>
      </c>
      <c r="M980" s="48">
        <v>1</v>
      </c>
      <c r="R980" s="46">
        <f t="shared" si="105"/>
        <v>0</v>
      </c>
      <c r="S980" s="46">
        <f t="shared" si="106"/>
        <v>0</v>
      </c>
      <c r="T980" s="46">
        <f t="shared" si="107"/>
        <v>60</v>
      </c>
      <c r="U980" s="46">
        <f t="shared" si="108"/>
        <v>80</v>
      </c>
      <c r="V980" s="54">
        <f t="shared" si="109"/>
        <v>56.666666666666664</v>
      </c>
    </row>
    <row r="981" spans="1:22" x14ac:dyDescent="0.2">
      <c r="A981" s="46" t="s">
        <v>24</v>
      </c>
      <c r="B981" s="46" t="s">
        <v>117</v>
      </c>
      <c r="C981" s="46" t="s">
        <v>54</v>
      </c>
      <c r="D981" s="46" t="s">
        <v>178</v>
      </c>
      <c r="E981" s="46">
        <v>2</v>
      </c>
      <c r="F981" s="46" t="s">
        <v>60</v>
      </c>
      <c r="G981" s="46">
        <v>4</v>
      </c>
      <c r="H981" s="47">
        <v>16</v>
      </c>
      <c r="I981" s="47" t="s">
        <v>102</v>
      </c>
      <c r="J981" s="48">
        <v>4</v>
      </c>
      <c r="K981" s="48">
        <v>1</v>
      </c>
      <c r="R981" s="46">
        <f t="shared" si="105"/>
        <v>1</v>
      </c>
      <c r="S981" s="46">
        <f t="shared" si="106"/>
        <v>0</v>
      </c>
      <c r="T981" s="46">
        <f t="shared" si="107"/>
        <v>80</v>
      </c>
      <c r="U981" s="46">
        <f t="shared" si="108"/>
        <v>80</v>
      </c>
      <c r="V981" s="54">
        <f t="shared" si="109"/>
        <v>56.666666666666664</v>
      </c>
    </row>
    <row r="982" spans="1:22" x14ac:dyDescent="0.2">
      <c r="A982" s="46" t="s">
        <v>24</v>
      </c>
      <c r="B982" s="46" t="s">
        <v>117</v>
      </c>
      <c r="C982" s="46" t="s">
        <v>54</v>
      </c>
      <c r="D982" s="46" t="s">
        <v>178</v>
      </c>
      <c r="E982" s="46">
        <v>1</v>
      </c>
      <c r="F982" s="46" t="s">
        <v>60</v>
      </c>
      <c r="G982" s="46">
        <v>3</v>
      </c>
      <c r="H982" s="47">
        <v>31</v>
      </c>
      <c r="I982" s="47" t="s">
        <v>116</v>
      </c>
      <c r="J982" s="48">
        <v>4</v>
      </c>
      <c r="K982" s="48">
        <v>1</v>
      </c>
      <c r="R982" s="46">
        <f t="shared" si="105"/>
        <v>1</v>
      </c>
      <c r="S982" s="46">
        <f t="shared" si="106"/>
        <v>0</v>
      </c>
      <c r="T982" s="46">
        <f t="shared" si="107"/>
        <v>80</v>
      </c>
      <c r="U982" s="46">
        <f t="shared" si="108"/>
        <v>80</v>
      </c>
      <c r="V982" s="54">
        <f t="shared" si="109"/>
        <v>56.666666666666664</v>
      </c>
    </row>
    <row r="983" spans="1:22" x14ac:dyDescent="0.2">
      <c r="A983" s="46" t="s">
        <v>24</v>
      </c>
      <c r="B983" s="46" t="s">
        <v>117</v>
      </c>
      <c r="C983" s="46" t="s">
        <v>54</v>
      </c>
      <c r="D983" s="46" t="s">
        <v>178</v>
      </c>
      <c r="E983" s="46">
        <v>2</v>
      </c>
      <c r="F983" s="46" t="s">
        <v>60</v>
      </c>
      <c r="G983" s="46">
        <v>2</v>
      </c>
      <c r="H983" s="47">
        <v>50</v>
      </c>
      <c r="I983" s="47" t="s">
        <v>127</v>
      </c>
      <c r="J983" s="48">
        <v>4</v>
      </c>
      <c r="K983" s="48">
        <v>1</v>
      </c>
      <c r="R983" s="46">
        <f t="shared" si="105"/>
        <v>1</v>
      </c>
      <c r="S983" s="46">
        <f t="shared" si="106"/>
        <v>0</v>
      </c>
      <c r="T983" s="46">
        <f t="shared" si="107"/>
        <v>80</v>
      </c>
      <c r="U983" s="46">
        <f t="shared" si="108"/>
        <v>80</v>
      </c>
      <c r="V983" s="54">
        <f t="shared" si="109"/>
        <v>56.666666666666664</v>
      </c>
    </row>
    <row r="984" spans="1:22" x14ac:dyDescent="0.2">
      <c r="A984" s="46" t="s">
        <v>24</v>
      </c>
      <c r="B984" s="46" t="s">
        <v>117</v>
      </c>
      <c r="C984" s="46" t="s">
        <v>54</v>
      </c>
      <c r="D984" s="46" t="s">
        <v>178</v>
      </c>
      <c r="E984" s="46">
        <v>3</v>
      </c>
      <c r="F984" s="46" t="s">
        <v>61</v>
      </c>
      <c r="G984" s="46">
        <v>1</v>
      </c>
      <c r="H984" s="47" t="s">
        <v>68</v>
      </c>
      <c r="I984" s="47" t="s">
        <v>101</v>
      </c>
      <c r="J984" s="48">
        <v>4</v>
      </c>
      <c r="K984" s="48">
        <v>1</v>
      </c>
      <c r="R984" s="46">
        <f t="shared" si="105"/>
        <v>1</v>
      </c>
      <c r="S984" s="46">
        <f t="shared" si="106"/>
        <v>0</v>
      </c>
      <c r="T984" s="46">
        <f t="shared" si="107"/>
        <v>80</v>
      </c>
      <c r="U984" s="46">
        <f t="shared" si="108"/>
        <v>80</v>
      </c>
      <c r="V984" s="54">
        <f t="shared" si="109"/>
        <v>56.666666666666664</v>
      </c>
    </row>
    <row r="985" spans="1:22" x14ac:dyDescent="0.2">
      <c r="A985" s="46" t="s">
        <v>24</v>
      </c>
      <c r="B985" s="46" t="s">
        <v>117</v>
      </c>
      <c r="C985" s="46" t="s">
        <v>54</v>
      </c>
      <c r="D985" s="46" t="s">
        <v>178</v>
      </c>
      <c r="E985" s="46">
        <v>1</v>
      </c>
      <c r="F985" s="46" t="s">
        <v>60</v>
      </c>
      <c r="G985" s="46">
        <v>4</v>
      </c>
      <c r="H985" s="47">
        <v>8</v>
      </c>
      <c r="I985" s="47" t="s">
        <v>102</v>
      </c>
      <c r="J985" s="48">
        <v>4</v>
      </c>
      <c r="K985" s="48">
        <v>0</v>
      </c>
      <c r="R985" s="46">
        <f t="shared" si="105"/>
        <v>1</v>
      </c>
      <c r="S985" s="46">
        <f t="shared" si="106"/>
        <v>0</v>
      </c>
      <c r="T985" s="46">
        <f t="shared" si="107"/>
        <v>90</v>
      </c>
      <c r="U985" s="46">
        <f t="shared" si="108"/>
        <v>90</v>
      </c>
      <c r="V985" s="54">
        <f t="shared" si="109"/>
        <v>56.666666666666664</v>
      </c>
    </row>
    <row r="986" spans="1:22" x14ac:dyDescent="0.2">
      <c r="A986" s="46" t="s">
        <v>24</v>
      </c>
      <c r="B986" s="46" t="s">
        <v>117</v>
      </c>
      <c r="C986" s="46" t="s">
        <v>54</v>
      </c>
      <c r="D986" s="46" t="s">
        <v>178</v>
      </c>
      <c r="E986" s="46">
        <v>3</v>
      </c>
      <c r="F986" s="46" t="s">
        <v>60</v>
      </c>
      <c r="G986" s="46">
        <v>4</v>
      </c>
      <c r="H986" s="47">
        <v>8</v>
      </c>
      <c r="I986" s="47" t="s">
        <v>102</v>
      </c>
      <c r="J986" s="48">
        <v>4</v>
      </c>
      <c r="K986" s="48">
        <v>0</v>
      </c>
      <c r="R986" s="46">
        <f t="shared" si="105"/>
        <v>1</v>
      </c>
      <c r="S986" s="46">
        <f t="shared" si="106"/>
        <v>0</v>
      </c>
      <c r="T986" s="46">
        <f t="shared" si="107"/>
        <v>90</v>
      </c>
      <c r="U986" s="46">
        <f t="shared" si="108"/>
        <v>90</v>
      </c>
      <c r="V986" s="54">
        <f t="shared" si="109"/>
        <v>56.666666666666664</v>
      </c>
    </row>
    <row r="987" spans="1:22" x14ac:dyDescent="0.2">
      <c r="A987" s="46" t="s">
        <v>24</v>
      </c>
      <c r="B987" s="46" t="s">
        <v>117</v>
      </c>
      <c r="C987" s="46" t="s">
        <v>54</v>
      </c>
      <c r="D987" s="46" t="s">
        <v>178</v>
      </c>
      <c r="E987" s="46">
        <v>3</v>
      </c>
      <c r="F987" s="46" t="s">
        <v>60</v>
      </c>
      <c r="G987" s="46">
        <v>1</v>
      </c>
      <c r="H987" s="47">
        <v>13</v>
      </c>
      <c r="I987" s="47" t="s">
        <v>101</v>
      </c>
      <c r="J987" s="48">
        <v>4</v>
      </c>
      <c r="K987" s="48">
        <v>0</v>
      </c>
      <c r="M987" s="48">
        <v>1</v>
      </c>
      <c r="R987" s="46">
        <f t="shared" si="105"/>
        <v>1</v>
      </c>
      <c r="S987" s="46">
        <f t="shared" si="106"/>
        <v>0</v>
      </c>
      <c r="T987" s="46">
        <f t="shared" si="107"/>
        <v>90</v>
      </c>
      <c r="U987" s="46">
        <f t="shared" si="108"/>
        <v>110</v>
      </c>
      <c r="V987" s="54">
        <f t="shared" si="109"/>
        <v>56.666666666666664</v>
      </c>
    </row>
    <row r="988" spans="1:22" x14ac:dyDescent="0.2">
      <c r="A988" s="46" t="s">
        <v>24</v>
      </c>
      <c r="B988" s="46" t="s">
        <v>117</v>
      </c>
      <c r="C988" s="46" t="s">
        <v>54</v>
      </c>
      <c r="D988" s="46" t="s">
        <v>178</v>
      </c>
      <c r="E988" s="46">
        <v>1</v>
      </c>
      <c r="F988" s="46" t="s">
        <v>60</v>
      </c>
      <c r="G988" s="46">
        <v>3</v>
      </c>
      <c r="H988" s="47">
        <v>15</v>
      </c>
      <c r="I988" s="47" t="s">
        <v>116</v>
      </c>
      <c r="J988" s="48">
        <v>4</v>
      </c>
      <c r="K988" s="48">
        <v>0</v>
      </c>
      <c r="R988" s="46">
        <f t="shared" si="105"/>
        <v>1</v>
      </c>
      <c r="S988" s="46">
        <f t="shared" si="106"/>
        <v>0</v>
      </c>
      <c r="T988" s="46">
        <f t="shared" si="107"/>
        <v>90</v>
      </c>
      <c r="U988" s="46">
        <f t="shared" si="108"/>
        <v>90</v>
      </c>
      <c r="V988" s="54">
        <f t="shared" si="109"/>
        <v>56.666666666666664</v>
      </c>
    </row>
    <row r="989" spans="1:22" x14ac:dyDescent="0.2">
      <c r="A989" s="46" t="s">
        <v>24</v>
      </c>
      <c r="B989" s="46" t="s">
        <v>117</v>
      </c>
      <c r="C989" s="46" t="s">
        <v>54</v>
      </c>
      <c r="D989" s="46" t="s">
        <v>178</v>
      </c>
      <c r="E989" s="46">
        <v>1</v>
      </c>
      <c r="F989" s="46" t="s">
        <v>60</v>
      </c>
      <c r="G989" s="46">
        <v>2</v>
      </c>
      <c r="H989" s="47">
        <v>22</v>
      </c>
      <c r="I989" s="47" t="s">
        <v>127</v>
      </c>
      <c r="J989" s="48">
        <v>4</v>
      </c>
      <c r="K989" s="48">
        <v>0</v>
      </c>
      <c r="R989" s="46">
        <f t="shared" si="105"/>
        <v>1</v>
      </c>
      <c r="S989" s="46">
        <f t="shared" si="106"/>
        <v>0</v>
      </c>
      <c r="T989" s="46">
        <f t="shared" si="107"/>
        <v>90</v>
      </c>
      <c r="U989" s="46">
        <f t="shared" si="108"/>
        <v>90</v>
      </c>
      <c r="V989" s="54">
        <f t="shared" si="109"/>
        <v>56.666666666666664</v>
      </c>
    </row>
    <row r="990" spans="1:22" x14ac:dyDescent="0.2">
      <c r="A990" s="46" t="s">
        <v>24</v>
      </c>
      <c r="B990" s="46" t="s">
        <v>117</v>
      </c>
      <c r="C990" s="46" t="s">
        <v>54</v>
      </c>
      <c r="D990" s="46" t="s">
        <v>178</v>
      </c>
      <c r="E990" s="46">
        <v>2</v>
      </c>
      <c r="F990" s="46" t="s">
        <v>60</v>
      </c>
      <c r="G990" s="46">
        <v>1</v>
      </c>
      <c r="H990" s="47">
        <v>25</v>
      </c>
      <c r="I990" s="47" t="s">
        <v>101</v>
      </c>
      <c r="J990" s="48">
        <v>4</v>
      </c>
      <c r="K990" s="48">
        <v>0</v>
      </c>
      <c r="R990" s="46">
        <f t="shared" si="105"/>
        <v>1</v>
      </c>
      <c r="S990" s="46">
        <f t="shared" si="106"/>
        <v>0</v>
      </c>
      <c r="T990" s="46">
        <f t="shared" si="107"/>
        <v>90</v>
      </c>
      <c r="U990" s="46">
        <f t="shared" si="108"/>
        <v>90</v>
      </c>
      <c r="V990" s="54">
        <f t="shared" si="109"/>
        <v>56.666666666666664</v>
      </c>
    </row>
    <row r="991" spans="1:22" x14ac:dyDescent="0.2">
      <c r="A991" s="46" t="s">
        <v>24</v>
      </c>
      <c r="B991" s="46" t="s">
        <v>117</v>
      </c>
      <c r="C991" s="46" t="s">
        <v>54</v>
      </c>
      <c r="D991" s="46" t="s">
        <v>178</v>
      </c>
      <c r="E991" s="46">
        <v>3</v>
      </c>
      <c r="F991" s="46" t="s">
        <v>60</v>
      </c>
      <c r="G991" s="46">
        <v>2</v>
      </c>
      <c r="H991" s="47">
        <v>30</v>
      </c>
      <c r="I991" s="47" t="s">
        <v>127</v>
      </c>
      <c r="J991" s="48">
        <v>4</v>
      </c>
      <c r="K991" s="48">
        <v>0</v>
      </c>
      <c r="R991" s="46">
        <f t="shared" si="105"/>
        <v>1</v>
      </c>
      <c r="S991" s="46">
        <f t="shared" si="106"/>
        <v>0</v>
      </c>
      <c r="T991" s="46">
        <f t="shared" si="107"/>
        <v>90</v>
      </c>
      <c r="U991" s="46">
        <f t="shared" si="108"/>
        <v>90</v>
      </c>
      <c r="V991" s="54">
        <f t="shared" si="109"/>
        <v>56.666666666666664</v>
      </c>
    </row>
    <row r="992" spans="1:22" x14ac:dyDescent="0.2">
      <c r="A992" s="46" t="s">
        <v>24</v>
      </c>
      <c r="B992" s="46" t="s">
        <v>117</v>
      </c>
      <c r="C992" s="46" t="s">
        <v>54</v>
      </c>
      <c r="D992" s="46" t="s">
        <v>178</v>
      </c>
      <c r="E992" s="46">
        <v>1</v>
      </c>
      <c r="F992" s="46" t="s">
        <v>60</v>
      </c>
      <c r="G992" s="46">
        <v>1</v>
      </c>
      <c r="H992" s="47">
        <v>37</v>
      </c>
      <c r="I992" s="47" t="s">
        <v>101</v>
      </c>
      <c r="J992" s="48">
        <v>4</v>
      </c>
      <c r="K992" s="48">
        <v>0</v>
      </c>
      <c r="R992" s="46">
        <f t="shared" si="105"/>
        <v>1</v>
      </c>
      <c r="S992" s="46">
        <f t="shared" si="106"/>
        <v>0</v>
      </c>
      <c r="T992" s="46">
        <f t="shared" si="107"/>
        <v>90</v>
      </c>
      <c r="U992" s="46">
        <f t="shared" si="108"/>
        <v>90</v>
      </c>
      <c r="V992" s="54">
        <f t="shared" si="109"/>
        <v>56.666666666666664</v>
      </c>
    </row>
    <row r="993" spans="1:22" x14ac:dyDescent="0.2">
      <c r="A993" s="46" t="s">
        <v>24</v>
      </c>
      <c r="B993" s="46" t="s">
        <v>117</v>
      </c>
      <c r="C993" s="46" t="s">
        <v>54</v>
      </c>
      <c r="D993" s="46" t="s">
        <v>178</v>
      </c>
      <c r="E993" s="46">
        <v>2</v>
      </c>
      <c r="F993" s="46" t="s">
        <v>60</v>
      </c>
      <c r="G993" s="46">
        <v>1</v>
      </c>
      <c r="H993" s="47">
        <v>41</v>
      </c>
      <c r="I993" s="47" t="s">
        <v>101</v>
      </c>
      <c r="J993" s="48">
        <v>4</v>
      </c>
      <c r="K993" s="48">
        <v>0</v>
      </c>
      <c r="R993" s="46">
        <f t="shared" si="105"/>
        <v>1</v>
      </c>
      <c r="S993" s="46">
        <f t="shared" si="106"/>
        <v>0</v>
      </c>
      <c r="T993" s="46">
        <f t="shared" si="107"/>
        <v>90</v>
      </c>
      <c r="U993" s="46">
        <f t="shared" si="108"/>
        <v>90</v>
      </c>
      <c r="V993" s="54">
        <f t="shared" si="109"/>
        <v>56.666666666666664</v>
      </c>
    </row>
    <row r="994" spans="1:22" x14ac:dyDescent="0.2">
      <c r="A994" s="46" t="s">
        <v>24</v>
      </c>
      <c r="B994" s="46" t="s">
        <v>117</v>
      </c>
      <c r="C994" s="46" t="s">
        <v>54</v>
      </c>
      <c r="D994" s="46" t="s">
        <v>178</v>
      </c>
      <c r="E994" s="46">
        <v>3</v>
      </c>
      <c r="F994" s="46" t="s">
        <v>60</v>
      </c>
      <c r="G994" s="46">
        <v>3</v>
      </c>
      <c r="H994" s="47">
        <v>43</v>
      </c>
      <c r="I994" s="47" t="s">
        <v>116</v>
      </c>
      <c r="J994" s="48">
        <v>4</v>
      </c>
      <c r="K994" s="48">
        <v>0</v>
      </c>
      <c r="R994" s="46">
        <f t="shared" si="105"/>
        <v>1</v>
      </c>
      <c r="S994" s="46">
        <f t="shared" si="106"/>
        <v>0</v>
      </c>
      <c r="T994" s="46">
        <f t="shared" ref="T994:T1025" si="110">quizscore(J994,K994)</f>
        <v>90</v>
      </c>
      <c r="U994" s="46">
        <f t="shared" si="108"/>
        <v>90</v>
      </c>
      <c r="V994" s="54">
        <f t="shared" si="109"/>
        <v>56.666666666666664</v>
      </c>
    </row>
    <row r="995" spans="1:22" x14ac:dyDescent="0.2">
      <c r="A995" s="46" t="s">
        <v>24</v>
      </c>
      <c r="B995" s="46" t="s">
        <v>117</v>
      </c>
      <c r="C995" s="46" t="s">
        <v>54</v>
      </c>
      <c r="D995" s="46" t="s">
        <v>178</v>
      </c>
      <c r="E995" s="46">
        <v>1</v>
      </c>
      <c r="F995" s="46" t="s">
        <v>60</v>
      </c>
      <c r="G995" s="46">
        <v>1</v>
      </c>
      <c r="H995" s="47">
        <v>45</v>
      </c>
      <c r="I995" s="47" t="s">
        <v>101</v>
      </c>
      <c r="J995" s="48">
        <v>4</v>
      </c>
      <c r="K995" s="48">
        <v>0</v>
      </c>
      <c r="R995" s="46">
        <f t="shared" si="105"/>
        <v>1</v>
      </c>
      <c r="S995" s="46">
        <f t="shared" si="106"/>
        <v>0</v>
      </c>
      <c r="T995" s="46">
        <f t="shared" si="110"/>
        <v>90</v>
      </c>
      <c r="U995" s="46">
        <f t="shared" si="108"/>
        <v>90</v>
      </c>
      <c r="V995" s="54">
        <f t="shared" si="109"/>
        <v>56.666666666666664</v>
      </c>
    </row>
    <row r="996" spans="1:22" x14ac:dyDescent="0.2">
      <c r="A996" s="46" t="s">
        <v>24</v>
      </c>
      <c r="B996" s="46" t="s">
        <v>117</v>
      </c>
      <c r="C996" s="46" t="s">
        <v>54</v>
      </c>
      <c r="D996" s="46" t="s">
        <v>178</v>
      </c>
      <c r="E996" s="46">
        <v>5</v>
      </c>
      <c r="F996" s="46" t="s">
        <v>60</v>
      </c>
      <c r="G996" s="46">
        <v>3</v>
      </c>
      <c r="H996" s="47">
        <v>3</v>
      </c>
      <c r="I996" s="47" t="s">
        <v>159</v>
      </c>
      <c r="J996" s="48">
        <v>2</v>
      </c>
      <c r="K996" s="48">
        <v>0</v>
      </c>
      <c r="O996" s="48">
        <v>1</v>
      </c>
      <c r="R996" s="46">
        <f t="shared" si="105"/>
        <v>0</v>
      </c>
      <c r="S996" s="46">
        <f t="shared" si="106"/>
        <v>0</v>
      </c>
      <c r="T996" s="46">
        <f t="shared" si="110"/>
        <v>40</v>
      </c>
      <c r="U996" s="46">
        <f t="shared" si="108"/>
        <v>50</v>
      </c>
      <c r="V996" s="54">
        <f t="shared" si="109"/>
        <v>56.666666666666664</v>
      </c>
    </row>
    <row r="997" spans="1:22" x14ac:dyDescent="0.2">
      <c r="A997" s="46" t="s">
        <v>24</v>
      </c>
      <c r="B997" s="46" t="s">
        <v>117</v>
      </c>
      <c r="C997" s="46" t="s">
        <v>54</v>
      </c>
      <c r="D997" s="46" t="s">
        <v>178</v>
      </c>
      <c r="E997" s="46">
        <v>5</v>
      </c>
      <c r="F997" s="46" t="s">
        <v>60</v>
      </c>
      <c r="G997" s="46">
        <v>2</v>
      </c>
      <c r="H997" s="47">
        <v>10</v>
      </c>
      <c r="I997" s="47" t="s">
        <v>127</v>
      </c>
      <c r="J997" s="48">
        <v>2</v>
      </c>
      <c r="K997" s="48">
        <v>1</v>
      </c>
      <c r="R997" s="46">
        <f t="shared" si="105"/>
        <v>0</v>
      </c>
      <c r="S997" s="46">
        <f t="shared" si="106"/>
        <v>0</v>
      </c>
      <c r="T997" s="46">
        <f t="shared" si="110"/>
        <v>40</v>
      </c>
      <c r="U997" s="46">
        <f t="shared" si="108"/>
        <v>40</v>
      </c>
      <c r="V997" s="54">
        <f t="shared" si="109"/>
        <v>56.666666666666664</v>
      </c>
    </row>
    <row r="998" spans="1:22" x14ac:dyDescent="0.2">
      <c r="A998" s="46" t="s">
        <v>24</v>
      </c>
      <c r="B998" s="46" t="s">
        <v>117</v>
      </c>
      <c r="C998" s="46" t="s">
        <v>54</v>
      </c>
      <c r="D998" s="46" t="s">
        <v>178</v>
      </c>
      <c r="E998" s="46">
        <v>5</v>
      </c>
      <c r="F998" s="46" t="s">
        <v>60</v>
      </c>
      <c r="G998" s="46">
        <v>1</v>
      </c>
      <c r="H998" s="47">
        <v>21</v>
      </c>
      <c r="I998" s="47" t="s">
        <v>101</v>
      </c>
      <c r="J998" s="48">
        <v>2</v>
      </c>
      <c r="K998" s="48">
        <v>1</v>
      </c>
      <c r="O998" s="48">
        <v>1</v>
      </c>
      <c r="R998" s="46">
        <f t="shared" si="105"/>
        <v>0</v>
      </c>
      <c r="S998" s="46">
        <f t="shared" si="106"/>
        <v>0</v>
      </c>
      <c r="T998" s="46">
        <f t="shared" si="110"/>
        <v>40</v>
      </c>
      <c r="U998" s="46">
        <f t="shared" si="108"/>
        <v>50</v>
      </c>
      <c r="V998" s="54">
        <f t="shared" si="109"/>
        <v>56.666666666666664</v>
      </c>
    </row>
    <row r="999" spans="1:22" x14ac:dyDescent="0.2">
      <c r="A999" s="46" t="s">
        <v>24</v>
      </c>
      <c r="B999" s="46" t="s">
        <v>117</v>
      </c>
      <c r="C999" s="46" t="s">
        <v>54</v>
      </c>
      <c r="D999" s="46" t="s">
        <v>178</v>
      </c>
      <c r="E999" s="46">
        <v>5</v>
      </c>
      <c r="F999" s="46" t="s">
        <v>60</v>
      </c>
      <c r="G999" s="46">
        <v>1</v>
      </c>
      <c r="H999" s="47">
        <v>29</v>
      </c>
      <c r="I999" s="47" t="s">
        <v>101</v>
      </c>
      <c r="J999" s="48">
        <v>0</v>
      </c>
      <c r="K999" s="48">
        <v>0</v>
      </c>
      <c r="R999" s="46">
        <f t="shared" si="105"/>
        <v>0</v>
      </c>
      <c r="S999" s="46">
        <f t="shared" si="106"/>
        <v>0</v>
      </c>
      <c r="T999" s="46">
        <f t="shared" si="110"/>
        <v>0</v>
      </c>
      <c r="U999" s="46">
        <f t="shared" si="108"/>
        <v>0</v>
      </c>
      <c r="V999" s="54">
        <f t="shared" si="109"/>
        <v>56.666666666666664</v>
      </c>
    </row>
    <row r="1000" spans="1:22" x14ac:dyDescent="0.2">
      <c r="A1000" s="46" t="s">
        <v>24</v>
      </c>
      <c r="B1000" s="46" t="s">
        <v>117</v>
      </c>
      <c r="C1000" s="46" t="s">
        <v>54</v>
      </c>
      <c r="D1000" s="46" t="s">
        <v>178</v>
      </c>
      <c r="E1000" s="46">
        <v>5</v>
      </c>
      <c r="F1000" s="46" t="s">
        <v>60</v>
      </c>
      <c r="G1000" s="46">
        <v>4</v>
      </c>
      <c r="H1000" s="47">
        <v>36</v>
      </c>
      <c r="I1000" s="47" t="s">
        <v>102</v>
      </c>
      <c r="J1000" s="48">
        <v>1</v>
      </c>
      <c r="K1000" s="48">
        <v>1</v>
      </c>
      <c r="R1000" s="46">
        <f t="shared" si="105"/>
        <v>0</v>
      </c>
      <c r="S1000" s="46">
        <f t="shared" si="106"/>
        <v>0</v>
      </c>
      <c r="T1000" s="46">
        <f t="shared" si="110"/>
        <v>20</v>
      </c>
      <c r="U1000" s="46">
        <f t="shared" si="108"/>
        <v>20</v>
      </c>
      <c r="V1000" s="54">
        <f t="shared" si="109"/>
        <v>56.666666666666664</v>
      </c>
    </row>
    <row r="1001" spans="1:22" x14ac:dyDescent="0.2">
      <c r="A1001" s="46" t="s">
        <v>24</v>
      </c>
      <c r="B1001" s="46" t="s">
        <v>117</v>
      </c>
      <c r="C1001" s="46" t="s">
        <v>54</v>
      </c>
      <c r="D1001" s="46" t="s">
        <v>178</v>
      </c>
      <c r="E1001" s="46">
        <v>5</v>
      </c>
      <c r="F1001" s="46" t="s">
        <v>60</v>
      </c>
      <c r="G1001" s="46">
        <v>3</v>
      </c>
      <c r="H1001" s="47">
        <v>47</v>
      </c>
      <c r="I1001" s="47" t="s">
        <v>159</v>
      </c>
      <c r="J1001" s="48">
        <v>0</v>
      </c>
      <c r="K1001" s="48">
        <v>0</v>
      </c>
      <c r="R1001" s="46">
        <f t="shared" si="105"/>
        <v>0</v>
      </c>
      <c r="S1001" s="46">
        <f t="shared" si="106"/>
        <v>0</v>
      </c>
      <c r="T1001" s="46">
        <f t="shared" si="110"/>
        <v>0</v>
      </c>
      <c r="U1001" s="46">
        <f t="shared" si="108"/>
        <v>0</v>
      </c>
      <c r="V1001" s="54">
        <f t="shared" si="109"/>
        <v>56.666666666666664</v>
      </c>
    </row>
    <row r="1002" spans="1:22" x14ac:dyDescent="0.2">
      <c r="A1002" s="46" t="s">
        <v>24</v>
      </c>
      <c r="B1002" s="46" t="s">
        <v>117</v>
      </c>
      <c r="C1002" s="46" t="s">
        <v>54</v>
      </c>
      <c r="D1002" s="46" t="s">
        <v>178</v>
      </c>
      <c r="E1002" s="46">
        <v>5</v>
      </c>
      <c r="F1002" s="46" t="s">
        <v>61</v>
      </c>
      <c r="G1002" s="46">
        <v>1</v>
      </c>
      <c r="H1002" s="47" t="s">
        <v>67</v>
      </c>
      <c r="I1002" s="47" t="s">
        <v>101</v>
      </c>
      <c r="J1002" s="48">
        <v>1</v>
      </c>
      <c r="K1002" s="48">
        <v>0</v>
      </c>
      <c r="R1002" s="46">
        <f t="shared" si="105"/>
        <v>0</v>
      </c>
      <c r="S1002" s="46">
        <f t="shared" si="106"/>
        <v>0</v>
      </c>
      <c r="T1002" s="46">
        <f t="shared" si="110"/>
        <v>20</v>
      </c>
      <c r="U1002" s="46">
        <f t="shared" si="108"/>
        <v>20</v>
      </c>
      <c r="V1002" s="54">
        <f t="shared" si="109"/>
        <v>56.666666666666664</v>
      </c>
    </row>
    <row r="1003" spans="1:22" x14ac:dyDescent="0.2">
      <c r="A1003" s="46" t="s">
        <v>24</v>
      </c>
      <c r="B1003" s="46" t="s">
        <v>117</v>
      </c>
      <c r="C1003" s="46" t="s">
        <v>54</v>
      </c>
      <c r="D1003" s="46" t="s">
        <v>178</v>
      </c>
      <c r="E1003" s="46">
        <v>5</v>
      </c>
      <c r="F1003" s="46" t="s">
        <v>61</v>
      </c>
      <c r="G1003" s="46">
        <v>1</v>
      </c>
      <c r="H1003" s="47" t="s">
        <v>68</v>
      </c>
      <c r="I1003" s="47" t="s">
        <v>101</v>
      </c>
      <c r="J1003" s="48">
        <v>1</v>
      </c>
      <c r="K1003" s="48">
        <v>0</v>
      </c>
      <c r="R1003" s="46">
        <f t="shared" si="105"/>
        <v>0</v>
      </c>
      <c r="S1003" s="46">
        <f t="shared" si="106"/>
        <v>0</v>
      </c>
      <c r="T1003" s="46">
        <f t="shared" si="110"/>
        <v>20</v>
      </c>
      <c r="U1003" s="46">
        <f t="shared" si="108"/>
        <v>20</v>
      </c>
      <c r="V1003" s="54">
        <f t="shared" si="109"/>
        <v>56.666666666666664</v>
      </c>
    </row>
    <row r="1004" spans="1:22" x14ac:dyDescent="0.2">
      <c r="A1004" s="46" t="s">
        <v>24</v>
      </c>
      <c r="B1004" s="46" t="s">
        <v>117</v>
      </c>
      <c r="C1004" s="46" t="s">
        <v>54</v>
      </c>
      <c r="D1004" s="46" t="s">
        <v>178</v>
      </c>
      <c r="E1004" s="46">
        <v>5</v>
      </c>
      <c r="F1004" s="46" t="s">
        <v>61</v>
      </c>
      <c r="G1004" s="46">
        <v>2</v>
      </c>
      <c r="H1004" s="47" t="s">
        <v>66</v>
      </c>
      <c r="I1004" s="47" t="s">
        <v>127</v>
      </c>
      <c r="J1004" s="48">
        <v>1</v>
      </c>
      <c r="K1004" s="48">
        <v>0</v>
      </c>
      <c r="R1004" s="46">
        <f t="shared" si="105"/>
        <v>0</v>
      </c>
      <c r="S1004" s="46">
        <f t="shared" si="106"/>
        <v>0</v>
      </c>
      <c r="T1004" s="46">
        <f t="shared" si="110"/>
        <v>20</v>
      </c>
      <c r="U1004" s="46">
        <f t="shared" si="108"/>
        <v>20</v>
      </c>
      <c r="V1004" s="54">
        <f t="shared" si="109"/>
        <v>56.666666666666664</v>
      </c>
    </row>
    <row r="1005" spans="1:22" x14ac:dyDescent="0.2">
      <c r="A1005" s="46" t="s">
        <v>23</v>
      </c>
      <c r="B1005" s="46" t="s">
        <v>94</v>
      </c>
      <c r="C1005" s="46" t="s">
        <v>94</v>
      </c>
      <c r="D1005" s="46" t="s">
        <v>178</v>
      </c>
      <c r="E1005" s="46">
        <v>3</v>
      </c>
      <c r="F1005" s="46" t="s">
        <v>60</v>
      </c>
      <c r="G1005" s="46">
        <v>4</v>
      </c>
      <c r="H1005" s="47">
        <v>40</v>
      </c>
      <c r="I1005" s="47" t="s">
        <v>102</v>
      </c>
      <c r="J1005" s="48">
        <v>0</v>
      </c>
      <c r="K1005" s="48">
        <v>3</v>
      </c>
      <c r="R1005" s="46">
        <f t="shared" si="105"/>
        <v>0</v>
      </c>
      <c r="S1005" s="46">
        <f t="shared" si="106"/>
        <v>1</v>
      </c>
      <c r="T1005" s="46">
        <f t="shared" si="110"/>
        <v>-20</v>
      </c>
      <c r="U1005" s="46">
        <f t="shared" si="108"/>
        <v>-20</v>
      </c>
      <c r="V1005" s="54">
        <f t="shared" si="109"/>
        <v>21.333333333333332</v>
      </c>
    </row>
    <row r="1006" spans="1:22" x14ac:dyDescent="0.2">
      <c r="A1006" s="46" t="s">
        <v>23</v>
      </c>
      <c r="B1006" s="46" t="s">
        <v>94</v>
      </c>
      <c r="C1006" s="46" t="s">
        <v>94</v>
      </c>
      <c r="D1006" s="46" t="s">
        <v>178</v>
      </c>
      <c r="E1006" s="46">
        <v>2</v>
      </c>
      <c r="F1006" s="46" t="s">
        <v>60</v>
      </c>
      <c r="G1006" s="46">
        <v>2</v>
      </c>
      <c r="H1006" s="47">
        <v>26</v>
      </c>
      <c r="I1006" s="47" t="s">
        <v>127</v>
      </c>
      <c r="J1006" s="48">
        <v>0</v>
      </c>
      <c r="K1006" s="48">
        <v>2</v>
      </c>
      <c r="R1006" s="46">
        <f t="shared" si="105"/>
        <v>0</v>
      </c>
      <c r="S1006" s="46">
        <f t="shared" si="106"/>
        <v>0</v>
      </c>
      <c r="T1006" s="46">
        <f t="shared" si="110"/>
        <v>-10</v>
      </c>
      <c r="U1006" s="46">
        <f t="shared" si="108"/>
        <v>-10</v>
      </c>
      <c r="V1006" s="54">
        <f t="shared" si="109"/>
        <v>21.333333333333332</v>
      </c>
    </row>
    <row r="1007" spans="1:22" x14ac:dyDescent="0.2">
      <c r="A1007" s="46" t="s">
        <v>23</v>
      </c>
      <c r="B1007" s="46" t="s">
        <v>94</v>
      </c>
      <c r="C1007" s="46" t="s">
        <v>94</v>
      </c>
      <c r="D1007" s="46" t="s">
        <v>178</v>
      </c>
      <c r="E1007" s="46">
        <v>2</v>
      </c>
      <c r="F1007" s="46" t="s">
        <v>60</v>
      </c>
      <c r="G1007" s="46">
        <v>4</v>
      </c>
      <c r="H1007" s="47">
        <v>24</v>
      </c>
      <c r="I1007" s="47" t="s">
        <v>102</v>
      </c>
      <c r="J1007" s="48">
        <v>1</v>
      </c>
      <c r="K1007" s="48">
        <v>3</v>
      </c>
      <c r="R1007" s="46">
        <f t="shared" si="105"/>
        <v>0</v>
      </c>
      <c r="S1007" s="46">
        <f t="shared" si="106"/>
        <v>1</v>
      </c>
      <c r="T1007" s="46">
        <f t="shared" si="110"/>
        <v>0</v>
      </c>
      <c r="U1007" s="46">
        <f t="shared" si="108"/>
        <v>0</v>
      </c>
      <c r="V1007" s="54">
        <f t="shared" si="109"/>
        <v>21.333333333333332</v>
      </c>
    </row>
    <row r="1008" spans="1:22" x14ac:dyDescent="0.2">
      <c r="A1008" s="46" t="s">
        <v>23</v>
      </c>
      <c r="B1008" s="46" t="s">
        <v>94</v>
      </c>
      <c r="C1008" s="46" t="s">
        <v>94</v>
      </c>
      <c r="D1008" s="46" t="s">
        <v>178</v>
      </c>
      <c r="E1008" s="46">
        <v>4</v>
      </c>
      <c r="F1008" s="46" t="s">
        <v>60</v>
      </c>
      <c r="G1008" s="46">
        <v>1</v>
      </c>
      <c r="H1008" s="47">
        <v>25</v>
      </c>
      <c r="I1008" s="47" t="s">
        <v>101</v>
      </c>
      <c r="J1008" s="48">
        <v>0</v>
      </c>
      <c r="K1008" s="48">
        <v>1</v>
      </c>
      <c r="N1008" s="48">
        <v>1</v>
      </c>
      <c r="R1008" s="46">
        <f t="shared" si="105"/>
        <v>0</v>
      </c>
      <c r="S1008" s="46">
        <f t="shared" si="106"/>
        <v>0</v>
      </c>
      <c r="T1008" s="46">
        <f t="shared" si="110"/>
        <v>0</v>
      </c>
      <c r="U1008" s="46">
        <f t="shared" si="108"/>
        <v>-5</v>
      </c>
      <c r="V1008" s="54">
        <f t="shared" si="109"/>
        <v>21.333333333333332</v>
      </c>
    </row>
    <row r="1009" spans="1:22" x14ac:dyDescent="0.2">
      <c r="A1009" s="46" t="s">
        <v>23</v>
      </c>
      <c r="B1009" s="46" t="s">
        <v>94</v>
      </c>
      <c r="C1009" s="46" t="s">
        <v>94</v>
      </c>
      <c r="D1009" s="46" t="s">
        <v>178</v>
      </c>
      <c r="E1009" s="46">
        <v>2</v>
      </c>
      <c r="F1009" s="46" t="s">
        <v>60</v>
      </c>
      <c r="G1009" s="46">
        <v>2</v>
      </c>
      <c r="H1009" s="47">
        <v>30</v>
      </c>
      <c r="I1009" s="47" t="s">
        <v>127</v>
      </c>
      <c r="J1009" s="48">
        <v>0</v>
      </c>
      <c r="K1009" s="48">
        <v>1</v>
      </c>
      <c r="N1009" s="48">
        <v>1</v>
      </c>
      <c r="R1009" s="46">
        <f t="shared" si="105"/>
        <v>0</v>
      </c>
      <c r="S1009" s="46">
        <f t="shared" si="106"/>
        <v>0</v>
      </c>
      <c r="T1009" s="46">
        <f t="shared" si="110"/>
        <v>0</v>
      </c>
      <c r="U1009" s="46">
        <f t="shared" si="108"/>
        <v>-5</v>
      </c>
      <c r="V1009" s="54">
        <f t="shared" si="109"/>
        <v>21.333333333333332</v>
      </c>
    </row>
    <row r="1010" spans="1:22" x14ac:dyDescent="0.2">
      <c r="A1010" s="46" t="s">
        <v>23</v>
      </c>
      <c r="B1010" s="46" t="s">
        <v>94</v>
      </c>
      <c r="C1010" s="46" t="s">
        <v>94</v>
      </c>
      <c r="D1010" s="46" t="s">
        <v>178</v>
      </c>
      <c r="E1010" s="46">
        <v>1</v>
      </c>
      <c r="F1010" s="46" t="s">
        <v>60</v>
      </c>
      <c r="G1010" s="46">
        <v>3</v>
      </c>
      <c r="H1010" s="47">
        <v>39</v>
      </c>
      <c r="I1010" s="47" t="s">
        <v>116</v>
      </c>
      <c r="J1010" s="48">
        <v>0</v>
      </c>
      <c r="K1010" s="48">
        <v>1</v>
      </c>
      <c r="M1010" s="48">
        <v>1</v>
      </c>
      <c r="R1010" s="46">
        <f t="shared" si="105"/>
        <v>0</v>
      </c>
      <c r="S1010" s="46">
        <f t="shared" si="106"/>
        <v>0</v>
      </c>
      <c r="T1010" s="46">
        <f t="shared" si="110"/>
        <v>0</v>
      </c>
      <c r="U1010" s="46">
        <f t="shared" si="108"/>
        <v>20</v>
      </c>
      <c r="V1010" s="54">
        <f t="shared" si="109"/>
        <v>21.333333333333332</v>
      </c>
    </row>
    <row r="1011" spans="1:22" x14ac:dyDescent="0.2">
      <c r="A1011" s="46" t="s">
        <v>23</v>
      </c>
      <c r="B1011" s="46" t="s">
        <v>94</v>
      </c>
      <c r="C1011" s="46" t="s">
        <v>94</v>
      </c>
      <c r="D1011" s="46" t="s">
        <v>178</v>
      </c>
      <c r="E1011" s="46">
        <v>4</v>
      </c>
      <c r="F1011" s="46" t="s">
        <v>60</v>
      </c>
      <c r="G1011" s="46">
        <v>3</v>
      </c>
      <c r="H1011" s="47">
        <v>39</v>
      </c>
      <c r="I1011" s="47" t="s">
        <v>159</v>
      </c>
      <c r="J1011" s="48">
        <v>0</v>
      </c>
      <c r="K1011" s="48">
        <v>1</v>
      </c>
      <c r="R1011" s="46">
        <f t="shared" si="105"/>
        <v>0</v>
      </c>
      <c r="S1011" s="46">
        <f t="shared" si="106"/>
        <v>0</v>
      </c>
      <c r="T1011" s="46">
        <f t="shared" si="110"/>
        <v>0</v>
      </c>
      <c r="U1011" s="46">
        <f t="shared" si="108"/>
        <v>0</v>
      </c>
      <c r="V1011" s="54">
        <f t="shared" si="109"/>
        <v>21.333333333333332</v>
      </c>
    </row>
    <row r="1012" spans="1:22" x14ac:dyDescent="0.2">
      <c r="A1012" s="46" t="s">
        <v>23</v>
      </c>
      <c r="B1012" s="46" t="s">
        <v>94</v>
      </c>
      <c r="C1012" s="46" t="s">
        <v>94</v>
      </c>
      <c r="D1012" s="46" t="s">
        <v>178</v>
      </c>
      <c r="E1012" s="46">
        <v>4</v>
      </c>
      <c r="F1012" s="46" t="s">
        <v>60</v>
      </c>
      <c r="G1012" s="46">
        <v>3</v>
      </c>
      <c r="H1012" s="47">
        <v>47</v>
      </c>
      <c r="I1012" s="47" t="s">
        <v>159</v>
      </c>
      <c r="J1012" s="48">
        <v>0</v>
      </c>
      <c r="K1012" s="48">
        <v>1</v>
      </c>
      <c r="R1012" s="46">
        <f t="shared" si="105"/>
        <v>0</v>
      </c>
      <c r="S1012" s="46">
        <f t="shared" si="106"/>
        <v>0</v>
      </c>
      <c r="T1012" s="46">
        <f t="shared" si="110"/>
        <v>0</v>
      </c>
      <c r="U1012" s="46">
        <f t="shared" si="108"/>
        <v>0</v>
      </c>
      <c r="V1012" s="54">
        <f t="shared" si="109"/>
        <v>21.333333333333332</v>
      </c>
    </row>
    <row r="1013" spans="1:22" x14ac:dyDescent="0.2">
      <c r="A1013" s="46" t="s">
        <v>23</v>
      </c>
      <c r="B1013" s="46" t="s">
        <v>94</v>
      </c>
      <c r="C1013" s="46" t="s">
        <v>94</v>
      </c>
      <c r="D1013" s="46" t="s">
        <v>178</v>
      </c>
      <c r="E1013" s="46">
        <v>4</v>
      </c>
      <c r="F1013" s="46" t="s">
        <v>63</v>
      </c>
      <c r="G1013" s="46">
        <v>4</v>
      </c>
      <c r="H1013" s="47" t="s">
        <v>152</v>
      </c>
      <c r="I1013" s="47" t="s">
        <v>102</v>
      </c>
      <c r="J1013" s="48">
        <v>0</v>
      </c>
      <c r="K1013" s="48">
        <v>1</v>
      </c>
      <c r="M1013" s="48">
        <v>1</v>
      </c>
      <c r="R1013" s="46">
        <f t="shared" si="105"/>
        <v>0</v>
      </c>
      <c r="S1013" s="46">
        <f t="shared" si="106"/>
        <v>0</v>
      </c>
      <c r="T1013" s="46">
        <f t="shared" si="110"/>
        <v>0</v>
      </c>
      <c r="U1013" s="46">
        <f t="shared" si="108"/>
        <v>20</v>
      </c>
      <c r="V1013" s="54">
        <f t="shared" si="109"/>
        <v>21.333333333333332</v>
      </c>
    </row>
    <row r="1014" spans="1:22" x14ac:dyDescent="0.2">
      <c r="A1014" s="46" t="s">
        <v>23</v>
      </c>
      <c r="B1014" s="46" t="s">
        <v>94</v>
      </c>
      <c r="C1014" s="46" t="s">
        <v>94</v>
      </c>
      <c r="D1014" s="46" t="s">
        <v>178</v>
      </c>
      <c r="E1014" s="46">
        <v>2</v>
      </c>
      <c r="F1014" s="46" t="s">
        <v>60</v>
      </c>
      <c r="G1014" s="46">
        <v>3</v>
      </c>
      <c r="H1014" s="47">
        <v>39</v>
      </c>
      <c r="I1014" s="47" t="s">
        <v>116</v>
      </c>
      <c r="J1014" s="48">
        <v>1</v>
      </c>
      <c r="K1014" s="48">
        <v>2</v>
      </c>
      <c r="N1014" s="48">
        <v>1</v>
      </c>
      <c r="R1014" s="46">
        <f t="shared" si="105"/>
        <v>0</v>
      </c>
      <c r="S1014" s="46">
        <f t="shared" si="106"/>
        <v>0</v>
      </c>
      <c r="T1014" s="46">
        <f t="shared" si="110"/>
        <v>10</v>
      </c>
      <c r="U1014" s="46">
        <f t="shared" si="108"/>
        <v>5</v>
      </c>
      <c r="V1014" s="54">
        <f t="shared" si="109"/>
        <v>21.333333333333332</v>
      </c>
    </row>
    <row r="1015" spans="1:22" x14ac:dyDescent="0.2">
      <c r="A1015" s="46" t="s">
        <v>23</v>
      </c>
      <c r="B1015" s="46" t="s">
        <v>94</v>
      </c>
      <c r="C1015" s="46" t="s">
        <v>94</v>
      </c>
      <c r="D1015" s="46" t="s">
        <v>178</v>
      </c>
      <c r="E1015" s="46">
        <v>1</v>
      </c>
      <c r="F1015" s="46" t="s">
        <v>63</v>
      </c>
      <c r="G1015" s="46">
        <v>4</v>
      </c>
      <c r="H1015" s="47" t="s">
        <v>172</v>
      </c>
      <c r="I1015" s="47" t="s">
        <v>102</v>
      </c>
      <c r="J1015" s="48">
        <v>1</v>
      </c>
      <c r="K1015" s="48">
        <v>2</v>
      </c>
      <c r="N1015" s="48">
        <v>1</v>
      </c>
      <c r="R1015" s="46">
        <f t="shared" si="105"/>
        <v>0</v>
      </c>
      <c r="S1015" s="46">
        <f t="shared" si="106"/>
        <v>0</v>
      </c>
      <c r="T1015" s="46">
        <f t="shared" si="110"/>
        <v>10</v>
      </c>
      <c r="U1015" s="46">
        <f t="shared" si="108"/>
        <v>5</v>
      </c>
      <c r="V1015" s="54">
        <f t="shared" si="109"/>
        <v>21.333333333333332</v>
      </c>
    </row>
    <row r="1016" spans="1:22" x14ac:dyDescent="0.2">
      <c r="A1016" s="46" t="s">
        <v>23</v>
      </c>
      <c r="B1016" s="46" t="s">
        <v>94</v>
      </c>
      <c r="C1016" s="46" t="s">
        <v>94</v>
      </c>
      <c r="D1016" s="46" t="s">
        <v>178</v>
      </c>
      <c r="E1016" s="46">
        <v>1</v>
      </c>
      <c r="F1016" s="46" t="s">
        <v>60</v>
      </c>
      <c r="G1016" s="46">
        <v>2</v>
      </c>
      <c r="H1016" s="47">
        <v>2</v>
      </c>
      <c r="I1016" s="47" t="s">
        <v>127</v>
      </c>
      <c r="J1016" s="48">
        <v>1</v>
      </c>
      <c r="K1016" s="48">
        <v>0</v>
      </c>
      <c r="N1016" s="48">
        <v>1</v>
      </c>
      <c r="R1016" s="46">
        <f t="shared" si="105"/>
        <v>0</v>
      </c>
      <c r="S1016" s="46">
        <f t="shared" si="106"/>
        <v>0</v>
      </c>
      <c r="T1016" s="46">
        <f t="shared" si="110"/>
        <v>20</v>
      </c>
      <c r="U1016" s="46">
        <f t="shared" si="108"/>
        <v>15</v>
      </c>
      <c r="V1016" s="54">
        <f t="shared" si="109"/>
        <v>21.333333333333332</v>
      </c>
    </row>
    <row r="1017" spans="1:22" x14ac:dyDescent="0.2">
      <c r="A1017" s="46" t="s">
        <v>23</v>
      </c>
      <c r="B1017" s="46" t="s">
        <v>94</v>
      </c>
      <c r="C1017" s="46" t="s">
        <v>94</v>
      </c>
      <c r="D1017" s="46" t="s">
        <v>178</v>
      </c>
      <c r="E1017" s="46">
        <v>4</v>
      </c>
      <c r="F1017" s="46" t="s">
        <v>60</v>
      </c>
      <c r="G1017" s="46">
        <v>1</v>
      </c>
      <c r="H1017" s="47">
        <v>5</v>
      </c>
      <c r="I1017" s="47" t="s">
        <v>101</v>
      </c>
      <c r="J1017" s="48">
        <v>1</v>
      </c>
      <c r="K1017" s="48">
        <v>1</v>
      </c>
      <c r="R1017" s="46">
        <f t="shared" si="105"/>
        <v>0</v>
      </c>
      <c r="S1017" s="46">
        <f t="shared" si="106"/>
        <v>0</v>
      </c>
      <c r="T1017" s="46">
        <f t="shared" si="110"/>
        <v>20</v>
      </c>
      <c r="U1017" s="46">
        <f t="shared" si="108"/>
        <v>20</v>
      </c>
      <c r="V1017" s="54">
        <f t="shared" si="109"/>
        <v>21.333333333333332</v>
      </c>
    </row>
    <row r="1018" spans="1:22" x14ac:dyDescent="0.2">
      <c r="A1018" s="46" t="s">
        <v>23</v>
      </c>
      <c r="B1018" s="46" t="s">
        <v>94</v>
      </c>
      <c r="C1018" s="46" t="s">
        <v>94</v>
      </c>
      <c r="D1018" s="46" t="s">
        <v>178</v>
      </c>
      <c r="E1018" s="46">
        <v>3</v>
      </c>
      <c r="F1018" s="46" t="s">
        <v>60</v>
      </c>
      <c r="G1018" s="46">
        <v>3</v>
      </c>
      <c r="H1018" s="47">
        <v>11</v>
      </c>
      <c r="I1018" s="47" t="s">
        <v>116</v>
      </c>
      <c r="J1018" s="48">
        <v>1</v>
      </c>
      <c r="K1018" s="48">
        <v>1</v>
      </c>
      <c r="M1018" s="48">
        <v>1</v>
      </c>
      <c r="N1018" s="48">
        <v>1</v>
      </c>
      <c r="R1018" s="46">
        <f t="shared" si="105"/>
        <v>0</v>
      </c>
      <c r="S1018" s="46">
        <f t="shared" si="106"/>
        <v>0</v>
      </c>
      <c r="T1018" s="46">
        <f t="shared" si="110"/>
        <v>20</v>
      </c>
      <c r="U1018" s="46">
        <f t="shared" si="108"/>
        <v>35</v>
      </c>
      <c r="V1018" s="54">
        <f t="shared" si="109"/>
        <v>21.333333333333332</v>
      </c>
    </row>
    <row r="1019" spans="1:22" x14ac:dyDescent="0.2">
      <c r="A1019" s="46" t="s">
        <v>23</v>
      </c>
      <c r="B1019" s="46" t="s">
        <v>94</v>
      </c>
      <c r="C1019" s="46" t="s">
        <v>94</v>
      </c>
      <c r="D1019" s="46" t="s">
        <v>178</v>
      </c>
      <c r="E1019" s="46">
        <v>2</v>
      </c>
      <c r="F1019" s="46" t="s">
        <v>60</v>
      </c>
      <c r="G1019" s="46">
        <v>3</v>
      </c>
      <c r="H1019" s="47">
        <v>15</v>
      </c>
      <c r="I1019" s="47" t="s">
        <v>116</v>
      </c>
      <c r="J1019" s="48">
        <v>1</v>
      </c>
      <c r="K1019" s="48">
        <v>0</v>
      </c>
      <c r="R1019" s="46">
        <f t="shared" si="105"/>
        <v>0</v>
      </c>
      <c r="S1019" s="46">
        <f t="shared" si="106"/>
        <v>0</v>
      </c>
      <c r="T1019" s="46">
        <f t="shared" si="110"/>
        <v>20</v>
      </c>
      <c r="U1019" s="46">
        <f t="shared" si="108"/>
        <v>20</v>
      </c>
      <c r="V1019" s="54">
        <f t="shared" si="109"/>
        <v>21.333333333333332</v>
      </c>
    </row>
    <row r="1020" spans="1:22" x14ac:dyDescent="0.2">
      <c r="A1020" s="46" t="s">
        <v>23</v>
      </c>
      <c r="B1020" s="46" t="s">
        <v>94</v>
      </c>
      <c r="C1020" s="46" t="s">
        <v>94</v>
      </c>
      <c r="D1020" s="46" t="s">
        <v>178</v>
      </c>
      <c r="E1020" s="46">
        <v>4</v>
      </c>
      <c r="F1020" s="46" t="s">
        <v>60</v>
      </c>
      <c r="G1020" s="46">
        <v>4</v>
      </c>
      <c r="H1020" s="47">
        <v>16</v>
      </c>
      <c r="I1020" s="47" t="s">
        <v>102</v>
      </c>
      <c r="J1020" s="48">
        <v>1</v>
      </c>
      <c r="K1020" s="48">
        <v>1</v>
      </c>
      <c r="M1020" s="48">
        <v>1</v>
      </c>
      <c r="N1020" s="48">
        <v>2</v>
      </c>
      <c r="R1020" s="46">
        <f t="shared" si="105"/>
        <v>0</v>
      </c>
      <c r="S1020" s="46">
        <f t="shared" si="106"/>
        <v>0</v>
      </c>
      <c r="T1020" s="46">
        <f t="shared" si="110"/>
        <v>20</v>
      </c>
      <c r="U1020" s="46">
        <f t="shared" si="108"/>
        <v>30</v>
      </c>
      <c r="V1020" s="54">
        <f t="shared" si="109"/>
        <v>21.333333333333332</v>
      </c>
    </row>
    <row r="1021" spans="1:22" x14ac:dyDescent="0.2">
      <c r="A1021" s="46" t="s">
        <v>23</v>
      </c>
      <c r="B1021" s="46" t="s">
        <v>94</v>
      </c>
      <c r="C1021" s="46" t="s">
        <v>94</v>
      </c>
      <c r="D1021" s="46" t="s">
        <v>178</v>
      </c>
      <c r="E1021" s="46">
        <v>1</v>
      </c>
      <c r="F1021" s="46" t="s">
        <v>60</v>
      </c>
      <c r="G1021" s="46">
        <v>2</v>
      </c>
      <c r="H1021" s="47">
        <v>26</v>
      </c>
      <c r="I1021" s="47" t="s">
        <v>127</v>
      </c>
      <c r="J1021" s="48">
        <v>1</v>
      </c>
      <c r="K1021" s="48">
        <v>0</v>
      </c>
      <c r="M1021" s="48">
        <v>1</v>
      </c>
      <c r="R1021" s="46">
        <f t="shared" si="105"/>
        <v>0</v>
      </c>
      <c r="S1021" s="46">
        <f t="shared" si="106"/>
        <v>0</v>
      </c>
      <c r="T1021" s="46">
        <f t="shared" si="110"/>
        <v>20</v>
      </c>
      <c r="U1021" s="46">
        <f t="shared" si="108"/>
        <v>40</v>
      </c>
      <c r="V1021" s="54">
        <f t="shared" si="109"/>
        <v>21.333333333333332</v>
      </c>
    </row>
    <row r="1022" spans="1:22" x14ac:dyDescent="0.2">
      <c r="A1022" s="46" t="s">
        <v>23</v>
      </c>
      <c r="B1022" s="46" t="s">
        <v>94</v>
      </c>
      <c r="C1022" s="46" t="s">
        <v>94</v>
      </c>
      <c r="D1022" s="46" t="s">
        <v>178</v>
      </c>
      <c r="E1022" s="46">
        <v>3</v>
      </c>
      <c r="F1022" s="46" t="s">
        <v>60</v>
      </c>
      <c r="G1022" s="46">
        <v>2</v>
      </c>
      <c r="H1022" s="47">
        <v>30</v>
      </c>
      <c r="I1022" s="47" t="s">
        <v>127</v>
      </c>
      <c r="J1022" s="48">
        <v>1</v>
      </c>
      <c r="K1022" s="48">
        <v>0</v>
      </c>
      <c r="N1022" s="48">
        <v>1</v>
      </c>
      <c r="R1022" s="46">
        <f t="shared" si="105"/>
        <v>0</v>
      </c>
      <c r="S1022" s="46">
        <f t="shared" si="106"/>
        <v>0</v>
      </c>
      <c r="T1022" s="46">
        <f t="shared" si="110"/>
        <v>20</v>
      </c>
      <c r="U1022" s="46">
        <f t="shared" si="108"/>
        <v>15</v>
      </c>
      <c r="V1022" s="54">
        <f t="shared" si="109"/>
        <v>21.333333333333332</v>
      </c>
    </row>
    <row r="1023" spans="1:22" x14ac:dyDescent="0.2">
      <c r="A1023" s="46" t="s">
        <v>23</v>
      </c>
      <c r="B1023" s="46" t="s">
        <v>94</v>
      </c>
      <c r="C1023" s="46" t="s">
        <v>94</v>
      </c>
      <c r="D1023" s="46" t="s">
        <v>178</v>
      </c>
      <c r="E1023" s="46">
        <v>2</v>
      </c>
      <c r="F1023" s="46" t="s">
        <v>60</v>
      </c>
      <c r="G1023" s="46">
        <v>1</v>
      </c>
      <c r="H1023" s="47">
        <v>45</v>
      </c>
      <c r="I1023" s="47" t="s">
        <v>101</v>
      </c>
      <c r="J1023" s="48">
        <v>1</v>
      </c>
      <c r="K1023" s="48">
        <v>0</v>
      </c>
      <c r="M1023" s="48">
        <v>1</v>
      </c>
      <c r="R1023" s="46">
        <f t="shared" si="105"/>
        <v>0</v>
      </c>
      <c r="S1023" s="46">
        <f t="shared" si="106"/>
        <v>0</v>
      </c>
      <c r="T1023" s="46">
        <f t="shared" si="110"/>
        <v>20</v>
      </c>
      <c r="U1023" s="46">
        <f t="shared" si="108"/>
        <v>40</v>
      </c>
      <c r="V1023" s="54">
        <f t="shared" si="109"/>
        <v>21.333333333333332</v>
      </c>
    </row>
    <row r="1024" spans="1:22" x14ac:dyDescent="0.2">
      <c r="A1024" s="46" t="s">
        <v>23</v>
      </c>
      <c r="B1024" s="46" t="s">
        <v>94</v>
      </c>
      <c r="C1024" s="46" t="s">
        <v>94</v>
      </c>
      <c r="D1024" s="46" t="s">
        <v>178</v>
      </c>
      <c r="E1024" s="46">
        <v>4</v>
      </c>
      <c r="F1024" s="46" t="s">
        <v>63</v>
      </c>
      <c r="G1024" s="46">
        <v>4</v>
      </c>
      <c r="H1024" s="47" t="s">
        <v>148</v>
      </c>
      <c r="I1024" s="47" t="s">
        <v>102</v>
      </c>
      <c r="J1024" s="48">
        <v>1</v>
      </c>
      <c r="K1024" s="48">
        <v>1</v>
      </c>
      <c r="R1024" s="46">
        <f t="shared" si="105"/>
        <v>0</v>
      </c>
      <c r="S1024" s="46">
        <f t="shared" si="106"/>
        <v>0</v>
      </c>
      <c r="T1024" s="46">
        <f t="shared" si="110"/>
        <v>20</v>
      </c>
      <c r="U1024" s="46">
        <f t="shared" si="108"/>
        <v>20</v>
      </c>
      <c r="V1024" s="54">
        <f t="shared" si="109"/>
        <v>21.333333333333332</v>
      </c>
    </row>
    <row r="1025" spans="1:22" x14ac:dyDescent="0.2">
      <c r="A1025" s="46" t="s">
        <v>23</v>
      </c>
      <c r="B1025" s="46" t="s">
        <v>94</v>
      </c>
      <c r="C1025" s="46" t="s">
        <v>94</v>
      </c>
      <c r="D1025" s="46" t="s">
        <v>178</v>
      </c>
      <c r="E1025" s="46">
        <v>3</v>
      </c>
      <c r="F1025" s="46" t="s">
        <v>60</v>
      </c>
      <c r="G1025" s="46">
        <v>4</v>
      </c>
      <c r="H1025" s="47">
        <v>4</v>
      </c>
      <c r="I1025" s="47" t="s">
        <v>102</v>
      </c>
      <c r="J1025" s="48">
        <v>2</v>
      </c>
      <c r="K1025" s="48">
        <v>1</v>
      </c>
      <c r="N1025" s="48">
        <v>1</v>
      </c>
      <c r="R1025" s="46">
        <f t="shared" si="105"/>
        <v>0</v>
      </c>
      <c r="S1025" s="46">
        <f t="shared" si="106"/>
        <v>0</v>
      </c>
      <c r="T1025" s="46">
        <f t="shared" si="110"/>
        <v>40</v>
      </c>
      <c r="U1025" s="46">
        <f t="shared" si="108"/>
        <v>35</v>
      </c>
      <c r="V1025" s="54">
        <f t="shared" si="109"/>
        <v>21.333333333333332</v>
      </c>
    </row>
    <row r="1026" spans="1:22" x14ac:dyDescent="0.2">
      <c r="A1026" s="46" t="s">
        <v>23</v>
      </c>
      <c r="B1026" s="46" t="s">
        <v>94</v>
      </c>
      <c r="C1026" s="46" t="s">
        <v>94</v>
      </c>
      <c r="D1026" s="46" t="s">
        <v>178</v>
      </c>
      <c r="E1026" s="46">
        <v>1</v>
      </c>
      <c r="F1026" s="46" t="s">
        <v>60</v>
      </c>
      <c r="G1026" s="46">
        <v>4</v>
      </c>
      <c r="H1026" s="47">
        <v>12</v>
      </c>
      <c r="I1026" s="47" t="s">
        <v>102</v>
      </c>
      <c r="J1026" s="48">
        <v>2</v>
      </c>
      <c r="K1026" s="48">
        <v>1</v>
      </c>
      <c r="N1026" s="48">
        <v>1</v>
      </c>
      <c r="R1026" s="46">
        <f t="shared" ref="R1026:R1089" si="111">IF(J1026=4,1,0)</f>
        <v>0</v>
      </c>
      <c r="S1026" s="46">
        <f t="shared" ref="S1026:S1089" si="112">IF(K1026=3,1,0)</f>
        <v>0</v>
      </c>
      <c r="T1026" s="46">
        <f t="shared" ref="T1026:T1057" si="113">quizscore(J1026,K1026)</f>
        <v>40</v>
      </c>
      <c r="U1026" s="46">
        <f t="shared" ref="U1026:U1089" si="114">T1026+M1026*(20) + (SUM(O1026:Q1026)*(10)) - L1026*(5) - N1026*(5)</f>
        <v>35</v>
      </c>
      <c r="V1026" s="54">
        <f t="shared" ref="V1026:V1089" si="115">AVERAGEIFS(U:U,A:A,A1026,F:F,"Pre")</f>
        <v>21.333333333333332</v>
      </c>
    </row>
    <row r="1027" spans="1:22" x14ac:dyDescent="0.2">
      <c r="A1027" s="46" t="s">
        <v>23</v>
      </c>
      <c r="B1027" s="46" t="s">
        <v>94</v>
      </c>
      <c r="C1027" s="46" t="s">
        <v>94</v>
      </c>
      <c r="D1027" s="46" t="s">
        <v>178</v>
      </c>
      <c r="E1027" s="46">
        <v>1</v>
      </c>
      <c r="F1027" s="46" t="s">
        <v>60</v>
      </c>
      <c r="G1027" s="46">
        <v>3</v>
      </c>
      <c r="H1027" s="47">
        <v>19</v>
      </c>
      <c r="I1027" s="47" t="s">
        <v>116</v>
      </c>
      <c r="J1027" s="48">
        <v>2</v>
      </c>
      <c r="K1027" s="48">
        <v>1</v>
      </c>
      <c r="R1027" s="46">
        <f t="shared" si="111"/>
        <v>0</v>
      </c>
      <c r="S1027" s="46">
        <f t="shared" si="112"/>
        <v>0</v>
      </c>
      <c r="T1027" s="46">
        <f t="shared" si="113"/>
        <v>40</v>
      </c>
      <c r="U1027" s="46">
        <f t="shared" si="114"/>
        <v>40</v>
      </c>
      <c r="V1027" s="54">
        <f t="shared" si="115"/>
        <v>21.333333333333332</v>
      </c>
    </row>
    <row r="1028" spans="1:22" x14ac:dyDescent="0.2">
      <c r="A1028" s="46" t="s">
        <v>23</v>
      </c>
      <c r="B1028" s="46" t="s">
        <v>94</v>
      </c>
      <c r="C1028" s="46" t="s">
        <v>94</v>
      </c>
      <c r="D1028" s="46" t="s">
        <v>178</v>
      </c>
      <c r="E1028" s="46">
        <v>3</v>
      </c>
      <c r="F1028" s="46" t="s">
        <v>60</v>
      </c>
      <c r="G1028" s="46">
        <v>1</v>
      </c>
      <c r="H1028" s="47">
        <v>21</v>
      </c>
      <c r="I1028" s="47" t="s">
        <v>101</v>
      </c>
      <c r="J1028" s="48">
        <v>2</v>
      </c>
      <c r="K1028" s="48">
        <v>1</v>
      </c>
      <c r="R1028" s="46">
        <f t="shared" si="111"/>
        <v>0</v>
      </c>
      <c r="S1028" s="46">
        <f t="shared" si="112"/>
        <v>0</v>
      </c>
      <c r="T1028" s="46">
        <f t="shared" si="113"/>
        <v>40</v>
      </c>
      <c r="U1028" s="46">
        <f t="shared" si="114"/>
        <v>40</v>
      </c>
      <c r="V1028" s="54">
        <f t="shared" si="115"/>
        <v>21.333333333333332</v>
      </c>
    </row>
    <row r="1029" spans="1:22" x14ac:dyDescent="0.2">
      <c r="A1029" s="46" t="s">
        <v>23</v>
      </c>
      <c r="B1029" s="46" t="s">
        <v>94</v>
      </c>
      <c r="C1029" s="46" t="s">
        <v>94</v>
      </c>
      <c r="D1029" s="46" t="s">
        <v>178</v>
      </c>
      <c r="E1029" s="46">
        <v>1</v>
      </c>
      <c r="F1029" s="46" t="s">
        <v>60</v>
      </c>
      <c r="G1029" s="46">
        <v>1</v>
      </c>
      <c r="H1029" s="47">
        <v>45</v>
      </c>
      <c r="I1029" s="47" t="s">
        <v>101</v>
      </c>
      <c r="J1029" s="48">
        <v>2</v>
      </c>
      <c r="K1029" s="48">
        <v>1</v>
      </c>
      <c r="R1029" s="46">
        <f t="shared" si="111"/>
        <v>0</v>
      </c>
      <c r="S1029" s="46">
        <f t="shared" si="112"/>
        <v>0</v>
      </c>
      <c r="T1029" s="46">
        <f t="shared" si="113"/>
        <v>40</v>
      </c>
      <c r="U1029" s="46">
        <f t="shared" si="114"/>
        <v>40</v>
      </c>
      <c r="V1029" s="54">
        <f t="shared" si="115"/>
        <v>21.333333333333332</v>
      </c>
    </row>
    <row r="1030" spans="1:22" x14ac:dyDescent="0.2">
      <c r="A1030" s="46" t="s">
        <v>23</v>
      </c>
      <c r="B1030" s="46" t="s">
        <v>94</v>
      </c>
      <c r="C1030" s="46" t="s">
        <v>94</v>
      </c>
      <c r="D1030" s="46" t="s">
        <v>178</v>
      </c>
      <c r="E1030" s="46">
        <v>4</v>
      </c>
      <c r="F1030" s="46" t="s">
        <v>63</v>
      </c>
      <c r="G1030" s="46">
        <v>4</v>
      </c>
      <c r="H1030" s="47" t="s">
        <v>150</v>
      </c>
      <c r="I1030" s="47" t="s">
        <v>102</v>
      </c>
      <c r="J1030" s="48">
        <v>2</v>
      </c>
      <c r="K1030" s="48">
        <v>0</v>
      </c>
      <c r="N1030" s="48">
        <v>1</v>
      </c>
      <c r="R1030" s="46">
        <f t="shared" si="111"/>
        <v>0</v>
      </c>
      <c r="S1030" s="46">
        <f t="shared" si="112"/>
        <v>0</v>
      </c>
      <c r="T1030" s="46">
        <f t="shared" si="113"/>
        <v>40</v>
      </c>
      <c r="U1030" s="46">
        <f t="shared" si="114"/>
        <v>35</v>
      </c>
      <c r="V1030" s="54">
        <f t="shared" si="115"/>
        <v>21.333333333333332</v>
      </c>
    </row>
    <row r="1031" spans="1:22" x14ac:dyDescent="0.2">
      <c r="A1031" s="46" t="s">
        <v>23</v>
      </c>
      <c r="B1031" s="46" t="s">
        <v>94</v>
      </c>
      <c r="C1031" s="46" t="s">
        <v>94</v>
      </c>
      <c r="D1031" s="46" t="s">
        <v>178</v>
      </c>
      <c r="E1031" s="46">
        <v>2</v>
      </c>
      <c r="F1031" s="46" t="s">
        <v>63</v>
      </c>
      <c r="G1031" s="46">
        <v>4</v>
      </c>
      <c r="H1031" s="47" t="s">
        <v>152</v>
      </c>
      <c r="I1031" s="47" t="s">
        <v>102</v>
      </c>
      <c r="J1031" s="48">
        <v>2</v>
      </c>
      <c r="K1031" s="48">
        <v>1</v>
      </c>
      <c r="R1031" s="46">
        <f t="shared" si="111"/>
        <v>0</v>
      </c>
      <c r="S1031" s="46">
        <f t="shared" si="112"/>
        <v>0</v>
      </c>
      <c r="T1031" s="46">
        <f t="shared" si="113"/>
        <v>40</v>
      </c>
      <c r="U1031" s="46">
        <f t="shared" si="114"/>
        <v>40</v>
      </c>
      <c r="V1031" s="54">
        <f t="shared" si="115"/>
        <v>21.333333333333332</v>
      </c>
    </row>
    <row r="1032" spans="1:22" x14ac:dyDescent="0.2">
      <c r="A1032" s="46" t="s">
        <v>23</v>
      </c>
      <c r="B1032" s="46" t="s">
        <v>94</v>
      </c>
      <c r="C1032" s="46" t="s">
        <v>94</v>
      </c>
      <c r="D1032" s="46" t="s">
        <v>178</v>
      </c>
      <c r="E1032" s="46">
        <v>4</v>
      </c>
      <c r="F1032" s="46" t="s">
        <v>60</v>
      </c>
      <c r="G1032" s="46">
        <v>2</v>
      </c>
      <c r="H1032" s="47">
        <v>30</v>
      </c>
      <c r="I1032" s="47" t="s">
        <v>127</v>
      </c>
      <c r="J1032" s="48">
        <v>3</v>
      </c>
      <c r="K1032" s="48">
        <v>2</v>
      </c>
      <c r="N1032" s="48">
        <v>1</v>
      </c>
      <c r="R1032" s="46">
        <f t="shared" si="111"/>
        <v>0</v>
      </c>
      <c r="S1032" s="46">
        <f t="shared" si="112"/>
        <v>0</v>
      </c>
      <c r="T1032" s="46">
        <f t="shared" si="113"/>
        <v>50</v>
      </c>
      <c r="U1032" s="46">
        <f t="shared" si="114"/>
        <v>45</v>
      </c>
      <c r="V1032" s="54">
        <f t="shared" si="115"/>
        <v>21.333333333333332</v>
      </c>
    </row>
    <row r="1033" spans="1:22" x14ac:dyDescent="0.2">
      <c r="A1033" s="46" t="s">
        <v>23</v>
      </c>
      <c r="B1033" s="46" t="s">
        <v>94</v>
      </c>
      <c r="C1033" s="46" t="s">
        <v>94</v>
      </c>
      <c r="D1033" s="46" t="s">
        <v>178</v>
      </c>
      <c r="E1033" s="46">
        <v>3</v>
      </c>
      <c r="F1033" s="46" t="s">
        <v>60</v>
      </c>
      <c r="G1033" s="46">
        <v>2</v>
      </c>
      <c r="H1033" s="47">
        <v>46</v>
      </c>
      <c r="I1033" s="47" t="s">
        <v>127</v>
      </c>
      <c r="J1033" s="48">
        <v>3</v>
      </c>
      <c r="K1033" s="48">
        <v>0</v>
      </c>
      <c r="R1033" s="46">
        <f t="shared" si="111"/>
        <v>0</v>
      </c>
      <c r="S1033" s="46">
        <f t="shared" si="112"/>
        <v>0</v>
      </c>
      <c r="T1033" s="46">
        <f t="shared" si="113"/>
        <v>60</v>
      </c>
      <c r="U1033" s="46">
        <f t="shared" si="114"/>
        <v>60</v>
      </c>
      <c r="V1033" s="54">
        <f t="shared" si="115"/>
        <v>21.333333333333332</v>
      </c>
    </row>
    <row r="1034" spans="1:22" x14ac:dyDescent="0.2">
      <c r="A1034" s="46" t="s">
        <v>23</v>
      </c>
      <c r="B1034" s="46" t="s">
        <v>94</v>
      </c>
      <c r="C1034" s="46" t="s">
        <v>94</v>
      </c>
      <c r="D1034" s="46" t="s">
        <v>178</v>
      </c>
      <c r="E1034" s="46">
        <v>1</v>
      </c>
      <c r="F1034" s="46" t="s">
        <v>63</v>
      </c>
      <c r="G1034" s="46">
        <v>4</v>
      </c>
      <c r="H1034" s="47" t="s">
        <v>148</v>
      </c>
      <c r="I1034" s="47" t="s">
        <v>102</v>
      </c>
      <c r="J1034" s="48">
        <v>3</v>
      </c>
      <c r="K1034" s="48">
        <v>1</v>
      </c>
      <c r="R1034" s="46">
        <f t="shared" si="111"/>
        <v>0</v>
      </c>
      <c r="S1034" s="46">
        <f t="shared" si="112"/>
        <v>0</v>
      </c>
      <c r="T1034" s="46">
        <f t="shared" si="113"/>
        <v>60</v>
      </c>
      <c r="U1034" s="46">
        <f t="shared" si="114"/>
        <v>60</v>
      </c>
      <c r="V1034" s="54">
        <f t="shared" si="115"/>
        <v>21.333333333333332</v>
      </c>
    </row>
    <row r="1035" spans="1:22" x14ac:dyDescent="0.2">
      <c r="A1035" s="46" t="s">
        <v>23</v>
      </c>
      <c r="B1035" s="46" t="s">
        <v>94</v>
      </c>
      <c r="C1035" s="46" t="s">
        <v>94</v>
      </c>
      <c r="D1035" s="46" t="s">
        <v>178</v>
      </c>
      <c r="E1035" s="46">
        <v>2</v>
      </c>
      <c r="F1035" s="46" t="s">
        <v>63</v>
      </c>
      <c r="G1035" s="46">
        <v>4</v>
      </c>
      <c r="H1035" s="47" t="s">
        <v>148</v>
      </c>
      <c r="I1035" s="47" t="s">
        <v>102</v>
      </c>
      <c r="J1035" s="48">
        <v>3</v>
      </c>
      <c r="K1035" s="48">
        <v>1</v>
      </c>
      <c r="R1035" s="46">
        <f t="shared" si="111"/>
        <v>0</v>
      </c>
      <c r="S1035" s="46">
        <f t="shared" si="112"/>
        <v>0</v>
      </c>
      <c r="T1035" s="46">
        <f t="shared" si="113"/>
        <v>60</v>
      </c>
      <c r="U1035" s="46">
        <f t="shared" si="114"/>
        <v>60</v>
      </c>
      <c r="V1035" s="54">
        <f t="shared" si="115"/>
        <v>21.333333333333332</v>
      </c>
    </row>
    <row r="1036" spans="1:22" x14ac:dyDescent="0.2">
      <c r="A1036" s="46" t="s">
        <v>23</v>
      </c>
      <c r="B1036" s="46" t="s">
        <v>94</v>
      </c>
      <c r="C1036" s="46" t="s">
        <v>94</v>
      </c>
      <c r="D1036" s="46" t="s">
        <v>178</v>
      </c>
      <c r="E1036" s="46">
        <v>3</v>
      </c>
      <c r="F1036" s="46" t="s">
        <v>63</v>
      </c>
      <c r="G1036" s="46">
        <v>4</v>
      </c>
      <c r="H1036" s="47" t="s">
        <v>149</v>
      </c>
      <c r="I1036" s="47" t="s">
        <v>102</v>
      </c>
      <c r="J1036" s="48">
        <v>3</v>
      </c>
      <c r="K1036" s="48">
        <v>1</v>
      </c>
      <c r="R1036" s="46">
        <f t="shared" si="111"/>
        <v>0</v>
      </c>
      <c r="S1036" s="46">
        <f t="shared" si="112"/>
        <v>0</v>
      </c>
      <c r="T1036" s="46">
        <f t="shared" si="113"/>
        <v>60</v>
      </c>
      <c r="U1036" s="46">
        <f t="shared" si="114"/>
        <v>60</v>
      </c>
      <c r="V1036" s="54">
        <f t="shared" si="115"/>
        <v>21.333333333333332</v>
      </c>
    </row>
    <row r="1037" spans="1:22" x14ac:dyDescent="0.2">
      <c r="A1037" s="46" t="s">
        <v>23</v>
      </c>
      <c r="B1037" s="46" t="s">
        <v>94</v>
      </c>
      <c r="C1037" s="46" t="s">
        <v>94</v>
      </c>
      <c r="D1037" s="46" t="s">
        <v>178</v>
      </c>
      <c r="E1037" s="46">
        <v>2</v>
      </c>
      <c r="F1037" s="46" t="s">
        <v>63</v>
      </c>
      <c r="G1037" s="46">
        <v>4</v>
      </c>
      <c r="H1037" s="47" t="s">
        <v>150</v>
      </c>
      <c r="I1037" s="47" t="s">
        <v>102</v>
      </c>
      <c r="J1037" s="48">
        <v>3</v>
      </c>
      <c r="K1037" s="48">
        <v>0</v>
      </c>
      <c r="R1037" s="46">
        <f t="shared" si="111"/>
        <v>0</v>
      </c>
      <c r="S1037" s="46">
        <f t="shared" si="112"/>
        <v>0</v>
      </c>
      <c r="T1037" s="46">
        <f t="shared" si="113"/>
        <v>60</v>
      </c>
      <c r="U1037" s="46">
        <f t="shared" si="114"/>
        <v>60</v>
      </c>
      <c r="V1037" s="54">
        <f t="shared" si="115"/>
        <v>21.333333333333332</v>
      </c>
    </row>
    <row r="1038" spans="1:22" x14ac:dyDescent="0.2">
      <c r="A1038" s="46" t="s">
        <v>23</v>
      </c>
      <c r="B1038" s="46" t="s">
        <v>94</v>
      </c>
      <c r="C1038" s="46" t="s">
        <v>94</v>
      </c>
      <c r="D1038" s="46" t="s">
        <v>178</v>
      </c>
      <c r="E1038" s="46">
        <v>3</v>
      </c>
      <c r="F1038" s="46" t="s">
        <v>63</v>
      </c>
      <c r="G1038" s="46">
        <v>4</v>
      </c>
      <c r="H1038" s="47" t="s">
        <v>150</v>
      </c>
      <c r="I1038" s="47" t="s">
        <v>102</v>
      </c>
      <c r="J1038" s="48">
        <v>3</v>
      </c>
      <c r="K1038" s="48">
        <v>1</v>
      </c>
      <c r="R1038" s="46">
        <f t="shared" si="111"/>
        <v>0</v>
      </c>
      <c r="S1038" s="46">
        <f t="shared" si="112"/>
        <v>0</v>
      </c>
      <c r="T1038" s="46">
        <f t="shared" si="113"/>
        <v>60</v>
      </c>
      <c r="U1038" s="46">
        <f t="shared" si="114"/>
        <v>60</v>
      </c>
      <c r="V1038" s="54">
        <f t="shared" si="115"/>
        <v>21.333333333333332</v>
      </c>
    </row>
    <row r="1039" spans="1:22" x14ac:dyDescent="0.2">
      <c r="A1039" s="46" t="s">
        <v>23</v>
      </c>
      <c r="B1039" s="46" t="s">
        <v>94</v>
      </c>
      <c r="C1039" s="46" t="s">
        <v>94</v>
      </c>
      <c r="D1039" s="46" t="s">
        <v>178</v>
      </c>
      <c r="E1039" s="46">
        <v>3</v>
      </c>
      <c r="F1039" s="46" t="s">
        <v>63</v>
      </c>
      <c r="G1039" s="46">
        <v>4</v>
      </c>
      <c r="H1039" s="47" t="s">
        <v>151</v>
      </c>
      <c r="I1039" s="47" t="s">
        <v>102</v>
      </c>
      <c r="J1039" s="48">
        <v>3</v>
      </c>
      <c r="K1039" s="48">
        <v>1</v>
      </c>
      <c r="R1039" s="46">
        <f t="shared" si="111"/>
        <v>0</v>
      </c>
      <c r="S1039" s="46">
        <f t="shared" si="112"/>
        <v>0</v>
      </c>
      <c r="T1039" s="46">
        <f t="shared" si="113"/>
        <v>60</v>
      </c>
      <c r="U1039" s="46">
        <f t="shared" si="114"/>
        <v>60</v>
      </c>
      <c r="V1039" s="54">
        <f t="shared" si="115"/>
        <v>21.333333333333332</v>
      </c>
    </row>
    <row r="1040" spans="1:22" x14ac:dyDescent="0.2">
      <c r="A1040" s="46" t="s">
        <v>23</v>
      </c>
      <c r="B1040" s="46" t="s">
        <v>94</v>
      </c>
      <c r="C1040" s="46" t="s">
        <v>94</v>
      </c>
      <c r="D1040" s="46" t="s">
        <v>178</v>
      </c>
      <c r="E1040" s="46">
        <v>1</v>
      </c>
      <c r="F1040" s="46" t="s">
        <v>63</v>
      </c>
      <c r="G1040" s="46">
        <v>4</v>
      </c>
      <c r="H1040" s="47" t="s">
        <v>147</v>
      </c>
      <c r="I1040" s="47" t="s">
        <v>102</v>
      </c>
      <c r="J1040" s="48">
        <v>4</v>
      </c>
      <c r="K1040" s="48">
        <v>0</v>
      </c>
      <c r="R1040" s="46">
        <f t="shared" si="111"/>
        <v>1</v>
      </c>
      <c r="S1040" s="46">
        <f t="shared" si="112"/>
        <v>0</v>
      </c>
      <c r="T1040" s="46">
        <f t="shared" si="113"/>
        <v>90</v>
      </c>
      <c r="U1040" s="46">
        <f t="shared" si="114"/>
        <v>90</v>
      </c>
      <c r="V1040" s="54">
        <f t="shared" si="115"/>
        <v>21.333333333333332</v>
      </c>
    </row>
    <row r="1041" spans="1:22" x14ac:dyDescent="0.2">
      <c r="A1041" s="46" t="s">
        <v>23</v>
      </c>
      <c r="B1041" s="46" t="s">
        <v>94</v>
      </c>
      <c r="C1041" s="46" t="s">
        <v>94</v>
      </c>
      <c r="D1041" s="46" t="s">
        <v>178</v>
      </c>
      <c r="E1041" s="46">
        <v>1</v>
      </c>
      <c r="F1041" s="46" t="s">
        <v>63</v>
      </c>
      <c r="G1041" s="46">
        <v>4</v>
      </c>
      <c r="H1041" s="47" t="s">
        <v>149</v>
      </c>
      <c r="I1041" s="47" t="s">
        <v>102</v>
      </c>
      <c r="J1041" s="48">
        <v>4</v>
      </c>
      <c r="K1041" s="48">
        <v>0</v>
      </c>
      <c r="R1041" s="46">
        <f t="shared" si="111"/>
        <v>1</v>
      </c>
      <c r="S1041" s="46">
        <f t="shared" si="112"/>
        <v>0</v>
      </c>
      <c r="T1041" s="46">
        <f t="shared" si="113"/>
        <v>90</v>
      </c>
      <c r="U1041" s="46">
        <f t="shared" si="114"/>
        <v>90</v>
      </c>
      <c r="V1041" s="54">
        <f t="shared" si="115"/>
        <v>21.333333333333332</v>
      </c>
    </row>
    <row r="1042" spans="1:22" x14ac:dyDescent="0.2">
      <c r="A1042" s="46" t="s">
        <v>23</v>
      </c>
      <c r="B1042" s="46" t="s">
        <v>94</v>
      </c>
      <c r="C1042" s="46" t="s">
        <v>94</v>
      </c>
      <c r="D1042" s="46" t="s">
        <v>178</v>
      </c>
      <c r="E1042" s="46">
        <v>5</v>
      </c>
      <c r="F1042" s="46" t="s">
        <v>60</v>
      </c>
      <c r="G1042" s="46">
        <v>4</v>
      </c>
      <c r="H1042" s="47">
        <v>8</v>
      </c>
      <c r="I1042" s="47" t="s">
        <v>102</v>
      </c>
      <c r="J1042" s="48">
        <v>2</v>
      </c>
      <c r="K1042" s="48">
        <v>1</v>
      </c>
      <c r="R1042" s="46">
        <f t="shared" si="111"/>
        <v>0</v>
      </c>
      <c r="S1042" s="46">
        <f t="shared" si="112"/>
        <v>0</v>
      </c>
      <c r="T1042" s="46">
        <f t="shared" si="113"/>
        <v>40</v>
      </c>
      <c r="U1042" s="46">
        <f t="shared" si="114"/>
        <v>40</v>
      </c>
      <c r="V1042" s="54">
        <f t="shared" si="115"/>
        <v>21.333333333333332</v>
      </c>
    </row>
    <row r="1043" spans="1:22" x14ac:dyDescent="0.2">
      <c r="A1043" s="46" t="s">
        <v>23</v>
      </c>
      <c r="B1043" s="46" t="s">
        <v>94</v>
      </c>
      <c r="C1043" s="46" t="s">
        <v>94</v>
      </c>
      <c r="D1043" s="46" t="s">
        <v>178</v>
      </c>
      <c r="E1043" s="46">
        <v>5</v>
      </c>
      <c r="F1043" s="46" t="s">
        <v>60</v>
      </c>
      <c r="G1043" s="46">
        <v>3</v>
      </c>
      <c r="H1043" s="47">
        <v>15</v>
      </c>
      <c r="I1043" s="47" t="s">
        <v>159</v>
      </c>
      <c r="J1043" s="48">
        <v>0</v>
      </c>
      <c r="K1043" s="48">
        <v>1</v>
      </c>
      <c r="R1043" s="46">
        <f t="shared" si="111"/>
        <v>0</v>
      </c>
      <c r="S1043" s="46">
        <f t="shared" si="112"/>
        <v>0</v>
      </c>
      <c r="T1043" s="46">
        <f t="shared" si="113"/>
        <v>0</v>
      </c>
      <c r="U1043" s="46">
        <f t="shared" si="114"/>
        <v>0</v>
      </c>
      <c r="V1043" s="54">
        <f t="shared" si="115"/>
        <v>21.333333333333332</v>
      </c>
    </row>
    <row r="1044" spans="1:22" x14ac:dyDescent="0.2">
      <c r="A1044" s="46" t="s">
        <v>23</v>
      </c>
      <c r="B1044" s="46" t="s">
        <v>94</v>
      </c>
      <c r="C1044" s="46" t="s">
        <v>94</v>
      </c>
      <c r="D1044" s="46" t="s">
        <v>178</v>
      </c>
      <c r="E1044" s="46">
        <v>5</v>
      </c>
      <c r="F1044" s="46" t="s">
        <v>60</v>
      </c>
      <c r="G1044" s="46">
        <v>1</v>
      </c>
      <c r="H1044" s="47">
        <v>21</v>
      </c>
      <c r="I1044" s="47" t="s">
        <v>101</v>
      </c>
      <c r="J1044" s="48">
        <v>0</v>
      </c>
      <c r="K1044" s="48">
        <v>2</v>
      </c>
      <c r="N1044" s="48">
        <v>1</v>
      </c>
      <c r="R1044" s="46">
        <f t="shared" si="111"/>
        <v>0</v>
      </c>
      <c r="S1044" s="46">
        <f t="shared" si="112"/>
        <v>0</v>
      </c>
      <c r="T1044" s="46">
        <f t="shared" si="113"/>
        <v>-10</v>
      </c>
      <c r="U1044" s="46">
        <f t="shared" si="114"/>
        <v>-15</v>
      </c>
      <c r="V1044" s="54">
        <f t="shared" si="115"/>
        <v>21.333333333333332</v>
      </c>
    </row>
    <row r="1045" spans="1:22" x14ac:dyDescent="0.2">
      <c r="A1045" s="46" t="s">
        <v>23</v>
      </c>
      <c r="B1045" s="46" t="s">
        <v>94</v>
      </c>
      <c r="C1045" s="46" t="s">
        <v>94</v>
      </c>
      <c r="D1045" s="46" t="s">
        <v>178</v>
      </c>
      <c r="E1045" s="46">
        <v>5</v>
      </c>
      <c r="F1045" s="46" t="s">
        <v>60</v>
      </c>
      <c r="G1045" s="46">
        <v>2</v>
      </c>
      <c r="H1045" s="47">
        <v>30</v>
      </c>
      <c r="I1045" s="47" t="s">
        <v>127</v>
      </c>
      <c r="J1045" s="48">
        <v>2</v>
      </c>
      <c r="K1045" s="48">
        <v>1</v>
      </c>
      <c r="R1045" s="46">
        <f t="shared" si="111"/>
        <v>0</v>
      </c>
      <c r="S1045" s="46">
        <f t="shared" si="112"/>
        <v>0</v>
      </c>
      <c r="T1045" s="46">
        <f t="shared" si="113"/>
        <v>40</v>
      </c>
      <c r="U1045" s="46">
        <f t="shared" si="114"/>
        <v>40</v>
      </c>
      <c r="V1045" s="54">
        <f t="shared" si="115"/>
        <v>21.333333333333332</v>
      </c>
    </row>
    <row r="1046" spans="1:22" x14ac:dyDescent="0.2">
      <c r="A1046" s="46" t="s">
        <v>23</v>
      </c>
      <c r="B1046" s="46" t="s">
        <v>94</v>
      </c>
      <c r="C1046" s="46" t="s">
        <v>94</v>
      </c>
      <c r="D1046" s="46" t="s">
        <v>178</v>
      </c>
      <c r="E1046" s="46">
        <v>5</v>
      </c>
      <c r="F1046" s="46" t="s">
        <v>60</v>
      </c>
      <c r="G1046" s="46">
        <v>4</v>
      </c>
      <c r="H1046" s="47">
        <v>40</v>
      </c>
      <c r="I1046" s="47" t="s">
        <v>102</v>
      </c>
      <c r="J1046" s="48">
        <v>3</v>
      </c>
      <c r="K1046" s="48">
        <v>1</v>
      </c>
      <c r="R1046" s="46">
        <f t="shared" si="111"/>
        <v>0</v>
      </c>
      <c r="S1046" s="46">
        <f t="shared" si="112"/>
        <v>0</v>
      </c>
      <c r="T1046" s="46">
        <f t="shared" si="113"/>
        <v>60</v>
      </c>
      <c r="U1046" s="46">
        <f t="shared" si="114"/>
        <v>60</v>
      </c>
      <c r="V1046" s="54">
        <f t="shared" si="115"/>
        <v>21.333333333333332</v>
      </c>
    </row>
    <row r="1047" spans="1:22" x14ac:dyDescent="0.2">
      <c r="A1047" s="46" t="s">
        <v>23</v>
      </c>
      <c r="B1047" s="46" t="s">
        <v>94</v>
      </c>
      <c r="C1047" s="46" t="s">
        <v>94</v>
      </c>
      <c r="D1047" s="46" t="s">
        <v>178</v>
      </c>
      <c r="E1047" s="46">
        <v>5</v>
      </c>
      <c r="F1047" s="46" t="s">
        <v>60</v>
      </c>
      <c r="G1047" s="46">
        <v>4</v>
      </c>
      <c r="H1047" s="47">
        <v>48</v>
      </c>
      <c r="I1047" s="47" t="s">
        <v>102</v>
      </c>
      <c r="J1047" s="48">
        <v>1</v>
      </c>
      <c r="K1047" s="48">
        <v>1</v>
      </c>
      <c r="R1047" s="46">
        <f t="shared" si="111"/>
        <v>0</v>
      </c>
      <c r="S1047" s="46">
        <f t="shared" si="112"/>
        <v>0</v>
      </c>
      <c r="T1047" s="46">
        <f t="shared" si="113"/>
        <v>20</v>
      </c>
      <c r="U1047" s="46">
        <f t="shared" si="114"/>
        <v>20</v>
      </c>
      <c r="V1047" s="54">
        <f t="shared" si="115"/>
        <v>21.333333333333332</v>
      </c>
    </row>
    <row r="1048" spans="1:22" x14ac:dyDescent="0.2">
      <c r="A1048" s="46" t="s">
        <v>23</v>
      </c>
      <c r="B1048" s="46" t="s">
        <v>94</v>
      </c>
      <c r="C1048" s="46" t="str">
        <f>VLOOKUP(B1048,$B$2:$C$3219,2,FALSE)</f>
        <v>NSA</v>
      </c>
      <c r="D1048" s="46" t="s">
        <v>178</v>
      </c>
      <c r="E1048" s="46">
        <v>5</v>
      </c>
      <c r="F1048" s="46" t="s">
        <v>63</v>
      </c>
      <c r="G1048" s="46">
        <v>4</v>
      </c>
      <c r="H1048" s="47" t="s">
        <v>146</v>
      </c>
      <c r="I1048" s="47" t="s">
        <v>102</v>
      </c>
      <c r="J1048" s="48">
        <v>2</v>
      </c>
      <c r="K1048" s="48">
        <v>1</v>
      </c>
      <c r="R1048" s="46">
        <f t="shared" si="111"/>
        <v>0</v>
      </c>
      <c r="S1048" s="46">
        <f t="shared" si="112"/>
        <v>0</v>
      </c>
      <c r="T1048" s="46">
        <f t="shared" si="113"/>
        <v>40</v>
      </c>
      <c r="U1048" s="46">
        <f t="shared" si="114"/>
        <v>40</v>
      </c>
      <c r="V1048" s="54">
        <f t="shared" si="115"/>
        <v>21.333333333333332</v>
      </c>
    </row>
    <row r="1049" spans="1:22" x14ac:dyDescent="0.2">
      <c r="A1049" s="46" t="s">
        <v>23</v>
      </c>
      <c r="B1049" s="46" t="s">
        <v>94</v>
      </c>
      <c r="C1049" s="46" t="str">
        <f>VLOOKUP(B1049,$B$2:$C$3219,2,FALSE)</f>
        <v>NSA</v>
      </c>
      <c r="D1049" s="46" t="s">
        <v>178</v>
      </c>
      <c r="E1049" s="46">
        <v>5</v>
      </c>
      <c r="F1049" s="46" t="s">
        <v>63</v>
      </c>
      <c r="G1049" s="46">
        <v>4</v>
      </c>
      <c r="H1049" s="47" t="s">
        <v>148</v>
      </c>
      <c r="I1049" s="47" t="s">
        <v>102</v>
      </c>
      <c r="J1049" s="48">
        <v>2</v>
      </c>
      <c r="K1049" s="48">
        <v>0</v>
      </c>
      <c r="N1049" s="48">
        <v>1</v>
      </c>
      <c r="R1049" s="46">
        <f t="shared" si="111"/>
        <v>0</v>
      </c>
      <c r="S1049" s="46">
        <f t="shared" si="112"/>
        <v>0</v>
      </c>
      <c r="T1049" s="46">
        <f t="shared" si="113"/>
        <v>40</v>
      </c>
      <c r="U1049" s="46">
        <f t="shared" si="114"/>
        <v>35</v>
      </c>
      <c r="V1049" s="54">
        <f t="shared" si="115"/>
        <v>21.333333333333332</v>
      </c>
    </row>
    <row r="1050" spans="1:22" x14ac:dyDescent="0.2">
      <c r="A1050" s="46" t="s">
        <v>23</v>
      </c>
      <c r="B1050" s="46" t="s">
        <v>94</v>
      </c>
      <c r="C1050" s="46" t="str">
        <f>VLOOKUP(B1050,$B$2:$C$3219,2,FALSE)</f>
        <v>NSA</v>
      </c>
      <c r="D1050" s="46" t="s">
        <v>178</v>
      </c>
      <c r="E1050" s="46">
        <v>5</v>
      </c>
      <c r="F1050" s="46" t="s">
        <v>63</v>
      </c>
      <c r="G1050" s="46">
        <v>4</v>
      </c>
      <c r="H1050" s="47" t="s">
        <v>151</v>
      </c>
      <c r="I1050" s="47" t="s">
        <v>102</v>
      </c>
      <c r="J1050" s="48">
        <v>2</v>
      </c>
      <c r="K1050" s="48">
        <v>1</v>
      </c>
      <c r="R1050" s="46">
        <f t="shared" si="111"/>
        <v>0</v>
      </c>
      <c r="S1050" s="46">
        <f t="shared" si="112"/>
        <v>0</v>
      </c>
      <c r="T1050" s="46">
        <f t="shared" si="113"/>
        <v>40</v>
      </c>
      <c r="U1050" s="46">
        <f t="shared" si="114"/>
        <v>40</v>
      </c>
      <c r="V1050" s="54">
        <f t="shared" si="115"/>
        <v>21.333333333333332</v>
      </c>
    </row>
    <row r="1051" spans="1:22" x14ac:dyDescent="0.2">
      <c r="A1051" s="46" t="s">
        <v>153</v>
      </c>
      <c r="B1051" s="46" t="s">
        <v>177</v>
      </c>
      <c r="C1051" s="46" t="s">
        <v>96</v>
      </c>
      <c r="D1051" s="46" t="s">
        <v>178</v>
      </c>
      <c r="E1051" s="46">
        <v>1</v>
      </c>
      <c r="F1051" s="46" t="s">
        <v>60</v>
      </c>
      <c r="G1051" s="46">
        <v>1</v>
      </c>
      <c r="H1051" s="47">
        <v>1</v>
      </c>
      <c r="I1051" s="47" t="s">
        <v>101</v>
      </c>
      <c r="J1051" s="48">
        <v>0</v>
      </c>
      <c r="K1051" s="48">
        <v>0</v>
      </c>
      <c r="R1051" s="46">
        <f t="shared" si="111"/>
        <v>0</v>
      </c>
      <c r="S1051" s="46">
        <f t="shared" si="112"/>
        <v>0</v>
      </c>
      <c r="T1051" s="46">
        <f t="shared" si="113"/>
        <v>0</v>
      </c>
      <c r="U1051" s="46">
        <f t="shared" si="114"/>
        <v>0</v>
      </c>
      <c r="V1051" s="54">
        <f t="shared" si="115"/>
        <v>-0.16666666666666666</v>
      </c>
    </row>
    <row r="1052" spans="1:22" x14ac:dyDescent="0.2">
      <c r="A1052" s="46" t="s">
        <v>153</v>
      </c>
      <c r="B1052" s="46" t="s">
        <v>177</v>
      </c>
      <c r="C1052" s="46" t="s">
        <v>96</v>
      </c>
      <c r="D1052" s="46" t="s">
        <v>178</v>
      </c>
      <c r="E1052" s="46">
        <v>2</v>
      </c>
      <c r="F1052" s="46" t="s">
        <v>60</v>
      </c>
      <c r="G1052" s="46">
        <v>1</v>
      </c>
      <c r="H1052" s="47">
        <v>1</v>
      </c>
      <c r="I1052" s="47" t="s">
        <v>101</v>
      </c>
      <c r="J1052" s="48">
        <v>0</v>
      </c>
      <c r="K1052" s="48">
        <v>0</v>
      </c>
      <c r="R1052" s="46">
        <f t="shared" si="111"/>
        <v>0</v>
      </c>
      <c r="S1052" s="46">
        <f t="shared" si="112"/>
        <v>0</v>
      </c>
      <c r="T1052" s="46">
        <f t="shared" si="113"/>
        <v>0</v>
      </c>
      <c r="U1052" s="46">
        <f t="shared" si="114"/>
        <v>0</v>
      </c>
      <c r="V1052" s="54">
        <f t="shared" si="115"/>
        <v>-0.16666666666666666</v>
      </c>
    </row>
    <row r="1053" spans="1:22" x14ac:dyDescent="0.2">
      <c r="A1053" s="46" t="s">
        <v>153</v>
      </c>
      <c r="B1053" s="46" t="s">
        <v>177</v>
      </c>
      <c r="C1053" s="46" t="s">
        <v>96</v>
      </c>
      <c r="D1053" s="46" t="s">
        <v>178</v>
      </c>
      <c r="E1053" s="46">
        <v>3</v>
      </c>
      <c r="F1053" s="46" t="s">
        <v>60</v>
      </c>
      <c r="G1053" s="46">
        <v>3</v>
      </c>
      <c r="H1053" s="47">
        <v>3</v>
      </c>
      <c r="I1053" s="47" t="s">
        <v>116</v>
      </c>
      <c r="J1053" s="48">
        <v>0</v>
      </c>
      <c r="K1053" s="48">
        <v>0</v>
      </c>
      <c r="R1053" s="46">
        <f t="shared" si="111"/>
        <v>0</v>
      </c>
      <c r="S1053" s="46">
        <f t="shared" si="112"/>
        <v>0</v>
      </c>
      <c r="T1053" s="46">
        <f t="shared" si="113"/>
        <v>0</v>
      </c>
      <c r="U1053" s="46">
        <f t="shared" si="114"/>
        <v>0</v>
      </c>
      <c r="V1053" s="54">
        <f t="shared" si="115"/>
        <v>-0.16666666666666666</v>
      </c>
    </row>
    <row r="1054" spans="1:22" x14ac:dyDescent="0.2">
      <c r="A1054" s="46" t="s">
        <v>153</v>
      </c>
      <c r="B1054" s="46" t="s">
        <v>177</v>
      </c>
      <c r="C1054" s="46" t="s">
        <v>96</v>
      </c>
      <c r="D1054" s="46" t="s">
        <v>178</v>
      </c>
      <c r="E1054" s="46">
        <v>4</v>
      </c>
      <c r="F1054" s="46" t="s">
        <v>60</v>
      </c>
      <c r="G1054" s="46">
        <v>4</v>
      </c>
      <c r="H1054" s="47">
        <v>4</v>
      </c>
      <c r="I1054" s="47" t="s">
        <v>102</v>
      </c>
      <c r="J1054" s="48">
        <v>0</v>
      </c>
      <c r="K1054" s="48">
        <v>0</v>
      </c>
      <c r="R1054" s="46">
        <f t="shared" si="111"/>
        <v>0</v>
      </c>
      <c r="S1054" s="46">
        <f t="shared" si="112"/>
        <v>0</v>
      </c>
      <c r="T1054" s="46">
        <f t="shared" si="113"/>
        <v>0</v>
      </c>
      <c r="U1054" s="46">
        <f t="shared" si="114"/>
        <v>0</v>
      </c>
      <c r="V1054" s="54">
        <f t="shared" si="115"/>
        <v>-0.16666666666666666</v>
      </c>
    </row>
    <row r="1055" spans="1:22" x14ac:dyDescent="0.2">
      <c r="A1055" s="46" t="s">
        <v>153</v>
      </c>
      <c r="B1055" s="46" t="s">
        <v>177</v>
      </c>
      <c r="C1055" s="46" t="s">
        <v>96</v>
      </c>
      <c r="D1055" s="46" t="s">
        <v>178</v>
      </c>
      <c r="E1055" s="46">
        <v>3</v>
      </c>
      <c r="F1055" s="46" t="s">
        <v>60</v>
      </c>
      <c r="G1055" s="46">
        <v>2</v>
      </c>
      <c r="H1055" s="47">
        <v>10</v>
      </c>
      <c r="I1055" s="47" t="s">
        <v>127</v>
      </c>
      <c r="J1055" s="48">
        <v>0</v>
      </c>
      <c r="K1055" s="48">
        <v>0</v>
      </c>
      <c r="R1055" s="46">
        <f t="shared" si="111"/>
        <v>0</v>
      </c>
      <c r="S1055" s="46">
        <f t="shared" si="112"/>
        <v>0</v>
      </c>
      <c r="T1055" s="46">
        <f t="shared" si="113"/>
        <v>0</v>
      </c>
      <c r="U1055" s="46">
        <f t="shared" si="114"/>
        <v>0</v>
      </c>
      <c r="V1055" s="54">
        <f t="shared" si="115"/>
        <v>-0.16666666666666666</v>
      </c>
    </row>
    <row r="1056" spans="1:22" x14ac:dyDescent="0.2">
      <c r="A1056" s="46" t="s">
        <v>153</v>
      </c>
      <c r="B1056" s="46" t="s">
        <v>177</v>
      </c>
      <c r="C1056" s="46" t="s">
        <v>96</v>
      </c>
      <c r="D1056" s="46" t="s">
        <v>178</v>
      </c>
      <c r="E1056" s="46">
        <v>2</v>
      </c>
      <c r="F1056" s="46" t="s">
        <v>60</v>
      </c>
      <c r="G1056" s="46">
        <v>4</v>
      </c>
      <c r="H1056" s="47">
        <v>12</v>
      </c>
      <c r="I1056" s="47" t="s">
        <v>102</v>
      </c>
      <c r="J1056" s="48">
        <v>0</v>
      </c>
      <c r="K1056" s="48">
        <v>0</v>
      </c>
      <c r="R1056" s="46">
        <f t="shared" si="111"/>
        <v>0</v>
      </c>
      <c r="S1056" s="46">
        <f t="shared" si="112"/>
        <v>0</v>
      </c>
      <c r="T1056" s="46">
        <f t="shared" si="113"/>
        <v>0</v>
      </c>
      <c r="U1056" s="46">
        <f t="shared" si="114"/>
        <v>0</v>
      </c>
      <c r="V1056" s="54">
        <f t="shared" si="115"/>
        <v>-0.16666666666666666</v>
      </c>
    </row>
    <row r="1057" spans="1:22" x14ac:dyDescent="0.2">
      <c r="A1057" s="46" t="s">
        <v>153</v>
      </c>
      <c r="B1057" s="46" t="s">
        <v>177</v>
      </c>
      <c r="C1057" s="46" t="s">
        <v>96</v>
      </c>
      <c r="D1057" s="46" t="s">
        <v>178</v>
      </c>
      <c r="E1057" s="46">
        <v>4</v>
      </c>
      <c r="F1057" s="46" t="s">
        <v>60</v>
      </c>
      <c r="G1057" s="46">
        <v>1</v>
      </c>
      <c r="H1057" s="47">
        <v>13</v>
      </c>
      <c r="I1057" s="47" t="s">
        <v>101</v>
      </c>
      <c r="J1057" s="48">
        <v>0</v>
      </c>
      <c r="K1057" s="48">
        <v>0</v>
      </c>
      <c r="R1057" s="46">
        <f t="shared" si="111"/>
        <v>0</v>
      </c>
      <c r="S1057" s="46">
        <f t="shared" si="112"/>
        <v>0</v>
      </c>
      <c r="T1057" s="46">
        <f t="shared" si="113"/>
        <v>0</v>
      </c>
      <c r="U1057" s="46">
        <f t="shared" si="114"/>
        <v>0</v>
      </c>
      <c r="V1057" s="54">
        <f t="shared" si="115"/>
        <v>-0.16666666666666666</v>
      </c>
    </row>
    <row r="1058" spans="1:22" x14ac:dyDescent="0.2">
      <c r="A1058" s="46" t="s">
        <v>153</v>
      </c>
      <c r="B1058" s="46" t="s">
        <v>177</v>
      </c>
      <c r="C1058" s="46" t="s">
        <v>96</v>
      </c>
      <c r="D1058" s="46" t="s">
        <v>178</v>
      </c>
      <c r="E1058" s="46">
        <v>2</v>
      </c>
      <c r="F1058" s="46" t="s">
        <v>60</v>
      </c>
      <c r="G1058" s="46">
        <v>4</v>
      </c>
      <c r="H1058" s="47">
        <v>16</v>
      </c>
      <c r="I1058" s="47" t="s">
        <v>102</v>
      </c>
      <c r="J1058" s="48">
        <v>0</v>
      </c>
      <c r="K1058" s="48">
        <v>0</v>
      </c>
      <c r="R1058" s="46">
        <f t="shared" si="111"/>
        <v>0</v>
      </c>
      <c r="S1058" s="46">
        <f t="shared" si="112"/>
        <v>0</v>
      </c>
      <c r="T1058" s="46">
        <f t="shared" ref="T1058:T1089" si="116">quizscore(J1058,K1058)</f>
        <v>0</v>
      </c>
      <c r="U1058" s="46">
        <f t="shared" si="114"/>
        <v>0</v>
      </c>
      <c r="V1058" s="54">
        <f t="shared" si="115"/>
        <v>-0.16666666666666666</v>
      </c>
    </row>
    <row r="1059" spans="1:22" x14ac:dyDescent="0.2">
      <c r="A1059" s="46" t="s">
        <v>153</v>
      </c>
      <c r="B1059" s="46" t="s">
        <v>177</v>
      </c>
      <c r="C1059" s="46" t="s">
        <v>96</v>
      </c>
      <c r="D1059" s="46" t="s">
        <v>178</v>
      </c>
      <c r="E1059" s="46">
        <v>3</v>
      </c>
      <c r="F1059" s="46" t="s">
        <v>60</v>
      </c>
      <c r="G1059" s="46">
        <v>4</v>
      </c>
      <c r="H1059" s="47">
        <v>16</v>
      </c>
      <c r="I1059" s="47" t="s">
        <v>102</v>
      </c>
      <c r="J1059" s="48">
        <v>0</v>
      </c>
      <c r="K1059" s="48">
        <v>0</v>
      </c>
      <c r="R1059" s="46">
        <f t="shared" si="111"/>
        <v>0</v>
      </c>
      <c r="S1059" s="46">
        <f t="shared" si="112"/>
        <v>0</v>
      </c>
      <c r="T1059" s="46">
        <f t="shared" si="116"/>
        <v>0</v>
      </c>
      <c r="U1059" s="46">
        <f t="shared" si="114"/>
        <v>0</v>
      </c>
      <c r="V1059" s="54">
        <f t="shared" si="115"/>
        <v>-0.16666666666666666</v>
      </c>
    </row>
    <row r="1060" spans="1:22" x14ac:dyDescent="0.2">
      <c r="A1060" s="46" t="s">
        <v>153</v>
      </c>
      <c r="B1060" s="46" t="s">
        <v>177</v>
      </c>
      <c r="C1060" s="46" t="s">
        <v>96</v>
      </c>
      <c r="D1060" s="46" t="s">
        <v>178</v>
      </c>
      <c r="E1060" s="46">
        <v>1</v>
      </c>
      <c r="F1060" s="46" t="s">
        <v>60</v>
      </c>
      <c r="G1060" s="46">
        <v>4</v>
      </c>
      <c r="H1060" s="47">
        <v>20</v>
      </c>
      <c r="I1060" s="47" t="s">
        <v>102</v>
      </c>
      <c r="J1060" s="48">
        <v>0</v>
      </c>
      <c r="K1060" s="48">
        <v>0</v>
      </c>
      <c r="R1060" s="46">
        <f t="shared" si="111"/>
        <v>0</v>
      </c>
      <c r="S1060" s="46">
        <f t="shared" si="112"/>
        <v>0</v>
      </c>
      <c r="T1060" s="46">
        <f t="shared" si="116"/>
        <v>0</v>
      </c>
      <c r="U1060" s="46">
        <f t="shared" si="114"/>
        <v>0</v>
      </c>
      <c r="V1060" s="54">
        <f t="shared" si="115"/>
        <v>-0.16666666666666666</v>
      </c>
    </row>
    <row r="1061" spans="1:22" x14ac:dyDescent="0.2">
      <c r="A1061" s="46" t="s">
        <v>153</v>
      </c>
      <c r="B1061" s="46" t="s">
        <v>177</v>
      </c>
      <c r="C1061" s="46" t="s">
        <v>96</v>
      </c>
      <c r="D1061" s="46" t="s">
        <v>178</v>
      </c>
      <c r="E1061" s="46">
        <v>2</v>
      </c>
      <c r="F1061" s="46" t="s">
        <v>60</v>
      </c>
      <c r="G1061" s="46">
        <v>3</v>
      </c>
      <c r="H1061" s="47">
        <v>23</v>
      </c>
      <c r="I1061" s="47" t="s">
        <v>116</v>
      </c>
      <c r="J1061" s="48">
        <v>0</v>
      </c>
      <c r="K1061" s="48">
        <v>0</v>
      </c>
      <c r="R1061" s="46">
        <f t="shared" si="111"/>
        <v>0</v>
      </c>
      <c r="S1061" s="46">
        <f t="shared" si="112"/>
        <v>0</v>
      </c>
      <c r="T1061" s="46">
        <f t="shared" si="116"/>
        <v>0</v>
      </c>
      <c r="U1061" s="46">
        <f t="shared" si="114"/>
        <v>0</v>
      </c>
      <c r="V1061" s="54">
        <f t="shared" si="115"/>
        <v>-0.16666666666666666</v>
      </c>
    </row>
    <row r="1062" spans="1:22" x14ac:dyDescent="0.2">
      <c r="A1062" s="46" t="s">
        <v>153</v>
      </c>
      <c r="B1062" s="46" t="s">
        <v>177</v>
      </c>
      <c r="C1062" s="46" t="s">
        <v>96</v>
      </c>
      <c r="D1062" s="46" t="s">
        <v>178</v>
      </c>
      <c r="E1062" s="46">
        <v>4</v>
      </c>
      <c r="F1062" s="46" t="s">
        <v>60</v>
      </c>
      <c r="G1062" s="46">
        <v>3</v>
      </c>
      <c r="H1062" s="47">
        <v>23</v>
      </c>
      <c r="I1062" s="47" t="s">
        <v>159</v>
      </c>
      <c r="J1062" s="48">
        <v>0</v>
      </c>
      <c r="K1062" s="48">
        <v>1</v>
      </c>
      <c r="R1062" s="46">
        <f t="shared" si="111"/>
        <v>0</v>
      </c>
      <c r="S1062" s="46">
        <f t="shared" si="112"/>
        <v>0</v>
      </c>
      <c r="T1062" s="46">
        <f t="shared" si="116"/>
        <v>0</v>
      </c>
      <c r="U1062" s="46">
        <f t="shared" si="114"/>
        <v>0</v>
      </c>
      <c r="V1062" s="54">
        <f t="shared" si="115"/>
        <v>-0.16666666666666666</v>
      </c>
    </row>
    <row r="1063" spans="1:22" x14ac:dyDescent="0.2">
      <c r="A1063" s="46" t="s">
        <v>153</v>
      </c>
      <c r="B1063" s="46" t="s">
        <v>177</v>
      </c>
      <c r="C1063" s="46" t="s">
        <v>96</v>
      </c>
      <c r="D1063" s="46" t="s">
        <v>178</v>
      </c>
      <c r="E1063" s="46">
        <v>3</v>
      </c>
      <c r="F1063" s="46" t="s">
        <v>60</v>
      </c>
      <c r="G1063" s="46">
        <v>1</v>
      </c>
      <c r="H1063" s="47">
        <v>25</v>
      </c>
      <c r="I1063" s="47" t="s">
        <v>116</v>
      </c>
      <c r="J1063" s="48">
        <v>0</v>
      </c>
      <c r="K1063" s="48">
        <v>0</v>
      </c>
      <c r="R1063" s="46">
        <f t="shared" si="111"/>
        <v>0</v>
      </c>
      <c r="S1063" s="46">
        <f t="shared" si="112"/>
        <v>0</v>
      </c>
      <c r="T1063" s="46">
        <f t="shared" si="116"/>
        <v>0</v>
      </c>
      <c r="U1063" s="46">
        <f t="shared" si="114"/>
        <v>0</v>
      </c>
      <c r="V1063" s="54">
        <f t="shared" si="115"/>
        <v>-0.16666666666666666</v>
      </c>
    </row>
    <row r="1064" spans="1:22" x14ac:dyDescent="0.2">
      <c r="A1064" s="46" t="s">
        <v>153</v>
      </c>
      <c r="B1064" s="46" t="s">
        <v>177</v>
      </c>
      <c r="C1064" s="46" t="s">
        <v>96</v>
      </c>
      <c r="D1064" s="46" t="s">
        <v>178</v>
      </c>
      <c r="E1064" s="46">
        <v>1</v>
      </c>
      <c r="F1064" s="46" t="s">
        <v>60</v>
      </c>
      <c r="G1064" s="46">
        <v>4</v>
      </c>
      <c r="H1064" s="47">
        <v>28</v>
      </c>
      <c r="I1064" s="47" t="s">
        <v>102</v>
      </c>
      <c r="J1064" s="48">
        <v>0</v>
      </c>
      <c r="K1064" s="48">
        <v>0</v>
      </c>
      <c r="R1064" s="46">
        <f t="shared" si="111"/>
        <v>0</v>
      </c>
      <c r="S1064" s="46">
        <f t="shared" si="112"/>
        <v>0</v>
      </c>
      <c r="T1064" s="46">
        <f t="shared" si="116"/>
        <v>0</v>
      </c>
      <c r="U1064" s="46">
        <f t="shared" si="114"/>
        <v>0</v>
      </c>
      <c r="V1064" s="54">
        <f t="shared" si="115"/>
        <v>-0.16666666666666666</v>
      </c>
    </row>
    <row r="1065" spans="1:22" x14ac:dyDescent="0.2">
      <c r="A1065" s="46" t="s">
        <v>153</v>
      </c>
      <c r="B1065" s="46" t="s">
        <v>177</v>
      </c>
      <c r="C1065" s="46" t="s">
        <v>96</v>
      </c>
      <c r="D1065" s="46" t="s">
        <v>178</v>
      </c>
      <c r="E1065" s="46">
        <v>2</v>
      </c>
      <c r="F1065" s="46" t="s">
        <v>60</v>
      </c>
      <c r="G1065" s="46">
        <v>1</v>
      </c>
      <c r="H1065" s="47">
        <v>29</v>
      </c>
      <c r="I1065" s="47" t="s">
        <v>101</v>
      </c>
      <c r="J1065" s="48">
        <v>0</v>
      </c>
      <c r="K1065" s="48">
        <v>0</v>
      </c>
      <c r="R1065" s="46">
        <f t="shared" si="111"/>
        <v>0</v>
      </c>
      <c r="S1065" s="46">
        <f t="shared" si="112"/>
        <v>0</v>
      </c>
      <c r="T1065" s="46">
        <f t="shared" si="116"/>
        <v>0</v>
      </c>
      <c r="U1065" s="46">
        <f t="shared" si="114"/>
        <v>0</v>
      </c>
      <c r="V1065" s="54">
        <f t="shared" si="115"/>
        <v>-0.16666666666666666</v>
      </c>
    </row>
    <row r="1066" spans="1:22" x14ac:dyDescent="0.2">
      <c r="A1066" s="46" t="s">
        <v>153</v>
      </c>
      <c r="B1066" s="46" t="s">
        <v>177</v>
      </c>
      <c r="C1066" s="46" t="s">
        <v>96</v>
      </c>
      <c r="D1066" s="46" t="s">
        <v>178</v>
      </c>
      <c r="E1066" s="46">
        <v>4</v>
      </c>
      <c r="F1066" s="46" t="s">
        <v>60</v>
      </c>
      <c r="G1066" s="46">
        <v>1</v>
      </c>
      <c r="H1066" s="47">
        <v>29</v>
      </c>
      <c r="I1066" s="47" t="s">
        <v>101</v>
      </c>
      <c r="J1066" s="48">
        <v>0</v>
      </c>
      <c r="K1066" s="48">
        <v>0</v>
      </c>
      <c r="R1066" s="46">
        <f t="shared" si="111"/>
        <v>0</v>
      </c>
      <c r="S1066" s="46">
        <f t="shared" si="112"/>
        <v>0</v>
      </c>
      <c r="T1066" s="46">
        <f t="shared" si="116"/>
        <v>0</v>
      </c>
      <c r="U1066" s="46">
        <f t="shared" si="114"/>
        <v>0</v>
      </c>
      <c r="V1066" s="54">
        <f t="shared" si="115"/>
        <v>-0.16666666666666666</v>
      </c>
    </row>
    <row r="1067" spans="1:22" x14ac:dyDescent="0.2">
      <c r="A1067" s="46" t="s">
        <v>153</v>
      </c>
      <c r="B1067" s="46" t="s">
        <v>177</v>
      </c>
      <c r="C1067" s="46" t="s">
        <v>96</v>
      </c>
      <c r="D1067" s="46" t="s">
        <v>178</v>
      </c>
      <c r="E1067" s="46">
        <v>3</v>
      </c>
      <c r="F1067" s="46" t="s">
        <v>60</v>
      </c>
      <c r="G1067" s="46">
        <v>1</v>
      </c>
      <c r="H1067" s="47">
        <v>33</v>
      </c>
      <c r="I1067" s="47" t="s">
        <v>101</v>
      </c>
      <c r="J1067" s="48">
        <v>0</v>
      </c>
      <c r="K1067" s="48">
        <v>1</v>
      </c>
      <c r="R1067" s="46">
        <f t="shared" si="111"/>
        <v>0</v>
      </c>
      <c r="S1067" s="46">
        <f t="shared" si="112"/>
        <v>0</v>
      </c>
      <c r="T1067" s="46">
        <f t="shared" si="116"/>
        <v>0</v>
      </c>
      <c r="U1067" s="46">
        <f t="shared" si="114"/>
        <v>0</v>
      </c>
      <c r="V1067" s="54">
        <f t="shared" si="115"/>
        <v>-0.16666666666666666</v>
      </c>
    </row>
    <row r="1068" spans="1:22" x14ac:dyDescent="0.2">
      <c r="A1068" s="46" t="s">
        <v>153</v>
      </c>
      <c r="B1068" s="46" t="s">
        <v>177</v>
      </c>
      <c r="C1068" s="46" t="s">
        <v>96</v>
      </c>
      <c r="D1068" s="46" t="s">
        <v>178</v>
      </c>
      <c r="E1068" s="46">
        <v>1</v>
      </c>
      <c r="F1068" s="46" t="s">
        <v>60</v>
      </c>
      <c r="G1068" s="46">
        <v>3</v>
      </c>
      <c r="H1068" s="47">
        <v>35</v>
      </c>
      <c r="I1068" s="47" t="s">
        <v>116</v>
      </c>
      <c r="J1068" s="48">
        <v>0</v>
      </c>
      <c r="K1068" s="48">
        <v>0</v>
      </c>
      <c r="R1068" s="46">
        <f t="shared" si="111"/>
        <v>0</v>
      </c>
      <c r="S1068" s="46">
        <f t="shared" si="112"/>
        <v>0</v>
      </c>
      <c r="T1068" s="46">
        <f t="shared" si="116"/>
        <v>0</v>
      </c>
      <c r="U1068" s="46">
        <f t="shared" si="114"/>
        <v>0</v>
      </c>
      <c r="V1068" s="54">
        <f t="shared" si="115"/>
        <v>-0.16666666666666666</v>
      </c>
    </row>
    <row r="1069" spans="1:22" x14ac:dyDescent="0.2">
      <c r="A1069" s="46" t="s">
        <v>153</v>
      </c>
      <c r="B1069" s="46" t="s">
        <v>177</v>
      </c>
      <c r="C1069" s="46" t="s">
        <v>96</v>
      </c>
      <c r="D1069" s="46" t="s">
        <v>178</v>
      </c>
      <c r="E1069" s="46">
        <v>2</v>
      </c>
      <c r="F1069" s="46" t="s">
        <v>60</v>
      </c>
      <c r="G1069" s="46">
        <v>2</v>
      </c>
      <c r="H1069" s="47">
        <v>38</v>
      </c>
      <c r="I1069" s="47" t="s">
        <v>127</v>
      </c>
      <c r="J1069" s="48">
        <v>0</v>
      </c>
      <c r="K1069" s="48">
        <v>0</v>
      </c>
      <c r="R1069" s="46">
        <f t="shared" si="111"/>
        <v>0</v>
      </c>
      <c r="S1069" s="46">
        <f t="shared" si="112"/>
        <v>0</v>
      </c>
      <c r="T1069" s="46">
        <f t="shared" si="116"/>
        <v>0</v>
      </c>
      <c r="U1069" s="46">
        <f t="shared" si="114"/>
        <v>0</v>
      </c>
      <c r="V1069" s="54">
        <f t="shared" si="115"/>
        <v>-0.16666666666666666</v>
      </c>
    </row>
    <row r="1070" spans="1:22" x14ac:dyDescent="0.2">
      <c r="A1070" s="46" t="s">
        <v>153</v>
      </c>
      <c r="B1070" s="46" t="s">
        <v>177</v>
      </c>
      <c r="C1070" s="46" t="s">
        <v>96</v>
      </c>
      <c r="D1070" s="46" t="s">
        <v>178</v>
      </c>
      <c r="E1070" s="46">
        <v>4</v>
      </c>
      <c r="F1070" s="46" t="s">
        <v>60</v>
      </c>
      <c r="G1070" s="46">
        <v>2</v>
      </c>
      <c r="H1070" s="47">
        <v>38</v>
      </c>
      <c r="I1070" s="47" t="s">
        <v>127</v>
      </c>
      <c r="J1070" s="48">
        <v>0</v>
      </c>
      <c r="K1070" s="48">
        <v>0</v>
      </c>
      <c r="R1070" s="46">
        <f t="shared" si="111"/>
        <v>0</v>
      </c>
      <c r="S1070" s="46">
        <f t="shared" si="112"/>
        <v>0</v>
      </c>
      <c r="T1070" s="46">
        <f t="shared" si="116"/>
        <v>0</v>
      </c>
      <c r="U1070" s="46">
        <f t="shared" si="114"/>
        <v>0</v>
      </c>
      <c r="V1070" s="54">
        <f t="shared" si="115"/>
        <v>-0.16666666666666666</v>
      </c>
    </row>
    <row r="1071" spans="1:22" x14ac:dyDescent="0.2">
      <c r="A1071" s="46" t="s">
        <v>153</v>
      </c>
      <c r="B1071" s="46" t="s">
        <v>177</v>
      </c>
      <c r="C1071" s="46" t="s">
        <v>96</v>
      </c>
      <c r="D1071" s="46" t="s">
        <v>178</v>
      </c>
      <c r="E1071" s="46">
        <v>1</v>
      </c>
      <c r="F1071" s="46" t="s">
        <v>60</v>
      </c>
      <c r="G1071" s="46">
        <v>2</v>
      </c>
      <c r="H1071" s="47">
        <v>42</v>
      </c>
      <c r="I1071" s="47" t="s">
        <v>127</v>
      </c>
      <c r="J1071" s="48">
        <v>0</v>
      </c>
      <c r="K1071" s="48">
        <v>0</v>
      </c>
      <c r="R1071" s="46">
        <f t="shared" si="111"/>
        <v>0</v>
      </c>
      <c r="S1071" s="46">
        <f t="shared" si="112"/>
        <v>0</v>
      </c>
      <c r="T1071" s="46">
        <f t="shared" si="116"/>
        <v>0</v>
      </c>
      <c r="U1071" s="46">
        <f t="shared" si="114"/>
        <v>0</v>
      </c>
      <c r="V1071" s="54">
        <f t="shared" si="115"/>
        <v>-0.16666666666666666</v>
      </c>
    </row>
    <row r="1072" spans="1:22" x14ac:dyDescent="0.2">
      <c r="A1072" s="46" t="s">
        <v>153</v>
      </c>
      <c r="B1072" s="46" t="s">
        <v>177</v>
      </c>
      <c r="C1072" s="46" t="s">
        <v>96</v>
      </c>
      <c r="D1072" s="46" t="s">
        <v>178</v>
      </c>
      <c r="E1072" s="46">
        <v>3</v>
      </c>
      <c r="F1072" s="46" t="s">
        <v>60</v>
      </c>
      <c r="G1072" s="46">
        <v>2</v>
      </c>
      <c r="H1072" s="47">
        <v>42</v>
      </c>
      <c r="I1072" s="47" t="s">
        <v>127</v>
      </c>
      <c r="J1072" s="48">
        <v>0</v>
      </c>
      <c r="K1072" s="48">
        <v>0</v>
      </c>
      <c r="R1072" s="46">
        <f t="shared" si="111"/>
        <v>0</v>
      </c>
      <c r="S1072" s="46">
        <f t="shared" si="112"/>
        <v>0</v>
      </c>
      <c r="T1072" s="46">
        <f t="shared" si="116"/>
        <v>0</v>
      </c>
      <c r="U1072" s="46">
        <f t="shared" si="114"/>
        <v>0</v>
      </c>
      <c r="V1072" s="54">
        <f t="shared" si="115"/>
        <v>-0.16666666666666666</v>
      </c>
    </row>
    <row r="1073" spans="1:22" x14ac:dyDescent="0.2">
      <c r="A1073" s="46" t="s">
        <v>153</v>
      </c>
      <c r="B1073" s="46" t="s">
        <v>177</v>
      </c>
      <c r="C1073" s="46" t="s">
        <v>96</v>
      </c>
      <c r="D1073" s="46" t="s">
        <v>178</v>
      </c>
      <c r="E1073" s="46">
        <v>4</v>
      </c>
      <c r="F1073" s="46" t="s">
        <v>60</v>
      </c>
      <c r="G1073" s="46">
        <v>2</v>
      </c>
      <c r="H1073" s="47">
        <v>42</v>
      </c>
      <c r="I1073" s="47" t="s">
        <v>127</v>
      </c>
      <c r="J1073" s="48">
        <v>0</v>
      </c>
      <c r="K1073" s="48">
        <v>0</v>
      </c>
      <c r="R1073" s="46">
        <f t="shared" si="111"/>
        <v>0</v>
      </c>
      <c r="S1073" s="46">
        <f t="shared" si="112"/>
        <v>0</v>
      </c>
      <c r="T1073" s="46">
        <f t="shared" si="116"/>
        <v>0</v>
      </c>
      <c r="U1073" s="46">
        <f t="shared" si="114"/>
        <v>0</v>
      </c>
      <c r="V1073" s="54">
        <f t="shared" si="115"/>
        <v>-0.16666666666666666</v>
      </c>
    </row>
    <row r="1074" spans="1:22" x14ac:dyDescent="0.2">
      <c r="A1074" s="46" t="s">
        <v>153</v>
      </c>
      <c r="B1074" s="46" t="s">
        <v>177</v>
      </c>
      <c r="C1074" s="46" t="s">
        <v>96</v>
      </c>
      <c r="D1074" s="46" t="s">
        <v>178</v>
      </c>
      <c r="E1074" s="46">
        <v>1</v>
      </c>
      <c r="F1074" s="46" t="s">
        <v>60</v>
      </c>
      <c r="G1074" s="46">
        <v>1</v>
      </c>
      <c r="H1074" s="47">
        <v>49</v>
      </c>
      <c r="I1074" s="47" t="s">
        <v>101</v>
      </c>
      <c r="J1074" s="48">
        <v>0</v>
      </c>
      <c r="K1074" s="48">
        <v>0</v>
      </c>
      <c r="R1074" s="46">
        <f t="shared" si="111"/>
        <v>0</v>
      </c>
      <c r="S1074" s="46">
        <f t="shared" si="112"/>
        <v>0</v>
      </c>
      <c r="T1074" s="46">
        <f t="shared" si="116"/>
        <v>0</v>
      </c>
      <c r="U1074" s="46">
        <f t="shared" si="114"/>
        <v>0</v>
      </c>
      <c r="V1074" s="54">
        <f t="shared" si="115"/>
        <v>-0.16666666666666666</v>
      </c>
    </row>
    <row r="1075" spans="1:22" x14ac:dyDescent="0.2">
      <c r="A1075" s="46" t="s">
        <v>153</v>
      </c>
      <c r="B1075" s="46" t="s">
        <v>177</v>
      </c>
      <c r="C1075" s="46" t="s">
        <v>96</v>
      </c>
      <c r="D1075" s="46" t="s">
        <v>178</v>
      </c>
      <c r="E1075" s="46">
        <v>2</v>
      </c>
      <c r="F1075" s="46" t="s">
        <v>61</v>
      </c>
      <c r="G1075" s="46">
        <v>1</v>
      </c>
      <c r="H1075" s="47" t="s">
        <v>70</v>
      </c>
      <c r="I1075" s="47" t="s">
        <v>101</v>
      </c>
      <c r="J1075" s="48">
        <v>0</v>
      </c>
      <c r="K1075" s="48">
        <v>0</v>
      </c>
      <c r="R1075" s="46">
        <f t="shared" si="111"/>
        <v>0</v>
      </c>
      <c r="S1075" s="46">
        <f t="shared" si="112"/>
        <v>0</v>
      </c>
      <c r="T1075" s="46">
        <f t="shared" si="116"/>
        <v>0</v>
      </c>
      <c r="U1075" s="46">
        <f t="shared" si="114"/>
        <v>0</v>
      </c>
      <c r="V1075" s="54">
        <f t="shared" si="115"/>
        <v>-0.16666666666666666</v>
      </c>
    </row>
    <row r="1076" spans="1:22" x14ac:dyDescent="0.2">
      <c r="A1076" s="46" t="s">
        <v>153</v>
      </c>
      <c r="B1076" s="46" t="s">
        <v>177</v>
      </c>
      <c r="C1076" s="46" t="s">
        <v>96</v>
      </c>
      <c r="D1076" s="46" t="s">
        <v>178</v>
      </c>
      <c r="E1076" s="46">
        <v>4</v>
      </c>
      <c r="F1076" s="46" t="s">
        <v>61</v>
      </c>
      <c r="G1076" s="46">
        <v>1</v>
      </c>
      <c r="H1076" s="47" t="s">
        <v>70</v>
      </c>
      <c r="I1076" s="47" t="s">
        <v>101</v>
      </c>
      <c r="J1076" s="48">
        <v>0</v>
      </c>
      <c r="K1076" s="48">
        <v>0</v>
      </c>
      <c r="R1076" s="46">
        <f t="shared" si="111"/>
        <v>0</v>
      </c>
      <c r="S1076" s="46">
        <f t="shared" si="112"/>
        <v>0</v>
      </c>
      <c r="T1076" s="46">
        <f t="shared" si="116"/>
        <v>0</v>
      </c>
      <c r="U1076" s="46">
        <f t="shared" si="114"/>
        <v>0</v>
      </c>
      <c r="V1076" s="54">
        <f t="shared" si="115"/>
        <v>-0.16666666666666666</v>
      </c>
    </row>
    <row r="1077" spans="1:22" x14ac:dyDescent="0.2">
      <c r="A1077" s="46" t="s">
        <v>153</v>
      </c>
      <c r="B1077" s="46" t="s">
        <v>177</v>
      </c>
      <c r="C1077" s="46" t="s">
        <v>96</v>
      </c>
      <c r="D1077" s="46" t="s">
        <v>178</v>
      </c>
      <c r="E1077" s="46">
        <v>1</v>
      </c>
      <c r="F1077" s="46" t="s">
        <v>61</v>
      </c>
      <c r="G1077" s="46">
        <v>1</v>
      </c>
      <c r="H1077" s="47" t="s">
        <v>74</v>
      </c>
      <c r="I1077" s="47" t="s">
        <v>101</v>
      </c>
      <c r="J1077" s="48">
        <v>0</v>
      </c>
      <c r="K1077" s="48">
        <v>0</v>
      </c>
      <c r="R1077" s="46">
        <f t="shared" si="111"/>
        <v>0</v>
      </c>
      <c r="S1077" s="46">
        <f t="shared" si="112"/>
        <v>0</v>
      </c>
      <c r="T1077" s="46">
        <f t="shared" si="116"/>
        <v>0</v>
      </c>
      <c r="U1077" s="46">
        <f t="shared" si="114"/>
        <v>0</v>
      </c>
      <c r="V1077" s="54">
        <f t="shared" si="115"/>
        <v>-0.16666666666666666</v>
      </c>
    </row>
    <row r="1078" spans="1:22" x14ac:dyDescent="0.2">
      <c r="A1078" s="46" t="s">
        <v>153</v>
      </c>
      <c r="B1078" s="46" t="s">
        <v>177</v>
      </c>
      <c r="C1078" s="46" t="s">
        <v>96</v>
      </c>
      <c r="D1078" s="46" t="s">
        <v>178</v>
      </c>
      <c r="E1078" s="46">
        <v>3</v>
      </c>
      <c r="F1078" s="46" t="s">
        <v>61</v>
      </c>
      <c r="G1078" s="46">
        <v>1</v>
      </c>
      <c r="H1078" s="47" t="s">
        <v>74</v>
      </c>
      <c r="I1078" s="47" t="s">
        <v>101</v>
      </c>
      <c r="J1078" s="48">
        <v>0</v>
      </c>
      <c r="K1078" s="48">
        <v>0</v>
      </c>
      <c r="R1078" s="46">
        <f t="shared" si="111"/>
        <v>0</v>
      </c>
      <c r="S1078" s="46">
        <f t="shared" si="112"/>
        <v>0</v>
      </c>
      <c r="T1078" s="46">
        <f t="shared" si="116"/>
        <v>0</v>
      </c>
      <c r="U1078" s="46">
        <f t="shared" si="114"/>
        <v>0</v>
      </c>
      <c r="V1078" s="54">
        <f t="shared" si="115"/>
        <v>-0.16666666666666666</v>
      </c>
    </row>
    <row r="1079" spans="1:22" x14ac:dyDescent="0.2">
      <c r="A1079" s="46" t="s">
        <v>153</v>
      </c>
      <c r="B1079" s="46" t="s">
        <v>177</v>
      </c>
      <c r="C1079" s="46" t="s">
        <v>96</v>
      </c>
      <c r="D1079" s="46" t="s">
        <v>178</v>
      </c>
      <c r="E1079" s="46">
        <v>1</v>
      </c>
      <c r="F1079" s="46" t="s">
        <v>61</v>
      </c>
      <c r="G1079" s="46">
        <v>1</v>
      </c>
      <c r="H1079" s="47" t="s">
        <v>68</v>
      </c>
      <c r="I1079" s="47" t="s">
        <v>101</v>
      </c>
      <c r="J1079" s="48">
        <v>0</v>
      </c>
      <c r="K1079" s="48">
        <v>0</v>
      </c>
      <c r="R1079" s="46">
        <f t="shared" si="111"/>
        <v>0</v>
      </c>
      <c r="S1079" s="46">
        <f t="shared" si="112"/>
        <v>0</v>
      </c>
      <c r="T1079" s="46">
        <f t="shared" si="116"/>
        <v>0</v>
      </c>
      <c r="U1079" s="46">
        <f t="shared" si="114"/>
        <v>0</v>
      </c>
      <c r="V1079" s="54">
        <f t="shared" si="115"/>
        <v>-0.16666666666666666</v>
      </c>
    </row>
    <row r="1080" spans="1:22" x14ac:dyDescent="0.2">
      <c r="A1080" s="46" t="s">
        <v>153</v>
      </c>
      <c r="B1080" s="46" t="s">
        <v>177</v>
      </c>
      <c r="C1080" s="46" t="s">
        <v>96</v>
      </c>
      <c r="D1080" s="46" t="s">
        <v>178</v>
      </c>
      <c r="E1080" s="46">
        <v>2</v>
      </c>
      <c r="F1080" s="46" t="s">
        <v>61</v>
      </c>
      <c r="G1080" s="46">
        <v>1</v>
      </c>
      <c r="H1080" s="47" t="s">
        <v>68</v>
      </c>
      <c r="I1080" s="47" t="s">
        <v>101</v>
      </c>
      <c r="J1080" s="48">
        <v>0</v>
      </c>
      <c r="K1080" s="48">
        <v>0</v>
      </c>
      <c r="R1080" s="46">
        <f t="shared" si="111"/>
        <v>0</v>
      </c>
      <c r="S1080" s="46">
        <f t="shared" si="112"/>
        <v>0</v>
      </c>
      <c r="T1080" s="46">
        <f t="shared" si="116"/>
        <v>0</v>
      </c>
      <c r="U1080" s="46">
        <f t="shared" si="114"/>
        <v>0</v>
      </c>
      <c r="V1080" s="54">
        <f t="shared" si="115"/>
        <v>-0.16666666666666666</v>
      </c>
    </row>
    <row r="1081" spans="1:22" x14ac:dyDescent="0.2">
      <c r="A1081" s="46" t="s">
        <v>153</v>
      </c>
      <c r="B1081" s="46" t="s">
        <v>177</v>
      </c>
      <c r="C1081" s="46" t="s">
        <v>96</v>
      </c>
      <c r="D1081" s="46" t="s">
        <v>178</v>
      </c>
      <c r="E1081" s="46">
        <v>3</v>
      </c>
      <c r="F1081" s="46" t="s">
        <v>61</v>
      </c>
      <c r="G1081" s="46">
        <v>1</v>
      </c>
      <c r="H1081" s="47" t="s">
        <v>68</v>
      </c>
      <c r="I1081" s="47" t="s">
        <v>101</v>
      </c>
      <c r="J1081" s="48">
        <v>0</v>
      </c>
      <c r="K1081" s="48">
        <v>0</v>
      </c>
      <c r="R1081" s="46">
        <f t="shared" si="111"/>
        <v>0</v>
      </c>
      <c r="S1081" s="46">
        <f t="shared" si="112"/>
        <v>0</v>
      </c>
      <c r="T1081" s="46">
        <f t="shared" si="116"/>
        <v>0</v>
      </c>
      <c r="U1081" s="46">
        <f t="shared" si="114"/>
        <v>0</v>
      </c>
      <c r="V1081" s="54">
        <f t="shared" si="115"/>
        <v>-0.16666666666666666</v>
      </c>
    </row>
    <row r="1082" spans="1:22" x14ac:dyDescent="0.2">
      <c r="A1082" s="46" t="s">
        <v>153</v>
      </c>
      <c r="B1082" s="46" t="s">
        <v>177</v>
      </c>
      <c r="C1082" s="46" t="s">
        <v>96</v>
      </c>
      <c r="D1082" s="46" t="s">
        <v>178</v>
      </c>
      <c r="E1082" s="46">
        <v>4</v>
      </c>
      <c r="F1082" s="46" t="s">
        <v>61</v>
      </c>
      <c r="G1082" s="46">
        <v>1</v>
      </c>
      <c r="H1082" s="47" t="s">
        <v>68</v>
      </c>
      <c r="I1082" s="47" t="s">
        <v>101</v>
      </c>
      <c r="J1082" s="48">
        <v>0</v>
      </c>
      <c r="K1082" s="48">
        <v>0</v>
      </c>
      <c r="R1082" s="46">
        <f t="shared" si="111"/>
        <v>0</v>
      </c>
      <c r="S1082" s="46">
        <f t="shared" si="112"/>
        <v>0</v>
      </c>
      <c r="T1082" s="46">
        <f t="shared" si="116"/>
        <v>0</v>
      </c>
      <c r="U1082" s="46">
        <f t="shared" si="114"/>
        <v>0</v>
      </c>
      <c r="V1082" s="54">
        <f t="shared" si="115"/>
        <v>-0.16666666666666666</v>
      </c>
    </row>
    <row r="1083" spans="1:22" x14ac:dyDescent="0.2">
      <c r="A1083" s="46" t="s">
        <v>153</v>
      </c>
      <c r="B1083" s="46" t="s">
        <v>177</v>
      </c>
      <c r="C1083" s="46" t="s">
        <v>96</v>
      </c>
      <c r="D1083" s="46" t="s">
        <v>178</v>
      </c>
      <c r="E1083" s="46">
        <v>1</v>
      </c>
      <c r="F1083" s="46" t="s">
        <v>61</v>
      </c>
      <c r="G1083" s="46">
        <v>1</v>
      </c>
      <c r="H1083" s="47" t="s">
        <v>69</v>
      </c>
      <c r="I1083" s="47" t="s">
        <v>101</v>
      </c>
      <c r="J1083" s="48">
        <v>0</v>
      </c>
      <c r="K1083" s="48">
        <v>0</v>
      </c>
      <c r="R1083" s="46">
        <f t="shared" si="111"/>
        <v>0</v>
      </c>
      <c r="S1083" s="46">
        <f t="shared" si="112"/>
        <v>0</v>
      </c>
      <c r="T1083" s="46">
        <f t="shared" si="116"/>
        <v>0</v>
      </c>
      <c r="U1083" s="46">
        <f t="shared" si="114"/>
        <v>0</v>
      </c>
      <c r="V1083" s="54">
        <f t="shared" si="115"/>
        <v>-0.16666666666666666</v>
      </c>
    </row>
    <row r="1084" spans="1:22" x14ac:dyDescent="0.2">
      <c r="A1084" s="46" t="s">
        <v>153</v>
      </c>
      <c r="B1084" s="46" t="s">
        <v>177</v>
      </c>
      <c r="C1084" s="46" t="s">
        <v>96</v>
      </c>
      <c r="D1084" s="46" t="s">
        <v>178</v>
      </c>
      <c r="E1084" s="46">
        <v>3</v>
      </c>
      <c r="F1084" s="46" t="s">
        <v>61</v>
      </c>
      <c r="G1084" s="46">
        <v>1</v>
      </c>
      <c r="H1084" s="47" t="s">
        <v>69</v>
      </c>
      <c r="I1084" s="47" t="s">
        <v>101</v>
      </c>
      <c r="J1084" s="48">
        <v>0</v>
      </c>
      <c r="K1084" s="48">
        <v>0</v>
      </c>
      <c r="R1084" s="46">
        <f t="shared" si="111"/>
        <v>0</v>
      </c>
      <c r="S1084" s="46">
        <f t="shared" si="112"/>
        <v>0</v>
      </c>
      <c r="T1084" s="46">
        <f t="shared" si="116"/>
        <v>0</v>
      </c>
      <c r="U1084" s="46">
        <f t="shared" si="114"/>
        <v>0</v>
      </c>
      <c r="V1084" s="54">
        <f t="shared" si="115"/>
        <v>-0.16666666666666666</v>
      </c>
    </row>
    <row r="1085" spans="1:22" x14ac:dyDescent="0.2">
      <c r="A1085" s="46" t="s">
        <v>153</v>
      </c>
      <c r="B1085" s="46" t="s">
        <v>177</v>
      </c>
      <c r="C1085" s="46" t="s">
        <v>96</v>
      </c>
      <c r="D1085" s="46" t="s">
        <v>178</v>
      </c>
      <c r="E1085" s="46">
        <v>4</v>
      </c>
      <c r="F1085" s="46" t="s">
        <v>61</v>
      </c>
      <c r="G1085" s="46">
        <v>1</v>
      </c>
      <c r="H1085" s="47" t="s">
        <v>69</v>
      </c>
      <c r="I1085" s="47" t="s">
        <v>101</v>
      </c>
      <c r="J1085" s="48">
        <v>0</v>
      </c>
      <c r="K1085" s="48">
        <v>0</v>
      </c>
      <c r="R1085" s="46">
        <f t="shared" si="111"/>
        <v>0</v>
      </c>
      <c r="S1085" s="46">
        <f t="shared" si="112"/>
        <v>0</v>
      </c>
      <c r="T1085" s="46">
        <f t="shared" si="116"/>
        <v>0</v>
      </c>
      <c r="U1085" s="46">
        <f t="shared" si="114"/>
        <v>0</v>
      </c>
      <c r="V1085" s="54">
        <f t="shared" si="115"/>
        <v>-0.16666666666666666</v>
      </c>
    </row>
    <row r="1086" spans="1:22" x14ac:dyDescent="0.2">
      <c r="A1086" s="46" t="s">
        <v>153</v>
      </c>
      <c r="B1086" s="46" t="s">
        <v>177</v>
      </c>
      <c r="C1086" s="46" t="s">
        <v>96</v>
      </c>
      <c r="D1086" s="46" t="s">
        <v>178</v>
      </c>
      <c r="E1086" s="46">
        <v>2</v>
      </c>
      <c r="F1086" s="46" t="s">
        <v>61</v>
      </c>
      <c r="G1086" s="46">
        <v>2</v>
      </c>
      <c r="H1086" s="47" t="s">
        <v>66</v>
      </c>
      <c r="I1086" s="47" t="s">
        <v>127</v>
      </c>
      <c r="J1086" s="48">
        <v>0</v>
      </c>
      <c r="K1086" s="48">
        <v>0</v>
      </c>
      <c r="M1086" s="48">
        <v>1</v>
      </c>
      <c r="R1086" s="46">
        <f t="shared" si="111"/>
        <v>0</v>
      </c>
      <c r="S1086" s="46">
        <f t="shared" si="112"/>
        <v>0</v>
      </c>
      <c r="T1086" s="46">
        <f t="shared" si="116"/>
        <v>0</v>
      </c>
      <c r="U1086" s="46">
        <f t="shared" si="114"/>
        <v>20</v>
      </c>
      <c r="V1086" s="54">
        <f t="shared" si="115"/>
        <v>-0.16666666666666666</v>
      </c>
    </row>
    <row r="1087" spans="1:22" x14ac:dyDescent="0.2">
      <c r="A1087" s="46" t="s">
        <v>153</v>
      </c>
      <c r="B1087" s="46" t="s">
        <v>177</v>
      </c>
      <c r="C1087" s="46" t="s">
        <v>96</v>
      </c>
      <c r="D1087" s="46" t="s">
        <v>178</v>
      </c>
      <c r="E1087" s="46">
        <v>1</v>
      </c>
      <c r="F1087" s="46" t="s">
        <v>61</v>
      </c>
      <c r="G1087" s="46">
        <v>1</v>
      </c>
      <c r="H1087" s="47" t="s">
        <v>71</v>
      </c>
      <c r="I1087" s="47" t="s">
        <v>101</v>
      </c>
      <c r="J1087" s="48">
        <v>0</v>
      </c>
      <c r="K1087" s="48">
        <v>0</v>
      </c>
      <c r="R1087" s="46">
        <f t="shared" si="111"/>
        <v>0</v>
      </c>
      <c r="S1087" s="46">
        <f t="shared" si="112"/>
        <v>0</v>
      </c>
      <c r="T1087" s="46">
        <f t="shared" si="116"/>
        <v>0</v>
      </c>
      <c r="U1087" s="46">
        <f t="shared" si="114"/>
        <v>0</v>
      </c>
      <c r="V1087" s="54">
        <f t="shared" si="115"/>
        <v>-0.16666666666666666</v>
      </c>
    </row>
    <row r="1088" spans="1:22" x14ac:dyDescent="0.2">
      <c r="A1088" s="46" t="s">
        <v>153</v>
      </c>
      <c r="B1088" s="46" t="s">
        <v>177</v>
      </c>
      <c r="C1088" s="46" t="s">
        <v>96</v>
      </c>
      <c r="D1088" s="46" t="s">
        <v>178</v>
      </c>
      <c r="E1088" s="46">
        <v>2</v>
      </c>
      <c r="F1088" s="46" t="s">
        <v>61</v>
      </c>
      <c r="G1088" s="46">
        <v>1</v>
      </c>
      <c r="H1088" s="47" t="s">
        <v>71</v>
      </c>
      <c r="I1088" s="47" t="s">
        <v>101</v>
      </c>
      <c r="J1088" s="48">
        <v>0</v>
      </c>
      <c r="K1088" s="48">
        <v>0</v>
      </c>
      <c r="R1088" s="46">
        <f t="shared" si="111"/>
        <v>0</v>
      </c>
      <c r="S1088" s="46">
        <f t="shared" si="112"/>
        <v>0</v>
      </c>
      <c r="T1088" s="46">
        <f t="shared" si="116"/>
        <v>0</v>
      </c>
      <c r="U1088" s="46">
        <f t="shared" si="114"/>
        <v>0</v>
      </c>
      <c r="V1088" s="54">
        <f t="shared" si="115"/>
        <v>-0.16666666666666666</v>
      </c>
    </row>
    <row r="1089" spans="1:22" x14ac:dyDescent="0.2">
      <c r="A1089" s="46" t="s">
        <v>153</v>
      </c>
      <c r="B1089" s="46" t="s">
        <v>177</v>
      </c>
      <c r="C1089" s="46" t="s">
        <v>96</v>
      </c>
      <c r="D1089" s="46" t="s">
        <v>178</v>
      </c>
      <c r="E1089" s="46">
        <v>3</v>
      </c>
      <c r="F1089" s="46" t="s">
        <v>61</v>
      </c>
      <c r="G1089" s="46">
        <v>1</v>
      </c>
      <c r="H1089" s="47" t="s">
        <v>71</v>
      </c>
      <c r="I1089" s="47" t="s">
        <v>101</v>
      </c>
      <c r="J1089" s="48">
        <v>0</v>
      </c>
      <c r="K1089" s="48">
        <v>0</v>
      </c>
      <c r="R1089" s="46">
        <f t="shared" si="111"/>
        <v>0</v>
      </c>
      <c r="S1089" s="46">
        <f t="shared" si="112"/>
        <v>0</v>
      </c>
      <c r="T1089" s="46">
        <f t="shared" si="116"/>
        <v>0</v>
      </c>
      <c r="U1089" s="46">
        <f t="shared" si="114"/>
        <v>0</v>
      </c>
      <c r="V1089" s="54">
        <f t="shared" si="115"/>
        <v>-0.16666666666666666</v>
      </c>
    </row>
    <row r="1090" spans="1:22" x14ac:dyDescent="0.2">
      <c r="A1090" s="46" t="s">
        <v>153</v>
      </c>
      <c r="B1090" s="46" t="s">
        <v>177</v>
      </c>
      <c r="C1090" s="46" t="s">
        <v>96</v>
      </c>
      <c r="D1090" s="46" t="s">
        <v>178</v>
      </c>
      <c r="E1090" s="46">
        <v>4</v>
      </c>
      <c r="F1090" s="46" t="s">
        <v>61</v>
      </c>
      <c r="G1090" s="46">
        <v>1</v>
      </c>
      <c r="H1090" s="47" t="s">
        <v>71</v>
      </c>
      <c r="I1090" s="47" t="s">
        <v>101</v>
      </c>
      <c r="J1090" s="48">
        <v>0</v>
      </c>
      <c r="K1090" s="48">
        <v>0</v>
      </c>
      <c r="R1090" s="46">
        <f t="shared" ref="R1090:R1153" si="117">IF(J1090=4,1,0)</f>
        <v>0</v>
      </c>
      <c r="S1090" s="46">
        <f t="shared" ref="S1090:S1153" si="118">IF(K1090=3,1,0)</f>
        <v>0</v>
      </c>
      <c r="T1090" s="46">
        <f t="shared" ref="T1090:T1105" si="119">quizscore(J1090,K1090)</f>
        <v>0</v>
      </c>
      <c r="U1090" s="46">
        <f t="shared" ref="U1090:U1153" si="120">T1090+M1090*(20) + (SUM(O1090:Q1090)*(10)) - L1090*(5) - N1090*(5)</f>
        <v>0</v>
      </c>
      <c r="V1090" s="54">
        <f t="shared" ref="V1090:V1153" si="121">AVERAGEIFS(U:U,A:A,A1090,F:F,"Pre")</f>
        <v>-0.16666666666666666</v>
      </c>
    </row>
    <row r="1091" spans="1:22" x14ac:dyDescent="0.2">
      <c r="A1091" s="46" t="s">
        <v>153</v>
      </c>
      <c r="B1091" s="46" t="s">
        <v>177</v>
      </c>
      <c r="C1091" s="46" t="s">
        <v>96</v>
      </c>
      <c r="D1091" s="46" t="s">
        <v>178</v>
      </c>
      <c r="E1091" s="46">
        <v>1</v>
      </c>
      <c r="F1091" s="46" t="s">
        <v>61</v>
      </c>
      <c r="G1091" s="46">
        <v>1</v>
      </c>
      <c r="H1091" s="47" t="s">
        <v>78</v>
      </c>
      <c r="I1091" s="47" t="s">
        <v>101</v>
      </c>
      <c r="J1091" s="48">
        <v>0</v>
      </c>
      <c r="K1091" s="48">
        <v>0</v>
      </c>
      <c r="R1091" s="46">
        <f t="shared" si="117"/>
        <v>0</v>
      </c>
      <c r="S1091" s="46">
        <f t="shared" si="118"/>
        <v>0</v>
      </c>
      <c r="T1091" s="46">
        <f t="shared" si="119"/>
        <v>0</v>
      </c>
      <c r="U1091" s="46">
        <f t="shared" si="120"/>
        <v>0</v>
      </c>
      <c r="V1091" s="54">
        <f t="shared" si="121"/>
        <v>-0.16666666666666666</v>
      </c>
    </row>
    <row r="1092" spans="1:22" x14ac:dyDescent="0.2">
      <c r="A1092" s="46" t="s">
        <v>153</v>
      </c>
      <c r="B1092" s="46" t="s">
        <v>177</v>
      </c>
      <c r="C1092" s="46" t="s">
        <v>96</v>
      </c>
      <c r="D1092" s="46" t="s">
        <v>178</v>
      </c>
      <c r="E1092" s="46">
        <v>1</v>
      </c>
      <c r="F1092" s="46" t="s">
        <v>61</v>
      </c>
      <c r="G1092" s="46">
        <v>1</v>
      </c>
      <c r="H1092" s="47" t="s">
        <v>78</v>
      </c>
      <c r="I1092" s="47" t="s">
        <v>101</v>
      </c>
      <c r="J1092" s="48">
        <v>0</v>
      </c>
      <c r="K1092" s="48">
        <v>0</v>
      </c>
      <c r="R1092" s="46">
        <f t="shared" si="117"/>
        <v>0</v>
      </c>
      <c r="S1092" s="46">
        <f t="shared" si="118"/>
        <v>0</v>
      </c>
      <c r="T1092" s="46">
        <f t="shared" si="119"/>
        <v>0</v>
      </c>
      <c r="U1092" s="46">
        <f t="shared" si="120"/>
        <v>0</v>
      </c>
      <c r="V1092" s="54">
        <f t="shared" si="121"/>
        <v>-0.16666666666666666</v>
      </c>
    </row>
    <row r="1093" spans="1:22" x14ac:dyDescent="0.2">
      <c r="A1093" s="46" t="s">
        <v>153</v>
      </c>
      <c r="B1093" s="46" t="s">
        <v>177</v>
      </c>
      <c r="C1093" s="46" t="s">
        <v>96</v>
      </c>
      <c r="D1093" s="46" t="s">
        <v>178</v>
      </c>
      <c r="E1093" s="46">
        <v>1</v>
      </c>
      <c r="F1093" s="46" t="s">
        <v>61</v>
      </c>
      <c r="G1093" s="46">
        <v>1</v>
      </c>
      <c r="H1093" s="47" t="s">
        <v>78</v>
      </c>
      <c r="I1093" s="47" t="s">
        <v>101</v>
      </c>
      <c r="J1093" s="48">
        <v>0</v>
      </c>
      <c r="K1093" s="48">
        <v>0</v>
      </c>
      <c r="R1093" s="46">
        <f t="shared" si="117"/>
        <v>0</v>
      </c>
      <c r="S1093" s="46">
        <f t="shared" si="118"/>
        <v>0</v>
      </c>
      <c r="T1093" s="46">
        <f t="shared" si="119"/>
        <v>0</v>
      </c>
      <c r="U1093" s="46">
        <f t="shared" si="120"/>
        <v>0</v>
      </c>
      <c r="V1093" s="54">
        <f t="shared" si="121"/>
        <v>-0.16666666666666666</v>
      </c>
    </row>
    <row r="1094" spans="1:22" x14ac:dyDescent="0.2">
      <c r="A1094" s="46" t="s">
        <v>153</v>
      </c>
      <c r="B1094" s="46" t="s">
        <v>177</v>
      </c>
      <c r="C1094" s="46" t="s">
        <v>96</v>
      </c>
      <c r="D1094" s="46" t="s">
        <v>178</v>
      </c>
      <c r="E1094" s="46">
        <v>1</v>
      </c>
      <c r="F1094" s="46" t="s">
        <v>61</v>
      </c>
      <c r="G1094" s="46">
        <v>1</v>
      </c>
      <c r="H1094" s="47" t="s">
        <v>78</v>
      </c>
      <c r="I1094" s="47" t="s">
        <v>101</v>
      </c>
      <c r="J1094" s="48">
        <v>0</v>
      </c>
      <c r="K1094" s="48">
        <v>0</v>
      </c>
      <c r="R1094" s="46">
        <f t="shared" si="117"/>
        <v>0</v>
      </c>
      <c r="S1094" s="46">
        <f t="shared" si="118"/>
        <v>0</v>
      </c>
      <c r="T1094" s="46">
        <f t="shared" si="119"/>
        <v>0</v>
      </c>
      <c r="U1094" s="46">
        <f t="shared" si="120"/>
        <v>0</v>
      </c>
      <c r="V1094" s="54">
        <f t="shared" si="121"/>
        <v>-0.16666666666666666</v>
      </c>
    </row>
    <row r="1095" spans="1:22" x14ac:dyDescent="0.2">
      <c r="A1095" s="46" t="s">
        <v>153</v>
      </c>
      <c r="B1095" s="46" t="s">
        <v>177</v>
      </c>
      <c r="C1095" s="46" t="s">
        <v>96</v>
      </c>
      <c r="D1095" s="46" t="s">
        <v>178</v>
      </c>
      <c r="E1095" s="46">
        <v>4</v>
      </c>
      <c r="F1095" s="46" t="s">
        <v>61</v>
      </c>
      <c r="G1095" s="46">
        <v>1</v>
      </c>
      <c r="H1095" s="47" t="s">
        <v>78</v>
      </c>
      <c r="I1095" s="47" t="s">
        <v>101</v>
      </c>
      <c r="J1095" s="48">
        <v>0</v>
      </c>
      <c r="K1095" s="48">
        <v>0</v>
      </c>
      <c r="R1095" s="46">
        <f t="shared" si="117"/>
        <v>0</v>
      </c>
      <c r="S1095" s="46">
        <f t="shared" si="118"/>
        <v>0</v>
      </c>
      <c r="T1095" s="46">
        <f t="shared" si="119"/>
        <v>0</v>
      </c>
      <c r="U1095" s="46">
        <f t="shared" si="120"/>
        <v>0</v>
      </c>
      <c r="V1095" s="54">
        <f t="shared" si="121"/>
        <v>-0.16666666666666666</v>
      </c>
    </row>
    <row r="1096" spans="1:22" x14ac:dyDescent="0.2">
      <c r="A1096" s="46" t="s">
        <v>153</v>
      </c>
      <c r="B1096" s="46" t="s">
        <v>177</v>
      </c>
      <c r="C1096" s="46" t="s">
        <v>96</v>
      </c>
      <c r="D1096" s="46" t="s">
        <v>178</v>
      </c>
      <c r="E1096" s="46">
        <v>4</v>
      </c>
      <c r="F1096" s="46" t="s">
        <v>61</v>
      </c>
      <c r="G1096" s="46">
        <v>1</v>
      </c>
      <c r="H1096" s="47" t="s">
        <v>78</v>
      </c>
      <c r="I1096" s="47" t="s">
        <v>101</v>
      </c>
      <c r="J1096" s="48">
        <v>0</v>
      </c>
      <c r="K1096" s="48">
        <v>0</v>
      </c>
      <c r="R1096" s="46">
        <f t="shared" si="117"/>
        <v>0</v>
      </c>
      <c r="S1096" s="46">
        <f t="shared" si="118"/>
        <v>0</v>
      </c>
      <c r="T1096" s="46">
        <f t="shared" si="119"/>
        <v>0</v>
      </c>
      <c r="U1096" s="46">
        <f t="shared" si="120"/>
        <v>0</v>
      </c>
      <c r="V1096" s="54">
        <f t="shared" si="121"/>
        <v>-0.16666666666666666</v>
      </c>
    </row>
    <row r="1097" spans="1:22" x14ac:dyDescent="0.2">
      <c r="A1097" s="46" t="s">
        <v>153</v>
      </c>
      <c r="B1097" s="46" t="s">
        <v>177</v>
      </c>
      <c r="C1097" s="46" t="s">
        <v>96</v>
      </c>
      <c r="D1097" s="46" t="s">
        <v>178</v>
      </c>
      <c r="E1097" s="46">
        <v>4</v>
      </c>
      <c r="F1097" s="46" t="s">
        <v>61</v>
      </c>
      <c r="G1097" s="46">
        <v>1</v>
      </c>
      <c r="H1097" s="47" t="s">
        <v>78</v>
      </c>
      <c r="I1097" s="47" t="s">
        <v>101</v>
      </c>
      <c r="J1097" s="48">
        <v>0</v>
      </c>
      <c r="K1097" s="48">
        <v>0</v>
      </c>
      <c r="R1097" s="46">
        <f t="shared" si="117"/>
        <v>0</v>
      </c>
      <c r="S1097" s="46">
        <f t="shared" si="118"/>
        <v>0</v>
      </c>
      <c r="T1097" s="46">
        <f t="shared" si="119"/>
        <v>0</v>
      </c>
      <c r="U1097" s="46">
        <f t="shared" si="120"/>
        <v>0</v>
      </c>
      <c r="V1097" s="54">
        <f t="shared" si="121"/>
        <v>-0.16666666666666666</v>
      </c>
    </row>
    <row r="1098" spans="1:22" x14ac:dyDescent="0.2">
      <c r="A1098" s="46" t="s">
        <v>153</v>
      </c>
      <c r="B1098" s="46" t="s">
        <v>177</v>
      </c>
      <c r="C1098" s="46" t="s">
        <v>96</v>
      </c>
      <c r="D1098" s="46" t="s">
        <v>178</v>
      </c>
      <c r="E1098" s="46">
        <v>5</v>
      </c>
      <c r="F1098" s="46" t="s">
        <v>60</v>
      </c>
      <c r="G1098" s="46">
        <v>4</v>
      </c>
      <c r="H1098" s="47">
        <v>4</v>
      </c>
      <c r="I1098" s="47" t="s">
        <v>102</v>
      </c>
      <c r="J1098" s="48">
        <v>0</v>
      </c>
      <c r="K1098" s="48">
        <v>0</v>
      </c>
      <c r="R1098" s="46">
        <f t="shared" si="117"/>
        <v>0</v>
      </c>
      <c r="S1098" s="46">
        <f t="shared" si="118"/>
        <v>0</v>
      </c>
      <c r="T1098" s="46">
        <f t="shared" si="119"/>
        <v>0</v>
      </c>
      <c r="U1098" s="46">
        <f t="shared" si="120"/>
        <v>0</v>
      </c>
      <c r="V1098" s="54">
        <f t="shared" si="121"/>
        <v>-0.16666666666666666</v>
      </c>
    </row>
    <row r="1099" spans="1:22" x14ac:dyDescent="0.2">
      <c r="A1099" s="46" t="s">
        <v>153</v>
      </c>
      <c r="B1099" s="46" t="s">
        <v>177</v>
      </c>
      <c r="C1099" s="46" t="s">
        <v>96</v>
      </c>
      <c r="D1099" s="46" t="s">
        <v>178</v>
      </c>
      <c r="E1099" s="46">
        <v>5</v>
      </c>
      <c r="F1099" s="46" t="s">
        <v>60</v>
      </c>
      <c r="G1099" s="46">
        <v>2</v>
      </c>
      <c r="H1099" s="47">
        <v>10</v>
      </c>
      <c r="I1099" s="47" t="s">
        <v>127</v>
      </c>
      <c r="J1099" s="48">
        <v>0</v>
      </c>
      <c r="K1099" s="48">
        <v>0</v>
      </c>
      <c r="N1099" s="48">
        <v>1</v>
      </c>
      <c r="R1099" s="46">
        <f t="shared" si="117"/>
        <v>0</v>
      </c>
      <c r="S1099" s="46">
        <f t="shared" si="118"/>
        <v>0</v>
      </c>
      <c r="T1099" s="46">
        <f t="shared" si="119"/>
        <v>0</v>
      </c>
      <c r="U1099" s="46">
        <f t="shared" si="120"/>
        <v>-5</v>
      </c>
      <c r="V1099" s="54">
        <f t="shared" si="121"/>
        <v>-0.16666666666666666</v>
      </c>
    </row>
    <row r="1100" spans="1:22" x14ac:dyDescent="0.2">
      <c r="A1100" s="46" t="s">
        <v>153</v>
      </c>
      <c r="B1100" s="46" t="s">
        <v>177</v>
      </c>
      <c r="C1100" s="46" t="s">
        <v>96</v>
      </c>
      <c r="D1100" s="46" t="s">
        <v>178</v>
      </c>
      <c r="E1100" s="46">
        <v>5</v>
      </c>
      <c r="F1100" s="46" t="s">
        <v>60</v>
      </c>
      <c r="G1100" s="46">
        <v>2</v>
      </c>
      <c r="H1100" s="47">
        <v>26</v>
      </c>
      <c r="I1100" s="47" t="s">
        <v>127</v>
      </c>
      <c r="J1100" s="48">
        <v>0</v>
      </c>
      <c r="K1100" s="48">
        <v>1</v>
      </c>
      <c r="R1100" s="46">
        <f t="shared" si="117"/>
        <v>0</v>
      </c>
      <c r="S1100" s="46">
        <f t="shared" si="118"/>
        <v>0</v>
      </c>
      <c r="T1100" s="46">
        <f t="shared" si="119"/>
        <v>0</v>
      </c>
      <c r="U1100" s="46">
        <f t="shared" si="120"/>
        <v>0</v>
      </c>
      <c r="V1100" s="54">
        <f t="shared" si="121"/>
        <v>-0.16666666666666666</v>
      </c>
    </row>
    <row r="1101" spans="1:22" x14ac:dyDescent="0.2">
      <c r="A1101" s="46" t="s">
        <v>153</v>
      </c>
      <c r="B1101" s="46" t="s">
        <v>177</v>
      </c>
      <c r="C1101" s="46" t="s">
        <v>96</v>
      </c>
      <c r="D1101" s="46" t="s">
        <v>178</v>
      </c>
      <c r="E1101" s="46">
        <v>5</v>
      </c>
      <c r="F1101" s="46" t="s">
        <v>60</v>
      </c>
      <c r="G1101" s="46">
        <v>3</v>
      </c>
      <c r="H1101" s="47">
        <v>35</v>
      </c>
      <c r="I1101" s="47" t="s">
        <v>159</v>
      </c>
      <c r="J1101" s="48">
        <v>0</v>
      </c>
      <c r="K1101" s="48">
        <v>0</v>
      </c>
      <c r="R1101" s="46">
        <f t="shared" si="117"/>
        <v>0</v>
      </c>
      <c r="S1101" s="46">
        <f t="shared" si="118"/>
        <v>0</v>
      </c>
      <c r="T1101" s="46">
        <f t="shared" si="119"/>
        <v>0</v>
      </c>
      <c r="U1101" s="46">
        <f t="shared" si="120"/>
        <v>0</v>
      </c>
      <c r="V1101" s="54">
        <f t="shared" si="121"/>
        <v>-0.16666666666666666</v>
      </c>
    </row>
    <row r="1102" spans="1:22" x14ac:dyDescent="0.2">
      <c r="A1102" s="46" t="s">
        <v>153</v>
      </c>
      <c r="B1102" s="46" t="s">
        <v>177</v>
      </c>
      <c r="C1102" s="46" t="s">
        <v>96</v>
      </c>
      <c r="D1102" s="46" t="s">
        <v>178</v>
      </c>
      <c r="E1102" s="46">
        <v>5</v>
      </c>
      <c r="F1102" s="46" t="s">
        <v>60</v>
      </c>
      <c r="G1102" s="46">
        <v>1</v>
      </c>
      <c r="H1102" s="47">
        <v>41</v>
      </c>
      <c r="I1102" s="47" t="s">
        <v>101</v>
      </c>
      <c r="J1102" s="48">
        <v>0</v>
      </c>
      <c r="K1102" s="48">
        <v>0</v>
      </c>
      <c r="R1102" s="46">
        <f t="shared" si="117"/>
        <v>0</v>
      </c>
      <c r="S1102" s="46">
        <f t="shared" si="118"/>
        <v>0</v>
      </c>
      <c r="T1102" s="46">
        <f t="shared" si="119"/>
        <v>0</v>
      </c>
      <c r="U1102" s="46">
        <f t="shared" si="120"/>
        <v>0</v>
      </c>
      <c r="V1102" s="54">
        <f t="shared" si="121"/>
        <v>-0.16666666666666666</v>
      </c>
    </row>
    <row r="1103" spans="1:22" x14ac:dyDescent="0.2">
      <c r="A1103" s="46" t="s">
        <v>153</v>
      </c>
      <c r="B1103" s="46" t="s">
        <v>177</v>
      </c>
      <c r="C1103" s="46" t="s">
        <v>96</v>
      </c>
      <c r="D1103" s="46" t="s">
        <v>178</v>
      </c>
      <c r="E1103" s="46">
        <v>5</v>
      </c>
      <c r="F1103" s="46" t="s">
        <v>60</v>
      </c>
      <c r="G1103" s="46">
        <v>1</v>
      </c>
      <c r="H1103" s="47">
        <v>45</v>
      </c>
      <c r="I1103" s="47" t="s">
        <v>101</v>
      </c>
      <c r="J1103" s="48">
        <v>0</v>
      </c>
      <c r="K1103" s="48">
        <v>0</v>
      </c>
      <c r="R1103" s="46">
        <f t="shared" si="117"/>
        <v>0</v>
      </c>
      <c r="S1103" s="46">
        <f t="shared" si="118"/>
        <v>0</v>
      </c>
      <c r="T1103" s="46">
        <f t="shared" si="119"/>
        <v>0</v>
      </c>
      <c r="U1103" s="46">
        <f t="shared" si="120"/>
        <v>0</v>
      </c>
      <c r="V1103" s="54">
        <f t="shared" si="121"/>
        <v>-0.16666666666666666</v>
      </c>
    </row>
    <row r="1104" spans="1:22" x14ac:dyDescent="0.2">
      <c r="A1104" s="46" t="s">
        <v>153</v>
      </c>
      <c r="B1104" s="46" t="s">
        <v>177</v>
      </c>
      <c r="C1104" s="46" t="s">
        <v>96</v>
      </c>
      <c r="D1104" s="46" t="s">
        <v>178</v>
      </c>
      <c r="E1104" s="46">
        <v>5</v>
      </c>
      <c r="F1104" s="46" t="s">
        <v>61</v>
      </c>
      <c r="G1104" s="46">
        <v>1</v>
      </c>
      <c r="H1104" s="47" t="s">
        <v>74</v>
      </c>
      <c r="I1104" s="47" t="s">
        <v>101</v>
      </c>
      <c r="J1104" s="48">
        <v>0</v>
      </c>
      <c r="K1104" s="48">
        <v>0</v>
      </c>
      <c r="R1104" s="46">
        <f t="shared" si="117"/>
        <v>0</v>
      </c>
      <c r="S1104" s="46">
        <f t="shared" si="118"/>
        <v>0</v>
      </c>
      <c r="T1104" s="46">
        <f t="shared" si="119"/>
        <v>0</v>
      </c>
      <c r="U1104" s="46">
        <f t="shared" si="120"/>
        <v>0</v>
      </c>
      <c r="V1104" s="54">
        <f t="shared" si="121"/>
        <v>-0.16666666666666666</v>
      </c>
    </row>
    <row r="1105" spans="1:22" x14ac:dyDescent="0.2">
      <c r="A1105" s="46" t="s">
        <v>153</v>
      </c>
      <c r="B1105" s="46" t="s">
        <v>177</v>
      </c>
      <c r="C1105" s="46" t="s">
        <v>96</v>
      </c>
      <c r="D1105" s="46" t="s">
        <v>178</v>
      </c>
      <c r="E1105" s="46">
        <v>5</v>
      </c>
      <c r="F1105" s="46" t="s">
        <v>61</v>
      </c>
      <c r="G1105" s="46">
        <v>1</v>
      </c>
      <c r="H1105" s="47" t="s">
        <v>75</v>
      </c>
      <c r="I1105" s="47" t="s">
        <v>101</v>
      </c>
      <c r="J1105" s="48">
        <v>0</v>
      </c>
      <c r="K1105" s="48">
        <v>0</v>
      </c>
      <c r="R1105" s="46">
        <f t="shared" si="117"/>
        <v>0</v>
      </c>
      <c r="S1105" s="46">
        <f t="shared" si="118"/>
        <v>0</v>
      </c>
      <c r="T1105" s="46">
        <f t="shared" si="119"/>
        <v>0</v>
      </c>
      <c r="U1105" s="46">
        <f t="shared" si="120"/>
        <v>0</v>
      </c>
      <c r="V1105" s="54">
        <f t="shared" si="121"/>
        <v>-0.16666666666666666</v>
      </c>
    </row>
    <row r="1106" spans="1:22" x14ac:dyDescent="0.2">
      <c r="A1106" s="46" t="s">
        <v>153</v>
      </c>
      <c r="B1106" s="46" t="s">
        <v>177</v>
      </c>
      <c r="C1106" s="46" t="s">
        <v>96</v>
      </c>
      <c r="D1106" s="46" t="s">
        <v>178</v>
      </c>
      <c r="E1106" s="46">
        <v>5</v>
      </c>
      <c r="F1106" s="46" t="s">
        <v>61</v>
      </c>
      <c r="G1106" s="46">
        <v>1</v>
      </c>
      <c r="H1106" s="47" t="s">
        <v>78</v>
      </c>
      <c r="I1106" s="47" t="s">
        <v>101</v>
      </c>
      <c r="J1106" s="48">
        <v>0</v>
      </c>
      <c r="K1106" s="48">
        <v>0</v>
      </c>
      <c r="R1106" s="46">
        <f t="shared" si="117"/>
        <v>0</v>
      </c>
      <c r="S1106" s="46">
        <f t="shared" si="118"/>
        <v>0</v>
      </c>
      <c r="U1106" s="46">
        <f t="shared" si="120"/>
        <v>0</v>
      </c>
      <c r="V1106" s="54">
        <f t="shared" si="121"/>
        <v>-0.16666666666666666</v>
      </c>
    </row>
    <row r="1107" spans="1:22" x14ac:dyDescent="0.2">
      <c r="A1107" s="46" t="s">
        <v>153</v>
      </c>
      <c r="B1107" s="46" t="s">
        <v>177</v>
      </c>
      <c r="C1107" s="46" t="s">
        <v>96</v>
      </c>
      <c r="D1107" s="46" t="s">
        <v>178</v>
      </c>
      <c r="E1107" s="46">
        <v>5</v>
      </c>
      <c r="F1107" s="46" t="s">
        <v>61</v>
      </c>
      <c r="G1107" s="46">
        <v>1</v>
      </c>
      <c r="H1107" s="47" t="s">
        <v>78</v>
      </c>
      <c r="I1107" s="47" t="s">
        <v>101</v>
      </c>
      <c r="J1107" s="48">
        <v>0</v>
      </c>
      <c r="K1107" s="48">
        <v>0</v>
      </c>
      <c r="R1107" s="46">
        <f t="shared" si="117"/>
        <v>0</v>
      </c>
      <c r="S1107" s="46">
        <f t="shared" si="118"/>
        <v>0</v>
      </c>
      <c r="U1107" s="46">
        <f t="shared" si="120"/>
        <v>0</v>
      </c>
      <c r="V1107" s="54">
        <f t="shared" si="121"/>
        <v>-0.16666666666666666</v>
      </c>
    </row>
    <row r="1108" spans="1:22" x14ac:dyDescent="0.2">
      <c r="A1108" s="46" t="s">
        <v>139</v>
      </c>
      <c r="B1108" s="46" t="s">
        <v>52</v>
      </c>
      <c r="C1108" s="46" t="s">
        <v>90</v>
      </c>
      <c r="D1108" s="46" t="s">
        <v>178</v>
      </c>
      <c r="E1108" s="46">
        <v>3</v>
      </c>
      <c r="F1108" s="46" t="s">
        <v>60</v>
      </c>
      <c r="G1108" s="46">
        <v>2</v>
      </c>
      <c r="H1108" s="47">
        <v>10</v>
      </c>
      <c r="I1108" s="47" t="s">
        <v>127</v>
      </c>
      <c r="J1108" s="48">
        <v>2</v>
      </c>
      <c r="K1108" s="48">
        <v>3</v>
      </c>
      <c r="R1108" s="46">
        <f t="shared" si="117"/>
        <v>0</v>
      </c>
      <c r="S1108" s="46">
        <f t="shared" si="118"/>
        <v>1</v>
      </c>
      <c r="T1108" s="46">
        <f t="shared" ref="T1108:T1139" si="122">quizscore(J1108,K1108)</f>
        <v>20</v>
      </c>
      <c r="U1108" s="46">
        <f t="shared" si="120"/>
        <v>20</v>
      </c>
      <c r="V1108" s="54">
        <f t="shared" si="121"/>
        <v>76.166666666666671</v>
      </c>
    </row>
    <row r="1109" spans="1:22" x14ac:dyDescent="0.2">
      <c r="A1109" s="46" t="s">
        <v>139</v>
      </c>
      <c r="B1109" s="46" t="s">
        <v>52</v>
      </c>
      <c r="C1109" s="46" t="s">
        <v>90</v>
      </c>
      <c r="D1109" s="46" t="s">
        <v>178</v>
      </c>
      <c r="E1109" s="46">
        <v>1</v>
      </c>
      <c r="F1109" s="46" t="s">
        <v>62</v>
      </c>
      <c r="G1109" s="46">
        <v>2</v>
      </c>
      <c r="H1109" s="47" t="s">
        <v>82</v>
      </c>
      <c r="I1109" s="47" t="s">
        <v>127</v>
      </c>
      <c r="J1109" s="48">
        <v>2</v>
      </c>
      <c r="K1109" s="48">
        <v>3</v>
      </c>
      <c r="R1109" s="46">
        <f t="shared" si="117"/>
        <v>0</v>
      </c>
      <c r="S1109" s="46">
        <f t="shared" si="118"/>
        <v>1</v>
      </c>
      <c r="T1109" s="46">
        <f t="shared" si="122"/>
        <v>20</v>
      </c>
      <c r="U1109" s="46">
        <f t="shared" si="120"/>
        <v>20</v>
      </c>
      <c r="V1109" s="54">
        <f t="shared" si="121"/>
        <v>76.166666666666671</v>
      </c>
    </row>
    <row r="1110" spans="1:22" x14ac:dyDescent="0.2">
      <c r="A1110" s="46" t="s">
        <v>139</v>
      </c>
      <c r="B1110" s="46" t="s">
        <v>52</v>
      </c>
      <c r="C1110" s="46" t="s">
        <v>90</v>
      </c>
      <c r="D1110" s="46" t="s">
        <v>178</v>
      </c>
      <c r="E1110" s="46">
        <v>2</v>
      </c>
      <c r="F1110" s="46" t="s">
        <v>61</v>
      </c>
      <c r="G1110" s="46">
        <v>1</v>
      </c>
      <c r="H1110" s="47" t="s">
        <v>74</v>
      </c>
      <c r="I1110" s="47" t="s">
        <v>101</v>
      </c>
      <c r="J1110" s="48">
        <v>2</v>
      </c>
      <c r="K1110" s="48">
        <v>3</v>
      </c>
      <c r="M1110" s="48">
        <v>3</v>
      </c>
      <c r="R1110" s="46">
        <f t="shared" si="117"/>
        <v>0</v>
      </c>
      <c r="S1110" s="46">
        <f t="shared" si="118"/>
        <v>1</v>
      </c>
      <c r="T1110" s="46">
        <f t="shared" si="122"/>
        <v>20</v>
      </c>
      <c r="U1110" s="46">
        <f t="shared" si="120"/>
        <v>80</v>
      </c>
      <c r="V1110" s="54">
        <f t="shared" si="121"/>
        <v>76.166666666666671</v>
      </c>
    </row>
    <row r="1111" spans="1:22" x14ac:dyDescent="0.2">
      <c r="A1111" s="46" t="s">
        <v>139</v>
      </c>
      <c r="B1111" s="46" t="s">
        <v>52</v>
      </c>
      <c r="C1111" s="46" t="s">
        <v>90</v>
      </c>
      <c r="D1111" s="46" t="s">
        <v>178</v>
      </c>
      <c r="E1111" s="46">
        <v>2</v>
      </c>
      <c r="F1111" s="46" t="s">
        <v>61</v>
      </c>
      <c r="G1111" s="46">
        <v>1</v>
      </c>
      <c r="H1111" s="47" t="s">
        <v>69</v>
      </c>
      <c r="I1111" s="47" t="s">
        <v>101</v>
      </c>
      <c r="J1111" s="48">
        <v>2</v>
      </c>
      <c r="K1111" s="48">
        <v>3</v>
      </c>
      <c r="R1111" s="46">
        <f t="shared" si="117"/>
        <v>0</v>
      </c>
      <c r="S1111" s="46">
        <f t="shared" si="118"/>
        <v>1</v>
      </c>
      <c r="T1111" s="46">
        <f t="shared" si="122"/>
        <v>20</v>
      </c>
      <c r="U1111" s="46">
        <f t="shared" si="120"/>
        <v>20</v>
      </c>
      <c r="V1111" s="54">
        <f t="shared" si="121"/>
        <v>76.166666666666671</v>
      </c>
    </row>
    <row r="1112" spans="1:22" x14ac:dyDescent="0.2">
      <c r="A1112" s="46" t="s">
        <v>139</v>
      </c>
      <c r="B1112" s="46" t="s">
        <v>52</v>
      </c>
      <c r="C1112" s="46" t="s">
        <v>90</v>
      </c>
      <c r="D1112" s="46" t="s">
        <v>178</v>
      </c>
      <c r="E1112" s="46">
        <v>4</v>
      </c>
      <c r="F1112" s="46" t="s">
        <v>61</v>
      </c>
      <c r="G1112" s="46">
        <v>1</v>
      </c>
      <c r="H1112" s="47" t="s">
        <v>69</v>
      </c>
      <c r="I1112" s="47" t="s">
        <v>101</v>
      </c>
      <c r="J1112" s="48">
        <v>2</v>
      </c>
      <c r="K1112" s="48">
        <v>3</v>
      </c>
      <c r="M1112" s="48">
        <v>1</v>
      </c>
      <c r="R1112" s="46">
        <f t="shared" si="117"/>
        <v>0</v>
      </c>
      <c r="S1112" s="46">
        <f t="shared" si="118"/>
        <v>1</v>
      </c>
      <c r="T1112" s="46">
        <f t="shared" si="122"/>
        <v>20</v>
      </c>
      <c r="U1112" s="46">
        <f t="shared" si="120"/>
        <v>40</v>
      </c>
      <c r="V1112" s="54">
        <f t="shared" si="121"/>
        <v>76.166666666666671</v>
      </c>
    </row>
    <row r="1113" spans="1:22" x14ac:dyDescent="0.2">
      <c r="A1113" s="46" t="s">
        <v>139</v>
      </c>
      <c r="B1113" s="46" t="s">
        <v>52</v>
      </c>
      <c r="C1113" s="46" t="s">
        <v>90</v>
      </c>
      <c r="D1113" s="46" t="s">
        <v>178</v>
      </c>
      <c r="E1113" s="46">
        <v>2</v>
      </c>
      <c r="F1113" s="46" t="s">
        <v>61</v>
      </c>
      <c r="G1113" s="46">
        <v>1</v>
      </c>
      <c r="H1113" s="47" t="s">
        <v>75</v>
      </c>
      <c r="I1113" s="47" t="s">
        <v>101</v>
      </c>
      <c r="J1113" s="48">
        <v>2</v>
      </c>
      <c r="K1113" s="48">
        <v>2</v>
      </c>
      <c r="M1113" s="48">
        <v>1</v>
      </c>
      <c r="R1113" s="46">
        <f t="shared" si="117"/>
        <v>0</v>
      </c>
      <c r="S1113" s="46">
        <f t="shared" si="118"/>
        <v>0</v>
      </c>
      <c r="T1113" s="46">
        <f t="shared" si="122"/>
        <v>30</v>
      </c>
      <c r="U1113" s="46">
        <f t="shared" si="120"/>
        <v>50</v>
      </c>
      <c r="V1113" s="54">
        <f t="shared" si="121"/>
        <v>76.166666666666671</v>
      </c>
    </row>
    <row r="1114" spans="1:22" x14ac:dyDescent="0.2">
      <c r="A1114" s="46" t="s">
        <v>139</v>
      </c>
      <c r="B1114" s="46" t="s">
        <v>52</v>
      </c>
      <c r="C1114" s="46" t="s">
        <v>90</v>
      </c>
      <c r="D1114" s="46" t="s">
        <v>178</v>
      </c>
      <c r="E1114" s="46">
        <v>4</v>
      </c>
      <c r="F1114" s="46" t="s">
        <v>60</v>
      </c>
      <c r="G1114" s="46">
        <v>2</v>
      </c>
      <c r="H1114" s="47">
        <v>6</v>
      </c>
      <c r="I1114" s="47" t="s">
        <v>127</v>
      </c>
      <c r="J1114" s="48">
        <v>3</v>
      </c>
      <c r="K1114" s="48">
        <v>3</v>
      </c>
      <c r="R1114" s="46">
        <f t="shared" si="117"/>
        <v>0</v>
      </c>
      <c r="S1114" s="46">
        <f t="shared" si="118"/>
        <v>1</v>
      </c>
      <c r="T1114" s="46">
        <f t="shared" si="122"/>
        <v>40</v>
      </c>
      <c r="U1114" s="46">
        <f t="shared" si="120"/>
        <v>40</v>
      </c>
      <c r="V1114" s="54">
        <f t="shared" si="121"/>
        <v>76.166666666666671</v>
      </c>
    </row>
    <row r="1115" spans="1:22" x14ac:dyDescent="0.2">
      <c r="A1115" s="46" t="s">
        <v>139</v>
      </c>
      <c r="B1115" s="46" t="s">
        <v>52</v>
      </c>
      <c r="C1115" s="46" t="s">
        <v>90</v>
      </c>
      <c r="D1115" s="46" t="s">
        <v>178</v>
      </c>
      <c r="E1115" s="46">
        <v>4</v>
      </c>
      <c r="F1115" s="46" t="s">
        <v>60</v>
      </c>
      <c r="G1115" s="46">
        <v>2</v>
      </c>
      <c r="H1115" s="47">
        <v>18</v>
      </c>
      <c r="I1115" s="47" t="s">
        <v>127</v>
      </c>
      <c r="J1115" s="48">
        <v>3</v>
      </c>
      <c r="K1115" s="48">
        <v>3</v>
      </c>
      <c r="R1115" s="46">
        <f t="shared" si="117"/>
        <v>0</v>
      </c>
      <c r="S1115" s="46">
        <f t="shared" si="118"/>
        <v>1</v>
      </c>
      <c r="T1115" s="46">
        <f t="shared" si="122"/>
        <v>40</v>
      </c>
      <c r="U1115" s="46">
        <f t="shared" si="120"/>
        <v>40</v>
      </c>
      <c r="V1115" s="54">
        <f t="shared" si="121"/>
        <v>76.166666666666671</v>
      </c>
    </row>
    <row r="1116" spans="1:22" x14ac:dyDescent="0.2">
      <c r="A1116" s="46" t="s">
        <v>139</v>
      </c>
      <c r="B1116" s="46" t="s">
        <v>52</v>
      </c>
      <c r="C1116" s="46" t="s">
        <v>90</v>
      </c>
      <c r="D1116" s="46" t="s">
        <v>178</v>
      </c>
      <c r="E1116" s="46">
        <v>2</v>
      </c>
      <c r="F1116" s="46" t="s">
        <v>61</v>
      </c>
      <c r="G1116" s="46">
        <v>1</v>
      </c>
      <c r="H1116" s="47" t="s">
        <v>78</v>
      </c>
      <c r="I1116" s="47" t="s">
        <v>101</v>
      </c>
      <c r="J1116" s="48">
        <v>3</v>
      </c>
      <c r="K1116" s="48">
        <v>3</v>
      </c>
      <c r="R1116" s="46">
        <f t="shared" si="117"/>
        <v>0</v>
      </c>
      <c r="S1116" s="46">
        <f t="shared" si="118"/>
        <v>1</v>
      </c>
      <c r="T1116" s="46">
        <f t="shared" si="122"/>
        <v>40</v>
      </c>
      <c r="U1116" s="46">
        <f t="shared" si="120"/>
        <v>40</v>
      </c>
      <c r="V1116" s="54">
        <f t="shared" si="121"/>
        <v>76.166666666666671</v>
      </c>
    </row>
    <row r="1117" spans="1:22" x14ac:dyDescent="0.2">
      <c r="A1117" s="46" t="s">
        <v>139</v>
      </c>
      <c r="B1117" s="46" t="s">
        <v>52</v>
      </c>
      <c r="C1117" s="46" t="s">
        <v>90</v>
      </c>
      <c r="D1117" s="46" t="s">
        <v>178</v>
      </c>
      <c r="E1117" s="46">
        <v>3</v>
      </c>
      <c r="F1117" s="46" t="s">
        <v>60</v>
      </c>
      <c r="G1117" s="46">
        <v>1</v>
      </c>
      <c r="H1117" s="47">
        <v>17</v>
      </c>
      <c r="I1117" s="47" t="s">
        <v>101</v>
      </c>
      <c r="J1117" s="48">
        <v>3</v>
      </c>
      <c r="K1117" s="48">
        <v>2</v>
      </c>
      <c r="R1117" s="46">
        <f t="shared" si="117"/>
        <v>0</v>
      </c>
      <c r="S1117" s="46">
        <f t="shared" si="118"/>
        <v>0</v>
      </c>
      <c r="T1117" s="46">
        <f t="shared" si="122"/>
        <v>50</v>
      </c>
      <c r="U1117" s="46">
        <f t="shared" si="120"/>
        <v>50</v>
      </c>
      <c r="V1117" s="54">
        <f t="shared" si="121"/>
        <v>76.166666666666671</v>
      </c>
    </row>
    <row r="1118" spans="1:22" x14ac:dyDescent="0.2">
      <c r="A1118" s="46" t="s">
        <v>139</v>
      </c>
      <c r="B1118" s="46" t="s">
        <v>52</v>
      </c>
      <c r="C1118" s="46" t="s">
        <v>90</v>
      </c>
      <c r="D1118" s="46" t="s">
        <v>178</v>
      </c>
      <c r="E1118" s="46">
        <v>4</v>
      </c>
      <c r="F1118" s="46" t="s">
        <v>60</v>
      </c>
      <c r="G1118" s="46">
        <v>1</v>
      </c>
      <c r="H1118" s="47">
        <v>29</v>
      </c>
      <c r="I1118" s="47" t="s">
        <v>101</v>
      </c>
      <c r="J1118" s="48">
        <v>3</v>
      </c>
      <c r="K1118" s="48">
        <v>2</v>
      </c>
      <c r="R1118" s="46">
        <f t="shared" si="117"/>
        <v>0</v>
      </c>
      <c r="S1118" s="46">
        <f t="shared" si="118"/>
        <v>0</v>
      </c>
      <c r="T1118" s="46">
        <f t="shared" si="122"/>
        <v>50</v>
      </c>
      <c r="U1118" s="46">
        <f t="shared" si="120"/>
        <v>50</v>
      </c>
      <c r="V1118" s="54">
        <f t="shared" si="121"/>
        <v>76.166666666666671</v>
      </c>
    </row>
    <row r="1119" spans="1:22" x14ac:dyDescent="0.2">
      <c r="A1119" s="46" t="s">
        <v>139</v>
      </c>
      <c r="B1119" s="46" t="s">
        <v>52</v>
      </c>
      <c r="C1119" s="46" t="s">
        <v>90</v>
      </c>
      <c r="D1119" s="46" t="s">
        <v>178</v>
      </c>
      <c r="E1119" s="46">
        <v>4</v>
      </c>
      <c r="F1119" s="46" t="s">
        <v>61</v>
      </c>
      <c r="G1119" s="46">
        <v>1</v>
      </c>
      <c r="H1119" s="47" t="s">
        <v>75</v>
      </c>
      <c r="I1119" s="47" t="s">
        <v>101</v>
      </c>
      <c r="J1119" s="48">
        <v>3</v>
      </c>
      <c r="K1119" s="48">
        <v>2</v>
      </c>
      <c r="M1119" s="48">
        <v>1</v>
      </c>
      <c r="R1119" s="46">
        <f t="shared" si="117"/>
        <v>0</v>
      </c>
      <c r="S1119" s="46">
        <f t="shared" si="118"/>
        <v>0</v>
      </c>
      <c r="T1119" s="46">
        <f t="shared" si="122"/>
        <v>50</v>
      </c>
      <c r="U1119" s="46">
        <f t="shared" si="120"/>
        <v>70</v>
      </c>
      <c r="V1119" s="54">
        <f t="shared" si="121"/>
        <v>76.166666666666671</v>
      </c>
    </row>
    <row r="1120" spans="1:22" x14ac:dyDescent="0.2">
      <c r="A1120" s="46" t="s">
        <v>139</v>
      </c>
      <c r="B1120" s="46" t="s">
        <v>52</v>
      </c>
      <c r="C1120" s="46" t="s">
        <v>90</v>
      </c>
      <c r="D1120" s="46" t="s">
        <v>178</v>
      </c>
      <c r="E1120" s="46">
        <v>4</v>
      </c>
      <c r="F1120" s="46" t="s">
        <v>61</v>
      </c>
      <c r="G1120" s="46">
        <v>1</v>
      </c>
      <c r="H1120" s="47" t="s">
        <v>74</v>
      </c>
      <c r="I1120" s="47" t="s">
        <v>101</v>
      </c>
      <c r="J1120" s="48">
        <v>3</v>
      </c>
      <c r="K1120" s="48">
        <v>1</v>
      </c>
      <c r="M1120" s="48">
        <v>1</v>
      </c>
      <c r="R1120" s="46">
        <f t="shared" si="117"/>
        <v>0</v>
      </c>
      <c r="S1120" s="46">
        <f t="shared" si="118"/>
        <v>0</v>
      </c>
      <c r="T1120" s="46">
        <f t="shared" si="122"/>
        <v>60</v>
      </c>
      <c r="U1120" s="46">
        <f t="shared" si="120"/>
        <v>80</v>
      </c>
      <c r="V1120" s="54">
        <f t="shared" si="121"/>
        <v>76.166666666666671</v>
      </c>
    </row>
    <row r="1121" spans="1:22" x14ac:dyDescent="0.2">
      <c r="A1121" s="46" t="s">
        <v>139</v>
      </c>
      <c r="B1121" s="46" t="s">
        <v>52</v>
      </c>
      <c r="C1121" s="46" t="s">
        <v>90</v>
      </c>
      <c r="D1121" s="46" t="s">
        <v>178</v>
      </c>
      <c r="E1121" s="46">
        <v>2</v>
      </c>
      <c r="F1121" s="46" t="s">
        <v>60</v>
      </c>
      <c r="G1121" s="46">
        <v>2</v>
      </c>
      <c r="H1121" s="47">
        <v>2</v>
      </c>
      <c r="I1121" s="47" t="s">
        <v>127</v>
      </c>
      <c r="J1121" s="48">
        <v>4</v>
      </c>
      <c r="K1121" s="48">
        <v>2</v>
      </c>
      <c r="R1121" s="46">
        <f t="shared" si="117"/>
        <v>1</v>
      </c>
      <c r="S1121" s="46">
        <f t="shared" si="118"/>
        <v>0</v>
      </c>
      <c r="T1121" s="46">
        <f t="shared" si="122"/>
        <v>70</v>
      </c>
      <c r="U1121" s="46">
        <f t="shared" si="120"/>
        <v>70</v>
      </c>
      <c r="V1121" s="54">
        <f t="shared" si="121"/>
        <v>76.166666666666671</v>
      </c>
    </row>
    <row r="1122" spans="1:22" x14ac:dyDescent="0.2">
      <c r="A1122" s="46" t="s">
        <v>139</v>
      </c>
      <c r="B1122" s="46" t="s">
        <v>52</v>
      </c>
      <c r="C1122" s="46" t="s">
        <v>90</v>
      </c>
      <c r="D1122" s="46" t="s">
        <v>178</v>
      </c>
      <c r="E1122" s="46">
        <v>3</v>
      </c>
      <c r="F1122" s="46" t="s">
        <v>60</v>
      </c>
      <c r="G1122" s="46">
        <v>4</v>
      </c>
      <c r="H1122" s="47">
        <v>36</v>
      </c>
      <c r="I1122" s="47" t="s">
        <v>102</v>
      </c>
      <c r="J1122" s="48">
        <v>4</v>
      </c>
      <c r="K1122" s="48">
        <v>2</v>
      </c>
      <c r="R1122" s="46">
        <f t="shared" si="117"/>
        <v>1</v>
      </c>
      <c r="S1122" s="46">
        <f t="shared" si="118"/>
        <v>0</v>
      </c>
      <c r="T1122" s="46">
        <f t="shared" si="122"/>
        <v>70</v>
      </c>
      <c r="U1122" s="46">
        <f t="shared" si="120"/>
        <v>70</v>
      </c>
      <c r="V1122" s="54">
        <f t="shared" si="121"/>
        <v>76.166666666666671</v>
      </c>
    </row>
    <row r="1123" spans="1:22" x14ac:dyDescent="0.2">
      <c r="A1123" s="46" t="s">
        <v>139</v>
      </c>
      <c r="B1123" s="46" t="s">
        <v>52</v>
      </c>
      <c r="C1123" s="46" t="s">
        <v>90</v>
      </c>
      <c r="D1123" s="46" t="s">
        <v>178</v>
      </c>
      <c r="E1123" s="46">
        <v>4</v>
      </c>
      <c r="F1123" s="46" t="s">
        <v>60</v>
      </c>
      <c r="G1123" s="46">
        <v>1</v>
      </c>
      <c r="H1123" s="47">
        <v>41</v>
      </c>
      <c r="I1123" s="47" t="s">
        <v>101</v>
      </c>
      <c r="J1123" s="48">
        <v>4</v>
      </c>
      <c r="K1123" s="48">
        <v>2</v>
      </c>
      <c r="R1123" s="46">
        <f t="shared" si="117"/>
        <v>1</v>
      </c>
      <c r="S1123" s="46">
        <f t="shared" si="118"/>
        <v>0</v>
      </c>
      <c r="T1123" s="46">
        <f t="shared" si="122"/>
        <v>70</v>
      </c>
      <c r="U1123" s="46">
        <f t="shared" si="120"/>
        <v>70</v>
      </c>
      <c r="V1123" s="54">
        <f t="shared" si="121"/>
        <v>76.166666666666671</v>
      </c>
    </row>
    <row r="1124" spans="1:22" x14ac:dyDescent="0.2">
      <c r="A1124" s="46" t="s">
        <v>139</v>
      </c>
      <c r="B1124" s="46" t="s">
        <v>52</v>
      </c>
      <c r="C1124" s="46" t="s">
        <v>90</v>
      </c>
      <c r="D1124" s="46" t="s">
        <v>178</v>
      </c>
      <c r="E1124" s="46">
        <v>1</v>
      </c>
      <c r="F1124" s="46" t="s">
        <v>60</v>
      </c>
      <c r="G1124" s="46">
        <v>4</v>
      </c>
      <c r="H1124" s="47">
        <v>48</v>
      </c>
      <c r="I1124" s="47" t="s">
        <v>102</v>
      </c>
      <c r="J1124" s="48">
        <v>4</v>
      </c>
      <c r="K1124" s="48">
        <v>2</v>
      </c>
      <c r="R1124" s="46">
        <f t="shared" si="117"/>
        <v>1</v>
      </c>
      <c r="S1124" s="46">
        <f t="shared" si="118"/>
        <v>0</v>
      </c>
      <c r="T1124" s="46">
        <f t="shared" si="122"/>
        <v>70</v>
      </c>
      <c r="U1124" s="46">
        <f t="shared" si="120"/>
        <v>70</v>
      </c>
      <c r="V1124" s="54">
        <f t="shared" si="121"/>
        <v>76.166666666666671</v>
      </c>
    </row>
    <row r="1125" spans="1:22" x14ac:dyDescent="0.2">
      <c r="A1125" s="46" t="s">
        <v>139</v>
      </c>
      <c r="B1125" s="46" t="s">
        <v>52</v>
      </c>
      <c r="C1125" s="46" t="s">
        <v>90</v>
      </c>
      <c r="D1125" s="46" t="s">
        <v>178</v>
      </c>
      <c r="E1125" s="46">
        <v>2</v>
      </c>
      <c r="F1125" s="46" t="s">
        <v>61</v>
      </c>
      <c r="G1125" s="46">
        <v>1</v>
      </c>
      <c r="H1125" s="47" t="s">
        <v>71</v>
      </c>
      <c r="I1125" s="47" t="s">
        <v>101</v>
      </c>
      <c r="J1125" s="48">
        <v>4</v>
      </c>
      <c r="K1125" s="48">
        <v>2</v>
      </c>
      <c r="R1125" s="46">
        <f t="shared" si="117"/>
        <v>1</v>
      </c>
      <c r="S1125" s="46">
        <f t="shared" si="118"/>
        <v>0</v>
      </c>
      <c r="T1125" s="46">
        <f t="shared" si="122"/>
        <v>70</v>
      </c>
      <c r="U1125" s="46">
        <f t="shared" si="120"/>
        <v>70</v>
      </c>
      <c r="V1125" s="54">
        <f t="shared" si="121"/>
        <v>76.166666666666671</v>
      </c>
    </row>
    <row r="1126" spans="1:22" x14ac:dyDescent="0.2">
      <c r="A1126" s="46" t="s">
        <v>139</v>
      </c>
      <c r="B1126" s="46" t="s">
        <v>52</v>
      </c>
      <c r="C1126" s="46" t="s">
        <v>90</v>
      </c>
      <c r="D1126" s="46" t="s">
        <v>178</v>
      </c>
      <c r="E1126" s="46">
        <v>4</v>
      </c>
      <c r="F1126" s="46" t="s">
        <v>61</v>
      </c>
      <c r="G1126" s="46">
        <v>1</v>
      </c>
      <c r="H1126" s="47" t="s">
        <v>71</v>
      </c>
      <c r="I1126" s="47" t="s">
        <v>101</v>
      </c>
      <c r="J1126" s="48">
        <v>4</v>
      </c>
      <c r="K1126" s="48">
        <v>2</v>
      </c>
      <c r="R1126" s="46">
        <f t="shared" si="117"/>
        <v>1</v>
      </c>
      <c r="S1126" s="46">
        <f t="shared" si="118"/>
        <v>0</v>
      </c>
      <c r="T1126" s="46">
        <f t="shared" si="122"/>
        <v>70</v>
      </c>
      <c r="U1126" s="46">
        <f t="shared" si="120"/>
        <v>70</v>
      </c>
      <c r="V1126" s="54">
        <f t="shared" si="121"/>
        <v>76.166666666666671</v>
      </c>
    </row>
    <row r="1127" spans="1:22" x14ac:dyDescent="0.2">
      <c r="A1127" s="46" t="s">
        <v>139</v>
      </c>
      <c r="B1127" s="46" t="s">
        <v>52</v>
      </c>
      <c r="C1127" s="46" t="s">
        <v>90</v>
      </c>
      <c r="D1127" s="46" t="s">
        <v>178</v>
      </c>
      <c r="E1127" s="46">
        <v>2</v>
      </c>
      <c r="F1127" s="46" t="s">
        <v>61</v>
      </c>
      <c r="G1127" s="46">
        <v>1</v>
      </c>
      <c r="H1127" s="47" t="s">
        <v>78</v>
      </c>
      <c r="I1127" s="47" t="s">
        <v>101</v>
      </c>
      <c r="J1127" s="48">
        <v>4</v>
      </c>
      <c r="K1127" s="48">
        <v>2</v>
      </c>
      <c r="R1127" s="46">
        <f t="shared" si="117"/>
        <v>1</v>
      </c>
      <c r="S1127" s="46">
        <f t="shared" si="118"/>
        <v>0</v>
      </c>
      <c r="T1127" s="46">
        <f t="shared" si="122"/>
        <v>70</v>
      </c>
      <c r="U1127" s="46">
        <f t="shared" si="120"/>
        <v>70</v>
      </c>
      <c r="V1127" s="54">
        <f t="shared" si="121"/>
        <v>76.166666666666671</v>
      </c>
    </row>
    <row r="1128" spans="1:22" x14ac:dyDescent="0.2">
      <c r="A1128" s="46" t="s">
        <v>139</v>
      </c>
      <c r="B1128" s="46" t="s">
        <v>52</v>
      </c>
      <c r="C1128" s="46" t="s">
        <v>90</v>
      </c>
      <c r="D1128" s="46" t="s">
        <v>178</v>
      </c>
      <c r="E1128" s="46">
        <v>2</v>
      </c>
      <c r="F1128" s="46" t="s">
        <v>60</v>
      </c>
      <c r="G1128" s="46">
        <v>4</v>
      </c>
      <c r="H1128" s="47">
        <v>12</v>
      </c>
      <c r="I1128" s="47" t="s">
        <v>102</v>
      </c>
      <c r="J1128" s="48">
        <v>4</v>
      </c>
      <c r="K1128" s="48">
        <v>1</v>
      </c>
      <c r="R1128" s="46">
        <f t="shared" si="117"/>
        <v>1</v>
      </c>
      <c r="S1128" s="46">
        <f t="shared" si="118"/>
        <v>0</v>
      </c>
      <c r="T1128" s="46">
        <f t="shared" si="122"/>
        <v>80</v>
      </c>
      <c r="U1128" s="46">
        <f t="shared" si="120"/>
        <v>80</v>
      </c>
      <c r="V1128" s="54">
        <f t="shared" si="121"/>
        <v>76.166666666666671</v>
      </c>
    </row>
    <row r="1129" spans="1:22" x14ac:dyDescent="0.2">
      <c r="A1129" s="46" t="s">
        <v>139</v>
      </c>
      <c r="B1129" s="46" t="s">
        <v>52</v>
      </c>
      <c r="C1129" s="46" t="s">
        <v>90</v>
      </c>
      <c r="D1129" s="46" t="s">
        <v>178</v>
      </c>
      <c r="E1129" s="46">
        <v>1</v>
      </c>
      <c r="F1129" s="46" t="s">
        <v>60</v>
      </c>
      <c r="G1129" s="46">
        <v>1</v>
      </c>
      <c r="H1129" s="47">
        <v>17</v>
      </c>
      <c r="I1129" s="47" t="s">
        <v>101</v>
      </c>
      <c r="J1129" s="48">
        <v>4</v>
      </c>
      <c r="K1129" s="48">
        <v>1</v>
      </c>
      <c r="R1129" s="46">
        <f t="shared" si="117"/>
        <v>1</v>
      </c>
      <c r="S1129" s="46">
        <f t="shared" si="118"/>
        <v>0</v>
      </c>
      <c r="T1129" s="46">
        <f t="shared" si="122"/>
        <v>80</v>
      </c>
      <c r="U1129" s="46">
        <f t="shared" si="120"/>
        <v>80</v>
      </c>
      <c r="V1129" s="54">
        <f t="shared" si="121"/>
        <v>76.166666666666671</v>
      </c>
    </row>
    <row r="1130" spans="1:22" x14ac:dyDescent="0.2">
      <c r="A1130" s="46" t="s">
        <v>139</v>
      </c>
      <c r="B1130" s="46" t="s">
        <v>52</v>
      </c>
      <c r="C1130" s="46" t="s">
        <v>90</v>
      </c>
      <c r="D1130" s="46" t="s">
        <v>178</v>
      </c>
      <c r="E1130" s="46">
        <v>2</v>
      </c>
      <c r="F1130" s="46" t="s">
        <v>60</v>
      </c>
      <c r="G1130" s="46">
        <v>3</v>
      </c>
      <c r="H1130" s="47">
        <v>27</v>
      </c>
      <c r="I1130" s="47" t="s">
        <v>116</v>
      </c>
      <c r="J1130" s="48">
        <v>4</v>
      </c>
      <c r="K1130" s="48">
        <v>1</v>
      </c>
      <c r="R1130" s="46">
        <f t="shared" si="117"/>
        <v>1</v>
      </c>
      <c r="S1130" s="46">
        <f t="shared" si="118"/>
        <v>0</v>
      </c>
      <c r="T1130" s="46">
        <f t="shared" si="122"/>
        <v>80</v>
      </c>
      <c r="U1130" s="46">
        <f t="shared" si="120"/>
        <v>80</v>
      </c>
      <c r="V1130" s="54">
        <f t="shared" si="121"/>
        <v>76.166666666666671</v>
      </c>
    </row>
    <row r="1131" spans="1:22" x14ac:dyDescent="0.2">
      <c r="A1131" s="46" t="s">
        <v>139</v>
      </c>
      <c r="B1131" s="46" t="s">
        <v>52</v>
      </c>
      <c r="C1131" s="46" t="s">
        <v>90</v>
      </c>
      <c r="D1131" s="46" t="s">
        <v>178</v>
      </c>
      <c r="E1131" s="46">
        <v>1</v>
      </c>
      <c r="F1131" s="46" t="s">
        <v>60</v>
      </c>
      <c r="G1131" s="46">
        <v>2</v>
      </c>
      <c r="H1131" s="47">
        <v>30</v>
      </c>
      <c r="I1131" s="47" t="s">
        <v>127</v>
      </c>
      <c r="J1131" s="48">
        <v>4</v>
      </c>
      <c r="K1131" s="48">
        <v>1</v>
      </c>
      <c r="R1131" s="46">
        <f t="shared" si="117"/>
        <v>1</v>
      </c>
      <c r="S1131" s="46">
        <f t="shared" si="118"/>
        <v>0</v>
      </c>
      <c r="T1131" s="46">
        <f t="shared" si="122"/>
        <v>80</v>
      </c>
      <c r="U1131" s="46">
        <f t="shared" si="120"/>
        <v>80</v>
      </c>
      <c r="V1131" s="54">
        <f t="shared" si="121"/>
        <v>76.166666666666671</v>
      </c>
    </row>
    <row r="1132" spans="1:22" x14ac:dyDescent="0.2">
      <c r="A1132" s="46" t="s">
        <v>139</v>
      </c>
      <c r="B1132" s="46" t="s">
        <v>52</v>
      </c>
      <c r="C1132" s="46" t="s">
        <v>90</v>
      </c>
      <c r="D1132" s="46" t="s">
        <v>178</v>
      </c>
      <c r="E1132" s="46">
        <v>2</v>
      </c>
      <c r="F1132" s="46" t="s">
        <v>60</v>
      </c>
      <c r="G1132" s="46">
        <v>1</v>
      </c>
      <c r="H1132" s="47">
        <v>33</v>
      </c>
      <c r="I1132" s="47" t="s">
        <v>101</v>
      </c>
      <c r="J1132" s="48">
        <v>4</v>
      </c>
      <c r="K1132" s="48">
        <v>1</v>
      </c>
      <c r="R1132" s="46">
        <f t="shared" si="117"/>
        <v>1</v>
      </c>
      <c r="S1132" s="46">
        <f t="shared" si="118"/>
        <v>0</v>
      </c>
      <c r="T1132" s="46">
        <f t="shared" si="122"/>
        <v>80</v>
      </c>
      <c r="U1132" s="46">
        <f t="shared" si="120"/>
        <v>80</v>
      </c>
      <c r="V1132" s="54">
        <f t="shared" si="121"/>
        <v>76.166666666666671</v>
      </c>
    </row>
    <row r="1133" spans="1:22" x14ac:dyDescent="0.2">
      <c r="A1133" s="46" t="s">
        <v>139</v>
      </c>
      <c r="B1133" s="46" t="s">
        <v>52</v>
      </c>
      <c r="C1133" s="46" t="s">
        <v>90</v>
      </c>
      <c r="D1133" s="46" t="s">
        <v>178</v>
      </c>
      <c r="E1133" s="46">
        <v>3</v>
      </c>
      <c r="F1133" s="46" t="s">
        <v>60</v>
      </c>
      <c r="G1133" s="46">
        <v>3</v>
      </c>
      <c r="H1133" s="47">
        <v>39</v>
      </c>
      <c r="I1133" s="47" t="s">
        <v>116</v>
      </c>
      <c r="J1133" s="48">
        <v>4</v>
      </c>
      <c r="K1133" s="48">
        <v>1</v>
      </c>
      <c r="R1133" s="46">
        <f t="shared" si="117"/>
        <v>1</v>
      </c>
      <c r="S1133" s="46">
        <f t="shared" si="118"/>
        <v>0</v>
      </c>
      <c r="T1133" s="46">
        <f t="shared" si="122"/>
        <v>80</v>
      </c>
      <c r="U1133" s="46">
        <f t="shared" si="120"/>
        <v>80</v>
      </c>
      <c r="V1133" s="54">
        <f t="shared" si="121"/>
        <v>76.166666666666671</v>
      </c>
    </row>
    <row r="1134" spans="1:22" x14ac:dyDescent="0.2">
      <c r="A1134" s="46" t="s">
        <v>139</v>
      </c>
      <c r="B1134" s="46" t="s">
        <v>52</v>
      </c>
      <c r="C1134" s="46" t="s">
        <v>90</v>
      </c>
      <c r="D1134" s="46" t="s">
        <v>178</v>
      </c>
      <c r="E1134" s="46">
        <v>3</v>
      </c>
      <c r="F1134" s="46" t="s">
        <v>60</v>
      </c>
      <c r="G1134" s="46">
        <v>1</v>
      </c>
      <c r="H1134" s="47">
        <v>49</v>
      </c>
      <c r="I1134" s="47" t="s">
        <v>101</v>
      </c>
      <c r="J1134" s="48">
        <v>4</v>
      </c>
      <c r="K1134" s="48">
        <v>1</v>
      </c>
      <c r="M1134" s="48">
        <v>2</v>
      </c>
      <c r="R1134" s="46">
        <f t="shared" si="117"/>
        <v>1</v>
      </c>
      <c r="S1134" s="46">
        <f t="shared" si="118"/>
        <v>0</v>
      </c>
      <c r="T1134" s="46">
        <f t="shared" si="122"/>
        <v>80</v>
      </c>
      <c r="U1134" s="46">
        <f t="shared" si="120"/>
        <v>120</v>
      </c>
      <c r="V1134" s="54">
        <f t="shared" si="121"/>
        <v>76.166666666666671</v>
      </c>
    </row>
    <row r="1135" spans="1:22" x14ac:dyDescent="0.2">
      <c r="A1135" s="46" t="s">
        <v>139</v>
      </c>
      <c r="B1135" s="46" t="s">
        <v>52</v>
      </c>
      <c r="C1135" s="46" t="s">
        <v>90</v>
      </c>
      <c r="D1135" s="46" t="s">
        <v>178</v>
      </c>
      <c r="E1135" s="46">
        <v>1</v>
      </c>
      <c r="F1135" s="46" t="s">
        <v>62</v>
      </c>
      <c r="G1135" s="46">
        <v>2</v>
      </c>
      <c r="H1135" s="47" t="s">
        <v>79</v>
      </c>
      <c r="I1135" s="47" t="s">
        <v>127</v>
      </c>
      <c r="J1135" s="48">
        <v>4</v>
      </c>
      <c r="K1135" s="48">
        <v>1</v>
      </c>
      <c r="R1135" s="46">
        <f t="shared" si="117"/>
        <v>1</v>
      </c>
      <c r="S1135" s="46">
        <f t="shared" si="118"/>
        <v>0</v>
      </c>
      <c r="T1135" s="46">
        <f t="shared" si="122"/>
        <v>80</v>
      </c>
      <c r="U1135" s="46">
        <f t="shared" si="120"/>
        <v>80</v>
      </c>
      <c r="V1135" s="54">
        <f t="shared" si="121"/>
        <v>76.166666666666671</v>
      </c>
    </row>
    <row r="1136" spans="1:22" x14ac:dyDescent="0.2">
      <c r="A1136" s="46" t="s">
        <v>139</v>
      </c>
      <c r="B1136" s="46" t="s">
        <v>52</v>
      </c>
      <c r="C1136" s="46" t="s">
        <v>90</v>
      </c>
      <c r="D1136" s="46" t="s">
        <v>178</v>
      </c>
      <c r="E1136" s="46">
        <v>1</v>
      </c>
      <c r="F1136" s="46" t="s">
        <v>62</v>
      </c>
      <c r="G1136" s="46">
        <v>2</v>
      </c>
      <c r="H1136" s="47" t="s">
        <v>86</v>
      </c>
      <c r="I1136" s="47" t="s">
        <v>127</v>
      </c>
      <c r="J1136" s="48">
        <v>4</v>
      </c>
      <c r="K1136" s="48">
        <v>1</v>
      </c>
      <c r="R1136" s="46">
        <f t="shared" si="117"/>
        <v>1</v>
      </c>
      <c r="S1136" s="46">
        <f t="shared" si="118"/>
        <v>0</v>
      </c>
      <c r="T1136" s="46">
        <f t="shared" si="122"/>
        <v>80</v>
      </c>
      <c r="U1136" s="46">
        <f t="shared" si="120"/>
        <v>80</v>
      </c>
      <c r="V1136" s="54">
        <f t="shared" si="121"/>
        <v>76.166666666666671</v>
      </c>
    </row>
    <row r="1137" spans="1:22" x14ac:dyDescent="0.2">
      <c r="A1137" s="46" t="s">
        <v>139</v>
      </c>
      <c r="B1137" s="46" t="s">
        <v>52</v>
      </c>
      <c r="C1137" s="46" t="s">
        <v>90</v>
      </c>
      <c r="D1137" s="46" t="s">
        <v>178</v>
      </c>
      <c r="E1137" s="46">
        <v>1</v>
      </c>
      <c r="F1137" s="46" t="s">
        <v>62</v>
      </c>
      <c r="G1137" s="46">
        <v>2</v>
      </c>
      <c r="H1137" s="47" t="s">
        <v>83</v>
      </c>
      <c r="I1137" s="47" t="s">
        <v>127</v>
      </c>
      <c r="J1137" s="48">
        <v>4</v>
      </c>
      <c r="K1137" s="48">
        <v>1</v>
      </c>
      <c r="R1137" s="46">
        <f t="shared" si="117"/>
        <v>1</v>
      </c>
      <c r="S1137" s="46">
        <f t="shared" si="118"/>
        <v>0</v>
      </c>
      <c r="T1137" s="46">
        <f t="shared" si="122"/>
        <v>80</v>
      </c>
      <c r="U1137" s="46">
        <f t="shared" si="120"/>
        <v>80</v>
      </c>
      <c r="V1137" s="54">
        <f t="shared" si="121"/>
        <v>76.166666666666671</v>
      </c>
    </row>
    <row r="1138" spans="1:22" x14ac:dyDescent="0.2">
      <c r="A1138" s="46" t="s">
        <v>139</v>
      </c>
      <c r="B1138" s="46" t="s">
        <v>52</v>
      </c>
      <c r="C1138" s="46" t="s">
        <v>90</v>
      </c>
      <c r="D1138" s="46" t="s">
        <v>178</v>
      </c>
      <c r="E1138" s="46">
        <v>3</v>
      </c>
      <c r="F1138" s="46" t="s">
        <v>61</v>
      </c>
      <c r="G1138" s="46">
        <v>1</v>
      </c>
      <c r="H1138" s="47" t="s">
        <v>70</v>
      </c>
      <c r="I1138" s="47" t="s">
        <v>101</v>
      </c>
      <c r="J1138" s="48">
        <v>4</v>
      </c>
      <c r="K1138" s="48">
        <v>1</v>
      </c>
      <c r="R1138" s="46">
        <f t="shared" si="117"/>
        <v>1</v>
      </c>
      <c r="S1138" s="46">
        <f t="shared" si="118"/>
        <v>0</v>
      </c>
      <c r="T1138" s="46">
        <f t="shared" si="122"/>
        <v>80</v>
      </c>
      <c r="U1138" s="46">
        <f t="shared" si="120"/>
        <v>80</v>
      </c>
      <c r="V1138" s="54">
        <f t="shared" si="121"/>
        <v>76.166666666666671</v>
      </c>
    </row>
    <row r="1139" spans="1:22" x14ac:dyDescent="0.2">
      <c r="A1139" s="46" t="s">
        <v>139</v>
      </c>
      <c r="B1139" s="46" t="s">
        <v>52</v>
      </c>
      <c r="C1139" s="46" t="s">
        <v>90</v>
      </c>
      <c r="D1139" s="46" t="s">
        <v>178</v>
      </c>
      <c r="E1139" s="46">
        <v>3</v>
      </c>
      <c r="F1139" s="46" t="s">
        <v>61</v>
      </c>
      <c r="G1139" s="46">
        <v>1</v>
      </c>
      <c r="H1139" s="47" t="s">
        <v>75</v>
      </c>
      <c r="I1139" s="47" t="s">
        <v>101</v>
      </c>
      <c r="J1139" s="48">
        <v>4</v>
      </c>
      <c r="K1139" s="48">
        <v>1</v>
      </c>
      <c r="R1139" s="46">
        <f t="shared" si="117"/>
        <v>1</v>
      </c>
      <c r="S1139" s="46">
        <f t="shared" si="118"/>
        <v>0</v>
      </c>
      <c r="T1139" s="46">
        <f t="shared" si="122"/>
        <v>80</v>
      </c>
      <c r="U1139" s="46">
        <f t="shared" si="120"/>
        <v>80</v>
      </c>
      <c r="V1139" s="54">
        <f t="shared" si="121"/>
        <v>76.166666666666671</v>
      </c>
    </row>
    <row r="1140" spans="1:22" x14ac:dyDescent="0.2">
      <c r="A1140" s="46" t="s">
        <v>139</v>
      </c>
      <c r="B1140" s="46" t="s">
        <v>52</v>
      </c>
      <c r="C1140" s="46" t="s">
        <v>90</v>
      </c>
      <c r="D1140" s="46" t="s">
        <v>178</v>
      </c>
      <c r="E1140" s="46">
        <v>3</v>
      </c>
      <c r="F1140" s="46" t="s">
        <v>61</v>
      </c>
      <c r="G1140" s="46">
        <v>1</v>
      </c>
      <c r="H1140" s="47" t="s">
        <v>78</v>
      </c>
      <c r="I1140" s="47" t="s">
        <v>101</v>
      </c>
      <c r="J1140" s="48">
        <v>4</v>
      </c>
      <c r="K1140" s="48">
        <v>1</v>
      </c>
      <c r="M1140" s="48">
        <v>1</v>
      </c>
      <c r="R1140" s="46">
        <f t="shared" si="117"/>
        <v>1</v>
      </c>
      <c r="S1140" s="46">
        <f t="shared" si="118"/>
        <v>0</v>
      </c>
      <c r="T1140" s="46">
        <f t="shared" ref="T1140:T1160" si="123">quizscore(J1140,K1140)</f>
        <v>80</v>
      </c>
      <c r="U1140" s="46">
        <f t="shared" si="120"/>
        <v>100</v>
      </c>
      <c r="V1140" s="54">
        <f t="shared" si="121"/>
        <v>76.166666666666671</v>
      </c>
    </row>
    <row r="1141" spans="1:22" x14ac:dyDescent="0.2">
      <c r="A1141" s="46" t="s">
        <v>139</v>
      </c>
      <c r="B1141" s="46" t="s">
        <v>52</v>
      </c>
      <c r="C1141" s="46" t="s">
        <v>90</v>
      </c>
      <c r="D1141" s="46" t="s">
        <v>178</v>
      </c>
      <c r="E1141" s="46">
        <v>1</v>
      </c>
      <c r="F1141" s="46" t="s">
        <v>60</v>
      </c>
      <c r="G1141" s="46">
        <v>3</v>
      </c>
      <c r="H1141" s="47">
        <v>3</v>
      </c>
      <c r="I1141" s="47" t="s">
        <v>116</v>
      </c>
      <c r="J1141" s="48">
        <v>4</v>
      </c>
      <c r="K1141" s="48">
        <v>0</v>
      </c>
      <c r="R1141" s="46">
        <f t="shared" si="117"/>
        <v>1</v>
      </c>
      <c r="S1141" s="46">
        <f t="shared" si="118"/>
        <v>0</v>
      </c>
      <c r="T1141" s="46">
        <f t="shared" si="123"/>
        <v>90</v>
      </c>
      <c r="U1141" s="46">
        <f t="shared" si="120"/>
        <v>90</v>
      </c>
      <c r="V1141" s="54">
        <f t="shared" si="121"/>
        <v>76.166666666666671</v>
      </c>
    </row>
    <row r="1142" spans="1:22" x14ac:dyDescent="0.2">
      <c r="A1142" s="46" t="s">
        <v>139</v>
      </c>
      <c r="B1142" s="46" t="s">
        <v>52</v>
      </c>
      <c r="C1142" s="46" t="s">
        <v>90</v>
      </c>
      <c r="D1142" s="46" t="s">
        <v>178</v>
      </c>
      <c r="E1142" s="46">
        <v>3</v>
      </c>
      <c r="F1142" s="46" t="s">
        <v>60</v>
      </c>
      <c r="G1142" s="46">
        <v>4</v>
      </c>
      <c r="H1142" s="47">
        <v>4</v>
      </c>
      <c r="I1142" s="47" t="s">
        <v>102</v>
      </c>
      <c r="J1142" s="48">
        <v>4</v>
      </c>
      <c r="K1142" s="48">
        <v>0</v>
      </c>
      <c r="R1142" s="46">
        <f t="shared" si="117"/>
        <v>1</v>
      </c>
      <c r="S1142" s="46">
        <f t="shared" si="118"/>
        <v>0</v>
      </c>
      <c r="T1142" s="46">
        <f t="shared" si="123"/>
        <v>90</v>
      </c>
      <c r="U1142" s="46">
        <f t="shared" si="120"/>
        <v>90</v>
      </c>
      <c r="V1142" s="54">
        <f t="shared" si="121"/>
        <v>76.166666666666671</v>
      </c>
    </row>
    <row r="1143" spans="1:22" x14ac:dyDescent="0.2">
      <c r="A1143" s="46" t="s">
        <v>139</v>
      </c>
      <c r="B1143" s="46" t="s">
        <v>52</v>
      </c>
      <c r="C1143" s="46" t="s">
        <v>90</v>
      </c>
      <c r="D1143" s="46" t="s">
        <v>178</v>
      </c>
      <c r="E1143" s="46">
        <v>1</v>
      </c>
      <c r="F1143" s="46" t="s">
        <v>60</v>
      </c>
      <c r="G1143" s="46">
        <v>1</v>
      </c>
      <c r="H1143" s="47">
        <v>9</v>
      </c>
      <c r="I1143" s="47" t="s">
        <v>101</v>
      </c>
      <c r="J1143" s="48">
        <v>4</v>
      </c>
      <c r="K1143" s="48">
        <v>0</v>
      </c>
      <c r="M1143" s="48">
        <v>1</v>
      </c>
      <c r="R1143" s="46">
        <f t="shared" si="117"/>
        <v>1</v>
      </c>
      <c r="S1143" s="46">
        <f t="shared" si="118"/>
        <v>0</v>
      </c>
      <c r="T1143" s="46">
        <f t="shared" si="123"/>
        <v>90</v>
      </c>
      <c r="U1143" s="46">
        <f t="shared" si="120"/>
        <v>110</v>
      </c>
      <c r="V1143" s="54">
        <f t="shared" si="121"/>
        <v>76.166666666666671</v>
      </c>
    </row>
    <row r="1144" spans="1:22" x14ac:dyDescent="0.2">
      <c r="A1144" s="46" t="s">
        <v>139</v>
      </c>
      <c r="B1144" s="46" t="s">
        <v>52</v>
      </c>
      <c r="C1144" s="46" t="s">
        <v>90</v>
      </c>
      <c r="D1144" s="46" t="s">
        <v>178</v>
      </c>
      <c r="E1144" s="46">
        <v>2</v>
      </c>
      <c r="F1144" s="46" t="s">
        <v>60</v>
      </c>
      <c r="G1144" s="46">
        <v>1</v>
      </c>
      <c r="H1144" s="47">
        <v>17</v>
      </c>
      <c r="I1144" s="47" t="s">
        <v>101</v>
      </c>
      <c r="J1144" s="48">
        <v>4</v>
      </c>
      <c r="K1144" s="48">
        <v>0</v>
      </c>
      <c r="R1144" s="46">
        <f t="shared" si="117"/>
        <v>1</v>
      </c>
      <c r="S1144" s="46">
        <f t="shared" si="118"/>
        <v>0</v>
      </c>
      <c r="T1144" s="46">
        <f t="shared" si="123"/>
        <v>90</v>
      </c>
      <c r="U1144" s="46">
        <f t="shared" si="120"/>
        <v>90</v>
      </c>
      <c r="V1144" s="54">
        <f t="shared" si="121"/>
        <v>76.166666666666671</v>
      </c>
    </row>
    <row r="1145" spans="1:22" x14ac:dyDescent="0.2">
      <c r="A1145" s="46" t="s">
        <v>139</v>
      </c>
      <c r="B1145" s="46" t="s">
        <v>52</v>
      </c>
      <c r="C1145" s="46" t="s">
        <v>90</v>
      </c>
      <c r="D1145" s="46" t="s">
        <v>178</v>
      </c>
      <c r="E1145" s="46">
        <v>4</v>
      </c>
      <c r="F1145" s="46" t="s">
        <v>60</v>
      </c>
      <c r="G1145" s="46">
        <v>3</v>
      </c>
      <c r="H1145" s="47">
        <v>27</v>
      </c>
      <c r="I1145" s="47" t="s">
        <v>159</v>
      </c>
      <c r="J1145" s="48">
        <v>4</v>
      </c>
      <c r="K1145" s="48">
        <v>0</v>
      </c>
      <c r="R1145" s="46">
        <f t="shared" si="117"/>
        <v>1</v>
      </c>
      <c r="S1145" s="46">
        <f t="shared" si="118"/>
        <v>0</v>
      </c>
      <c r="T1145" s="46">
        <f t="shared" si="123"/>
        <v>90</v>
      </c>
      <c r="U1145" s="46">
        <f t="shared" si="120"/>
        <v>90</v>
      </c>
      <c r="V1145" s="54">
        <f t="shared" si="121"/>
        <v>76.166666666666671</v>
      </c>
    </row>
    <row r="1146" spans="1:22" x14ac:dyDescent="0.2">
      <c r="A1146" s="46" t="s">
        <v>139</v>
      </c>
      <c r="B1146" s="46" t="s">
        <v>52</v>
      </c>
      <c r="C1146" s="46" t="s">
        <v>90</v>
      </c>
      <c r="D1146" s="46" t="s">
        <v>178</v>
      </c>
      <c r="E1146" s="46">
        <v>1</v>
      </c>
      <c r="F1146" s="46" t="s">
        <v>60</v>
      </c>
      <c r="G1146" s="46">
        <v>3</v>
      </c>
      <c r="H1146" s="47">
        <v>39</v>
      </c>
      <c r="I1146" s="47" t="s">
        <v>116</v>
      </c>
      <c r="J1146" s="48">
        <v>4</v>
      </c>
      <c r="K1146" s="48">
        <v>0</v>
      </c>
      <c r="R1146" s="46">
        <f t="shared" si="117"/>
        <v>1</v>
      </c>
      <c r="S1146" s="46">
        <f t="shared" si="118"/>
        <v>0</v>
      </c>
      <c r="T1146" s="46">
        <f t="shared" si="123"/>
        <v>90</v>
      </c>
      <c r="U1146" s="46">
        <f t="shared" si="120"/>
        <v>90</v>
      </c>
      <c r="V1146" s="54">
        <f t="shared" si="121"/>
        <v>76.166666666666671</v>
      </c>
    </row>
    <row r="1147" spans="1:22" x14ac:dyDescent="0.2">
      <c r="A1147" s="46" t="s">
        <v>139</v>
      </c>
      <c r="B1147" s="46" t="s">
        <v>52</v>
      </c>
      <c r="C1147" s="46" t="s">
        <v>90</v>
      </c>
      <c r="D1147" s="46" t="s">
        <v>178</v>
      </c>
      <c r="E1147" s="46">
        <v>4</v>
      </c>
      <c r="F1147" s="46" t="s">
        <v>60</v>
      </c>
      <c r="G1147" s="46">
        <v>4</v>
      </c>
      <c r="H1147" s="47">
        <v>48</v>
      </c>
      <c r="I1147" s="47" t="s">
        <v>102</v>
      </c>
      <c r="J1147" s="48">
        <v>4</v>
      </c>
      <c r="K1147" s="48">
        <v>0</v>
      </c>
      <c r="N1147" s="48">
        <v>1</v>
      </c>
      <c r="R1147" s="46">
        <f t="shared" si="117"/>
        <v>1</v>
      </c>
      <c r="S1147" s="46">
        <f t="shared" si="118"/>
        <v>0</v>
      </c>
      <c r="T1147" s="46">
        <f t="shared" si="123"/>
        <v>90</v>
      </c>
      <c r="U1147" s="46">
        <f t="shared" si="120"/>
        <v>85</v>
      </c>
      <c r="V1147" s="54">
        <f t="shared" si="121"/>
        <v>76.166666666666671</v>
      </c>
    </row>
    <row r="1148" spans="1:22" x14ac:dyDescent="0.2">
      <c r="A1148" s="46" t="s">
        <v>139</v>
      </c>
      <c r="B1148" s="46" t="s">
        <v>52</v>
      </c>
      <c r="C1148" s="46" t="s">
        <v>90</v>
      </c>
      <c r="D1148" s="46" t="s">
        <v>178</v>
      </c>
      <c r="E1148" s="46">
        <v>2</v>
      </c>
      <c r="F1148" s="46" t="s">
        <v>60</v>
      </c>
      <c r="G1148" s="46">
        <v>2</v>
      </c>
      <c r="H1148" s="47">
        <v>50</v>
      </c>
      <c r="I1148" s="47" t="s">
        <v>127</v>
      </c>
      <c r="J1148" s="48">
        <v>4</v>
      </c>
      <c r="K1148" s="48">
        <v>0</v>
      </c>
      <c r="M1148" s="48">
        <v>1</v>
      </c>
      <c r="R1148" s="46">
        <f t="shared" si="117"/>
        <v>1</v>
      </c>
      <c r="S1148" s="46">
        <f t="shared" si="118"/>
        <v>0</v>
      </c>
      <c r="T1148" s="46">
        <f t="shared" si="123"/>
        <v>90</v>
      </c>
      <c r="U1148" s="46">
        <f t="shared" si="120"/>
        <v>110</v>
      </c>
      <c r="V1148" s="54">
        <f t="shared" si="121"/>
        <v>76.166666666666671</v>
      </c>
    </row>
    <row r="1149" spans="1:22" x14ac:dyDescent="0.2">
      <c r="A1149" s="46" t="s">
        <v>139</v>
      </c>
      <c r="B1149" s="46" t="s">
        <v>52</v>
      </c>
      <c r="C1149" s="46" t="s">
        <v>90</v>
      </c>
      <c r="D1149" s="46" t="s">
        <v>178</v>
      </c>
      <c r="E1149" s="46">
        <v>3</v>
      </c>
      <c r="F1149" s="46" t="s">
        <v>61</v>
      </c>
      <c r="G1149" s="46">
        <v>1</v>
      </c>
      <c r="H1149" s="47" t="s">
        <v>69</v>
      </c>
      <c r="I1149" s="47" t="s">
        <v>101</v>
      </c>
      <c r="J1149" s="48">
        <v>4</v>
      </c>
      <c r="K1149" s="48">
        <v>0</v>
      </c>
      <c r="M1149" s="48">
        <v>1</v>
      </c>
      <c r="R1149" s="46">
        <f t="shared" si="117"/>
        <v>1</v>
      </c>
      <c r="S1149" s="46">
        <f t="shared" si="118"/>
        <v>0</v>
      </c>
      <c r="T1149" s="46">
        <f t="shared" si="123"/>
        <v>90</v>
      </c>
      <c r="U1149" s="46">
        <f t="shared" si="120"/>
        <v>110</v>
      </c>
      <c r="V1149" s="54">
        <f t="shared" si="121"/>
        <v>76.166666666666671</v>
      </c>
    </row>
    <row r="1150" spans="1:22" x14ac:dyDescent="0.2">
      <c r="A1150" s="46" t="s">
        <v>139</v>
      </c>
      <c r="B1150" s="46" t="s">
        <v>52</v>
      </c>
      <c r="C1150" s="46" t="s">
        <v>90</v>
      </c>
      <c r="D1150" s="46" t="s">
        <v>178</v>
      </c>
      <c r="E1150" s="46">
        <v>3</v>
      </c>
      <c r="F1150" s="46" t="s">
        <v>61</v>
      </c>
      <c r="G1150" s="46">
        <v>1</v>
      </c>
      <c r="H1150" s="47" t="s">
        <v>78</v>
      </c>
      <c r="I1150" s="47" t="s">
        <v>101</v>
      </c>
      <c r="J1150" s="48">
        <v>4</v>
      </c>
      <c r="K1150" s="48">
        <v>0</v>
      </c>
      <c r="R1150" s="46">
        <f t="shared" si="117"/>
        <v>1</v>
      </c>
      <c r="S1150" s="46">
        <f t="shared" si="118"/>
        <v>0</v>
      </c>
      <c r="T1150" s="46">
        <f t="shared" si="123"/>
        <v>90</v>
      </c>
      <c r="U1150" s="46">
        <f t="shared" si="120"/>
        <v>90</v>
      </c>
      <c r="V1150" s="54">
        <f t="shared" si="121"/>
        <v>76.166666666666671</v>
      </c>
    </row>
    <row r="1151" spans="1:22" x14ac:dyDescent="0.2">
      <c r="A1151" s="46" t="s">
        <v>139</v>
      </c>
      <c r="B1151" s="46" t="s">
        <v>52</v>
      </c>
      <c r="C1151" s="46" t="s">
        <v>90</v>
      </c>
      <c r="D1151" s="46" t="s">
        <v>178</v>
      </c>
      <c r="E1151" s="46">
        <v>5</v>
      </c>
      <c r="F1151" s="46" t="s">
        <v>60</v>
      </c>
      <c r="G1151" s="46">
        <v>2</v>
      </c>
      <c r="H1151" s="47">
        <v>2</v>
      </c>
      <c r="I1151" s="47" t="s">
        <v>127</v>
      </c>
      <c r="J1151" s="48">
        <v>4</v>
      </c>
      <c r="K1151" s="48">
        <v>1</v>
      </c>
      <c r="R1151" s="46">
        <f t="shared" si="117"/>
        <v>1</v>
      </c>
      <c r="S1151" s="46">
        <f t="shared" si="118"/>
        <v>0</v>
      </c>
      <c r="T1151" s="46">
        <f t="shared" si="123"/>
        <v>80</v>
      </c>
      <c r="U1151" s="46">
        <f t="shared" si="120"/>
        <v>80</v>
      </c>
      <c r="V1151" s="54">
        <f t="shared" si="121"/>
        <v>76.166666666666671</v>
      </c>
    </row>
    <row r="1152" spans="1:22" x14ac:dyDescent="0.2">
      <c r="A1152" s="46" t="s">
        <v>139</v>
      </c>
      <c r="B1152" s="46" t="s">
        <v>52</v>
      </c>
      <c r="C1152" s="46" t="s">
        <v>90</v>
      </c>
      <c r="D1152" s="46" t="s">
        <v>178</v>
      </c>
      <c r="E1152" s="46">
        <v>5</v>
      </c>
      <c r="F1152" s="46" t="s">
        <v>60</v>
      </c>
      <c r="G1152" s="46">
        <v>3</v>
      </c>
      <c r="H1152" s="47">
        <v>15</v>
      </c>
      <c r="I1152" s="47" t="s">
        <v>159</v>
      </c>
      <c r="J1152" s="48">
        <v>4</v>
      </c>
      <c r="K1152" s="48">
        <v>2</v>
      </c>
      <c r="R1152" s="46">
        <f t="shared" si="117"/>
        <v>1</v>
      </c>
      <c r="S1152" s="46">
        <f t="shared" si="118"/>
        <v>0</v>
      </c>
      <c r="T1152" s="46">
        <f t="shared" si="123"/>
        <v>70</v>
      </c>
      <c r="U1152" s="46">
        <f t="shared" si="120"/>
        <v>70</v>
      </c>
      <c r="V1152" s="54">
        <f t="shared" si="121"/>
        <v>76.166666666666671</v>
      </c>
    </row>
    <row r="1153" spans="1:22" x14ac:dyDescent="0.2">
      <c r="A1153" s="46" t="s">
        <v>139</v>
      </c>
      <c r="B1153" s="46" t="s">
        <v>52</v>
      </c>
      <c r="C1153" s="46" t="s">
        <v>90</v>
      </c>
      <c r="D1153" s="46" t="s">
        <v>178</v>
      </c>
      <c r="E1153" s="46">
        <v>5</v>
      </c>
      <c r="F1153" s="46" t="s">
        <v>60</v>
      </c>
      <c r="G1153" s="46">
        <v>1</v>
      </c>
      <c r="H1153" s="47">
        <v>17</v>
      </c>
      <c r="I1153" s="47" t="s">
        <v>101</v>
      </c>
      <c r="J1153" s="48">
        <v>4</v>
      </c>
      <c r="K1153" s="48">
        <v>2</v>
      </c>
      <c r="R1153" s="46">
        <f t="shared" si="117"/>
        <v>1</v>
      </c>
      <c r="S1153" s="46">
        <f t="shared" si="118"/>
        <v>0</v>
      </c>
      <c r="T1153" s="46">
        <f t="shared" si="123"/>
        <v>70</v>
      </c>
      <c r="U1153" s="46">
        <f t="shared" si="120"/>
        <v>70</v>
      </c>
      <c r="V1153" s="54">
        <f t="shared" si="121"/>
        <v>76.166666666666671</v>
      </c>
    </row>
    <row r="1154" spans="1:22" x14ac:dyDescent="0.2">
      <c r="A1154" s="46" t="s">
        <v>139</v>
      </c>
      <c r="B1154" s="46" t="s">
        <v>52</v>
      </c>
      <c r="C1154" s="46" t="s">
        <v>90</v>
      </c>
      <c r="D1154" s="46" t="s">
        <v>178</v>
      </c>
      <c r="E1154" s="46">
        <v>5</v>
      </c>
      <c r="F1154" s="46" t="s">
        <v>60</v>
      </c>
      <c r="G1154" s="46">
        <v>4</v>
      </c>
      <c r="H1154" s="47">
        <v>28</v>
      </c>
      <c r="I1154" s="47" t="s">
        <v>102</v>
      </c>
      <c r="J1154" s="48">
        <v>4</v>
      </c>
      <c r="K1154" s="48">
        <v>0</v>
      </c>
      <c r="R1154" s="46">
        <f t="shared" ref="R1154:R1217" si="124">IF(J1154=4,1,0)</f>
        <v>1</v>
      </c>
      <c r="S1154" s="46">
        <f t="shared" ref="S1154:S1217" si="125">IF(K1154=3,1,0)</f>
        <v>0</v>
      </c>
      <c r="T1154" s="46">
        <f t="shared" si="123"/>
        <v>90</v>
      </c>
      <c r="U1154" s="46">
        <f t="shared" ref="U1154:U1217" si="126">T1154+M1154*(20) + (SUM(O1154:Q1154)*(10)) - L1154*(5) - N1154*(5)</f>
        <v>90</v>
      </c>
      <c r="V1154" s="54">
        <f t="shared" ref="V1154:V1217" si="127">AVERAGEIFS(U:U,A:A,A1154,F:F,"Pre")</f>
        <v>76.166666666666671</v>
      </c>
    </row>
    <row r="1155" spans="1:22" x14ac:dyDescent="0.2">
      <c r="A1155" s="46" t="s">
        <v>139</v>
      </c>
      <c r="B1155" s="46" t="s">
        <v>52</v>
      </c>
      <c r="C1155" s="46" t="s">
        <v>90</v>
      </c>
      <c r="D1155" s="46" t="s">
        <v>178</v>
      </c>
      <c r="E1155" s="46">
        <v>5</v>
      </c>
      <c r="F1155" s="46" t="s">
        <v>60</v>
      </c>
      <c r="G1155" s="46">
        <v>4</v>
      </c>
      <c r="H1155" s="47">
        <v>36</v>
      </c>
      <c r="I1155" s="47" t="s">
        <v>102</v>
      </c>
      <c r="J1155" s="48">
        <v>4</v>
      </c>
      <c r="K1155" s="48">
        <v>1</v>
      </c>
      <c r="R1155" s="46">
        <f t="shared" si="124"/>
        <v>1</v>
      </c>
      <c r="S1155" s="46">
        <f t="shared" si="125"/>
        <v>0</v>
      </c>
      <c r="T1155" s="46">
        <f t="shared" si="123"/>
        <v>80</v>
      </c>
      <c r="U1155" s="46">
        <f t="shared" si="126"/>
        <v>80</v>
      </c>
      <c r="V1155" s="54">
        <f t="shared" si="127"/>
        <v>76.166666666666671</v>
      </c>
    </row>
    <row r="1156" spans="1:22" x14ac:dyDescent="0.2">
      <c r="A1156" s="46" t="s">
        <v>139</v>
      </c>
      <c r="B1156" s="46" t="s">
        <v>52</v>
      </c>
      <c r="C1156" s="46" t="s">
        <v>90</v>
      </c>
      <c r="D1156" s="46" t="s">
        <v>178</v>
      </c>
      <c r="E1156" s="46">
        <v>5</v>
      </c>
      <c r="F1156" s="46" t="s">
        <v>60</v>
      </c>
      <c r="G1156" s="46">
        <v>1</v>
      </c>
      <c r="H1156" s="47">
        <v>41</v>
      </c>
      <c r="I1156" s="47" t="s">
        <v>101</v>
      </c>
      <c r="J1156" s="48">
        <v>3</v>
      </c>
      <c r="K1156" s="48">
        <v>1</v>
      </c>
      <c r="R1156" s="46">
        <f t="shared" si="124"/>
        <v>0</v>
      </c>
      <c r="S1156" s="46">
        <f t="shared" si="125"/>
        <v>0</v>
      </c>
      <c r="T1156" s="46">
        <f t="shared" si="123"/>
        <v>60</v>
      </c>
      <c r="U1156" s="46">
        <f t="shared" si="126"/>
        <v>60</v>
      </c>
      <c r="V1156" s="54">
        <f t="shared" si="127"/>
        <v>76.166666666666671</v>
      </c>
    </row>
    <row r="1157" spans="1:22" x14ac:dyDescent="0.2">
      <c r="A1157" s="46" t="s">
        <v>139</v>
      </c>
      <c r="B1157" s="46" t="s">
        <v>52</v>
      </c>
      <c r="C1157" s="46" t="s">
        <v>90</v>
      </c>
      <c r="D1157" s="46" t="s">
        <v>178</v>
      </c>
      <c r="E1157" s="46">
        <v>5</v>
      </c>
      <c r="F1157" s="46" t="s">
        <v>61</v>
      </c>
      <c r="G1157" s="46">
        <v>1</v>
      </c>
      <c r="H1157" s="47" t="s">
        <v>70</v>
      </c>
      <c r="I1157" s="47" t="s">
        <v>101</v>
      </c>
      <c r="J1157" s="48">
        <v>3</v>
      </c>
      <c r="K1157" s="48">
        <v>3</v>
      </c>
      <c r="R1157" s="46">
        <f t="shared" si="124"/>
        <v>0</v>
      </c>
      <c r="S1157" s="46">
        <f t="shared" si="125"/>
        <v>1</v>
      </c>
      <c r="T1157" s="46">
        <f t="shared" si="123"/>
        <v>40</v>
      </c>
      <c r="U1157" s="46">
        <f t="shared" si="126"/>
        <v>40</v>
      </c>
      <c r="V1157" s="54">
        <f t="shared" si="127"/>
        <v>76.166666666666671</v>
      </c>
    </row>
    <row r="1158" spans="1:22" x14ac:dyDescent="0.2">
      <c r="A1158" s="46" t="s">
        <v>139</v>
      </c>
      <c r="B1158" s="46" t="s">
        <v>52</v>
      </c>
      <c r="C1158" s="46" t="s">
        <v>90</v>
      </c>
      <c r="D1158" s="46" t="s">
        <v>178</v>
      </c>
      <c r="E1158" s="46">
        <v>5</v>
      </c>
      <c r="F1158" s="46" t="s">
        <v>61</v>
      </c>
      <c r="G1158" s="46">
        <v>1</v>
      </c>
      <c r="H1158" s="47" t="s">
        <v>68</v>
      </c>
      <c r="I1158" s="47" t="s">
        <v>101</v>
      </c>
      <c r="J1158" s="48">
        <v>3</v>
      </c>
      <c r="K1158" s="48">
        <v>1</v>
      </c>
      <c r="M1158" s="48">
        <v>1</v>
      </c>
      <c r="R1158" s="46">
        <f t="shared" si="124"/>
        <v>0</v>
      </c>
      <c r="S1158" s="46">
        <f t="shared" si="125"/>
        <v>0</v>
      </c>
      <c r="T1158" s="46">
        <f t="shared" si="123"/>
        <v>60</v>
      </c>
      <c r="U1158" s="46">
        <f t="shared" si="126"/>
        <v>80</v>
      </c>
      <c r="V1158" s="54">
        <f t="shared" si="127"/>
        <v>76.166666666666671</v>
      </c>
    </row>
    <row r="1159" spans="1:22" x14ac:dyDescent="0.2">
      <c r="A1159" s="46" t="s">
        <v>139</v>
      </c>
      <c r="B1159" s="46" t="s">
        <v>52</v>
      </c>
      <c r="C1159" s="46" t="s">
        <v>90</v>
      </c>
      <c r="D1159" s="46" t="s">
        <v>178</v>
      </c>
      <c r="E1159" s="46">
        <v>5</v>
      </c>
      <c r="F1159" s="46" t="s">
        <v>61</v>
      </c>
      <c r="G1159" s="46">
        <v>1</v>
      </c>
      <c r="H1159" s="47" t="s">
        <v>69</v>
      </c>
      <c r="I1159" s="47" t="s">
        <v>101</v>
      </c>
      <c r="J1159" s="48">
        <v>1</v>
      </c>
      <c r="K1159" s="48">
        <v>3</v>
      </c>
      <c r="R1159" s="46">
        <f t="shared" si="124"/>
        <v>0</v>
      </c>
      <c r="S1159" s="46">
        <f t="shared" si="125"/>
        <v>1</v>
      </c>
      <c r="T1159" s="46">
        <f t="shared" si="123"/>
        <v>0</v>
      </c>
      <c r="U1159" s="46">
        <f t="shared" si="126"/>
        <v>0</v>
      </c>
      <c r="V1159" s="54">
        <f t="shared" si="127"/>
        <v>76.166666666666671</v>
      </c>
    </row>
    <row r="1160" spans="1:22" x14ac:dyDescent="0.2">
      <c r="A1160" s="46" t="s">
        <v>139</v>
      </c>
      <c r="B1160" s="46" t="s">
        <v>52</v>
      </c>
      <c r="C1160" s="46" t="s">
        <v>90</v>
      </c>
      <c r="D1160" s="46" t="s">
        <v>178</v>
      </c>
      <c r="E1160" s="46">
        <v>5</v>
      </c>
      <c r="F1160" s="46" t="s">
        <v>61</v>
      </c>
      <c r="G1160" s="46">
        <v>1</v>
      </c>
      <c r="H1160" s="47" t="s">
        <v>71</v>
      </c>
      <c r="I1160" s="47" t="s">
        <v>101</v>
      </c>
      <c r="J1160" s="48">
        <v>2</v>
      </c>
      <c r="K1160" s="48">
        <v>1</v>
      </c>
      <c r="R1160" s="46">
        <f t="shared" si="124"/>
        <v>0</v>
      </c>
      <c r="S1160" s="46">
        <f t="shared" si="125"/>
        <v>0</v>
      </c>
      <c r="T1160" s="46">
        <f t="shared" si="123"/>
        <v>40</v>
      </c>
      <c r="U1160" s="46">
        <f t="shared" si="126"/>
        <v>40</v>
      </c>
      <c r="V1160" s="54">
        <f t="shared" si="127"/>
        <v>76.166666666666671</v>
      </c>
    </row>
    <row r="1161" spans="1:22" x14ac:dyDescent="0.2">
      <c r="A1161" s="46" t="s">
        <v>139</v>
      </c>
      <c r="B1161" s="46" t="s">
        <v>52</v>
      </c>
      <c r="C1161" s="46" t="s">
        <v>90</v>
      </c>
      <c r="D1161" s="46" t="s">
        <v>178</v>
      </c>
      <c r="E1161" s="46">
        <v>5</v>
      </c>
      <c r="F1161" s="46" t="s">
        <v>61</v>
      </c>
      <c r="G1161" s="46">
        <v>1</v>
      </c>
      <c r="H1161" s="47" t="s">
        <v>78</v>
      </c>
      <c r="I1161" s="47" t="s">
        <v>101</v>
      </c>
      <c r="J1161" s="48">
        <v>2</v>
      </c>
      <c r="K1161" s="48">
        <v>2</v>
      </c>
      <c r="R1161" s="46">
        <f t="shared" si="124"/>
        <v>0</v>
      </c>
      <c r="S1161" s="46">
        <f t="shared" si="125"/>
        <v>0</v>
      </c>
      <c r="U1161" s="46">
        <f t="shared" si="126"/>
        <v>0</v>
      </c>
      <c r="V1161" s="54">
        <f t="shared" si="127"/>
        <v>76.166666666666671</v>
      </c>
    </row>
    <row r="1162" spans="1:22" x14ac:dyDescent="0.2">
      <c r="A1162" s="46" t="s">
        <v>139</v>
      </c>
      <c r="B1162" s="46" t="s">
        <v>52</v>
      </c>
      <c r="C1162" s="46" t="s">
        <v>90</v>
      </c>
      <c r="D1162" s="46" t="s">
        <v>178</v>
      </c>
      <c r="E1162" s="46">
        <v>5</v>
      </c>
      <c r="F1162" s="46" t="s">
        <v>61</v>
      </c>
      <c r="G1162" s="46">
        <v>1</v>
      </c>
      <c r="H1162" s="47" t="s">
        <v>78</v>
      </c>
      <c r="I1162" s="47" t="s">
        <v>101</v>
      </c>
      <c r="J1162" s="48">
        <v>2</v>
      </c>
      <c r="K1162" s="48">
        <v>2</v>
      </c>
      <c r="R1162" s="46">
        <f t="shared" si="124"/>
        <v>0</v>
      </c>
      <c r="S1162" s="46">
        <f t="shared" si="125"/>
        <v>0</v>
      </c>
      <c r="U1162" s="46">
        <f t="shared" si="126"/>
        <v>0</v>
      </c>
      <c r="V1162" s="54">
        <f t="shared" si="127"/>
        <v>76.166666666666671</v>
      </c>
    </row>
    <row r="1163" spans="1:22" x14ac:dyDescent="0.2">
      <c r="A1163" s="46" t="s">
        <v>185</v>
      </c>
      <c r="B1163" s="46" t="s">
        <v>115</v>
      </c>
      <c r="C1163" s="46" t="s">
        <v>93</v>
      </c>
      <c r="D1163" s="46" t="s">
        <v>178</v>
      </c>
      <c r="E1163" s="46">
        <v>2</v>
      </c>
      <c r="F1163" s="46" t="s">
        <v>60</v>
      </c>
      <c r="G1163" s="46">
        <v>2</v>
      </c>
      <c r="H1163" s="47">
        <v>6</v>
      </c>
      <c r="I1163" s="47" t="s">
        <v>127</v>
      </c>
      <c r="J1163" s="48">
        <v>0</v>
      </c>
      <c r="K1163" s="48">
        <v>1</v>
      </c>
      <c r="R1163" s="46">
        <f t="shared" si="124"/>
        <v>0</v>
      </c>
      <c r="S1163" s="46">
        <f t="shared" si="125"/>
        <v>0</v>
      </c>
      <c r="T1163" s="46">
        <f t="shared" ref="T1163:T1208" si="128">quizscore(J1163,K1163)</f>
        <v>0</v>
      </c>
      <c r="U1163" s="46">
        <f t="shared" si="126"/>
        <v>0</v>
      </c>
      <c r="V1163" s="54">
        <f t="shared" si="127"/>
        <v>5.333333333333333</v>
      </c>
    </row>
    <row r="1164" spans="1:22" x14ac:dyDescent="0.2">
      <c r="A1164" s="46" t="s">
        <v>185</v>
      </c>
      <c r="B1164" s="46" t="s">
        <v>115</v>
      </c>
      <c r="C1164" s="46" t="s">
        <v>93</v>
      </c>
      <c r="D1164" s="46" t="s">
        <v>178</v>
      </c>
      <c r="E1164" s="46">
        <v>4</v>
      </c>
      <c r="F1164" s="46" t="s">
        <v>60</v>
      </c>
      <c r="G1164" s="46">
        <v>3</v>
      </c>
      <c r="H1164" s="47">
        <v>7</v>
      </c>
      <c r="I1164" s="47" t="s">
        <v>159</v>
      </c>
      <c r="J1164" s="48">
        <v>0</v>
      </c>
      <c r="K1164" s="48">
        <v>0</v>
      </c>
      <c r="R1164" s="46">
        <f t="shared" si="124"/>
        <v>0</v>
      </c>
      <c r="S1164" s="46">
        <f t="shared" si="125"/>
        <v>0</v>
      </c>
      <c r="T1164" s="46">
        <f t="shared" si="128"/>
        <v>0</v>
      </c>
      <c r="U1164" s="46">
        <f t="shared" si="126"/>
        <v>0</v>
      </c>
      <c r="V1164" s="54">
        <f t="shared" si="127"/>
        <v>5.333333333333333</v>
      </c>
    </row>
    <row r="1165" spans="1:22" x14ac:dyDescent="0.2">
      <c r="A1165" s="46" t="s">
        <v>185</v>
      </c>
      <c r="B1165" s="46" t="s">
        <v>49</v>
      </c>
      <c r="C1165" s="46" t="s">
        <v>93</v>
      </c>
      <c r="D1165" s="46" t="s">
        <v>178</v>
      </c>
      <c r="E1165" s="46">
        <v>1</v>
      </c>
      <c r="F1165" s="46" t="s">
        <v>60</v>
      </c>
      <c r="G1165" s="46">
        <v>1</v>
      </c>
      <c r="H1165" s="47">
        <v>9</v>
      </c>
      <c r="I1165" s="47" t="s">
        <v>101</v>
      </c>
      <c r="J1165" s="48">
        <v>0</v>
      </c>
      <c r="K1165" s="48">
        <v>0</v>
      </c>
      <c r="R1165" s="46">
        <f t="shared" si="124"/>
        <v>0</v>
      </c>
      <c r="S1165" s="46">
        <f t="shared" si="125"/>
        <v>0</v>
      </c>
      <c r="T1165" s="46">
        <f t="shared" si="128"/>
        <v>0</v>
      </c>
      <c r="U1165" s="46">
        <f t="shared" si="126"/>
        <v>0</v>
      </c>
      <c r="V1165" s="54">
        <f t="shared" si="127"/>
        <v>5.333333333333333</v>
      </c>
    </row>
    <row r="1166" spans="1:22" x14ac:dyDescent="0.2">
      <c r="A1166" s="46" t="s">
        <v>185</v>
      </c>
      <c r="B1166" s="46" t="s">
        <v>115</v>
      </c>
      <c r="C1166" s="46" t="s">
        <v>93</v>
      </c>
      <c r="D1166" s="46" t="s">
        <v>178</v>
      </c>
      <c r="E1166" s="46">
        <v>3</v>
      </c>
      <c r="F1166" s="46" t="s">
        <v>60</v>
      </c>
      <c r="G1166" s="46">
        <v>1</v>
      </c>
      <c r="H1166" s="47">
        <v>13</v>
      </c>
      <c r="I1166" s="47" t="s">
        <v>101</v>
      </c>
      <c r="J1166" s="48">
        <v>0</v>
      </c>
      <c r="K1166" s="48">
        <v>0</v>
      </c>
      <c r="R1166" s="46">
        <f t="shared" si="124"/>
        <v>0</v>
      </c>
      <c r="S1166" s="46">
        <f t="shared" si="125"/>
        <v>0</v>
      </c>
      <c r="T1166" s="46">
        <f t="shared" si="128"/>
        <v>0</v>
      </c>
      <c r="U1166" s="46">
        <f t="shared" si="126"/>
        <v>0</v>
      </c>
      <c r="V1166" s="54">
        <f t="shared" si="127"/>
        <v>5.333333333333333</v>
      </c>
    </row>
    <row r="1167" spans="1:22" x14ac:dyDescent="0.2">
      <c r="A1167" s="46" t="s">
        <v>185</v>
      </c>
      <c r="B1167" s="46" t="s">
        <v>115</v>
      </c>
      <c r="C1167" s="46" t="s">
        <v>93</v>
      </c>
      <c r="D1167" s="46" t="s">
        <v>178</v>
      </c>
      <c r="E1167" s="46">
        <v>2</v>
      </c>
      <c r="F1167" s="46" t="s">
        <v>60</v>
      </c>
      <c r="G1167" s="46">
        <v>3</v>
      </c>
      <c r="H1167" s="47">
        <v>15</v>
      </c>
      <c r="I1167" s="47" t="s">
        <v>116</v>
      </c>
      <c r="J1167" s="48">
        <v>0</v>
      </c>
      <c r="K1167" s="48">
        <v>0</v>
      </c>
      <c r="R1167" s="46">
        <f t="shared" si="124"/>
        <v>0</v>
      </c>
      <c r="S1167" s="46">
        <f t="shared" si="125"/>
        <v>0</v>
      </c>
      <c r="T1167" s="46">
        <f t="shared" si="128"/>
        <v>0</v>
      </c>
      <c r="U1167" s="46">
        <f t="shared" si="126"/>
        <v>0</v>
      </c>
      <c r="V1167" s="54">
        <f t="shared" si="127"/>
        <v>5.333333333333333</v>
      </c>
    </row>
    <row r="1168" spans="1:22" x14ac:dyDescent="0.2">
      <c r="A1168" s="46" t="s">
        <v>185</v>
      </c>
      <c r="B1168" s="46" t="s">
        <v>115</v>
      </c>
      <c r="C1168" s="46" t="s">
        <v>93</v>
      </c>
      <c r="D1168" s="46" t="s">
        <v>178</v>
      </c>
      <c r="E1168" s="46">
        <v>2</v>
      </c>
      <c r="F1168" s="46" t="s">
        <v>60</v>
      </c>
      <c r="G1168" s="46">
        <v>3</v>
      </c>
      <c r="H1168" s="47">
        <v>19</v>
      </c>
      <c r="I1168" s="47" t="s">
        <v>116</v>
      </c>
      <c r="J1168" s="48">
        <v>0</v>
      </c>
      <c r="K1168" s="48">
        <v>0</v>
      </c>
      <c r="R1168" s="46">
        <f t="shared" si="124"/>
        <v>0</v>
      </c>
      <c r="S1168" s="46">
        <f t="shared" si="125"/>
        <v>0</v>
      </c>
      <c r="T1168" s="46">
        <f t="shared" si="128"/>
        <v>0</v>
      </c>
      <c r="U1168" s="46">
        <f t="shared" si="126"/>
        <v>0</v>
      </c>
      <c r="V1168" s="54">
        <f t="shared" si="127"/>
        <v>5.333333333333333</v>
      </c>
    </row>
    <row r="1169" spans="1:22" x14ac:dyDescent="0.2">
      <c r="A1169" s="46" t="s">
        <v>185</v>
      </c>
      <c r="B1169" s="46" t="s">
        <v>115</v>
      </c>
      <c r="C1169" s="46" t="s">
        <v>93</v>
      </c>
      <c r="D1169" s="46" t="s">
        <v>178</v>
      </c>
      <c r="E1169" s="46">
        <v>3</v>
      </c>
      <c r="F1169" s="46" t="s">
        <v>60</v>
      </c>
      <c r="G1169" s="46">
        <v>4</v>
      </c>
      <c r="H1169" s="47">
        <v>20</v>
      </c>
      <c r="I1169" s="47" t="s">
        <v>102</v>
      </c>
      <c r="J1169" s="48">
        <v>0</v>
      </c>
      <c r="K1169" s="48">
        <v>0</v>
      </c>
      <c r="M1169" s="48">
        <v>1</v>
      </c>
      <c r="R1169" s="46">
        <f t="shared" si="124"/>
        <v>0</v>
      </c>
      <c r="S1169" s="46">
        <f t="shared" si="125"/>
        <v>0</v>
      </c>
      <c r="T1169" s="46">
        <f t="shared" si="128"/>
        <v>0</v>
      </c>
      <c r="U1169" s="46">
        <f t="shared" si="126"/>
        <v>20</v>
      </c>
      <c r="V1169" s="54">
        <f t="shared" si="127"/>
        <v>5.333333333333333</v>
      </c>
    </row>
    <row r="1170" spans="1:22" x14ac:dyDescent="0.2">
      <c r="A1170" s="46" t="s">
        <v>185</v>
      </c>
      <c r="B1170" s="46" t="s">
        <v>115</v>
      </c>
      <c r="C1170" s="46" t="s">
        <v>93</v>
      </c>
      <c r="D1170" s="46" t="s">
        <v>178</v>
      </c>
      <c r="E1170" s="46">
        <v>2</v>
      </c>
      <c r="F1170" s="46" t="s">
        <v>60</v>
      </c>
      <c r="G1170" s="46">
        <v>1</v>
      </c>
      <c r="H1170" s="47">
        <v>21</v>
      </c>
      <c r="I1170" s="47" t="s">
        <v>101</v>
      </c>
      <c r="J1170" s="48">
        <v>0</v>
      </c>
      <c r="K1170" s="48">
        <v>1</v>
      </c>
      <c r="R1170" s="46">
        <f t="shared" si="124"/>
        <v>0</v>
      </c>
      <c r="S1170" s="46">
        <f t="shared" si="125"/>
        <v>0</v>
      </c>
      <c r="T1170" s="46">
        <f t="shared" si="128"/>
        <v>0</v>
      </c>
      <c r="U1170" s="46">
        <f t="shared" si="126"/>
        <v>0</v>
      </c>
      <c r="V1170" s="54">
        <f t="shared" si="127"/>
        <v>5.333333333333333</v>
      </c>
    </row>
    <row r="1171" spans="1:22" x14ac:dyDescent="0.2">
      <c r="A1171" s="46" t="s">
        <v>185</v>
      </c>
      <c r="B1171" s="46" t="s">
        <v>115</v>
      </c>
      <c r="C1171" s="46" t="s">
        <v>93</v>
      </c>
      <c r="D1171" s="46" t="s">
        <v>178</v>
      </c>
      <c r="E1171" s="46">
        <v>4</v>
      </c>
      <c r="F1171" s="46" t="s">
        <v>60</v>
      </c>
      <c r="G1171" s="46">
        <v>3</v>
      </c>
      <c r="H1171" s="47">
        <v>27</v>
      </c>
      <c r="I1171" s="47" t="s">
        <v>159</v>
      </c>
      <c r="J1171" s="48">
        <v>0</v>
      </c>
      <c r="K1171" s="48">
        <v>1</v>
      </c>
      <c r="R1171" s="46">
        <f t="shared" si="124"/>
        <v>0</v>
      </c>
      <c r="S1171" s="46">
        <f t="shared" si="125"/>
        <v>0</v>
      </c>
      <c r="T1171" s="46">
        <f t="shared" si="128"/>
        <v>0</v>
      </c>
      <c r="U1171" s="46">
        <f t="shared" si="126"/>
        <v>0</v>
      </c>
      <c r="V1171" s="54">
        <f t="shared" si="127"/>
        <v>5.333333333333333</v>
      </c>
    </row>
    <row r="1172" spans="1:22" x14ac:dyDescent="0.2">
      <c r="A1172" s="46" t="s">
        <v>185</v>
      </c>
      <c r="B1172" s="46" t="s">
        <v>115</v>
      </c>
      <c r="C1172" s="46" t="s">
        <v>93</v>
      </c>
      <c r="D1172" s="46" t="s">
        <v>178</v>
      </c>
      <c r="E1172" s="46">
        <v>3</v>
      </c>
      <c r="F1172" s="46" t="s">
        <v>60</v>
      </c>
      <c r="G1172" s="46">
        <v>4</v>
      </c>
      <c r="H1172" s="47">
        <v>28</v>
      </c>
      <c r="I1172" s="47" t="s">
        <v>102</v>
      </c>
      <c r="J1172" s="48">
        <v>0</v>
      </c>
      <c r="K1172" s="48">
        <v>0</v>
      </c>
      <c r="R1172" s="46">
        <f t="shared" si="124"/>
        <v>0</v>
      </c>
      <c r="S1172" s="46">
        <f t="shared" si="125"/>
        <v>0</v>
      </c>
      <c r="T1172" s="46">
        <f t="shared" si="128"/>
        <v>0</v>
      </c>
      <c r="U1172" s="46">
        <f t="shared" si="126"/>
        <v>0</v>
      </c>
      <c r="V1172" s="54">
        <f t="shared" si="127"/>
        <v>5.333333333333333</v>
      </c>
    </row>
    <row r="1173" spans="1:22" x14ac:dyDescent="0.2">
      <c r="A1173" s="46" t="s">
        <v>185</v>
      </c>
      <c r="B1173" s="46" t="s">
        <v>115</v>
      </c>
      <c r="C1173" s="46" t="s">
        <v>93</v>
      </c>
      <c r="D1173" s="46" t="s">
        <v>178</v>
      </c>
      <c r="E1173" s="46">
        <v>3</v>
      </c>
      <c r="F1173" s="46" t="s">
        <v>60</v>
      </c>
      <c r="G1173" s="46">
        <v>3</v>
      </c>
      <c r="H1173" s="47">
        <v>31</v>
      </c>
      <c r="I1173" s="47" t="s">
        <v>116</v>
      </c>
      <c r="J1173" s="48">
        <v>0</v>
      </c>
      <c r="K1173" s="48">
        <v>0</v>
      </c>
      <c r="R1173" s="46">
        <f t="shared" si="124"/>
        <v>0</v>
      </c>
      <c r="S1173" s="46">
        <f t="shared" si="125"/>
        <v>0</v>
      </c>
      <c r="T1173" s="46">
        <f t="shared" si="128"/>
        <v>0</v>
      </c>
      <c r="U1173" s="46">
        <f t="shared" si="126"/>
        <v>0</v>
      </c>
      <c r="V1173" s="54">
        <f t="shared" si="127"/>
        <v>5.333333333333333</v>
      </c>
    </row>
    <row r="1174" spans="1:22" x14ac:dyDescent="0.2">
      <c r="A1174" s="46" t="s">
        <v>185</v>
      </c>
      <c r="B1174" s="46" t="s">
        <v>49</v>
      </c>
      <c r="C1174" s="46" t="s">
        <v>93</v>
      </c>
      <c r="D1174" s="46" t="s">
        <v>178</v>
      </c>
      <c r="E1174" s="46">
        <v>1</v>
      </c>
      <c r="F1174" s="46" t="s">
        <v>60</v>
      </c>
      <c r="G1174" s="46">
        <v>1</v>
      </c>
      <c r="H1174" s="47">
        <v>33</v>
      </c>
      <c r="I1174" s="47" t="s">
        <v>101</v>
      </c>
      <c r="J1174" s="48">
        <v>0</v>
      </c>
      <c r="K1174" s="48">
        <v>0</v>
      </c>
      <c r="R1174" s="46">
        <f t="shared" si="124"/>
        <v>0</v>
      </c>
      <c r="S1174" s="46">
        <f t="shared" si="125"/>
        <v>0</v>
      </c>
      <c r="T1174" s="46">
        <f t="shared" si="128"/>
        <v>0</v>
      </c>
      <c r="U1174" s="46">
        <f t="shared" si="126"/>
        <v>0</v>
      </c>
      <c r="V1174" s="54">
        <f t="shared" si="127"/>
        <v>5.333333333333333</v>
      </c>
    </row>
    <row r="1175" spans="1:22" x14ac:dyDescent="0.2">
      <c r="A1175" s="46" t="s">
        <v>185</v>
      </c>
      <c r="B1175" s="46" t="s">
        <v>115</v>
      </c>
      <c r="C1175" s="46" t="s">
        <v>93</v>
      </c>
      <c r="D1175" s="46" t="s">
        <v>178</v>
      </c>
      <c r="E1175" s="46">
        <v>2</v>
      </c>
      <c r="F1175" s="46" t="s">
        <v>60</v>
      </c>
      <c r="G1175" s="46">
        <v>1</v>
      </c>
      <c r="H1175" s="47">
        <v>33</v>
      </c>
      <c r="I1175" s="47" t="s">
        <v>101</v>
      </c>
      <c r="J1175" s="48">
        <v>0</v>
      </c>
      <c r="K1175" s="48">
        <v>0</v>
      </c>
      <c r="L1175" s="48">
        <v>1</v>
      </c>
      <c r="R1175" s="46">
        <f t="shared" si="124"/>
        <v>0</v>
      </c>
      <c r="S1175" s="46">
        <f t="shared" si="125"/>
        <v>0</v>
      </c>
      <c r="T1175" s="46">
        <f t="shared" si="128"/>
        <v>0</v>
      </c>
      <c r="U1175" s="46">
        <f t="shared" si="126"/>
        <v>-5</v>
      </c>
      <c r="V1175" s="54">
        <f t="shared" si="127"/>
        <v>5.333333333333333</v>
      </c>
    </row>
    <row r="1176" spans="1:22" x14ac:dyDescent="0.2">
      <c r="A1176" s="46" t="s">
        <v>185</v>
      </c>
      <c r="B1176" s="46" t="s">
        <v>49</v>
      </c>
      <c r="C1176" s="46" t="s">
        <v>93</v>
      </c>
      <c r="D1176" s="46" t="s">
        <v>178</v>
      </c>
      <c r="E1176" s="46">
        <v>1</v>
      </c>
      <c r="F1176" s="46" t="s">
        <v>60</v>
      </c>
      <c r="G1176" s="46">
        <v>4</v>
      </c>
      <c r="H1176" s="47">
        <v>44</v>
      </c>
      <c r="I1176" s="47" t="s">
        <v>102</v>
      </c>
      <c r="J1176" s="48">
        <v>0</v>
      </c>
      <c r="K1176" s="48">
        <v>0</v>
      </c>
      <c r="R1176" s="46">
        <f t="shared" si="124"/>
        <v>0</v>
      </c>
      <c r="S1176" s="46">
        <f t="shared" si="125"/>
        <v>0</v>
      </c>
      <c r="T1176" s="46">
        <f t="shared" si="128"/>
        <v>0</v>
      </c>
      <c r="U1176" s="46">
        <f t="shared" si="126"/>
        <v>0</v>
      </c>
      <c r="V1176" s="54">
        <f t="shared" si="127"/>
        <v>5.333333333333333</v>
      </c>
    </row>
    <row r="1177" spans="1:22" x14ac:dyDescent="0.2">
      <c r="A1177" s="46" t="s">
        <v>185</v>
      </c>
      <c r="B1177" s="46" t="s">
        <v>115</v>
      </c>
      <c r="C1177" s="46" t="s">
        <v>93</v>
      </c>
      <c r="D1177" s="46" t="s">
        <v>178</v>
      </c>
      <c r="E1177" s="46">
        <v>2</v>
      </c>
      <c r="F1177" s="46" t="s">
        <v>60</v>
      </c>
      <c r="G1177" s="46">
        <v>4</v>
      </c>
      <c r="H1177" s="47">
        <v>44</v>
      </c>
      <c r="I1177" s="47" t="s">
        <v>102</v>
      </c>
      <c r="J1177" s="48">
        <v>0</v>
      </c>
      <c r="K1177" s="48">
        <v>0</v>
      </c>
      <c r="R1177" s="46">
        <f t="shared" si="124"/>
        <v>0</v>
      </c>
      <c r="S1177" s="46">
        <f t="shared" si="125"/>
        <v>0</v>
      </c>
      <c r="T1177" s="46">
        <f t="shared" si="128"/>
        <v>0</v>
      </c>
      <c r="U1177" s="46">
        <f t="shared" si="126"/>
        <v>0</v>
      </c>
      <c r="V1177" s="54">
        <f t="shared" si="127"/>
        <v>5.333333333333333</v>
      </c>
    </row>
    <row r="1178" spans="1:22" x14ac:dyDescent="0.2">
      <c r="A1178" s="46" t="s">
        <v>185</v>
      </c>
      <c r="B1178" s="46" t="s">
        <v>115</v>
      </c>
      <c r="C1178" s="46" t="s">
        <v>93</v>
      </c>
      <c r="D1178" s="46" t="s">
        <v>178</v>
      </c>
      <c r="E1178" s="46">
        <v>3</v>
      </c>
      <c r="F1178" s="46" t="s">
        <v>60</v>
      </c>
      <c r="G1178" s="46">
        <v>4</v>
      </c>
      <c r="H1178" s="47">
        <v>44</v>
      </c>
      <c r="I1178" s="47" t="s">
        <v>102</v>
      </c>
      <c r="J1178" s="48">
        <v>0</v>
      </c>
      <c r="K1178" s="48">
        <v>1</v>
      </c>
      <c r="R1178" s="46">
        <f t="shared" si="124"/>
        <v>0</v>
      </c>
      <c r="S1178" s="46">
        <f t="shared" si="125"/>
        <v>0</v>
      </c>
      <c r="T1178" s="46">
        <f t="shared" si="128"/>
        <v>0</v>
      </c>
      <c r="U1178" s="46">
        <f t="shared" si="126"/>
        <v>0</v>
      </c>
      <c r="V1178" s="54">
        <f t="shared" si="127"/>
        <v>5.333333333333333</v>
      </c>
    </row>
    <row r="1179" spans="1:22" x14ac:dyDescent="0.2">
      <c r="A1179" s="46" t="s">
        <v>185</v>
      </c>
      <c r="B1179" s="46" t="s">
        <v>49</v>
      </c>
      <c r="C1179" s="46" t="s">
        <v>93</v>
      </c>
      <c r="D1179" s="46" t="s">
        <v>178</v>
      </c>
      <c r="E1179" s="46">
        <v>1</v>
      </c>
      <c r="F1179" s="46" t="s">
        <v>60</v>
      </c>
      <c r="G1179" s="46">
        <v>2</v>
      </c>
      <c r="H1179" s="47">
        <v>50</v>
      </c>
      <c r="I1179" s="47" t="s">
        <v>127</v>
      </c>
      <c r="J1179" s="48">
        <v>0</v>
      </c>
      <c r="K1179" s="48">
        <v>0</v>
      </c>
      <c r="R1179" s="46">
        <f t="shared" si="124"/>
        <v>0</v>
      </c>
      <c r="S1179" s="46">
        <f t="shared" si="125"/>
        <v>0</v>
      </c>
      <c r="T1179" s="46">
        <f t="shared" si="128"/>
        <v>0</v>
      </c>
      <c r="U1179" s="46">
        <f t="shared" si="126"/>
        <v>0</v>
      </c>
      <c r="V1179" s="54">
        <f t="shared" si="127"/>
        <v>5.333333333333333</v>
      </c>
    </row>
    <row r="1180" spans="1:22" x14ac:dyDescent="0.2">
      <c r="A1180" s="46" t="s">
        <v>185</v>
      </c>
      <c r="B1180" s="46" t="s">
        <v>115</v>
      </c>
      <c r="C1180" s="46" t="s">
        <v>93</v>
      </c>
      <c r="D1180" s="46" t="s">
        <v>178</v>
      </c>
      <c r="E1180" s="46">
        <v>3</v>
      </c>
      <c r="F1180" s="46" t="s">
        <v>60</v>
      </c>
      <c r="G1180" s="46">
        <v>2</v>
      </c>
      <c r="H1180" s="47">
        <v>50</v>
      </c>
      <c r="I1180" s="47" t="s">
        <v>127</v>
      </c>
      <c r="J1180" s="48">
        <v>0</v>
      </c>
      <c r="K1180" s="48">
        <v>0</v>
      </c>
      <c r="R1180" s="46">
        <f t="shared" si="124"/>
        <v>0</v>
      </c>
      <c r="S1180" s="46">
        <f t="shared" si="125"/>
        <v>0</v>
      </c>
      <c r="T1180" s="46">
        <f t="shared" si="128"/>
        <v>0</v>
      </c>
      <c r="U1180" s="46">
        <f t="shared" si="126"/>
        <v>0</v>
      </c>
      <c r="V1180" s="54">
        <f t="shared" si="127"/>
        <v>5.333333333333333</v>
      </c>
    </row>
    <row r="1181" spans="1:22" x14ac:dyDescent="0.2">
      <c r="A1181" s="46" t="s">
        <v>185</v>
      </c>
      <c r="B1181" s="46" t="s">
        <v>115</v>
      </c>
      <c r="C1181" s="46" t="s">
        <v>93</v>
      </c>
      <c r="D1181" s="46" t="s">
        <v>178</v>
      </c>
      <c r="E1181" s="46">
        <v>4</v>
      </c>
      <c r="F1181" s="46" t="s">
        <v>60</v>
      </c>
      <c r="G1181" s="46">
        <v>2</v>
      </c>
      <c r="H1181" s="47">
        <v>50</v>
      </c>
      <c r="I1181" s="47" t="s">
        <v>127</v>
      </c>
      <c r="J1181" s="48">
        <v>0</v>
      </c>
      <c r="K1181" s="48">
        <v>0</v>
      </c>
      <c r="N1181" s="48">
        <v>1</v>
      </c>
      <c r="R1181" s="46">
        <f t="shared" si="124"/>
        <v>0</v>
      </c>
      <c r="S1181" s="46">
        <f t="shared" si="125"/>
        <v>0</v>
      </c>
      <c r="T1181" s="46">
        <f t="shared" si="128"/>
        <v>0</v>
      </c>
      <c r="U1181" s="46">
        <f t="shared" si="126"/>
        <v>-5</v>
      </c>
      <c r="V1181" s="54">
        <f t="shared" si="127"/>
        <v>5.333333333333333</v>
      </c>
    </row>
    <row r="1182" spans="1:22" x14ac:dyDescent="0.2">
      <c r="A1182" s="46" t="s">
        <v>185</v>
      </c>
      <c r="B1182" s="46" t="s">
        <v>115</v>
      </c>
      <c r="C1182" s="46" t="s">
        <v>93</v>
      </c>
      <c r="D1182" s="46" t="s">
        <v>178</v>
      </c>
      <c r="E1182" s="46">
        <v>3</v>
      </c>
      <c r="F1182" s="46" t="s">
        <v>62</v>
      </c>
      <c r="G1182" s="46">
        <v>3</v>
      </c>
      <c r="H1182" s="47" t="s">
        <v>80</v>
      </c>
      <c r="I1182" s="47" t="s">
        <v>116</v>
      </c>
      <c r="J1182" s="48">
        <v>0</v>
      </c>
      <c r="K1182" s="48">
        <v>1</v>
      </c>
      <c r="R1182" s="46">
        <f t="shared" si="124"/>
        <v>0</v>
      </c>
      <c r="S1182" s="46">
        <f t="shared" si="125"/>
        <v>0</v>
      </c>
      <c r="T1182" s="46">
        <f t="shared" si="128"/>
        <v>0</v>
      </c>
      <c r="U1182" s="46">
        <f t="shared" si="126"/>
        <v>0</v>
      </c>
      <c r="V1182" s="54">
        <f t="shared" si="127"/>
        <v>5.333333333333333</v>
      </c>
    </row>
    <row r="1183" spans="1:22" x14ac:dyDescent="0.2">
      <c r="A1183" s="46" t="s">
        <v>185</v>
      </c>
      <c r="B1183" s="46" t="s">
        <v>115</v>
      </c>
      <c r="C1183" s="46" t="s">
        <v>93</v>
      </c>
      <c r="D1183" s="46" t="s">
        <v>178</v>
      </c>
      <c r="E1183" s="46">
        <v>4</v>
      </c>
      <c r="F1183" s="46" t="s">
        <v>62</v>
      </c>
      <c r="G1183" s="46">
        <v>2</v>
      </c>
      <c r="H1183" s="47" t="s">
        <v>81</v>
      </c>
      <c r="I1183" s="47" t="s">
        <v>127</v>
      </c>
      <c r="J1183" s="48">
        <v>0</v>
      </c>
      <c r="K1183" s="48">
        <v>0</v>
      </c>
      <c r="R1183" s="46">
        <f t="shared" si="124"/>
        <v>0</v>
      </c>
      <c r="S1183" s="46">
        <f t="shared" si="125"/>
        <v>0</v>
      </c>
      <c r="T1183" s="46">
        <f t="shared" si="128"/>
        <v>0</v>
      </c>
      <c r="U1183" s="46">
        <f t="shared" si="126"/>
        <v>0</v>
      </c>
      <c r="V1183" s="54">
        <f t="shared" si="127"/>
        <v>5.333333333333333</v>
      </c>
    </row>
    <row r="1184" spans="1:22" x14ac:dyDescent="0.2">
      <c r="A1184" s="46" t="s">
        <v>185</v>
      </c>
      <c r="B1184" s="46" t="s">
        <v>115</v>
      </c>
      <c r="C1184" s="46" t="s">
        <v>93</v>
      </c>
      <c r="D1184" s="46" t="s">
        <v>178</v>
      </c>
      <c r="E1184" s="46">
        <v>3</v>
      </c>
      <c r="F1184" s="46" t="s">
        <v>62</v>
      </c>
      <c r="G1184" s="46">
        <v>3</v>
      </c>
      <c r="H1184" s="47" t="s">
        <v>84</v>
      </c>
      <c r="I1184" s="47" t="s">
        <v>116</v>
      </c>
      <c r="J1184" s="48">
        <v>0</v>
      </c>
      <c r="K1184" s="48">
        <v>0</v>
      </c>
      <c r="R1184" s="46">
        <f t="shared" si="124"/>
        <v>0</v>
      </c>
      <c r="S1184" s="46">
        <f t="shared" si="125"/>
        <v>0</v>
      </c>
      <c r="T1184" s="46">
        <f t="shared" si="128"/>
        <v>0</v>
      </c>
      <c r="U1184" s="46">
        <f t="shared" si="126"/>
        <v>0</v>
      </c>
      <c r="V1184" s="54">
        <f t="shared" si="127"/>
        <v>5.333333333333333</v>
      </c>
    </row>
    <row r="1185" spans="1:22" x14ac:dyDescent="0.2">
      <c r="A1185" s="46" t="s">
        <v>185</v>
      </c>
      <c r="B1185" s="46" t="s">
        <v>49</v>
      </c>
      <c r="C1185" s="46" t="s">
        <v>93</v>
      </c>
      <c r="D1185" s="46" t="s">
        <v>178</v>
      </c>
      <c r="E1185" s="46">
        <v>1</v>
      </c>
      <c r="F1185" s="46" t="s">
        <v>63</v>
      </c>
      <c r="G1185" s="46">
        <v>4</v>
      </c>
      <c r="H1185" s="47" t="s">
        <v>146</v>
      </c>
      <c r="I1185" s="47" t="s">
        <v>102</v>
      </c>
      <c r="J1185" s="48">
        <v>0</v>
      </c>
      <c r="K1185" s="48">
        <v>0</v>
      </c>
      <c r="R1185" s="46">
        <f t="shared" si="124"/>
        <v>0</v>
      </c>
      <c r="S1185" s="46">
        <f t="shared" si="125"/>
        <v>0</v>
      </c>
      <c r="T1185" s="46">
        <f t="shared" si="128"/>
        <v>0</v>
      </c>
      <c r="U1185" s="46">
        <f t="shared" si="126"/>
        <v>0</v>
      </c>
      <c r="V1185" s="54">
        <f t="shared" si="127"/>
        <v>5.333333333333333</v>
      </c>
    </row>
    <row r="1186" spans="1:22" x14ac:dyDescent="0.2">
      <c r="A1186" s="46" t="s">
        <v>185</v>
      </c>
      <c r="B1186" s="46" t="s">
        <v>115</v>
      </c>
      <c r="C1186" s="46" t="s">
        <v>93</v>
      </c>
      <c r="D1186" s="46" t="s">
        <v>178</v>
      </c>
      <c r="E1186" s="46">
        <v>2</v>
      </c>
      <c r="F1186" s="46" t="s">
        <v>63</v>
      </c>
      <c r="G1186" s="46">
        <v>4</v>
      </c>
      <c r="H1186" s="47" t="s">
        <v>149</v>
      </c>
      <c r="I1186" s="47" t="s">
        <v>102</v>
      </c>
      <c r="J1186" s="48">
        <v>0</v>
      </c>
      <c r="K1186" s="48">
        <v>0</v>
      </c>
      <c r="R1186" s="46">
        <f t="shared" si="124"/>
        <v>0</v>
      </c>
      <c r="S1186" s="46">
        <f t="shared" si="125"/>
        <v>0</v>
      </c>
      <c r="T1186" s="46">
        <f t="shared" si="128"/>
        <v>0</v>
      </c>
      <c r="U1186" s="46">
        <f t="shared" si="126"/>
        <v>0</v>
      </c>
      <c r="V1186" s="54">
        <f t="shared" si="127"/>
        <v>5.333333333333333</v>
      </c>
    </row>
    <row r="1187" spans="1:22" x14ac:dyDescent="0.2">
      <c r="A1187" s="46" t="s">
        <v>185</v>
      </c>
      <c r="B1187" s="46" t="s">
        <v>115</v>
      </c>
      <c r="C1187" s="46" t="s">
        <v>93</v>
      </c>
      <c r="D1187" s="46" t="s">
        <v>178</v>
      </c>
      <c r="E1187" s="46">
        <v>2</v>
      </c>
      <c r="F1187" s="46" t="s">
        <v>63</v>
      </c>
      <c r="G1187" s="46">
        <v>4</v>
      </c>
      <c r="H1187" s="47" t="s">
        <v>151</v>
      </c>
      <c r="I1187" s="47" t="s">
        <v>102</v>
      </c>
      <c r="J1187" s="48">
        <v>0</v>
      </c>
      <c r="K1187" s="48">
        <v>1</v>
      </c>
      <c r="R1187" s="46">
        <f t="shared" si="124"/>
        <v>0</v>
      </c>
      <c r="S1187" s="46">
        <f t="shared" si="125"/>
        <v>0</v>
      </c>
      <c r="T1187" s="46">
        <f t="shared" si="128"/>
        <v>0</v>
      </c>
      <c r="U1187" s="46">
        <f t="shared" si="126"/>
        <v>0</v>
      </c>
      <c r="V1187" s="54">
        <f t="shared" si="127"/>
        <v>5.333333333333333</v>
      </c>
    </row>
    <row r="1188" spans="1:22" x14ac:dyDescent="0.2">
      <c r="A1188" s="46" t="s">
        <v>185</v>
      </c>
      <c r="B1188" s="46" t="s">
        <v>49</v>
      </c>
      <c r="C1188" s="46" t="s">
        <v>93</v>
      </c>
      <c r="D1188" s="46" t="s">
        <v>178</v>
      </c>
      <c r="E1188" s="46">
        <v>1</v>
      </c>
      <c r="F1188" s="46" t="s">
        <v>63</v>
      </c>
      <c r="G1188" s="46">
        <v>4</v>
      </c>
      <c r="H1188" s="47" t="s">
        <v>172</v>
      </c>
      <c r="I1188" s="47" t="s">
        <v>102</v>
      </c>
      <c r="J1188" s="48">
        <v>0</v>
      </c>
      <c r="K1188" s="48">
        <v>1</v>
      </c>
      <c r="R1188" s="46">
        <f t="shared" si="124"/>
        <v>0</v>
      </c>
      <c r="S1188" s="46">
        <f t="shared" si="125"/>
        <v>0</v>
      </c>
      <c r="T1188" s="46">
        <f t="shared" si="128"/>
        <v>0</v>
      </c>
      <c r="U1188" s="46">
        <f t="shared" si="126"/>
        <v>0</v>
      </c>
      <c r="V1188" s="54">
        <f t="shared" si="127"/>
        <v>5.333333333333333</v>
      </c>
    </row>
    <row r="1189" spans="1:22" x14ac:dyDescent="0.2">
      <c r="A1189" s="46" t="s">
        <v>185</v>
      </c>
      <c r="B1189" s="46" t="s">
        <v>115</v>
      </c>
      <c r="C1189" s="46" t="s">
        <v>93</v>
      </c>
      <c r="D1189" s="46" t="s">
        <v>178</v>
      </c>
      <c r="E1189" s="46">
        <v>4</v>
      </c>
      <c r="F1189" s="46" t="s">
        <v>60</v>
      </c>
      <c r="G1189" s="46">
        <v>2</v>
      </c>
      <c r="H1189" s="47">
        <v>14</v>
      </c>
      <c r="I1189" s="47" t="s">
        <v>127</v>
      </c>
      <c r="J1189" s="48">
        <v>1</v>
      </c>
      <c r="K1189" s="48">
        <v>0</v>
      </c>
      <c r="R1189" s="46">
        <f t="shared" si="124"/>
        <v>0</v>
      </c>
      <c r="S1189" s="46">
        <f t="shared" si="125"/>
        <v>0</v>
      </c>
      <c r="T1189" s="46">
        <f t="shared" si="128"/>
        <v>20</v>
      </c>
      <c r="U1189" s="46">
        <f t="shared" si="126"/>
        <v>20</v>
      </c>
      <c r="V1189" s="54">
        <f t="shared" si="127"/>
        <v>5.333333333333333</v>
      </c>
    </row>
    <row r="1190" spans="1:22" x14ac:dyDescent="0.2">
      <c r="A1190" s="46" t="s">
        <v>185</v>
      </c>
      <c r="B1190" s="46" t="s">
        <v>49</v>
      </c>
      <c r="C1190" s="46" t="s">
        <v>93</v>
      </c>
      <c r="D1190" s="46" t="s">
        <v>178</v>
      </c>
      <c r="E1190" s="46">
        <v>1</v>
      </c>
      <c r="F1190" s="46" t="s">
        <v>60</v>
      </c>
      <c r="G1190" s="46">
        <v>3</v>
      </c>
      <c r="H1190" s="47">
        <v>19</v>
      </c>
      <c r="I1190" s="47" t="s">
        <v>116</v>
      </c>
      <c r="J1190" s="48">
        <v>1</v>
      </c>
      <c r="K1190" s="48">
        <v>0</v>
      </c>
      <c r="O1190" s="48">
        <v>1</v>
      </c>
      <c r="R1190" s="46">
        <f t="shared" si="124"/>
        <v>0</v>
      </c>
      <c r="S1190" s="46">
        <f t="shared" si="125"/>
        <v>0</v>
      </c>
      <c r="T1190" s="46">
        <f t="shared" si="128"/>
        <v>20</v>
      </c>
      <c r="U1190" s="46">
        <f t="shared" si="126"/>
        <v>30</v>
      </c>
      <c r="V1190" s="54">
        <f t="shared" si="127"/>
        <v>5.333333333333333</v>
      </c>
    </row>
    <row r="1191" spans="1:22" x14ac:dyDescent="0.2">
      <c r="A1191" s="46" t="s">
        <v>185</v>
      </c>
      <c r="B1191" s="46" t="s">
        <v>115</v>
      </c>
      <c r="C1191" s="46" t="s">
        <v>93</v>
      </c>
      <c r="D1191" s="46" t="s">
        <v>178</v>
      </c>
      <c r="E1191" s="46">
        <v>4</v>
      </c>
      <c r="F1191" s="46" t="s">
        <v>60</v>
      </c>
      <c r="G1191" s="46">
        <v>1</v>
      </c>
      <c r="H1191" s="47">
        <v>21</v>
      </c>
      <c r="I1191" s="47" t="s">
        <v>101</v>
      </c>
      <c r="J1191" s="48">
        <v>1</v>
      </c>
      <c r="K1191" s="48">
        <v>0</v>
      </c>
      <c r="R1191" s="46">
        <f t="shared" si="124"/>
        <v>0</v>
      </c>
      <c r="S1191" s="46">
        <f t="shared" si="125"/>
        <v>0</v>
      </c>
      <c r="T1191" s="46">
        <f t="shared" si="128"/>
        <v>20</v>
      </c>
      <c r="U1191" s="46">
        <f t="shared" si="126"/>
        <v>20</v>
      </c>
      <c r="V1191" s="54">
        <f t="shared" si="127"/>
        <v>5.333333333333333</v>
      </c>
    </row>
    <row r="1192" spans="1:22" x14ac:dyDescent="0.2">
      <c r="A1192" s="46" t="s">
        <v>185</v>
      </c>
      <c r="B1192" s="46" t="s">
        <v>49</v>
      </c>
      <c r="C1192" s="46" t="s">
        <v>93</v>
      </c>
      <c r="D1192" s="46" t="s">
        <v>178</v>
      </c>
      <c r="E1192" s="46">
        <v>1</v>
      </c>
      <c r="F1192" s="46" t="s">
        <v>60</v>
      </c>
      <c r="G1192" s="46">
        <v>4</v>
      </c>
      <c r="H1192" s="47">
        <v>28</v>
      </c>
      <c r="I1192" s="47" t="s">
        <v>102</v>
      </c>
      <c r="J1192" s="48">
        <v>1</v>
      </c>
      <c r="K1192" s="48">
        <v>0</v>
      </c>
      <c r="O1192" s="48">
        <v>1</v>
      </c>
      <c r="R1192" s="46">
        <f t="shared" si="124"/>
        <v>0</v>
      </c>
      <c r="S1192" s="46">
        <f t="shared" si="125"/>
        <v>0</v>
      </c>
      <c r="T1192" s="46">
        <f t="shared" si="128"/>
        <v>20</v>
      </c>
      <c r="U1192" s="46">
        <f t="shared" si="126"/>
        <v>30</v>
      </c>
      <c r="V1192" s="54">
        <f t="shared" si="127"/>
        <v>5.333333333333333</v>
      </c>
    </row>
    <row r="1193" spans="1:22" x14ac:dyDescent="0.2">
      <c r="A1193" s="46" t="s">
        <v>185</v>
      </c>
      <c r="B1193" s="46" t="s">
        <v>115</v>
      </c>
      <c r="C1193" s="46" t="s">
        <v>93</v>
      </c>
      <c r="D1193" s="46" t="s">
        <v>178</v>
      </c>
      <c r="E1193" s="46">
        <v>4</v>
      </c>
      <c r="F1193" s="46" t="s">
        <v>60</v>
      </c>
      <c r="G1193" s="46">
        <v>4</v>
      </c>
      <c r="H1193" s="47">
        <v>36</v>
      </c>
      <c r="I1193" s="47" t="s">
        <v>102</v>
      </c>
      <c r="J1193" s="48">
        <v>1</v>
      </c>
      <c r="K1193" s="48">
        <v>0</v>
      </c>
      <c r="R1193" s="46">
        <f t="shared" si="124"/>
        <v>0</v>
      </c>
      <c r="S1193" s="46">
        <f t="shared" si="125"/>
        <v>0</v>
      </c>
      <c r="T1193" s="46">
        <f t="shared" si="128"/>
        <v>20</v>
      </c>
      <c r="U1193" s="46">
        <f t="shared" si="126"/>
        <v>20</v>
      </c>
      <c r="V1193" s="54">
        <f t="shared" si="127"/>
        <v>5.333333333333333</v>
      </c>
    </row>
    <row r="1194" spans="1:22" x14ac:dyDescent="0.2">
      <c r="A1194" s="46" t="s">
        <v>185</v>
      </c>
      <c r="B1194" s="46" t="s">
        <v>115</v>
      </c>
      <c r="C1194" s="46" t="s">
        <v>93</v>
      </c>
      <c r="D1194" s="46" t="s">
        <v>178</v>
      </c>
      <c r="E1194" s="46">
        <v>4</v>
      </c>
      <c r="F1194" s="46" t="s">
        <v>62</v>
      </c>
      <c r="G1194" s="46">
        <v>3</v>
      </c>
      <c r="H1194" s="47" t="s">
        <v>85</v>
      </c>
      <c r="I1194" s="47" t="s">
        <v>219</v>
      </c>
      <c r="J1194" s="48">
        <v>1</v>
      </c>
      <c r="K1194" s="48">
        <v>0</v>
      </c>
      <c r="R1194" s="46">
        <f t="shared" si="124"/>
        <v>0</v>
      </c>
      <c r="S1194" s="46">
        <f t="shared" si="125"/>
        <v>0</v>
      </c>
      <c r="T1194" s="46">
        <f t="shared" si="128"/>
        <v>20</v>
      </c>
      <c r="U1194" s="46">
        <f t="shared" si="126"/>
        <v>20</v>
      </c>
      <c r="V1194" s="54">
        <f t="shared" si="127"/>
        <v>5.333333333333333</v>
      </c>
    </row>
    <row r="1195" spans="1:22" x14ac:dyDescent="0.2">
      <c r="A1195" s="46" t="s">
        <v>185</v>
      </c>
      <c r="B1195" s="46" t="s">
        <v>115</v>
      </c>
      <c r="C1195" s="46" t="s">
        <v>93</v>
      </c>
      <c r="D1195" s="46" t="s">
        <v>178</v>
      </c>
      <c r="E1195" s="46">
        <v>3</v>
      </c>
      <c r="F1195" s="46" t="s">
        <v>62</v>
      </c>
      <c r="G1195" s="46">
        <v>3</v>
      </c>
      <c r="H1195" s="47" t="s">
        <v>87</v>
      </c>
      <c r="I1195" s="47" t="s">
        <v>116</v>
      </c>
      <c r="J1195" s="48">
        <v>1</v>
      </c>
      <c r="K1195" s="48">
        <v>0</v>
      </c>
      <c r="R1195" s="46">
        <f t="shared" si="124"/>
        <v>0</v>
      </c>
      <c r="S1195" s="46">
        <f t="shared" si="125"/>
        <v>0</v>
      </c>
      <c r="T1195" s="46">
        <f t="shared" si="128"/>
        <v>20</v>
      </c>
      <c r="U1195" s="46">
        <f t="shared" si="126"/>
        <v>20</v>
      </c>
      <c r="V1195" s="54">
        <f t="shared" si="127"/>
        <v>5.333333333333333</v>
      </c>
    </row>
    <row r="1196" spans="1:22" x14ac:dyDescent="0.2">
      <c r="A1196" s="46" t="s">
        <v>185</v>
      </c>
      <c r="B1196" s="46" t="s">
        <v>49</v>
      </c>
      <c r="C1196" s="46" t="s">
        <v>93</v>
      </c>
      <c r="D1196" s="46" t="s">
        <v>178</v>
      </c>
      <c r="E1196" s="46">
        <v>1</v>
      </c>
      <c r="F1196" s="46" t="s">
        <v>63</v>
      </c>
      <c r="G1196" s="46">
        <v>4</v>
      </c>
      <c r="H1196" s="47" t="s">
        <v>149</v>
      </c>
      <c r="I1196" s="47" t="s">
        <v>102</v>
      </c>
      <c r="J1196" s="48">
        <v>1</v>
      </c>
      <c r="K1196" s="48">
        <v>0</v>
      </c>
      <c r="P1196" s="48">
        <v>1</v>
      </c>
      <c r="R1196" s="46">
        <f t="shared" si="124"/>
        <v>0</v>
      </c>
      <c r="S1196" s="46">
        <f t="shared" si="125"/>
        <v>0</v>
      </c>
      <c r="T1196" s="46">
        <f t="shared" si="128"/>
        <v>20</v>
      </c>
      <c r="U1196" s="46">
        <f t="shared" si="126"/>
        <v>30</v>
      </c>
      <c r="V1196" s="54">
        <f t="shared" si="127"/>
        <v>5.333333333333333</v>
      </c>
    </row>
    <row r="1197" spans="1:22" x14ac:dyDescent="0.2">
      <c r="A1197" s="46" t="s">
        <v>185</v>
      </c>
      <c r="B1197" s="46" t="s">
        <v>115</v>
      </c>
      <c r="C1197" s="46" t="s">
        <v>93</v>
      </c>
      <c r="D1197" s="46" t="s">
        <v>178</v>
      </c>
      <c r="E1197" s="46">
        <v>2</v>
      </c>
      <c r="F1197" s="46" t="s">
        <v>63</v>
      </c>
      <c r="G1197" s="46">
        <v>4</v>
      </c>
      <c r="H1197" s="47" t="s">
        <v>150</v>
      </c>
      <c r="I1197" s="47" t="s">
        <v>102</v>
      </c>
      <c r="J1197" s="48">
        <v>1</v>
      </c>
      <c r="K1197" s="48">
        <v>1</v>
      </c>
      <c r="R1197" s="46">
        <f t="shared" si="124"/>
        <v>0</v>
      </c>
      <c r="S1197" s="46">
        <f t="shared" si="125"/>
        <v>0</v>
      </c>
      <c r="T1197" s="46">
        <f t="shared" si="128"/>
        <v>20</v>
      </c>
      <c r="U1197" s="46">
        <f t="shared" si="126"/>
        <v>20</v>
      </c>
      <c r="V1197" s="54">
        <f t="shared" si="127"/>
        <v>5.333333333333333</v>
      </c>
    </row>
    <row r="1198" spans="1:22" x14ac:dyDescent="0.2">
      <c r="A1198" s="46" t="s">
        <v>185</v>
      </c>
      <c r="B1198" s="46" t="s">
        <v>49</v>
      </c>
      <c r="C1198" s="46" t="s">
        <v>93</v>
      </c>
      <c r="D1198" s="46" t="s">
        <v>178</v>
      </c>
      <c r="E1198" s="46">
        <v>1</v>
      </c>
      <c r="F1198" s="46" t="s">
        <v>63</v>
      </c>
      <c r="G1198" s="46">
        <v>4</v>
      </c>
      <c r="H1198" s="47" t="s">
        <v>152</v>
      </c>
      <c r="I1198" s="47" t="s">
        <v>102</v>
      </c>
      <c r="J1198" s="48">
        <v>1</v>
      </c>
      <c r="K1198" s="48">
        <v>0</v>
      </c>
      <c r="O1198" s="48">
        <v>1</v>
      </c>
      <c r="R1198" s="46">
        <f t="shared" si="124"/>
        <v>0</v>
      </c>
      <c r="S1198" s="46">
        <f t="shared" si="125"/>
        <v>0</v>
      </c>
      <c r="T1198" s="46">
        <f t="shared" si="128"/>
        <v>20</v>
      </c>
      <c r="U1198" s="46">
        <f t="shared" si="126"/>
        <v>30</v>
      </c>
      <c r="V1198" s="54">
        <f t="shared" si="127"/>
        <v>5.333333333333333</v>
      </c>
    </row>
    <row r="1199" spans="1:22" x14ac:dyDescent="0.2">
      <c r="A1199" s="46" t="s">
        <v>185</v>
      </c>
      <c r="B1199" s="46" t="s">
        <v>115</v>
      </c>
      <c r="C1199" s="46" t="s">
        <v>93</v>
      </c>
      <c r="D1199" s="46" t="s">
        <v>178</v>
      </c>
      <c r="E1199" s="46">
        <v>5</v>
      </c>
      <c r="F1199" s="46" t="s">
        <v>60</v>
      </c>
      <c r="G1199" s="46">
        <v>2</v>
      </c>
      <c r="H1199" s="47">
        <v>2</v>
      </c>
      <c r="I1199" s="47" t="s">
        <v>127</v>
      </c>
      <c r="J1199" s="48">
        <v>0</v>
      </c>
      <c r="K1199" s="48">
        <v>0</v>
      </c>
      <c r="R1199" s="46">
        <f t="shared" si="124"/>
        <v>0</v>
      </c>
      <c r="S1199" s="46">
        <f t="shared" si="125"/>
        <v>0</v>
      </c>
      <c r="T1199" s="46">
        <f t="shared" si="128"/>
        <v>0</v>
      </c>
      <c r="U1199" s="46">
        <f t="shared" si="126"/>
        <v>0</v>
      </c>
      <c r="V1199" s="54">
        <f t="shared" si="127"/>
        <v>5.333333333333333</v>
      </c>
    </row>
    <row r="1200" spans="1:22" x14ac:dyDescent="0.2">
      <c r="A1200" s="46" t="s">
        <v>185</v>
      </c>
      <c r="B1200" s="46" t="s">
        <v>115</v>
      </c>
      <c r="C1200" s="46" t="s">
        <v>93</v>
      </c>
      <c r="D1200" s="46" t="s">
        <v>178</v>
      </c>
      <c r="E1200" s="46">
        <v>5</v>
      </c>
      <c r="F1200" s="46" t="s">
        <v>60</v>
      </c>
      <c r="G1200" s="46">
        <v>1</v>
      </c>
      <c r="H1200" s="47">
        <v>9</v>
      </c>
      <c r="I1200" s="47" t="s">
        <v>101</v>
      </c>
      <c r="J1200" s="48">
        <v>1</v>
      </c>
      <c r="K1200" s="48">
        <v>0</v>
      </c>
      <c r="R1200" s="46">
        <f t="shared" si="124"/>
        <v>0</v>
      </c>
      <c r="S1200" s="46">
        <f t="shared" si="125"/>
        <v>0</v>
      </c>
      <c r="T1200" s="46">
        <f t="shared" si="128"/>
        <v>20</v>
      </c>
      <c r="U1200" s="46">
        <f t="shared" si="126"/>
        <v>20</v>
      </c>
      <c r="V1200" s="54">
        <f t="shared" si="127"/>
        <v>5.333333333333333</v>
      </c>
    </row>
    <row r="1201" spans="1:22" x14ac:dyDescent="0.2">
      <c r="A1201" s="46" t="s">
        <v>185</v>
      </c>
      <c r="B1201" s="46" t="s">
        <v>115</v>
      </c>
      <c r="C1201" s="46" t="s">
        <v>93</v>
      </c>
      <c r="D1201" s="46" t="s">
        <v>178</v>
      </c>
      <c r="E1201" s="46">
        <v>5</v>
      </c>
      <c r="F1201" s="46" t="s">
        <v>60</v>
      </c>
      <c r="G1201" s="46">
        <v>4</v>
      </c>
      <c r="H1201" s="47">
        <v>16</v>
      </c>
      <c r="I1201" s="47" t="s">
        <v>102</v>
      </c>
      <c r="J1201" s="48">
        <v>0</v>
      </c>
      <c r="K1201" s="48">
        <v>0</v>
      </c>
      <c r="R1201" s="46">
        <f t="shared" si="124"/>
        <v>0</v>
      </c>
      <c r="S1201" s="46">
        <f t="shared" si="125"/>
        <v>0</v>
      </c>
      <c r="T1201" s="46">
        <f t="shared" si="128"/>
        <v>0</v>
      </c>
      <c r="U1201" s="46">
        <f t="shared" si="126"/>
        <v>0</v>
      </c>
      <c r="V1201" s="54">
        <f t="shared" si="127"/>
        <v>5.333333333333333</v>
      </c>
    </row>
    <row r="1202" spans="1:22" x14ac:dyDescent="0.2">
      <c r="A1202" s="46" t="s">
        <v>185</v>
      </c>
      <c r="B1202" s="46" t="s">
        <v>115</v>
      </c>
      <c r="C1202" s="46" t="s">
        <v>93</v>
      </c>
      <c r="D1202" s="46" t="s">
        <v>178</v>
      </c>
      <c r="E1202" s="46">
        <v>5</v>
      </c>
      <c r="F1202" s="46" t="s">
        <v>60</v>
      </c>
      <c r="G1202" s="46">
        <v>1</v>
      </c>
      <c r="H1202" s="47">
        <v>21</v>
      </c>
      <c r="I1202" s="47" t="s">
        <v>101</v>
      </c>
      <c r="J1202" s="48">
        <v>0</v>
      </c>
      <c r="K1202" s="48">
        <v>2</v>
      </c>
      <c r="R1202" s="46">
        <f t="shared" si="124"/>
        <v>0</v>
      </c>
      <c r="S1202" s="46">
        <f t="shared" si="125"/>
        <v>0</v>
      </c>
      <c r="T1202" s="46">
        <f t="shared" si="128"/>
        <v>-10</v>
      </c>
      <c r="U1202" s="46">
        <f t="shared" si="126"/>
        <v>-10</v>
      </c>
      <c r="V1202" s="54">
        <f t="shared" si="127"/>
        <v>5.333333333333333</v>
      </c>
    </row>
    <row r="1203" spans="1:22" x14ac:dyDescent="0.2">
      <c r="A1203" s="46" t="s">
        <v>185</v>
      </c>
      <c r="B1203" s="46" t="s">
        <v>115</v>
      </c>
      <c r="C1203" s="46" t="s">
        <v>93</v>
      </c>
      <c r="D1203" s="46" t="s">
        <v>178</v>
      </c>
      <c r="E1203" s="46">
        <v>5</v>
      </c>
      <c r="F1203" s="46" t="s">
        <v>60</v>
      </c>
      <c r="G1203" s="46">
        <v>3</v>
      </c>
      <c r="H1203" s="47">
        <v>35</v>
      </c>
      <c r="I1203" s="47" t="s">
        <v>159</v>
      </c>
      <c r="J1203" s="48">
        <v>1</v>
      </c>
      <c r="K1203" s="48">
        <v>0</v>
      </c>
      <c r="R1203" s="46">
        <f t="shared" si="124"/>
        <v>0</v>
      </c>
      <c r="S1203" s="46">
        <f t="shared" si="125"/>
        <v>0</v>
      </c>
      <c r="T1203" s="46">
        <f t="shared" si="128"/>
        <v>20</v>
      </c>
      <c r="U1203" s="46">
        <f t="shared" si="126"/>
        <v>20</v>
      </c>
      <c r="V1203" s="54">
        <f t="shared" si="127"/>
        <v>5.333333333333333</v>
      </c>
    </row>
    <row r="1204" spans="1:22" x14ac:dyDescent="0.2">
      <c r="A1204" s="46" t="s">
        <v>185</v>
      </c>
      <c r="B1204" s="46" t="s">
        <v>115</v>
      </c>
      <c r="C1204" s="46" t="s">
        <v>93</v>
      </c>
      <c r="D1204" s="46" t="s">
        <v>178</v>
      </c>
      <c r="E1204" s="46">
        <v>5</v>
      </c>
      <c r="F1204" s="46" t="s">
        <v>60</v>
      </c>
      <c r="G1204" s="46">
        <v>4</v>
      </c>
      <c r="H1204" s="47">
        <v>44</v>
      </c>
      <c r="I1204" s="47" t="s">
        <v>102</v>
      </c>
      <c r="J1204" s="48">
        <v>0</v>
      </c>
      <c r="K1204" s="48">
        <v>0</v>
      </c>
      <c r="R1204" s="46">
        <f t="shared" si="124"/>
        <v>0</v>
      </c>
      <c r="S1204" s="46">
        <f t="shared" si="125"/>
        <v>0</v>
      </c>
      <c r="T1204" s="46">
        <f t="shared" si="128"/>
        <v>0</v>
      </c>
      <c r="U1204" s="46">
        <f t="shared" si="126"/>
        <v>0</v>
      </c>
      <c r="V1204" s="54">
        <f t="shared" si="127"/>
        <v>5.333333333333333</v>
      </c>
    </row>
    <row r="1205" spans="1:22" x14ac:dyDescent="0.2">
      <c r="A1205" s="46" t="s">
        <v>185</v>
      </c>
      <c r="B1205" s="46" t="s">
        <v>115</v>
      </c>
      <c r="C1205" s="46" t="s">
        <v>93</v>
      </c>
      <c r="D1205" s="46" t="s">
        <v>178</v>
      </c>
      <c r="E1205" s="46">
        <v>5</v>
      </c>
      <c r="F1205" s="46" t="s">
        <v>62</v>
      </c>
      <c r="G1205" s="46">
        <v>2</v>
      </c>
      <c r="H1205" s="47" t="s">
        <v>81</v>
      </c>
      <c r="I1205" s="47" t="s">
        <v>127</v>
      </c>
      <c r="J1205" s="48">
        <v>1</v>
      </c>
      <c r="K1205" s="48">
        <v>0</v>
      </c>
      <c r="R1205" s="46">
        <f t="shared" si="124"/>
        <v>0</v>
      </c>
      <c r="S1205" s="46">
        <f t="shared" si="125"/>
        <v>0</v>
      </c>
      <c r="T1205" s="46">
        <f t="shared" si="128"/>
        <v>20</v>
      </c>
      <c r="U1205" s="46">
        <f t="shared" si="126"/>
        <v>20</v>
      </c>
      <c r="V1205" s="54">
        <f t="shared" si="127"/>
        <v>5.333333333333333</v>
      </c>
    </row>
    <row r="1206" spans="1:22" x14ac:dyDescent="0.2">
      <c r="A1206" s="46" t="s">
        <v>185</v>
      </c>
      <c r="B1206" s="46" t="s">
        <v>115</v>
      </c>
      <c r="C1206" s="46" t="s">
        <v>93</v>
      </c>
      <c r="D1206" s="46" t="s">
        <v>178</v>
      </c>
      <c r="E1206" s="46">
        <v>5</v>
      </c>
      <c r="F1206" s="46" t="s">
        <v>62</v>
      </c>
      <c r="G1206" s="46">
        <v>2</v>
      </c>
      <c r="H1206" s="47" t="s">
        <v>82</v>
      </c>
      <c r="I1206" s="47" t="s">
        <v>127</v>
      </c>
      <c r="J1206" s="48">
        <v>0</v>
      </c>
      <c r="K1206" s="48">
        <v>0</v>
      </c>
      <c r="R1206" s="46">
        <f t="shared" si="124"/>
        <v>0</v>
      </c>
      <c r="S1206" s="46">
        <f t="shared" si="125"/>
        <v>0</v>
      </c>
      <c r="T1206" s="46">
        <f t="shared" si="128"/>
        <v>0</v>
      </c>
      <c r="U1206" s="46">
        <f t="shared" si="126"/>
        <v>0</v>
      </c>
      <c r="V1206" s="54">
        <f t="shared" si="127"/>
        <v>5.333333333333333</v>
      </c>
    </row>
    <row r="1207" spans="1:22" x14ac:dyDescent="0.2">
      <c r="A1207" s="46" t="s">
        <v>185</v>
      </c>
      <c r="B1207" s="46" t="s">
        <v>115</v>
      </c>
      <c r="C1207" s="46" t="s">
        <v>93</v>
      </c>
      <c r="D1207" s="46" t="s">
        <v>178</v>
      </c>
      <c r="E1207" s="46">
        <v>5</v>
      </c>
      <c r="F1207" s="46" t="s">
        <v>62</v>
      </c>
      <c r="G1207" s="46">
        <v>2</v>
      </c>
      <c r="H1207" s="47" t="s">
        <v>86</v>
      </c>
      <c r="I1207" s="47" t="s">
        <v>127</v>
      </c>
      <c r="J1207" s="48">
        <v>0</v>
      </c>
      <c r="K1207" s="48">
        <v>1</v>
      </c>
      <c r="R1207" s="46">
        <f t="shared" si="124"/>
        <v>0</v>
      </c>
      <c r="S1207" s="46">
        <f t="shared" si="125"/>
        <v>0</v>
      </c>
      <c r="T1207" s="46">
        <f t="shared" si="128"/>
        <v>0</v>
      </c>
      <c r="U1207" s="46">
        <f t="shared" si="126"/>
        <v>0</v>
      </c>
      <c r="V1207" s="54">
        <f t="shared" si="127"/>
        <v>5.333333333333333</v>
      </c>
    </row>
    <row r="1208" spans="1:22" x14ac:dyDescent="0.2">
      <c r="A1208" s="46" t="s">
        <v>185</v>
      </c>
      <c r="B1208" s="46" t="s">
        <v>115</v>
      </c>
      <c r="C1208" s="46" t="str">
        <f>VLOOKUP(B1208,$B$2:$C$3219,2,FALSE)</f>
        <v>Lighthouse</v>
      </c>
      <c r="D1208" s="46" t="s">
        <v>178</v>
      </c>
      <c r="E1208" s="46">
        <v>5</v>
      </c>
      <c r="F1208" s="46" t="s">
        <v>62</v>
      </c>
      <c r="G1208" s="46">
        <v>3</v>
      </c>
      <c r="H1208" s="47" t="s">
        <v>64</v>
      </c>
      <c r="I1208" s="47" t="s">
        <v>219</v>
      </c>
      <c r="J1208" s="48">
        <v>1</v>
      </c>
      <c r="K1208" s="48">
        <v>0</v>
      </c>
      <c r="O1208" s="48">
        <v>1</v>
      </c>
      <c r="R1208" s="46">
        <f t="shared" si="124"/>
        <v>0</v>
      </c>
      <c r="S1208" s="46">
        <f t="shared" si="125"/>
        <v>0</v>
      </c>
      <c r="T1208" s="46">
        <f t="shared" si="128"/>
        <v>20</v>
      </c>
      <c r="U1208" s="46">
        <f t="shared" si="126"/>
        <v>30</v>
      </c>
      <c r="V1208" s="54">
        <f t="shared" si="127"/>
        <v>5.333333333333333</v>
      </c>
    </row>
    <row r="1209" spans="1:22" x14ac:dyDescent="0.2">
      <c r="A1209" s="46" t="s">
        <v>185</v>
      </c>
      <c r="B1209" s="46" t="s">
        <v>115</v>
      </c>
      <c r="C1209" s="46" t="str">
        <f>VLOOKUP(B1209,$B$2:$C$3219,2,FALSE)</f>
        <v>Lighthouse</v>
      </c>
      <c r="D1209" s="46" t="s">
        <v>178</v>
      </c>
      <c r="E1209" s="46">
        <v>5</v>
      </c>
      <c r="F1209" s="46" t="s">
        <v>62</v>
      </c>
      <c r="G1209" s="46">
        <v>3</v>
      </c>
      <c r="H1209" s="47" t="s">
        <v>83</v>
      </c>
      <c r="I1209" s="47" t="s">
        <v>219</v>
      </c>
      <c r="J1209" s="48">
        <v>1</v>
      </c>
      <c r="K1209" s="48">
        <v>0</v>
      </c>
      <c r="R1209" s="46">
        <f t="shared" si="124"/>
        <v>0</v>
      </c>
      <c r="S1209" s="46">
        <f t="shared" si="125"/>
        <v>0</v>
      </c>
      <c r="U1209" s="46">
        <f t="shared" si="126"/>
        <v>0</v>
      </c>
      <c r="V1209" s="54">
        <f t="shared" si="127"/>
        <v>5.333333333333333</v>
      </c>
    </row>
    <row r="1210" spans="1:22" x14ac:dyDescent="0.2">
      <c r="A1210" s="46" t="s">
        <v>198</v>
      </c>
      <c r="B1210" s="46" t="s">
        <v>46</v>
      </c>
      <c r="C1210" s="46" t="s">
        <v>89</v>
      </c>
      <c r="D1210" s="46" t="s">
        <v>178</v>
      </c>
      <c r="E1210" s="46">
        <v>3</v>
      </c>
      <c r="F1210" s="46" t="s">
        <v>60</v>
      </c>
      <c r="G1210" s="46">
        <v>2</v>
      </c>
      <c r="H1210" s="47">
        <v>2</v>
      </c>
      <c r="I1210" s="47" t="s">
        <v>127</v>
      </c>
      <c r="J1210" s="48">
        <v>0</v>
      </c>
      <c r="K1210" s="48">
        <v>0</v>
      </c>
      <c r="R1210" s="46">
        <f t="shared" si="124"/>
        <v>0</v>
      </c>
      <c r="S1210" s="46">
        <f t="shared" si="125"/>
        <v>0</v>
      </c>
      <c r="T1210" s="46">
        <f t="shared" ref="T1210:T1257" si="129">quizscore(J1210,K1210)</f>
        <v>0</v>
      </c>
      <c r="U1210" s="46">
        <f t="shared" si="126"/>
        <v>0</v>
      </c>
      <c r="V1210" s="54">
        <f t="shared" si="127"/>
        <v>1.5517241379310345</v>
      </c>
    </row>
    <row r="1211" spans="1:22" x14ac:dyDescent="0.2">
      <c r="A1211" s="46" t="s">
        <v>198</v>
      </c>
      <c r="B1211" s="46" t="s">
        <v>46</v>
      </c>
      <c r="C1211" s="46" t="s">
        <v>89</v>
      </c>
      <c r="D1211" s="46" t="s">
        <v>178</v>
      </c>
      <c r="E1211" s="46">
        <v>2</v>
      </c>
      <c r="F1211" s="46" t="s">
        <v>60</v>
      </c>
      <c r="G1211" s="46">
        <v>3</v>
      </c>
      <c r="H1211" s="47">
        <v>3</v>
      </c>
      <c r="I1211" s="47" t="s">
        <v>116</v>
      </c>
      <c r="J1211" s="48">
        <v>0</v>
      </c>
      <c r="K1211" s="48">
        <v>0</v>
      </c>
      <c r="R1211" s="46">
        <f t="shared" si="124"/>
        <v>0</v>
      </c>
      <c r="S1211" s="46">
        <f t="shared" si="125"/>
        <v>0</v>
      </c>
      <c r="T1211" s="46">
        <f t="shared" si="129"/>
        <v>0</v>
      </c>
      <c r="U1211" s="46">
        <f t="shared" si="126"/>
        <v>0</v>
      </c>
      <c r="V1211" s="54">
        <f t="shared" si="127"/>
        <v>1.5517241379310345</v>
      </c>
    </row>
    <row r="1212" spans="1:22" x14ac:dyDescent="0.2">
      <c r="A1212" s="46" t="s">
        <v>198</v>
      </c>
      <c r="B1212" s="46" t="s">
        <v>46</v>
      </c>
      <c r="C1212" s="46" t="s">
        <v>89</v>
      </c>
      <c r="D1212" s="46" t="s">
        <v>178</v>
      </c>
      <c r="E1212" s="46">
        <v>1</v>
      </c>
      <c r="F1212" s="46" t="s">
        <v>60</v>
      </c>
      <c r="G1212" s="46">
        <v>4</v>
      </c>
      <c r="H1212" s="47">
        <v>4</v>
      </c>
      <c r="I1212" s="47" t="s">
        <v>102</v>
      </c>
      <c r="J1212" s="48">
        <v>0</v>
      </c>
      <c r="K1212" s="48">
        <v>0</v>
      </c>
      <c r="R1212" s="46">
        <f t="shared" si="124"/>
        <v>0</v>
      </c>
      <c r="S1212" s="46">
        <f t="shared" si="125"/>
        <v>0</v>
      </c>
      <c r="T1212" s="46">
        <f t="shared" si="129"/>
        <v>0</v>
      </c>
      <c r="U1212" s="46">
        <f t="shared" si="126"/>
        <v>0</v>
      </c>
      <c r="V1212" s="54">
        <f t="shared" si="127"/>
        <v>1.5517241379310345</v>
      </c>
    </row>
    <row r="1213" spans="1:22" x14ac:dyDescent="0.2">
      <c r="A1213" s="46" t="s">
        <v>198</v>
      </c>
      <c r="B1213" s="46" t="s">
        <v>46</v>
      </c>
      <c r="C1213" s="46" t="s">
        <v>89</v>
      </c>
      <c r="D1213" s="46" t="s">
        <v>178</v>
      </c>
      <c r="E1213" s="46">
        <v>4</v>
      </c>
      <c r="F1213" s="46" t="s">
        <v>60</v>
      </c>
      <c r="G1213" s="46">
        <v>1</v>
      </c>
      <c r="H1213" s="47">
        <v>5</v>
      </c>
      <c r="I1213" s="47" t="s">
        <v>101</v>
      </c>
      <c r="J1213" s="48">
        <v>0</v>
      </c>
      <c r="K1213" s="48">
        <v>0</v>
      </c>
      <c r="R1213" s="46">
        <f t="shared" si="124"/>
        <v>0</v>
      </c>
      <c r="S1213" s="46">
        <f t="shared" si="125"/>
        <v>0</v>
      </c>
      <c r="T1213" s="46">
        <f t="shared" si="129"/>
        <v>0</v>
      </c>
      <c r="U1213" s="46">
        <f t="shared" si="126"/>
        <v>0</v>
      </c>
      <c r="V1213" s="54">
        <f t="shared" si="127"/>
        <v>1.5517241379310345</v>
      </c>
    </row>
    <row r="1214" spans="1:22" x14ac:dyDescent="0.2">
      <c r="A1214" s="46" t="s">
        <v>198</v>
      </c>
      <c r="B1214" s="46" t="s">
        <v>46</v>
      </c>
      <c r="C1214" s="46" t="s">
        <v>89</v>
      </c>
      <c r="D1214" s="46" t="s">
        <v>178</v>
      </c>
      <c r="E1214" s="46">
        <v>1</v>
      </c>
      <c r="F1214" s="46" t="s">
        <v>60</v>
      </c>
      <c r="G1214" s="46">
        <v>1</v>
      </c>
      <c r="H1214" s="47">
        <v>9</v>
      </c>
      <c r="I1214" s="47" t="s">
        <v>101</v>
      </c>
      <c r="J1214" s="48">
        <v>0</v>
      </c>
      <c r="K1214" s="48">
        <v>0</v>
      </c>
      <c r="R1214" s="46">
        <f t="shared" si="124"/>
        <v>0</v>
      </c>
      <c r="S1214" s="46">
        <f t="shared" si="125"/>
        <v>0</v>
      </c>
      <c r="T1214" s="46">
        <f t="shared" si="129"/>
        <v>0</v>
      </c>
      <c r="U1214" s="46">
        <f t="shared" si="126"/>
        <v>0</v>
      </c>
      <c r="V1214" s="54">
        <f t="shared" si="127"/>
        <v>1.5517241379310345</v>
      </c>
    </row>
    <row r="1215" spans="1:22" x14ac:dyDescent="0.2">
      <c r="A1215" s="46" t="s">
        <v>198</v>
      </c>
      <c r="B1215" s="46" t="s">
        <v>46</v>
      </c>
      <c r="C1215" s="46" t="s">
        <v>89</v>
      </c>
      <c r="D1215" s="46" t="s">
        <v>178</v>
      </c>
      <c r="E1215" s="46">
        <v>3</v>
      </c>
      <c r="F1215" s="46" t="s">
        <v>60</v>
      </c>
      <c r="G1215" s="46">
        <v>3</v>
      </c>
      <c r="H1215" s="47">
        <v>11</v>
      </c>
      <c r="I1215" s="47" t="s">
        <v>116</v>
      </c>
      <c r="J1215" s="48">
        <v>0</v>
      </c>
      <c r="K1215" s="48">
        <v>0</v>
      </c>
      <c r="R1215" s="46">
        <f t="shared" si="124"/>
        <v>0</v>
      </c>
      <c r="S1215" s="46">
        <f t="shared" si="125"/>
        <v>0</v>
      </c>
      <c r="T1215" s="46">
        <f t="shared" si="129"/>
        <v>0</v>
      </c>
      <c r="U1215" s="46">
        <f t="shared" si="126"/>
        <v>0</v>
      </c>
      <c r="V1215" s="54">
        <f t="shared" si="127"/>
        <v>1.5517241379310345</v>
      </c>
    </row>
    <row r="1216" spans="1:22" x14ac:dyDescent="0.2">
      <c r="A1216" s="46" t="s">
        <v>198</v>
      </c>
      <c r="B1216" s="46" t="s">
        <v>46</v>
      </c>
      <c r="C1216" s="46" t="s">
        <v>89</v>
      </c>
      <c r="D1216" s="46" t="s">
        <v>178</v>
      </c>
      <c r="E1216" s="46">
        <v>2</v>
      </c>
      <c r="F1216" s="46" t="s">
        <v>60</v>
      </c>
      <c r="G1216" s="46">
        <v>4</v>
      </c>
      <c r="H1216" s="47">
        <v>12</v>
      </c>
      <c r="I1216" s="47" t="s">
        <v>102</v>
      </c>
      <c r="J1216" s="48">
        <v>0</v>
      </c>
      <c r="K1216" s="48">
        <v>1</v>
      </c>
      <c r="R1216" s="46">
        <f t="shared" si="124"/>
        <v>0</v>
      </c>
      <c r="S1216" s="46">
        <f t="shared" si="125"/>
        <v>0</v>
      </c>
      <c r="T1216" s="46">
        <f t="shared" si="129"/>
        <v>0</v>
      </c>
      <c r="U1216" s="46">
        <f t="shared" si="126"/>
        <v>0</v>
      </c>
      <c r="V1216" s="54">
        <f t="shared" si="127"/>
        <v>1.5517241379310345</v>
      </c>
    </row>
    <row r="1217" spans="1:22" x14ac:dyDescent="0.2">
      <c r="A1217" s="46" t="s">
        <v>198</v>
      </c>
      <c r="B1217" s="46" t="s">
        <v>46</v>
      </c>
      <c r="C1217" s="46" t="s">
        <v>89</v>
      </c>
      <c r="D1217" s="46" t="s">
        <v>178</v>
      </c>
      <c r="E1217" s="46">
        <v>4</v>
      </c>
      <c r="F1217" s="46" t="s">
        <v>60</v>
      </c>
      <c r="G1217" s="46">
        <v>2</v>
      </c>
      <c r="H1217" s="47">
        <v>14</v>
      </c>
      <c r="I1217" s="47" t="s">
        <v>127</v>
      </c>
      <c r="J1217" s="48">
        <v>0</v>
      </c>
      <c r="K1217" s="48">
        <v>0</v>
      </c>
      <c r="L1217" s="48">
        <v>1</v>
      </c>
      <c r="R1217" s="46">
        <f t="shared" si="124"/>
        <v>0</v>
      </c>
      <c r="S1217" s="46">
        <f t="shared" si="125"/>
        <v>0</v>
      </c>
      <c r="T1217" s="46">
        <f t="shared" si="129"/>
        <v>0</v>
      </c>
      <c r="U1217" s="46">
        <f t="shared" si="126"/>
        <v>-5</v>
      </c>
      <c r="V1217" s="54">
        <f t="shared" si="127"/>
        <v>1.5517241379310345</v>
      </c>
    </row>
    <row r="1218" spans="1:22" x14ac:dyDescent="0.2">
      <c r="A1218" s="46" t="s">
        <v>198</v>
      </c>
      <c r="B1218" s="46" t="s">
        <v>46</v>
      </c>
      <c r="C1218" s="46" t="s">
        <v>89</v>
      </c>
      <c r="D1218" s="46" t="s">
        <v>178</v>
      </c>
      <c r="E1218" s="46">
        <v>1</v>
      </c>
      <c r="F1218" s="46" t="s">
        <v>60</v>
      </c>
      <c r="G1218" s="46">
        <v>2</v>
      </c>
      <c r="H1218" s="47">
        <v>18</v>
      </c>
      <c r="I1218" s="47" t="s">
        <v>127</v>
      </c>
      <c r="J1218" s="48">
        <v>0</v>
      </c>
      <c r="K1218" s="48">
        <v>0</v>
      </c>
      <c r="R1218" s="46">
        <f t="shared" ref="R1218:R1281" si="130">IF(J1218=4,1,0)</f>
        <v>0</v>
      </c>
      <c r="S1218" s="46">
        <f t="shared" ref="S1218:S1281" si="131">IF(K1218=3,1,0)</f>
        <v>0</v>
      </c>
      <c r="T1218" s="46">
        <f t="shared" si="129"/>
        <v>0</v>
      </c>
      <c r="U1218" s="46">
        <f t="shared" ref="U1218:U1281" si="132">T1218+M1218*(20) + (SUM(O1218:Q1218)*(10)) - L1218*(5) - N1218*(5)</f>
        <v>0</v>
      </c>
      <c r="V1218" s="54">
        <f t="shared" ref="V1218:V1281" si="133">AVERAGEIFS(U:U,A:A,A1218,F:F,"Pre")</f>
        <v>1.5517241379310345</v>
      </c>
    </row>
    <row r="1219" spans="1:22" x14ac:dyDescent="0.2">
      <c r="A1219" s="46" t="s">
        <v>198</v>
      </c>
      <c r="B1219" s="46" t="s">
        <v>46</v>
      </c>
      <c r="C1219" s="46" t="s">
        <v>89</v>
      </c>
      <c r="D1219" s="46" t="s">
        <v>178</v>
      </c>
      <c r="E1219" s="46">
        <v>3</v>
      </c>
      <c r="F1219" s="46" t="s">
        <v>60</v>
      </c>
      <c r="G1219" s="46">
        <v>4</v>
      </c>
      <c r="H1219" s="47">
        <v>20</v>
      </c>
      <c r="I1219" s="47" t="s">
        <v>102</v>
      </c>
      <c r="J1219" s="48">
        <v>0</v>
      </c>
      <c r="K1219" s="48">
        <v>0</v>
      </c>
      <c r="R1219" s="46">
        <f t="shared" si="130"/>
        <v>0</v>
      </c>
      <c r="S1219" s="46">
        <f t="shared" si="131"/>
        <v>0</v>
      </c>
      <c r="T1219" s="46">
        <f t="shared" si="129"/>
        <v>0</v>
      </c>
      <c r="U1219" s="46">
        <f t="shared" si="132"/>
        <v>0</v>
      </c>
      <c r="V1219" s="54">
        <f t="shared" si="133"/>
        <v>1.5517241379310345</v>
      </c>
    </row>
    <row r="1220" spans="1:22" x14ac:dyDescent="0.2">
      <c r="A1220" s="46" t="s">
        <v>198</v>
      </c>
      <c r="B1220" s="46" t="s">
        <v>46</v>
      </c>
      <c r="C1220" s="46" t="s">
        <v>89</v>
      </c>
      <c r="D1220" s="46" t="s">
        <v>178</v>
      </c>
      <c r="E1220" s="46">
        <v>4</v>
      </c>
      <c r="F1220" s="46" t="s">
        <v>60</v>
      </c>
      <c r="G1220" s="46">
        <v>4</v>
      </c>
      <c r="H1220" s="47">
        <v>24</v>
      </c>
      <c r="I1220" s="47" t="s">
        <v>102</v>
      </c>
      <c r="J1220" s="48">
        <v>0</v>
      </c>
      <c r="K1220" s="48">
        <v>0</v>
      </c>
      <c r="R1220" s="46">
        <f t="shared" si="130"/>
        <v>0</v>
      </c>
      <c r="S1220" s="46">
        <f t="shared" si="131"/>
        <v>0</v>
      </c>
      <c r="T1220" s="46">
        <f t="shared" si="129"/>
        <v>0</v>
      </c>
      <c r="U1220" s="46">
        <f t="shared" si="132"/>
        <v>0</v>
      </c>
      <c r="V1220" s="54">
        <f t="shared" si="133"/>
        <v>1.5517241379310345</v>
      </c>
    </row>
    <row r="1221" spans="1:22" x14ac:dyDescent="0.2">
      <c r="A1221" s="46" t="s">
        <v>198</v>
      </c>
      <c r="B1221" s="46" t="s">
        <v>46</v>
      </c>
      <c r="C1221" s="46" t="s">
        <v>89</v>
      </c>
      <c r="D1221" s="46" t="s">
        <v>178</v>
      </c>
      <c r="E1221" s="46">
        <v>2</v>
      </c>
      <c r="F1221" s="46" t="s">
        <v>60</v>
      </c>
      <c r="G1221" s="46">
        <v>1</v>
      </c>
      <c r="H1221" s="47">
        <v>25</v>
      </c>
      <c r="I1221" s="47" t="s">
        <v>101</v>
      </c>
      <c r="J1221" s="48">
        <v>0</v>
      </c>
      <c r="K1221" s="48">
        <v>0</v>
      </c>
      <c r="R1221" s="46">
        <f t="shared" si="130"/>
        <v>0</v>
      </c>
      <c r="S1221" s="46">
        <f t="shared" si="131"/>
        <v>0</v>
      </c>
      <c r="T1221" s="46">
        <f t="shared" si="129"/>
        <v>0</v>
      </c>
      <c r="U1221" s="46">
        <f t="shared" si="132"/>
        <v>0</v>
      </c>
      <c r="V1221" s="54">
        <f t="shared" si="133"/>
        <v>1.5517241379310345</v>
      </c>
    </row>
    <row r="1222" spans="1:22" x14ac:dyDescent="0.2">
      <c r="A1222" s="46" t="s">
        <v>198</v>
      </c>
      <c r="B1222" s="46" t="s">
        <v>46</v>
      </c>
      <c r="C1222" s="46" t="s">
        <v>89</v>
      </c>
      <c r="D1222" s="46" t="s">
        <v>178</v>
      </c>
      <c r="E1222" s="46">
        <v>3</v>
      </c>
      <c r="F1222" s="46" t="s">
        <v>60</v>
      </c>
      <c r="G1222" s="46">
        <v>1</v>
      </c>
      <c r="H1222" s="47">
        <v>25</v>
      </c>
      <c r="I1222" s="47" t="s">
        <v>116</v>
      </c>
      <c r="J1222" s="48">
        <v>0</v>
      </c>
      <c r="K1222" s="48">
        <v>0</v>
      </c>
      <c r="R1222" s="46">
        <f t="shared" si="130"/>
        <v>0</v>
      </c>
      <c r="S1222" s="46">
        <f t="shared" si="131"/>
        <v>0</v>
      </c>
      <c r="T1222" s="46">
        <f t="shared" si="129"/>
        <v>0</v>
      </c>
      <c r="U1222" s="46">
        <f t="shared" si="132"/>
        <v>0</v>
      </c>
      <c r="V1222" s="54">
        <f t="shared" si="133"/>
        <v>1.5517241379310345</v>
      </c>
    </row>
    <row r="1223" spans="1:22" x14ac:dyDescent="0.2">
      <c r="A1223" s="46" t="s">
        <v>198</v>
      </c>
      <c r="B1223" s="46" t="s">
        <v>46</v>
      </c>
      <c r="C1223" s="46" t="s">
        <v>89</v>
      </c>
      <c r="D1223" s="46" t="s">
        <v>178</v>
      </c>
      <c r="E1223" s="46">
        <v>1</v>
      </c>
      <c r="F1223" s="46" t="s">
        <v>60</v>
      </c>
      <c r="G1223" s="46">
        <v>3</v>
      </c>
      <c r="H1223" s="47">
        <v>27</v>
      </c>
      <c r="I1223" s="47" t="s">
        <v>116</v>
      </c>
      <c r="J1223" s="48">
        <v>0</v>
      </c>
      <c r="K1223" s="48">
        <v>0</v>
      </c>
      <c r="R1223" s="46">
        <f t="shared" si="130"/>
        <v>0</v>
      </c>
      <c r="S1223" s="46">
        <f t="shared" si="131"/>
        <v>0</v>
      </c>
      <c r="T1223" s="46">
        <f t="shared" si="129"/>
        <v>0</v>
      </c>
      <c r="U1223" s="46">
        <f t="shared" si="132"/>
        <v>0</v>
      </c>
      <c r="V1223" s="54">
        <f t="shared" si="133"/>
        <v>1.5517241379310345</v>
      </c>
    </row>
    <row r="1224" spans="1:22" x14ac:dyDescent="0.2">
      <c r="A1224" s="46" t="s">
        <v>198</v>
      </c>
      <c r="B1224" s="46" t="s">
        <v>46</v>
      </c>
      <c r="C1224" s="46" t="s">
        <v>89</v>
      </c>
      <c r="D1224" s="46" t="s">
        <v>178</v>
      </c>
      <c r="E1224" s="46">
        <v>1</v>
      </c>
      <c r="F1224" s="46" t="s">
        <v>60</v>
      </c>
      <c r="G1224" s="46">
        <v>1</v>
      </c>
      <c r="H1224" s="47">
        <v>29</v>
      </c>
      <c r="I1224" s="47" t="s">
        <v>101</v>
      </c>
      <c r="J1224" s="48">
        <v>0</v>
      </c>
      <c r="K1224" s="48">
        <v>0</v>
      </c>
      <c r="R1224" s="46">
        <f t="shared" si="130"/>
        <v>0</v>
      </c>
      <c r="S1224" s="46">
        <f t="shared" si="131"/>
        <v>0</v>
      </c>
      <c r="T1224" s="46">
        <f t="shared" si="129"/>
        <v>0</v>
      </c>
      <c r="U1224" s="46">
        <f t="shared" si="132"/>
        <v>0</v>
      </c>
      <c r="V1224" s="54">
        <f t="shared" si="133"/>
        <v>1.5517241379310345</v>
      </c>
    </row>
    <row r="1225" spans="1:22" x14ac:dyDescent="0.2">
      <c r="A1225" s="46" t="s">
        <v>198</v>
      </c>
      <c r="B1225" s="46" t="s">
        <v>46</v>
      </c>
      <c r="C1225" s="46" t="s">
        <v>89</v>
      </c>
      <c r="D1225" s="46" t="s">
        <v>178</v>
      </c>
      <c r="E1225" s="46">
        <v>4</v>
      </c>
      <c r="F1225" s="46" t="s">
        <v>60</v>
      </c>
      <c r="G1225" s="46">
        <v>3</v>
      </c>
      <c r="H1225" s="47">
        <v>31</v>
      </c>
      <c r="I1225" s="47" t="s">
        <v>159</v>
      </c>
      <c r="J1225" s="48">
        <v>0</v>
      </c>
      <c r="K1225" s="48">
        <v>0</v>
      </c>
      <c r="R1225" s="46">
        <f t="shared" si="130"/>
        <v>0</v>
      </c>
      <c r="S1225" s="46">
        <f t="shared" si="131"/>
        <v>0</v>
      </c>
      <c r="T1225" s="46">
        <f t="shared" si="129"/>
        <v>0</v>
      </c>
      <c r="U1225" s="46">
        <f t="shared" si="132"/>
        <v>0</v>
      </c>
      <c r="V1225" s="54">
        <f t="shared" si="133"/>
        <v>1.5517241379310345</v>
      </c>
    </row>
    <row r="1226" spans="1:22" x14ac:dyDescent="0.2">
      <c r="A1226" s="46" t="s">
        <v>198</v>
      </c>
      <c r="B1226" s="46" t="s">
        <v>46</v>
      </c>
      <c r="C1226" s="46" t="s">
        <v>89</v>
      </c>
      <c r="D1226" s="46" t="s">
        <v>178</v>
      </c>
      <c r="E1226" s="46">
        <v>2</v>
      </c>
      <c r="F1226" s="46" t="s">
        <v>60</v>
      </c>
      <c r="G1226" s="46">
        <v>1</v>
      </c>
      <c r="H1226" s="47">
        <v>37</v>
      </c>
      <c r="I1226" s="47" t="s">
        <v>101</v>
      </c>
      <c r="J1226" s="48">
        <v>0</v>
      </c>
      <c r="K1226" s="48">
        <v>0</v>
      </c>
      <c r="R1226" s="46">
        <f t="shared" si="130"/>
        <v>0</v>
      </c>
      <c r="S1226" s="46">
        <f t="shared" si="131"/>
        <v>0</v>
      </c>
      <c r="T1226" s="46">
        <f t="shared" si="129"/>
        <v>0</v>
      </c>
      <c r="U1226" s="46">
        <f t="shared" si="132"/>
        <v>0</v>
      </c>
      <c r="V1226" s="54">
        <f t="shared" si="133"/>
        <v>1.5517241379310345</v>
      </c>
    </row>
    <row r="1227" spans="1:22" x14ac:dyDescent="0.2">
      <c r="A1227" s="46" t="s">
        <v>198</v>
      </c>
      <c r="B1227" s="46" t="s">
        <v>46</v>
      </c>
      <c r="C1227" s="46" t="s">
        <v>89</v>
      </c>
      <c r="D1227" s="46" t="s">
        <v>178</v>
      </c>
      <c r="E1227" s="46">
        <v>4</v>
      </c>
      <c r="F1227" s="46" t="s">
        <v>60</v>
      </c>
      <c r="G1227" s="46">
        <v>2</v>
      </c>
      <c r="H1227" s="47">
        <v>38</v>
      </c>
      <c r="I1227" s="47" t="s">
        <v>127</v>
      </c>
      <c r="J1227" s="48">
        <v>0</v>
      </c>
      <c r="K1227" s="48">
        <v>0</v>
      </c>
      <c r="R1227" s="46">
        <f t="shared" si="130"/>
        <v>0</v>
      </c>
      <c r="S1227" s="46">
        <f t="shared" si="131"/>
        <v>0</v>
      </c>
      <c r="T1227" s="46">
        <f t="shared" si="129"/>
        <v>0</v>
      </c>
      <c r="U1227" s="46">
        <f t="shared" si="132"/>
        <v>0</v>
      </c>
      <c r="V1227" s="54">
        <f t="shared" si="133"/>
        <v>1.5517241379310345</v>
      </c>
    </row>
    <row r="1228" spans="1:22" x14ac:dyDescent="0.2">
      <c r="A1228" s="46" t="s">
        <v>198</v>
      </c>
      <c r="B1228" s="46" t="s">
        <v>46</v>
      </c>
      <c r="C1228" s="46" t="s">
        <v>89</v>
      </c>
      <c r="D1228" s="46" t="s">
        <v>178</v>
      </c>
      <c r="E1228" s="46">
        <v>3</v>
      </c>
      <c r="F1228" s="46" t="s">
        <v>60</v>
      </c>
      <c r="G1228" s="46">
        <v>3</v>
      </c>
      <c r="H1228" s="47">
        <v>39</v>
      </c>
      <c r="I1228" s="47" t="s">
        <v>116</v>
      </c>
      <c r="J1228" s="48">
        <v>0</v>
      </c>
      <c r="K1228" s="48">
        <v>0</v>
      </c>
      <c r="R1228" s="46">
        <f t="shared" si="130"/>
        <v>0</v>
      </c>
      <c r="S1228" s="46">
        <f t="shared" si="131"/>
        <v>0</v>
      </c>
      <c r="T1228" s="46">
        <f t="shared" si="129"/>
        <v>0</v>
      </c>
      <c r="U1228" s="46">
        <f t="shared" si="132"/>
        <v>0</v>
      </c>
      <c r="V1228" s="54">
        <f t="shared" si="133"/>
        <v>1.5517241379310345</v>
      </c>
    </row>
    <row r="1229" spans="1:22" x14ac:dyDescent="0.2">
      <c r="A1229" s="46" t="s">
        <v>198</v>
      </c>
      <c r="B1229" s="46" t="s">
        <v>46</v>
      </c>
      <c r="C1229" s="46" t="s">
        <v>89</v>
      </c>
      <c r="D1229" s="46" t="s">
        <v>178</v>
      </c>
      <c r="E1229" s="46">
        <v>1</v>
      </c>
      <c r="F1229" s="46" t="s">
        <v>60</v>
      </c>
      <c r="G1229" s="46">
        <v>2</v>
      </c>
      <c r="H1229" s="47">
        <v>42</v>
      </c>
      <c r="I1229" s="47" t="s">
        <v>127</v>
      </c>
      <c r="J1229" s="48">
        <v>0</v>
      </c>
      <c r="K1229" s="48">
        <v>0</v>
      </c>
      <c r="R1229" s="46">
        <f t="shared" si="130"/>
        <v>0</v>
      </c>
      <c r="S1229" s="46">
        <f t="shared" si="131"/>
        <v>0</v>
      </c>
      <c r="T1229" s="46">
        <f t="shared" si="129"/>
        <v>0</v>
      </c>
      <c r="U1229" s="46">
        <f t="shared" si="132"/>
        <v>0</v>
      </c>
      <c r="V1229" s="54">
        <f t="shared" si="133"/>
        <v>1.5517241379310345</v>
      </c>
    </row>
    <row r="1230" spans="1:22" x14ac:dyDescent="0.2">
      <c r="A1230" s="46" t="s">
        <v>198</v>
      </c>
      <c r="B1230" s="46" t="s">
        <v>46</v>
      </c>
      <c r="C1230" s="46" t="s">
        <v>89</v>
      </c>
      <c r="D1230" s="46" t="s">
        <v>178</v>
      </c>
      <c r="E1230" s="46">
        <v>3</v>
      </c>
      <c r="F1230" s="46" t="s">
        <v>60</v>
      </c>
      <c r="G1230" s="46">
        <v>1</v>
      </c>
      <c r="H1230" s="47">
        <v>45</v>
      </c>
      <c r="I1230" s="47" t="s">
        <v>101</v>
      </c>
      <c r="J1230" s="48">
        <v>0</v>
      </c>
      <c r="K1230" s="48">
        <v>0</v>
      </c>
      <c r="R1230" s="46">
        <f t="shared" si="130"/>
        <v>0</v>
      </c>
      <c r="S1230" s="46">
        <f t="shared" si="131"/>
        <v>0</v>
      </c>
      <c r="T1230" s="46">
        <f t="shared" si="129"/>
        <v>0</v>
      </c>
      <c r="U1230" s="46">
        <f t="shared" si="132"/>
        <v>0</v>
      </c>
      <c r="V1230" s="54">
        <f t="shared" si="133"/>
        <v>1.5517241379310345</v>
      </c>
    </row>
    <row r="1231" spans="1:22" x14ac:dyDescent="0.2">
      <c r="A1231" s="46" t="s">
        <v>198</v>
      </c>
      <c r="B1231" s="46" t="s">
        <v>46</v>
      </c>
      <c r="C1231" s="46" t="s">
        <v>89</v>
      </c>
      <c r="D1231" s="46" t="s">
        <v>178</v>
      </c>
      <c r="E1231" s="46">
        <v>4</v>
      </c>
      <c r="F1231" s="46" t="s">
        <v>60</v>
      </c>
      <c r="G1231" s="46">
        <v>1</v>
      </c>
      <c r="H1231" s="47">
        <v>45</v>
      </c>
      <c r="I1231" s="47" t="s">
        <v>101</v>
      </c>
      <c r="J1231" s="48">
        <v>0</v>
      </c>
      <c r="K1231" s="48">
        <v>0</v>
      </c>
      <c r="R1231" s="46">
        <f t="shared" si="130"/>
        <v>0</v>
      </c>
      <c r="S1231" s="46">
        <f t="shared" si="131"/>
        <v>0</v>
      </c>
      <c r="T1231" s="46">
        <f t="shared" si="129"/>
        <v>0</v>
      </c>
      <c r="U1231" s="46">
        <f t="shared" si="132"/>
        <v>0</v>
      </c>
      <c r="V1231" s="54">
        <f t="shared" si="133"/>
        <v>1.5517241379310345</v>
      </c>
    </row>
    <row r="1232" spans="1:22" x14ac:dyDescent="0.2">
      <c r="A1232" s="46" t="s">
        <v>198</v>
      </c>
      <c r="B1232" s="46" t="s">
        <v>46</v>
      </c>
      <c r="C1232" s="46" t="s">
        <v>89</v>
      </c>
      <c r="D1232" s="46" t="s">
        <v>178</v>
      </c>
      <c r="E1232" s="46">
        <v>1</v>
      </c>
      <c r="F1232" s="46" t="s">
        <v>62</v>
      </c>
      <c r="G1232" s="46">
        <v>3</v>
      </c>
      <c r="H1232" s="47" t="s">
        <v>80</v>
      </c>
      <c r="I1232" s="47" t="s">
        <v>116</v>
      </c>
      <c r="J1232" s="48">
        <v>0</v>
      </c>
      <c r="K1232" s="48">
        <v>0</v>
      </c>
      <c r="R1232" s="46">
        <f t="shared" si="130"/>
        <v>0</v>
      </c>
      <c r="S1232" s="46">
        <f t="shared" si="131"/>
        <v>0</v>
      </c>
      <c r="T1232" s="46">
        <f t="shared" si="129"/>
        <v>0</v>
      </c>
      <c r="U1232" s="46">
        <f t="shared" si="132"/>
        <v>0</v>
      </c>
      <c r="V1232" s="54">
        <f t="shared" si="133"/>
        <v>1.5517241379310345</v>
      </c>
    </row>
    <row r="1233" spans="1:22" x14ac:dyDescent="0.2">
      <c r="A1233" s="46" t="s">
        <v>198</v>
      </c>
      <c r="B1233" s="46" t="s">
        <v>46</v>
      </c>
      <c r="C1233" s="46" t="s">
        <v>89</v>
      </c>
      <c r="D1233" s="46" t="s">
        <v>178</v>
      </c>
      <c r="E1233" s="46">
        <v>4</v>
      </c>
      <c r="F1233" s="46" t="s">
        <v>62</v>
      </c>
      <c r="G1233" s="46">
        <v>3</v>
      </c>
      <c r="H1233" s="47" t="s">
        <v>80</v>
      </c>
      <c r="I1233" s="47" t="s">
        <v>219</v>
      </c>
      <c r="J1233" s="48">
        <v>0</v>
      </c>
      <c r="K1233" s="48">
        <v>0</v>
      </c>
      <c r="R1233" s="46">
        <f t="shared" si="130"/>
        <v>0</v>
      </c>
      <c r="S1233" s="46">
        <f t="shared" si="131"/>
        <v>0</v>
      </c>
      <c r="T1233" s="46">
        <f t="shared" si="129"/>
        <v>0</v>
      </c>
      <c r="U1233" s="46">
        <f t="shared" si="132"/>
        <v>0</v>
      </c>
      <c r="V1233" s="54">
        <f t="shared" si="133"/>
        <v>1.5517241379310345</v>
      </c>
    </row>
    <row r="1234" spans="1:22" x14ac:dyDescent="0.2">
      <c r="A1234" s="46" t="s">
        <v>198</v>
      </c>
      <c r="B1234" s="46" t="s">
        <v>46</v>
      </c>
      <c r="C1234" s="46" t="s">
        <v>89</v>
      </c>
      <c r="D1234" s="46" t="s">
        <v>178</v>
      </c>
      <c r="E1234" s="46">
        <v>3</v>
      </c>
      <c r="F1234" s="46" t="s">
        <v>62</v>
      </c>
      <c r="G1234" s="46">
        <v>2</v>
      </c>
      <c r="H1234" s="47" t="s">
        <v>81</v>
      </c>
      <c r="I1234" s="47" t="s">
        <v>127</v>
      </c>
      <c r="J1234" s="48">
        <v>0</v>
      </c>
      <c r="K1234" s="48">
        <v>0</v>
      </c>
      <c r="R1234" s="46">
        <f t="shared" si="130"/>
        <v>0</v>
      </c>
      <c r="S1234" s="46">
        <f t="shared" si="131"/>
        <v>0</v>
      </c>
      <c r="T1234" s="46">
        <f t="shared" si="129"/>
        <v>0</v>
      </c>
      <c r="U1234" s="46">
        <f t="shared" si="132"/>
        <v>0</v>
      </c>
      <c r="V1234" s="54">
        <f t="shared" si="133"/>
        <v>1.5517241379310345</v>
      </c>
    </row>
    <row r="1235" spans="1:22" x14ac:dyDescent="0.2">
      <c r="A1235" s="46" t="s">
        <v>198</v>
      </c>
      <c r="B1235" s="46" t="s">
        <v>46</v>
      </c>
      <c r="C1235" s="46" t="s">
        <v>89</v>
      </c>
      <c r="D1235" s="46" t="s">
        <v>178</v>
      </c>
      <c r="E1235" s="46">
        <v>1</v>
      </c>
      <c r="F1235" s="46" t="s">
        <v>62</v>
      </c>
      <c r="G1235" s="46">
        <v>3</v>
      </c>
      <c r="H1235" s="47" t="s">
        <v>84</v>
      </c>
      <c r="I1235" s="47" t="s">
        <v>116</v>
      </c>
      <c r="J1235" s="48">
        <v>0</v>
      </c>
      <c r="K1235" s="48">
        <v>0</v>
      </c>
      <c r="R1235" s="46">
        <f t="shared" si="130"/>
        <v>0</v>
      </c>
      <c r="S1235" s="46">
        <f t="shared" si="131"/>
        <v>0</v>
      </c>
      <c r="T1235" s="46">
        <f t="shared" si="129"/>
        <v>0</v>
      </c>
      <c r="U1235" s="46">
        <f t="shared" si="132"/>
        <v>0</v>
      </c>
      <c r="V1235" s="54">
        <f t="shared" si="133"/>
        <v>1.5517241379310345</v>
      </c>
    </row>
    <row r="1236" spans="1:22" x14ac:dyDescent="0.2">
      <c r="A1236" s="46" t="s">
        <v>198</v>
      </c>
      <c r="B1236" s="46" t="s">
        <v>46</v>
      </c>
      <c r="C1236" s="46" t="s">
        <v>89</v>
      </c>
      <c r="D1236" s="46" t="s">
        <v>178</v>
      </c>
      <c r="E1236" s="46">
        <v>2</v>
      </c>
      <c r="F1236" s="46" t="s">
        <v>62</v>
      </c>
      <c r="G1236" s="46">
        <v>3</v>
      </c>
      <c r="H1236" s="47" t="s">
        <v>84</v>
      </c>
      <c r="I1236" s="47" t="s">
        <v>116</v>
      </c>
      <c r="J1236" s="48">
        <v>0</v>
      </c>
      <c r="K1236" s="48">
        <v>0</v>
      </c>
      <c r="R1236" s="46">
        <f t="shared" si="130"/>
        <v>0</v>
      </c>
      <c r="S1236" s="46">
        <f t="shared" si="131"/>
        <v>0</v>
      </c>
      <c r="T1236" s="46">
        <f t="shared" si="129"/>
        <v>0</v>
      </c>
      <c r="U1236" s="46">
        <f t="shared" si="132"/>
        <v>0</v>
      </c>
      <c r="V1236" s="54">
        <f t="shared" si="133"/>
        <v>1.5517241379310345</v>
      </c>
    </row>
    <row r="1237" spans="1:22" x14ac:dyDescent="0.2">
      <c r="A1237" s="46" t="s">
        <v>198</v>
      </c>
      <c r="B1237" s="46" t="s">
        <v>46</v>
      </c>
      <c r="C1237" s="46" t="s">
        <v>89</v>
      </c>
      <c r="D1237" s="46" t="s">
        <v>178</v>
      </c>
      <c r="E1237" s="46">
        <v>3</v>
      </c>
      <c r="F1237" s="46" t="s">
        <v>62</v>
      </c>
      <c r="G1237" s="46">
        <v>3</v>
      </c>
      <c r="H1237" s="47" t="s">
        <v>85</v>
      </c>
      <c r="I1237" s="47" t="s">
        <v>116</v>
      </c>
      <c r="J1237" s="48">
        <v>0</v>
      </c>
      <c r="K1237" s="48">
        <v>0</v>
      </c>
      <c r="R1237" s="46">
        <f t="shared" si="130"/>
        <v>0</v>
      </c>
      <c r="S1237" s="46">
        <f t="shared" si="131"/>
        <v>0</v>
      </c>
      <c r="T1237" s="46">
        <f t="shared" si="129"/>
        <v>0</v>
      </c>
      <c r="U1237" s="46">
        <f t="shared" si="132"/>
        <v>0</v>
      </c>
      <c r="V1237" s="54">
        <f t="shared" si="133"/>
        <v>1.5517241379310345</v>
      </c>
    </row>
    <row r="1238" spans="1:22" x14ac:dyDescent="0.2">
      <c r="A1238" s="46" t="s">
        <v>198</v>
      </c>
      <c r="B1238" s="46" t="s">
        <v>46</v>
      </c>
      <c r="C1238" s="46" t="s">
        <v>89</v>
      </c>
      <c r="D1238" s="46" t="s">
        <v>178</v>
      </c>
      <c r="E1238" s="46">
        <v>4</v>
      </c>
      <c r="F1238" s="46" t="s">
        <v>62</v>
      </c>
      <c r="G1238" s="46">
        <v>3</v>
      </c>
      <c r="H1238" s="47" t="s">
        <v>85</v>
      </c>
      <c r="I1238" s="47" t="s">
        <v>219</v>
      </c>
      <c r="J1238" s="48">
        <v>0</v>
      </c>
      <c r="K1238" s="48">
        <v>0</v>
      </c>
      <c r="R1238" s="46">
        <f t="shared" si="130"/>
        <v>0</v>
      </c>
      <c r="S1238" s="46">
        <f t="shared" si="131"/>
        <v>0</v>
      </c>
      <c r="T1238" s="46">
        <f t="shared" si="129"/>
        <v>0</v>
      </c>
      <c r="U1238" s="46">
        <f t="shared" si="132"/>
        <v>0</v>
      </c>
      <c r="V1238" s="54">
        <f t="shared" si="133"/>
        <v>1.5517241379310345</v>
      </c>
    </row>
    <row r="1239" spans="1:22" x14ac:dyDescent="0.2">
      <c r="A1239" s="46" t="s">
        <v>198</v>
      </c>
      <c r="B1239" s="46" t="s">
        <v>46</v>
      </c>
      <c r="C1239" s="46" t="s">
        <v>89</v>
      </c>
      <c r="D1239" s="46" t="s">
        <v>178</v>
      </c>
      <c r="E1239" s="46">
        <v>2</v>
      </c>
      <c r="F1239" s="46" t="s">
        <v>62</v>
      </c>
      <c r="G1239" s="46">
        <v>2</v>
      </c>
      <c r="H1239" s="47" t="s">
        <v>86</v>
      </c>
      <c r="I1239" s="47" t="s">
        <v>127</v>
      </c>
      <c r="J1239" s="48">
        <v>0</v>
      </c>
      <c r="K1239" s="48">
        <v>0</v>
      </c>
      <c r="R1239" s="46">
        <f t="shared" si="130"/>
        <v>0</v>
      </c>
      <c r="S1239" s="46">
        <f t="shared" si="131"/>
        <v>0</v>
      </c>
      <c r="T1239" s="46">
        <f t="shared" si="129"/>
        <v>0</v>
      </c>
      <c r="U1239" s="46">
        <f t="shared" si="132"/>
        <v>0</v>
      </c>
      <c r="V1239" s="54">
        <f t="shared" si="133"/>
        <v>1.5517241379310345</v>
      </c>
    </row>
    <row r="1240" spans="1:22" x14ac:dyDescent="0.2">
      <c r="A1240" s="46" t="s">
        <v>198</v>
      </c>
      <c r="B1240" s="46" t="s">
        <v>46</v>
      </c>
      <c r="C1240" s="46" t="s">
        <v>89</v>
      </c>
      <c r="D1240" s="46" t="s">
        <v>178</v>
      </c>
      <c r="E1240" s="46">
        <v>1</v>
      </c>
      <c r="F1240" s="46" t="s">
        <v>62</v>
      </c>
      <c r="G1240" s="46">
        <v>3</v>
      </c>
      <c r="H1240" s="47" t="s">
        <v>87</v>
      </c>
      <c r="I1240" s="47" t="s">
        <v>116</v>
      </c>
      <c r="J1240" s="48">
        <v>0</v>
      </c>
      <c r="K1240" s="48">
        <v>0</v>
      </c>
      <c r="R1240" s="46">
        <f t="shared" si="130"/>
        <v>0</v>
      </c>
      <c r="S1240" s="46">
        <f t="shared" si="131"/>
        <v>0</v>
      </c>
      <c r="T1240" s="46">
        <f t="shared" si="129"/>
        <v>0</v>
      </c>
      <c r="U1240" s="46">
        <f t="shared" si="132"/>
        <v>0</v>
      </c>
      <c r="V1240" s="54">
        <f t="shared" si="133"/>
        <v>1.5517241379310345</v>
      </c>
    </row>
    <row r="1241" spans="1:22" x14ac:dyDescent="0.2">
      <c r="A1241" s="46" t="s">
        <v>198</v>
      </c>
      <c r="B1241" s="46" t="s">
        <v>46</v>
      </c>
      <c r="C1241" s="46" t="s">
        <v>89</v>
      </c>
      <c r="D1241" s="46" t="s">
        <v>178</v>
      </c>
      <c r="E1241" s="46">
        <v>3</v>
      </c>
      <c r="F1241" s="46" t="s">
        <v>62</v>
      </c>
      <c r="G1241" s="46">
        <v>3</v>
      </c>
      <c r="H1241" s="47" t="s">
        <v>87</v>
      </c>
      <c r="I1241" s="47" t="s">
        <v>116</v>
      </c>
      <c r="J1241" s="48">
        <v>0</v>
      </c>
      <c r="K1241" s="48">
        <v>0</v>
      </c>
      <c r="R1241" s="46">
        <f t="shared" si="130"/>
        <v>0</v>
      </c>
      <c r="S1241" s="46">
        <f t="shared" si="131"/>
        <v>0</v>
      </c>
      <c r="T1241" s="46">
        <f t="shared" si="129"/>
        <v>0</v>
      </c>
      <c r="U1241" s="46">
        <f t="shared" si="132"/>
        <v>0</v>
      </c>
      <c r="V1241" s="54">
        <f t="shared" si="133"/>
        <v>1.5517241379310345</v>
      </c>
    </row>
    <row r="1242" spans="1:22" x14ac:dyDescent="0.2">
      <c r="A1242" s="46" t="s">
        <v>198</v>
      </c>
      <c r="B1242" s="46" t="s">
        <v>46</v>
      </c>
      <c r="C1242" s="46" t="s">
        <v>89</v>
      </c>
      <c r="D1242" s="46" t="s">
        <v>178</v>
      </c>
      <c r="E1242" s="46">
        <v>4</v>
      </c>
      <c r="F1242" s="46" t="s">
        <v>62</v>
      </c>
      <c r="G1242" s="46">
        <v>3</v>
      </c>
      <c r="H1242" s="47" t="s">
        <v>87</v>
      </c>
      <c r="I1242" s="47" t="s">
        <v>219</v>
      </c>
      <c r="J1242" s="48">
        <v>0</v>
      </c>
      <c r="K1242" s="48">
        <v>0</v>
      </c>
      <c r="R1242" s="46">
        <f t="shared" si="130"/>
        <v>0</v>
      </c>
      <c r="S1242" s="46">
        <f t="shared" si="131"/>
        <v>0</v>
      </c>
      <c r="T1242" s="46">
        <f t="shared" si="129"/>
        <v>0</v>
      </c>
      <c r="U1242" s="46">
        <f t="shared" si="132"/>
        <v>0</v>
      </c>
      <c r="V1242" s="54">
        <f t="shared" si="133"/>
        <v>1.5517241379310345</v>
      </c>
    </row>
    <row r="1243" spans="1:22" x14ac:dyDescent="0.2">
      <c r="A1243" s="46" t="s">
        <v>198</v>
      </c>
      <c r="B1243" s="46" t="s">
        <v>46</v>
      </c>
      <c r="C1243" s="46" t="s">
        <v>89</v>
      </c>
      <c r="D1243" s="46" t="s">
        <v>178</v>
      </c>
      <c r="E1243" s="46">
        <v>2</v>
      </c>
      <c r="F1243" s="46" t="s">
        <v>62</v>
      </c>
      <c r="G1243" s="46">
        <v>3</v>
      </c>
      <c r="H1243" s="47" t="s">
        <v>64</v>
      </c>
      <c r="I1243" s="47" t="s">
        <v>116</v>
      </c>
      <c r="J1243" s="48">
        <v>0</v>
      </c>
      <c r="K1243" s="48">
        <v>1</v>
      </c>
      <c r="R1243" s="46">
        <f t="shared" si="130"/>
        <v>0</v>
      </c>
      <c r="S1243" s="46">
        <f t="shared" si="131"/>
        <v>0</v>
      </c>
      <c r="T1243" s="46">
        <f t="shared" si="129"/>
        <v>0</v>
      </c>
      <c r="U1243" s="46">
        <f t="shared" si="132"/>
        <v>0</v>
      </c>
      <c r="V1243" s="54">
        <f t="shared" si="133"/>
        <v>1.5517241379310345</v>
      </c>
    </row>
    <row r="1244" spans="1:22" x14ac:dyDescent="0.2">
      <c r="A1244" s="46" t="s">
        <v>198</v>
      </c>
      <c r="B1244" s="46" t="s">
        <v>46</v>
      </c>
      <c r="C1244" s="46" t="s">
        <v>89</v>
      </c>
      <c r="D1244" s="46" t="s">
        <v>178</v>
      </c>
      <c r="E1244" s="46">
        <v>3</v>
      </c>
      <c r="F1244" s="46" t="s">
        <v>62</v>
      </c>
      <c r="G1244" s="46">
        <v>3</v>
      </c>
      <c r="H1244" s="47" t="s">
        <v>64</v>
      </c>
      <c r="I1244" s="47" t="s">
        <v>116</v>
      </c>
      <c r="J1244" s="48">
        <v>0</v>
      </c>
      <c r="K1244" s="48">
        <v>0</v>
      </c>
      <c r="R1244" s="46">
        <f t="shared" si="130"/>
        <v>0</v>
      </c>
      <c r="S1244" s="46">
        <f t="shared" si="131"/>
        <v>0</v>
      </c>
      <c r="T1244" s="46">
        <f t="shared" si="129"/>
        <v>0</v>
      </c>
      <c r="U1244" s="46">
        <f t="shared" si="132"/>
        <v>0</v>
      </c>
      <c r="V1244" s="54">
        <f t="shared" si="133"/>
        <v>1.5517241379310345</v>
      </c>
    </row>
    <row r="1245" spans="1:22" x14ac:dyDescent="0.2">
      <c r="A1245" s="46" t="s">
        <v>198</v>
      </c>
      <c r="B1245" s="46" t="s">
        <v>46</v>
      </c>
      <c r="C1245" s="46" t="s">
        <v>89</v>
      </c>
      <c r="D1245" s="46" t="s">
        <v>178</v>
      </c>
      <c r="E1245" s="46">
        <v>4</v>
      </c>
      <c r="F1245" s="46" t="s">
        <v>62</v>
      </c>
      <c r="G1245" s="46">
        <v>3</v>
      </c>
      <c r="H1245" s="47" t="s">
        <v>64</v>
      </c>
      <c r="I1245" s="47" t="s">
        <v>219</v>
      </c>
      <c r="J1245" s="48">
        <v>0</v>
      </c>
      <c r="K1245" s="48">
        <v>0</v>
      </c>
      <c r="R1245" s="46">
        <f t="shared" si="130"/>
        <v>0</v>
      </c>
      <c r="S1245" s="46">
        <f t="shared" si="131"/>
        <v>0</v>
      </c>
      <c r="T1245" s="46">
        <f t="shared" si="129"/>
        <v>0</v>
      </c>
      <c r="U1245" s="46">
        <f t="shared" si="132"/>
        <v>0</v>
      </c>
      <c r="V1245" s="54">
        <f t="shared" si="133"/>
        <v>1.5517241379310345</v>
      </c>
    </row>
    <row r="1246" spans="1:22" x14ac:dyDescent="0.2">
      <c r="A1246" s="46" t="s">
        <v>198</v>
      </c>
      <c r="B1246" s="46" t="s">
        <v>46</v>
      </c>
      <c r="C1246" s="46" t="s">
        <v>89</v>
      </c>
      <c r="D1246" s="46" t="s">
        <v>178</v>
      </c>
      <c r="E1246" s="46">
        <v>2</v>
      </c>
      <c r="F1246" s="46" t="s">
        <v>60</v>
      </c>
      <c r="G1246" s="46">
        <v>4</v>
      </c>
      <c r="H1246" s="47">
        <v>20</v>
      </c>
      <c r="I1246" s="47" t="s">
        <v>102</v>
      </c>
      <c r="J1246" s="48">
        <v>1</v>
      </c>
      <c r="K1246" s="48">
        <v>1</v>
      </c>
      <c r="M1246" s="48">
        <v>1</v>
      </c>
      <c r="O1246" s="48">
        <v>1</v>
      </c>
      <c r="R1246" s="46">
        <f t="shared" si="130"/>
        <v>0</v>
      </c>
      <c r="S1246" s="46">
        <f t="shared" si="131"/>
        <v>0</v>
      </c>
      <c r="T1246" s="46">
        <f t="shared" si="129"/>
        <v>20</v>
      </c>
      <c r="U1246" s="46">
        <f t="shared" si="132"/>
        <v>50</v>
      </c>
      <c r="V1246" s="54">
        <f t="shared" si="133"/>
        <v>1.5517241379310345</v>
      </c>
    </row>
    <row r="1247" spans="1:22" x14ac:dyDescent="0.2">
      <c r="A1247" s="46" t="s">
        <v>198</v>
      </c>
      <c r="B1247" s="46" t="s">
        <v>46</v>
      </c>
      <c r="C1247" s="46" t="s">
        <v>89</v>
      </c>
      <c r="D1247" s="46" t="s">
        <v>178</v>
      </c>
      <c r="E1247" s="46">
        <v>2</v>
      </c>
      <c r="F1247" s="46" t="s">
        <v>62</v>
      </c>
      <c r="G1247" s="46">
        <v>3</v>
      </c>
      <c r="H1247" s="47" t="s">
        <v>80</v>
      </c>
      <c r="I1247" s="47" t="s">
        <v>116</v>
      </c>
      <c r="J1247" s="48">
        <v>1</v>
      </c>
      <c r="K1247" s="48">
        <v>0</v>
      </c>
      <c r="P1247" s="48">
        <v>1</v>
      </c>
      <c r="R1247" s="46">
        <f t="shared" si="130"/>
        <v>0</v>
      </c>
      <c r="S1247" s="46">
        <f t="shared" si="131"/>
        <v>0</v>
      </c>
      <c r="T1247" s="46">
        <f t="shared" si="129"/>
        <v>20</v>
      </c>
      <c r="U1247" s="46">
        <f t="shared" si="132"/>
        <v>30</v>
      </c>
      <c r="V1247" s="54">
        <f t="shared" si="133"/>
        <v>1.5517241379310345</v>
      </c>
    </row>
    <row r="1248" spans="1:22" x14ac:dyDescent="0.2">
      <c r="A1248" s="46" t="s">
        <v>198</v>
      </c>
      <c r="B1248" s="46" t="s">
        <v>46</v>
      </c>
      <c r="C1248" s="46" t="s">
        <v>89</v>
      </c>
      <c r="D1248" s="46" t="s">
        <v>178</v>
      </c>
      <c r="E1248" s="46">
        <v>4</v>
      </c>
      <c r="F1248" s="46" t="s">
        <v>62</v>
      </c>
      <c r="G1248" s="46">
        <v>2</v>
      </c>
      <c r="H1248" s="47" t="s">
        <v>83</v>
      </c>
      <c r="I1248" s="47" t="s">
        <v>127</v>
      </c>
      <c r="J1248" s="48">
        <v>0</v>
      </c>
      <c r="K1248" s="48">
        <v>0</v>
      </c>
      <c r="R1248" s="46">
        <f t="shared" si="130"/>
        <v>0</v>
      </c>
      <c r="S1248" s="46">
        <f t="shared" si="131"/>
        <v>0</v>
      </c>
      <c r="T1248" s="46">
        <f t="shared" si="129"/>
        <v>0</v>
      </c>
      <c r="U1248" s="46">
        <f t="shared" si="132"/>
        <v>0</v>
      </c>
      <c r="V1248" s="54">
        <f t="shared" si="133"/>
        <v>1.5517241379310345</v>
      </c>
    </row>
    <row r="1249" spans="1:22" x14ac:dyDescent="0.2">
      <c r="A1249" s="46" t="s">
        <v>198</v>
      </c>
      <c r="B1249" s="46" t="s">
        <v>46</v>
      </c>
      <c r="C1249" s="46" t="s">
        <v>89</v>
      </c>
      <c r="D1249" s="46" t="s">
        <v>178</v>
      </c>
      <c r="E1249" s="46">
        <v>5</v>
      </c>
      <c r="F1249" s="46" t="s">
        <v>60</v>
      </c>
      <c r="G1249" s="46">
        <v>3</v>
      </c>
      <c r="H1249" s="47">
        <v>3</v>
      </c>
      <c r="I1249" s="47" t="s">
        <v>159</v>
      </c>
      <c r="J1249" s="48">
        <v>0</v>
      </c>
      <c r="K1249" s="48">
        <v>1</v>
      </c>
      <c r="R1249" s="46">
        <f t="shared" si="130"/>
        <v>0</v>
      </c>
      <c r="S1249" s="46">
        <f t="shared" si="131"/>
        <v>0</v>
      </c>
      <c r="T1249" s="46">
        <f t="shared" si="129"/>
        <v>0</v>
      </c>
      <c r="U1249" s="46">
        <f t="shared" si="132"/>
        <v>0</v>
      </c>
      <c r="V1249" s="54">
        <f t="shared" si="133"/>
        <v>1.5517241379310345</v>
      </c>
    </row>
    <row r="1250" spans="1:22" x14ac:dyDescent="0.2">
      <c r="A1250" s="46" t="s">
        <v>198</v>
      </c>
      <c r="B1250" s="46" t="s">
        <v>46</v>
      </c>
      <c r="C1250" s="46" t="s">
        <v>89</v>
      </c>
      <c r="D1250" s="46" t="s">
        <v>178</v>
      </c>
      <c r="E1250" s="46">
        <v>5</v>
      </c>
      <c r="F1250" s="46" t="s">
        <v>60</v>
      </c>
      <c r="G1250" s="46">
        <v>2</v>
      </c>
      <c r="H1250" s="47">
        <v>14</v>
      </c>
      <c r="I1250" s="47" t="s">
        <v>127</v>
      </c>
      <c r="J1250" s="48">
        <v>0</v>
      </c>
      <c r="K1250" s="48">
        <v>0</v>
      </c>
      <c r="R1250" s="46">
        <f t="shared" si="130"/>
        <v>0</v>
      </c>
      <c r="S1250" s="46">
        <f t="shared" si="131"/>
        <v>0</v>
      </c>
      <c r="T1250" s="46">
        <f t="shared" si="129"/>
        <v>0</v>
      </c>
      <c r="U1250" s="46">
        <f t="shared" si="132"/>
        <v>0</v>
      </c>
      <c r="V1250" s="54">
        <f t="shared" si="133"/>
        <v>1.5517241379310345</v>
      </c>
    </row>
    <row r="1251" spans="1:22" x14ac:dyDescent="0.2">
      <c r="A1251" s="46" t="s">
        <v>198</v>
      </c>
      <c r="B1251" s="46" t="s">
        <v>46</v>
      </c>
      <c r="C1251" s="46" t="s">
        <v>89</v>
      </c>
      <c r="D1251" s="46" t="s">
        <v>178</v>
      </c>
      <c r="E1251" s="46">
        <v>5</v>
      </c>
      <c r="F1251" s="46" t="s">
        <v>60</v>
      </c>
      <c r="G1251" s="46">
        <v>4</v>
      </c>
      <c r="H1251" s="47">
        <v>24</v>
      </c>
      <c r="I1251" s="47" t="s">
        <v>102</v>
      </c>
      <c r="J1251" s="48">
        <v>0</v>
      </c>
      <c r="K1251" s="48">
        <v>0</v>
      </c>
      <c r="R1251" s="46">
        <f t="shared" si="130"/>
        <v>0</v>
      </c>
      <c r="S1251" s="46">
        <f t="shared" si="131"/>
        <v>0</v>
      </c>
      <c r="T1251" s="46">
        <f t="shared" si="129"/>
        <v>0</v>
      </c>
      <c r="U1251" s="46">
        <f t="shared" si="132"/>
        <v>0</v>
      </c>
      <c r="V1251" s="54">
        <f t="shared" si="133"/>
        <v>1.5517241379310345</v>
      </c>
    </row>
    <row r="1252" spans="1:22" x14ac:dyDescent="0.2">
      <c r="A1252" s="46" t="s">
        <v>198</v>
      </c>
      <c r="B1252" s="46" t="s">
        <v>46</v>
      </c>
      <c r="C1252" s="46" t="s">
        <v>89</v>
      </c>
      <c r="D1252" s="46" t="s">
        <v>178</v>
      </c>
      <c r="E1252" s="46">
        <v>5</v>
      </c>
      <c r="F1252" s="46" t="s">
        <v>60</v>
      </c>
      <c r="G1252" s="46">
        <v>1</v>
      </c>
      <c r="H1252" s="47">
        <v>25</v>
      </c>
      <c r="I1252" s="47" t="s">
        <v>101</v>
      </c>
      <c r="J1252" s="48">
        <v>0</v>
      </c>
      <c r="K1252" s="48">
        <v>0</v>
      </c>
      <c r="R1252" s="46">
        <f t="shared" si="130"/>
        <v>0</v>
      </c>
      <c r="S1252" s="46">
        <f t="shared" si="131"/>
        <v>0</v>
      </c>
      <c r="T1252" s="46">
        <f t="shared" si="129"/>
        <v>0</v>
      </c>
      <c r="U1252" s="46">
        <f t="shared" si="132"/>
        <v>0</v>
      </c>
      <c r="V1252" s="54">
        <f t="shared" si="133"/>
        <v>1.5517241379310345</v>
      </c>
    </row>
    <row r="1253" spans="1:22" x14ac:dyDescent="0.2">
      <c r="A1253" s="46" t="s">
        <v>198</v>
      </c>
      <c r="B1253" s="46" t="s">
        <v>46</v>
      </c>
      <c r="C1253" s="46" t="s">
        <v>89</v>
      </c>
      <c r="D1253" s="46" t="s">
        <v>178</v>
      </c>
      <c r="E1253" s="46">
        <v>5</v>
      </c>
      <c r="F1253" s="46" t="s">
        <v>60</v>
      </c>
      <c r="G1253" s="46">
        <v>2</v>
      </c>
      <c r="H1253" s="47">
        <v>34</v>
      </c>
      <c r="I1253" s="47" t="s">
        <v>127</v>
      </c>
      <c r="J1253" s="48">
        <v>0</v>
      </c>
      <c r="K1253" s="48">
        <v>0</v>
      </c>
      <c r="R1253" s="46">
        <f t="shared" si="130"/>
        <v>0</v>
      </c>
      <c r="S1253" s="46">
        <f t="shared" si="131"/>
        <v>0</v>
      </c>
      <c r="T1253" s="46">
        <f t="shared" si="129"/>
        <v>0</v>
      </c>
      <c r="U1253" s="46">
        <f t="shared" si="132"/>
        <v>0</v>
      </c>
      <c r="V1253" s="54">
        <f t="shared" si="133"/>
        <v>1.5517241379310345</v>
      </c>
    </row>
    <row r="1254" spans="1:22" x14ac:dyDescent="0.2">
      <c r="A1254" s="46" t="s">
        <v>198</v>
      </c>
      <c r="B1254" s="46" t="s">
        <v>46</v>
      </c>
      <c r="C1254" s="46" t="s">
        <v>89</v>
      </c>
      <c r="D1254" s="46" t="s">
        <v>178</v>
      </c>
      <c r="E1254" s="46">
        <v>5</v>
      </c>
      <c r="F1254" s="46" t="s">
        <v>60</v>
      </c>
      <c r="G1254" s="46">
        <v>3</v>
      </c>
      <c r="H1254" s="47">
        <v>43</v>
      </c>
      <c r="I1254" s="47" t="s">
        <v>159</v>
      </c>
      <c r="J1254" s="48">
        <v>0</v>
      </c>
      <c r="K1254" s="48">
        <v>0</v>
      </c>
      <c r="R1254" s="46">
        <f t="shared" si="130"/>
        <v>0</v>
      </c>
      <c r="S1254" s="46">
        <f t="shared" si="131"/>
        <v>0</v>
      </c>
      <c r="T1254" s="46">
        <f t="shared" si="129"/>
        <v>0</v>
      </c>
      <c r="U1254" s="46">
        <f t="shared" si="132"/>
        <v>0</v>
      </c>
      <c r="V1254" s="54">
        <f t="shared" si="133"/>
        <v>1.5517241379310345</v>
      </c>
    </row>
    <row r="1255" spans="1:22" x14ac:dyDescent="0.2">
      <c r="A1255" s="46" t="s">
        <v>198</v>
      </c>
      <c r="B1255" s="46" t="s">
        <v>46</v>
      </c>
      <c r="C1255" s="46" t="str">
        <f>VLOOKUP(B1255,$B$2:$C$3219,2,FALSE)</f>
        <v>Chapel Hill</v>
      </c>
      <c r="D1255" s="46" t="s">
        <v>178</v>
      </c>
      <c r="E1255" s="46">
        <v>5</v>
      </c>
      <c r="F1255" s="46" t="s">
        <v>63</v>
      </c>
      <c r="G1255" s="46">
        <v>4</v>
      </c>
      <c r="H1255" s="47" t="s">
        <v>146</v>
      </c>
      <c r="I1255" s="47" t="s">
        <v>102</v>
      </c>
      <c r="J1255" s="48">
        <v>0</v>
      </c>
      <c r="K1255" s="48">
        <v>0</v>
      </c>
      <c r="R1255" s="46">
        <f t="shared" si="130"/>
        <v>0</v>
      </c>
      <c r="S1255" s="46">
        <f t="shared" si="131"/>
        <v>0</v>
      </c>
      <c r="T1255" s="46">
        <f t="shared" si="129"/>
        <v>0</v>
      </c>
      <c r="U1255" s="46">
        <f t="shared" si="132"/>
        <v>0</v>
      </c>
      <c r="V1255" s="54">
        <f t="shared" si="133"/>
        <v>1.5517241379310345</v>
      </c>
    </row>
    <row r="1256" spans="1:22" x14ac:dyDescent="0.2">
      <c r="A1256" s="46" t="s">
        <v>198</v>
      </c>
      <c r="B1256" s="46" t="s">
        <v>46</v>
      </c>
      <c r="C1256" s="46" t="str">
        <f>VLOOKUP(B1256,$B$2:$C$3219,2,FALSE)</f>
        <v>Chapel Hill</v>
      </c>
      <c r="D1256" s="46" t="s">
        <v>178</v>
      </c>
      <c r="E1256" s="46">
        <v>5</v>
      </c>
      <c r="F1256" s="46" t="s">
        <v>63</v>
      </c>
      <c r="G1256" s="46">
        <v>4</v>
      </c>
      <c r="H1256" s="47" t="s">
        <v>147</v>
      </c>
      <c r="I1256" s="47" t="s">
        <v>102</v>
      </c>
      <c r="J1256" s="48">
        <v>0</v>
      </c>
      <c r="K1256" s="48">
        <v>0</v>
      </c>
      <c r="R1256" s="46">
        <f t="shared" si="130"/>
        <v>0</v>
      </c>
      <c r="S1256" s="46">
        <f t="shared" si="131"/>
        <v>0</v>
      </c>
      <c r="T1256" s="46">
        <f t="shared" si="129"/>
        <v>0</v>
      </c>
      <c r="U1256" s="46">
        <f t="shared" si="132"/>
        <v>0</v>
      </c>
      <c r="V1256" s="54">
        <f t="shared" si="133"/>
        <v>1.5517241379310345</v>
      </c>
    </row>
    <row r="1257" spans="1:22" x14ac:dyDescent="0.2">
      <c r="A1257" s="46" t="s">
        <v>198</v>
      </c>
      <c r="B1257" s="46" t="s">
        <v>46</v>
      </c>
      <c r="C1257" s="46" t="str">
        <f>VLOOKUP(B1257,$B$2:$C$3219,2,FALSE)</f>
        <v>Chapel Hill</v>
      </c>
      <c r="D1257" s="46" t="s">
        <v>178</v>
      </c>
      <c r="E1257" s="46">
        <v>5</v>
      </c>
      <c r="F1257" s="46" t="s">
        <v>63</v>
      </c>
      <c r="G1257" s="46">
        <v>4</v>
      </c>
      <c r="H1257" s="47" t="s">
        <v>150</v>
      </c>
      <c r="I1257" s="47" t="s">
        <v>102</v>
      </c>
      <c r="J1257" s="48">
        <v>0</v>
      </c>
      <c r="K1257" s="48">
        <v>0</v>
      </c>
      <c r="R1257" s="46">
        <f t="shared" si="130"/>
        <v>0</v>
      </c>
      <c r="S1257" s="46">
        <f t="shared" si="131"/>
        <v>0</v>
      </c>
      <c r="T1257" s="46">
        <f t="shared" si="129"/>
        <v>0</v>
      </c>
      <c r="U1257" s="46">
        <f t="shared" si="132"/>
        <v>0</v>
      </c>
      <c r="V1257" s="54">
        <f t="shared" si="133"/>
        <v>1.5517241379310345</v>
      </c>
    </row>
    <row r="1258" spans="1:22" x14ac:dyDescent="0.2">
      <c r="A1258" s="46" t="s">
        <v>198</v>
      </c>
      <c r="B1258" s="46" t="s">
        <v>46</v>
      </c>
      <c r="C1258" s="46" t="str">
        <f>VLOOKUP(B1258,$B$2:$C$3219,2,FALSE)</f>
        <v>Chapel Hill</v>
      </c>
      <c r="D1258" s="46" t="s">
        <v>178</v>
      </c>
      <c r="E1258" s="46">
        <v>5</v>
      </c>
      <c r="F1258" s="46" t="s">
        <v>63</v>
      </c>
      <c r="G1258" s="46">
        <v>4</v>
      </c>
      <c r="H1258" s="47" t="s">
        <v>172</v>
      </c>
      <c r="I1258" s="47" t="s">
        <v>102</v>
      </c>
      <c r="J1258" s="48">
        <v>0</v>
      </c>
      <c r="K1258" s="48">
        <v>0</v>
      </c>
      <c r="R1258" s="46">
        <f t="shared" si="130"/>
        <v>0</v>
      </c>
      <c r="S1258" s="46">
        <f t="shared" si="131"/>
        <v>0</v>
      </c>
      <c r="U1258" s="46">
        <f t="shared" si="132"/>
        <v>0</v>
      </c>
      <c r="V1258" s="54">
        <f t="shared" si="133"/>
        <v>1.5517241379310345</v>
      </c>
    </row>
    <row r="1259" spans="1:22" x14ac:dyDescent="0.2">
      <c r="A1259" s="46" t="s">
        <v>214</v>
      </c>
      <c r="B1259" s="46" t="s">
        <v>49</v>
      </c>
      <c r="C1259" s="46" t="s">
        <v>93</v>
      </c>
      <c r="D1259" s="46" t="s">
        <v>178</v>
      </c>
      <c r="E1259" s="46">
        <v>3</v>
      </c>
      <c r="F1259" s="46" t="s">
        <v>60</v>
      </c>
      <c r="G1259" s="46">
        <v>4</v>
      </c>
      <c r="H1259" s="47">
        <v>8</v>
      </c>
      <c r="I1259" s="47" t="s">
        <v>102</v>
      </c>
      <c r="J1259" s="48">
        <v>0</v>
      </c>
      <c r="K1259" s="48">
        <v>1</v>
      </c>
      <c r="M1259" s="48">
        <v>1</v>
      </c>
      <c r="R1259" s="46">
        <f t="shared" si="130"/>
        <v>0</v>
      </c>
      <c r="S1259" s="46">
        <f t="shared" si="131"/>
        <v>0</v>
      </c>
      <c r="T1259" s="46">
        <f t="shared" ref="T1259:T1296" si="134">quizscore(J1259,K1259)</f>
        <v>0</v>
      </c>
      <c r="U1259" s="46">
        <f t="shared" si="132"/>
        <v>20</v>
      </c>
      <c r="V1259" s="54">
        <f t="shared" si="133"/>
        <v>16.041666666666668</v>
      </c>
    </row>
    <row r="1260" spans="1:22" x14ac:dyDescent="0.2">
      <c r="A1260" s="46" t="s">
        <v>214</v>
      </c>
      <c r="B1260" s="46" t="s">
        <v>49</v>
      </c>
      <c r="C1260" s="46" t="s">
        <v>93</v>
      </c>
      <c r="D1260" s="46" t="s">
        <v>178</v>
      </c>
      <c r="E1260" s="46">
        <v>4</v>
      </c>
      <c r="F1260" s="46" t="s">
        <v>60</v>
      </c>
      <c r="G1260" s="46">
        <v>4</v>
      </c>
      <c r="H1260" s="47">
        <v>8</v>
      </c>
      <c r="I1260" s="47" t="s">
        <v>102</v>
      </c>
      <c r="J1260" s="48">
        <v>0</v>
      </c>
      <c r="K1260" s="48">
        <v>0</v>
      </c>
      <c r="R1260" s="46">
        <f t="shared" si="130"/>
        <v>0</v>
      </c>
      <c r="S1260" s="46">
        <f t="shared" si="131"/>
        <v>0</v>
      </c>
      <c r="T1260" s="46">
        <f t="shared" si="134"/>
        <v>0</v>
      </c>
      <c r="U1260" s="46">
        <f t="shared" si="132"/>
        <v>0</v>
      </c>
      <c r="V1260" s="54">
        <f t="shared" si="133"/>
        <v>16.041666666666668</v>
      </c>
    </row>
    <row r="1261" spans="1:22" x14ac:dyDescent="0.2">
      <c r="A1261" s="46" t="s">
        <v>214</v>
      </c>
      <c r="B1261" s="46" t="s">
        <v>49</v>
      </c>
      <c r="C1261" s="46" t="s">
        <v>93</v>
      </c>
      <c r="D1261" s="46" t="s">
        <v>178</v>
      </c>
      <c r="E1261" s="46">
        <v>4</v>
      </c>
      <c r="F1261" s="46" t="s">
        <v>60</v>
      </c>
      <c r="G1261" s="46">
        <v>1</v>
      </c>
      <c r="H1261" s="47">
        <v>13</v>
      </c>
      <c r="I1261" s="47" t="s">
        <v>101</v>
      </c>
      <c r="J1261" s="48">
        <v>0</v>
      </c>
      <c r="K1261" s="48">
        <v>0</v>
      </c>
      <c r="R1261" s="46">
        <f t="shared" si="130"/>
        <v>0</v>
      </c>
      <c r="S1261" s="46">
        <f t="shared" si="131"/>
        <v>0</v>
      </c>
      <c r="T1261" s="46">
        <f t="shared" si="134"/>
        <v>0</v>
      </c>
      <c r="U1261" s="46">
        <f t="shared" si="132"/>
        <v>0</v>
      </c>
      <c r="V1261" s="54">
        <f t="shared" si="133"/>
        <v>16.041666666666668</v>
      </c>
    </row>
    <row r="1262" spans="1:22" x14ac:dyDescent="0.2">
      <c r="A1262" s="46" t="s">
        <v>214</v>
      </c>
      <c r="B1262" s="46" t="s">
        <v>49</v>
      </c>
      <c r="C1262" s="46" t="s">
        <v>93</v>
      </c>
      <c r="D1262" s="46" t="s">
        <v>178</v>
      </c>
      <c r="E1262" s="46">
        <v>3</v>
      </c>
      <c r="F1262" s="46" t="s">
        <v>60</v>
      </c>
      <c r="G1262" s="46">
        <v>1</v>
      </c>
      <c r="H1262" s="47">
        <v>37</v>
      </c>
      <c r="I1262" s="47" t="s">
        <v>101</v>
      </c>
      <c r="J1262" s="48">
        <v>0</v>
      </c>
      <c r="K1262" s="48">
        <v>1</v>
      </c>
      <c r="R1262" s="46">
        <f t="shared" si="130"/>
        <v>0</v>
      </c>
      <c r="S1262" s="46">
        <f t="shared" si="131"/>
        <v>0</v>
      </c>
      <c r="T1262" s="46">
        <f t="shared" si="134"/>
        <v>0</v>
      </c>
      <c r="U1262" s="46">
        <f t="shared" si="132"/>
        <v>0</v>
      </c>
      <c r="V1262" s="54">
        <f t="shared" si="133"/>
        <v>16.041666666666668</v>
      </c>
    </row>
    <row r="1263" spans="1:22" x14ac:dyDescent="0.2">
      <c r="A1263" s="46" t="s">
        <v>214</v>
      </c>
      <c r="B1263" s="46" t="s">
        <v>49</v>
      </c>
      <c r="C1263" s="46" t="s">
        <v>93</v>
      </c>
      <c r="D1263" s="46" t="s">
        <v>178</v>
      </c>
      <c r="E1263" s="46">
        <v>2</v>
      </c>
      <c r="F1263" s="46" t="s">
        <v>60</v>
      </c>
      <c r="G1263" s="46">
        <v>1</v>
      </c>
      <c r="H1263" s="47">
        <v>45</v>
      </c>
      <c r="I1263" s="47" t="s">
        <v>101</v>
      </c>
      <c r="J1263" s="48">
        <v>0</v>
      </c>
      <c r="K1263" s="48">
        <v>0</v>
      </c>
      <c r="R1263" s="46">
        <f t="shared" si="130"/>
        <v>0</v>
      </c>
      <c r="S1263" s="46">
        <f t="shared" si="131"/>
        <v>0</v>
      </c>
      <c r="T1263" s="46">
        <f t="shared" si="134"/>
        <v>0</v>
      </c>
      <c r="U1263" s="46">
        <f t="shared" si="132"/>
        <v>0</v>
      </c>
      <c r="V1263" s="54">
        <f t="shared" si="133"/>
        <v>16.041666666666668</v>
      </c>
    </row>
    <row r="1264" spans="1:22" x14ac:dyDescent="0.2">
      <c r="A1264" s="46" t="s">
        <v>214</v>
      </c>
      <c r="B1264" s="46" t="s">
        <v>49</v>
      </c>
      <c r="C1264" s="46" t="s">
        <v>93</v>
      </c>
      <c r="D1264" s="46" t="s">
        <v>178</v>
      </c>
      <c r="E1264" s="46">
        <v>3</v>
      </c>
      <c r="F1264" s="46" t="s">
        <v>60</v>
      </c>
      <c r="G1264" s="46">
        <v>2</v>
      </c>
      <c r="H1264" s="47">
        <v>46</v>
      </c>
      <c r="I1264" s="47" t="s">
        <v>127</v>
      </c>
      <c r="J1264" s="48">
        <v>0</v>
      </c>
      <c r="K1264" s="48">
        <v>0</v>
      </c>
      <c r="R1264" s="46">
        <f t="shared" si="130"/>
        <v>0</v>
      </c>
      <c r="S1264" s="46">
        <f t="shared" si="131"/>
        <v>0</v>
      </c>
      <c r="T1264" s="46">
        <f t="shared" si="134"/>
        <v>0</v>
      </c>
      <c r="U1264" s="46">
        <f t="shared" si="132"/>
        <v>0</v>
      </c>
      <c r="V1264" s="54">
        <f t="shared" si="133"/>
        <v>16.041666666666668</v>
      </c>
    </row>
    <row r="1265" spans="1:22" x14ac:dyDescent="0.2">
      <c r="A1265" s="46" t="s">
        <v>214</v>
      </c>
      <c r="B1265" s="46" t="s">
        <v>49</v>
      </c>
      <c r="C1265" s="46" t="s">
        <v>93</v>
      </c>
      <c r="D1265" s="46" t="s">
        <v>178</v>
      </c>
      <c r="E1265" s="46">
        <v>4</v>
      </c>
      <c r="F1265" s="46" t="s">
        <v>60</v>
      </c>
      <c r="G1265" s="46">
        <v>4</v>
      </c>
      <c r="H1265" s="47">
        <v>48</v>
      </c>
      <c r="I1265" s="47" t="s">
        <v>102</v>
      </c>
      <c r="J1265" s="48">
        <v>0</v>
      </c>
      <c r="K1265" s="48">
        <v>1</v>
      </c>
      <c r="R1265" s="46">
        <f t="shared" si="130"/>
        <v>0</v>
      </c>
      <c r="S1265" s="46">
        <f t="shared" si="131"/>
        <v>0</v>
      </c>
      <c r="T1265" s="46">
        <f t="shared" si="134"/>
        <v>0</v>
      </c>
      <c r="U1265" s="46">
        <f t="shared" si="132"/>
        <v>0</v>
      </c>
      <c r="V1265" s="54">
        <f t="shared" si="133"/>
        <v>16.041666666666668</v>
      </c>
    </row>
    <row r="1266" spans="1:22" x14ac:dyDescent="0.2">
      <c r="A1266" s="46" t="s">
        <v>214</v>
      </c>
      <c r="B1266" s="46" t="s">
        <v>49</v>
      </c>
      <c r="C1266" s="46" t="s">
        <v>93</v>
      </c>
      <c r="D1266" s="46" t="s">
        <v>178</v>
      </c>
      <c r="E1266" s="46">
        <v>3</v>
      </c>
      <c r="F1266" s="46" t="s">
        <v>62</v>
      </c>
      <c r="G1266" s="46">
        <v>2</v>
      </c>
      <c r="H1266" s="47" t="s">
        <v>82</v>
      </c>
      <c r="I1266" s="47" t="s">
        <v>127</v>
      </c>
      <c r="J1266" s="48">
        <v>0</v>
      </c>
      <c r="K1266" s="48">
        <v>1</v>
      </c>
      <c r="R1266" s="46">
        <f t="shared" si="130"/>
        <v>0</v>
      </c>
      <c r="S1266" s="46">
        <f t="shared" si="131"/>
        <v>0</v>
      </c>
      <c r="T1266" s="46">
        <f t="shared" si="134"/>
        <v>0</v>
      </c>
      <c r="U1266" s="46">
        <f t="shared" si="132"/>
        <v>0</v>
      </c>
      <c r="V1266" s="54">
        <f t="shared" si="133"/>
        <v>16.041666666666668</v>
      </c>
    </row>
    <row r="1267" spans="1:22" x14ac:dyDescent="0.2">
      <c r="A1267" s="46" t="s">
        <v>214</v>
      </c>
      <c r="B1267" s="46" t="s">
        <v>49</v>
      </c>
      <c r="C1267" s="46" t="s">
        <v>93</v>
      </c>
      <c r="D1267" s="46" t="s">
        <v>178</v>
      </c>
      <c r="E1267" s="46">
        <v>4</v>
      </c>
      <c r="F1267" s="46" t="s">
        <v>62</v>
      </c>
      <c r="G1267" s="46">
        <v>2</v>
      </c>
      <c r="H1267" s="47" t="s">
        <v>82</v>
      </c>
      <c r="I1267" s="47" t="s">
        <v>127</v>
      </c>
      <c r="J1267" s="48">
        <v>0</v>
      </c>
      <c r="K1267" s="48">
        <v>0</v>
      </c>
      <c r="R1267" s="46">
        <f t="shared" si="130"/>
        <v>0</v>
      </c>
      <c r="S1267" s="46">
        <f t="shared" si="131"/>
        <v>0</v>
      </c>
      <c r="T1267" s="46">
        <f t="shared" si="134"/>
        <v>0</v>
      </c>
      <c r="U1267" s="46">
        <f t="shared" si="132"/>
        <v>0</v>
      </c>
      <c r="V1267" s="54">
        <f t="shared" si="133"/>
        <v>16.041666666666668</v>
      </c>
    </row>
    <row r="1268" spans="1:22" x14ac:dyDescent="0.2">
      <c r="A1268" s="46" t="s">
        <v>214</v>
      </c>
      <c r="B1268" s="46" t="s">
        <v>49</v>
      </c>
      <c r="C1268" s="46" t="s">
        <v>93</v>
      </c>
      <c r="D1268" s="46" t="s">
        <v>178</v>
      </c>
      <c r="E1268" s="46">
        <v>2</v>
      </c>
      <c r="F1268" s="46" t="s">
        <v>62</v>
      </c>
      <c r="G1268" s="46">
        <v>3</v>
      </c>
      <c r="H1268" s="47" t="s">
        <v>84</v>
      </c>
      <c r="I1268" s="47" t="s">
        <v>116</v>
      </c>
      <c r="J1268" s="48">
        <v>0</v>
      </c>
      <c r="K1268" s="48">
        <v>0</v>
      </c>
      <c r="R1268" s="46">
        <f t="shared" si="130"/>
        <v>0</v>
      </c>
      <c r="S1268" s="46">
        <f t="shared" si="131"/>
        <v>0</v>
      </c>
      <c r="T1268" s="46">
        <f t="shared" si="134"/>
        <v>0</v>
      </c>
      <c r="U1268" s="46">
        <f t="shared" si="132"/>
        <v>0</v>
      </c>
      <c r="V1268" s="54">
        <f t="shared" si="133"/>
        <v>16.041666666666668</v>
      </c>
    </row>
    <row r="1269" spans="1:22" x14ac:dyDescent="0.2">
      <c r="A1269" s="46" t="s">
        <v>214</v>
      </c>
      <c r="B1269" s="46" t="s">
        <v>49</v>
      </c>
      <c r="C1269" s="46" t="s">
        <v>93</v>
      </c>
      <c r="D1269" s="46" t="s">
        <v>178</v>
      </c>
      <c r="E1269" s="46">
        <v>3</v>
      </c>
      <c r="F1269" s="46" t="s">
        <v>62</v>
      </c>
      <c r="G1269" s="46">
        <v>2</v>
      </c>
      <c r="H1269" s="47" t="s">
        <v>86</v>
      </c>
      <c r="I1269" s="47" t="s">
        <v>127</v>
      </c>
      <c r="J1269" s="48">
        <v>0</v>
      </c>
      <c r="K1269" s="48">
        <v>0</v>
      </c>
      <c r="R1269" s="46">
        <f t="shared" si="130"/>
        <v>0</v>
      </c>
      <c r="S1269" s="46">
        <f t="shared" si="131"/>
        <v>0</v>
      </c>
      <c r="T1269" s="46">
        <f t="shared" si="134"/>
        <v>0</v>
      </c>
      <c r="U1269" s="46">
        <f t="shared" si="132"/>
        <v>0</v>
      </c>
      <c r="V1269" s="54">
        <f t="shared" si="133"/>
        <v>16.041666666666668</v>
      </c>
    </row>
    <row r="1270" spans="1:22" x14ac:dyDescent="0.2">
      <c r="A1270" s="46" t="s">
        <v>214</v>
      </c>
      <c r="B1270" s="46" t="s">
        <v>49</v>
      </c>
      <c r="C1270" s="46" t="s">
        <v>93</v>
      </c>
      <c r="D1270" s="46" t="s">
        <v>178</v>
      </c>
      <c r="E1270" s="46">
        <v>2</v>
      </c>
      <c r="F1270" s="46" t="s">
        <v>62</v>
      </c>
      <c r="G1270" s="46">
        <v>3</v>
      </c>
      <c r="H1270" s="47" t="s">
        <v>87</v>
      </c>
      <c r="I1270" s="47" t="s">
        <v>116</v>
      </c>
      <c r="J1270" s="48">
        <v>0</v>
      </c>
      <c r="K1270" s="48">
        <v>0</v>
      </c>
      <c r="R1270" s="46">
        <f t="shared" si="130"/>
        <v>0</v>
      </c>
      <c r="S1270" s="46">
        <f t="shared" si="131"/>
        <v>0</v>
      </c>
      <c r="T1270" s="46">
        <f t="shared" si="134"/>
        <v>0</v>
      </c>
      <c r="U1270" s="46">
        <f t="shared" si="132"/>
        <v>0</v>
      </c>
      <c r="V1270" s="54">
        <f t="shared" si="133"/>
        <v>16.041666666666668</v>
      </c>
    </row>
    <row r="1271" spans="1:22" x14ac:dyDescent="0.2">
      <c r="A1271" s="46" t="s">
        <v>214</v>
      </c>
      <c r="B1271" s="46" t="s">
        <v>49</v>
      </c>
      <c r="C1271" s="46" t="s">
        <v>93</v>
      </c>
      <c r="D1271" s="46" t="s">
        <v>178</v>
      </c>
      <c r="E1271" s="46">
        <v>2</v>
      </c>
      <c r="F1271" s="46" t="s">
        <v>60</v>
      </c>
      <c r="G1271" s="46">
        <v>2</v>
      </c>
      <c r="H1271" s="47">
        <v>6</v>
      </c>
      <c r="I1271" s="47" t="s">
        <v>127</v>
      </c>
      <c r="J1271" s="48">
        <v>1</v>
      </c>
      <c r="K1271" s="48">
        <v>0</v>
      </c>
      <c r="R1271" s="46">
        <f t="shared" si="130"/>
        <v>0</v>
      </c>
      <c r="S1271" s="46">
        <f t="shared" si="131"/>
        <v>0</v>
      </c>
      <c r="T1271" s="46">
        <f t="shared" si="134"/>
        <v>20</v>
      </c>
      <c r="U1271" s="46">
        <f t="shared" si="132"/>
        <v>20</v>
      </c>
      <c r="V1271" s="54">
        <f t="shared" si="133"/>
        <v>16.041666666666668</v>
      </c>
    </row>
    <row r="1272" spans="1:22" x14ac:dyDescent="0.2">
      <c r="A1272" s="46" t="s">
        <v>214</v>
      </c>
      <c r="B1272" s="46" t="s">
        <v>49</v>
      </c>
      <c r="C1272" s="46" t="s">
        <v>93</v>
      </c>
      <c r="D1272" s="46" t="s">
        <v>178</v>
      </c>
      <c r="E1272" s="46">
        <v>3</v>
      </c>
      <c r="F1272" s="46" t="s">
        <v>60</v>
      </c>
      <c r="G1272" s="46">
        <v>4</v>
      </c>
      <c r="H1272" s="47">
        <v>16</v>
      </c>
      <c r="I1272" s="47" t="s">
        <v>102</v>
      </c>
      <c r="J1272" s="48">
        <v>1</v>
      </c>
      <c r="K1272" s="48">
        <v>1</v>
      </c>
      <c r="R1272" s="46">
        <f t="shared" si="130"/>
        <v>0</v>
      </c>
      <c r="S1272" s="46">
        <f t="shared" si="131"/>
        <v>0</v>
      </c>
      <c r="T1272" s="46">
        <f t="shared" si="134"/>
        <v>20</v>
      </c>
      <c r="U1272" s="46">
        <f t="shared" si="132"/>
        <v>20</v>
      </c>
      <c r="V1272" s="54">
        <f t="shared" si="133"/>
        <v>16.041666666666668</v>
      </c>
    </row>
    <row r="1273" spans="1:22" x14ac:dyDescent="0.2">
      <c r="A1273" s="46" t="s">
        <v>214</v>
      </c>
      <c r="B1273" s="46" t="s">
        <v>49</v>
      </c>
      <c r="C1273" s="46" t="s">
        <v>93</v>
      </c>
      <c r="D1273" s="46" t="s">
        <v>178</v>
      </c>
      <c r="E1273" s="46">
        <v>2</v>
      </c>
      <c r="F1273" s="46" t="s">
        <v>60</v>
      </c>
      <c r="G1273" s="46">
        <v>4</v>
      </c>
      <c r="H1273" s="47">
        <v>20</v>
      </c>
      <c r="I1273" s="47" t="s">
        <v>102</v>
      </c>
      <c r="J1273" s="48">
        <v>1</v>
      </c>
      <c r="K1273" s="48">
        <v>0</v>
      </c>
      <c r="L1273" s="48">
        <v>1</v>
      </c>
      <c r="R1273" s="46">
        <f t="shared" si="130"/>
        <v>0</v>
      </c>
      <c r="S1273" s="46">
        <f t="shared" si="131"/>
        <v>0</v>
      </c>
      <c r="T1273" s="46">
        <f t="shared" si="134"/>
        <v>20</v>
      </c>
      <c r="U1273" s="46">
        <f t="shared" si="132"/>
        <v>15</v>
      </c>
      <c r="V1273" s="54">
        <f t="shared" si="133"/>
        <v>16.041666666666668</v>
      </c>
    </row>
    <row r="1274" spans="1:22" x14ac:dyDescent="0.2">
      <c r="A1274" s="46" t="s">
        <v>214</v>
      </c>
      <c r="B1274" s="46" t="s">
        <v>49</v>
      </c>
      <c r="C1274" s="46" t="s">
        <v>93</v>
      </c>
      <c r="D1274" s="46" t="s">
        <v>178</v>
      </c>
      <c r="E1274" s="46">
        <v>4</v>
      </c>
      <c r="F1274" s="46" t="s">
        <v>60</v>
      </c>
      <c r="G1274" s="46">
        <v>2</v>
      </c>
      <c r="H1274" s="47">
        <v>22</v>
      </c>
      <c r="I1274" s="47" t="s">
        <v>127</v>
      </c>
      <c r="J1274" s="48">
        <v>1</v>
      </c>
      <c r="K1274" s="48">
        <v>0</v>
      </c>
      <c r="R1274" s="46">
        <f t="shared" si="130"/>
        <v>0</v>
      </c>
      <c r="S1274" s="46">
        <f t="shared" si="131"/>
        <v>0</v>
      </c>
      <c r="T1274" s="46">
        <f t="shared" si="134"/>
        <v>20</v>
      </c>
      <c r="U1274" s="46">
        <f t="shared" si="132"/>
        <v>20</v>
      </c>
      <c r="V1274" s="54">
        <f t="shared" si="133"/>
        <v>16.041666666666668</v>
      </c>
    </row>
    <row r="1275" spans="1:22" x14ac:dyDescent="0.2">
      <c r="A1275" s="46" t="s">
        <v>214</v>
      </c>
      <c r="B1275" s="46" t="s">
        <v>49</v>
      </c>
      <c r="C1275" s="46" t="s">
        <v>93</v>
      </c>
      <c r="D1275" s="46" t="s">
        <v>178</v>
      </c>
      <c r="E1275" s="46">
        <v>4</v>
      </c>
      <c r="F1275" s="46" t="s">
        <v>60</v>
      </c>
      <c r="G1275" s="46">
        <v>3</v>
      </c>
      <c r="H1275" s="47">
        <v>31</v>
      </c>
      <c r="I1275" s="47" t="s">
        <v>159</v>
      </c>
      <c r="J1275" s="48">
        <v>1</v>
      </c>
      <c r="K1275" s="48">
        <v>0</v>
      </c>
      <c r="O1275" s="48">
        <v>1</v>
      </c>
      <c r="R1275" s="46">
        <f t="shared" si="130"/>
        <v>0</v>
      </c>
      <c r="S1275" s="46">
        <f t="shared" si="131"/>
        <v>0</v>
      </c>
      <c r="T1275" s="46">
        <f t="shared" si="134"/>
        <v>20</v>
      </c>
      <c r="U1275" s="46">
        <f t="shared" si="132"/>
        <v>30</v>
      </c>
      <c r="V1275" s="54">
        <f t="shared" si="133"/>
        <v>16.041666666666668</v>
      </c>
    </row>
    <row r="1276" spans="1:22" x14ac:dyDescent="0.2">
      <c r="A1276" s="46" t="s">
        <v>214</v>
      </c>
      <c r="B1276" s="46" t="s">
        <v>49</v>
      </c>
      <c r="C1276" s="46" t="s">
        <v>93</v>
      </c>
      <c r="D1276" s="46" t="s">
        <v>178</v>
      </c>
      <c r="E1276" s="46">
        <v>4</v>
      </c>
      <c r="F1276" s="46" t="s">
        <v>60</v>
      </c>
      <c r="G1276" s="46">
        <v>3</v>
      </c>
      <c r="H1276" s="47">
        <v>39</v>
      </c>
      <c r="I1276" s="47" t="s">
        <v>159</v>
      </c>
      <c r="J1276" s="48">
        <v>1</v>
      </c>
      <c r="K1276" s="48">
        <v>0</v>
      </c>
      <c r="O1276" s="48">
        <v>1</v>
      </c>
      <c r="R1276" s="46">
        <f t="shared" si="130"/>
        <v>0</v>
      </c>
      <c r="S1276" s="46">
        <f t="shared" si="131"/>
        <v>0</v>
      </c>
      <c r="T1276" s="46">
        <f t="shared" si="134"/>
        <v>20</v>
      </c>
      <c r="U1276" s="46">
        <f t="shared" si="132"/>
        <v>30</v>
      </c>
      <c r="V1276" s="54">
        <f t="shared" si="133"/>
        <v>16.041666666666668</v>
      </c>
    </row>
    <row r="1277" spans="1:22" x14ac:dyDescent="0.2">
      <c r="A1277" s="46" t="s">
        <v>214</v>
      </c>
      <c r="B1277" s="46" t="s">
        <v>49</v>
      </c>
      <c r="C1277" s="46" t="s">
        <v>93</v>
      </c>
      <c r="D1277" s="46" t="s">
        <v>178</v>
      </c>
      <c r="E1277" s="46">
        <v>2</v>
      </c>
      <c r="F1277" s="46" t="s">
        <v>62</v>
      </c>
      <c r="G1277" s="46">
        <v>2</v>
      </c>
      <c r="H1277" s="47" t="s">
        <v>79</v>
      </c>
      <c r="I1277" s="47" t="s">
        <v>127</v>
      </c>
      <c r="J1277" s="48">
        <v>1</v>
      </c>
      <c r="K1277" s="48">
        <v>0</v>
      </c>
      <c r="O1277" s="48">
        <v>1</v>
      </c>
      <c r="R1277" s="46">
        <f t="shared" si="130"/>
        <v>0</v>
      </c>
      <c r="S1277" s="46">
        <f t="shared" si="131"/>
        <v>0</v>
      </c>
      <c r="T1277" s="46">
        <f t="shared" si="134"/>
        <v>20</v>
      </c>
      <c r="U1277" s="46">
        <f t="shared" si="132"/>
        <v>30</v>
      </c>
      <c r="V1277" s="54">
        <f t="shared" si="133"/>
        <v>16.041666666666668</v>
      </c>
    </row>
    <row r="1278" spans="1:22" x14ac:dyDescent="0.2">
      <c r="A1278" s="46" t="s">
        <v>214</v>
      </c>
      <c r="B1278" s="46" t="s">
        <v>49</v>
      </c>
      <c r="C1278" s="46" t="s">
        <v>93</v>
      </c>
      <c r="D1278" s="46" t="s">
        <v>178</v>
      </c>
      <c r="E1278" s="46">
        <v>4</v>
      </c>
      <c r="F1278" s="46" t="s">
        <v>62</v>
      </c>
      <c r="G1278" s="46">
        <v>2</v>
      </c>
      <c r="H1278" s="47" t="s">
        <v>81</v>
      </c>
      <c r="I1278" s="47" t="s">
        <v>127</v>
      </c>
      <c r="J1278" s="48">
        <v>1</v>
      </c>
      <c r="K1278" s="48">
        <v>0</v>
      </c>
      <c r="R1278" s="46">
        <f t="shared" si="130"/>
        <v>0</v>
      </c>
      <c r="S1278" s="46">
        <f t="shared" si="131"/>
        <v>0</v>
      </c>
      <c r="T1278" s="46">
        <f t="shared" si="134"/>
        <v>20</v>
      </c>
      <c r="U1278" s="46">
        <f t="shared" si="132"/>
        <v>20</v>
      </c>
      <c r="V1278" s="54">
        <f t="shared" si="133"/>
        <v>16.041666666666668</v>
      </c>
    </row>
    <row r="1279" spans="1:22" x14ac:dyDescent="0.2">
      <c r="A1279" s="46" t="s">
        <v>214</v>
      </c>
      <c r="B1279" s="46" t="s">
        <v>49</v>
      </c>
      <c r="C1279" s="46" t="s">
        <v>93</v>
      </c>
      <c r="D1279" s="46" t="s">
        <v>178</v>
      </c>
      <c r="E1279" s="46">
        <v>4</v>
      </c>
      <c r="F1279" s="46" t="s">
        <v>62</v>
      </c>
      <c r="G1279" s="46">
        <v>2</v>
      </c>
      <c r="H1279" s="47" t="s">
        <v>86</v>
      </c>
      <c r="I1279" s="47" t="s">
        <v>127</v>
      </c>
      <c r="J1279" s="48">
        <v>1</v>
      </c>
      <c r="K1279" s="48">
        <v>0</v>
      </c>
      <c r="R1279" s="46">
        <f t="shared" si="130"/>
        <v>0</v>
      </c>
      <c r="S1279" s="46">
        <f t="shared" si="131"/>
        <v>0</v>
      </c>
      <c r="T1279" s="46">
        <f t="shared" si="134"/>
        <v>20</v>
      </c>
      <c r="U1279" s="46">
        <f t="shared" si="132"/>
        <v>20</v>
      </c>
      <c r="V1279" s="54">
        <f t="shared" si="133"/>
        <v>16.041666666666668</v>
      </c>
    </row>
    <row r="1280" spans="1:22" x14ac:dyDescent="0.2">
      <c r="A1280" s="46" t="s">
        <v>214</v>
      </c>
      <c r="B1280" s="46" t="s">
        <v>49</v>
      </c>
      <c r="C1280" s="46" t="s">
        <v>93</v>
      </c>
      <c r="D1280" s="46" t="s">
        <v>178</v>
      </c>
      <c r="E1280" s="46">
        <v>2</v>
      </c>
      <c r="F1280" s="46" t="s">
        <v>60</v>
      </c>
      <c r="G1280" s="46">
        <v>2</v>
      </c>
      <c r="H1280" s="47">
        <v>2</v>
      </c>
      <c r="I1280" s="47" t="s">
        <v>127</v>
      </c>
      <c r="J1280" s="48">
        <v>2</v>
      </c>
      <c r="K1280" s="48">
        <v>0</v>
      </c>
      <c r="R1280" s="46">
        <f t="shared" si="130"/>
        <v>0</v>
      </c>
      <c r="S1280" s="46">
        <f t="shared" si="131"/>
        <v>0</v>
      </c>
      <c r="T1280" s="46">
        <f t="shared" si="134"/>
        <v>40</v>
      </c>
      <c r="U1280" s="46">
        <f t="shared" si="132"/>
        <v>40</v>
      </c>
      <c r="V1280" s="54">
        <f t="shared" si="133"/>
        <v>16.041666666666668</v>
      </c>
    </row>
    <row r="1281" spans="1:22" x14ac:dyDescent="0.2">
      <c r="A1281" s="46" t="s">
        <v>214</v>
      </c>
      <c r="B1281" s="46" t="s">
        <v>49</v>
      </c>
      <c r="C1281" s="46" t="s">
        <v>93</v>
      </c>
      <c r="D1281" s="46" t="s">
        <v>178</v>
      </c>
      <c r="E1281" s="46">
        <v>3</v>
      </c>
      <c r="F1281" s="46" t="s">
        <v>60</v>
      </c>
      <c r="G1281" s="46">
        <v>3</v>
      </c>
      <c r="H1281" s="47">
        <v>23</v>
      </c>
      <c r="I1281" s="47" t="s">
        <v>116</v>
      </c>
      <c r="J1281" s="48">
        <v>2</v>
      </c>
      <c r="K1281" s="48">
        <v>0</v>
      </c>
      <c r="R1281" s="46">
        <f t="shared" si="130"/>
        <v>0</v>
      </c>
      <c r="S1281" s="46">
        <f t="shared" si="131"/>
        <v>0</v>
      </c>
      <c r="T1281" s="46">
        <f t="shared" si="134"/>
        <v>40</v>
      </c>
      <c r="U1281" s="46">
        <f t="shared" si="132"/>
        <v>40</v>
      </c>
      <c r="V1281" s="54">
        <f t="shared" si="133"/>
        <v>16.041666666666668</v>
      </c>
    </row>
    <row r="1282" spans="1:22" x14ac:dyDescent="0.2">
      <c r="A1282" s="46" t="s">
        <v>214</v>
      </c>
      <c r="B1282" s="46" t="s">
        <v>49</v>
      </c>
      <c r="C1282" s="46" t="s">
        <v>93</v>
      </c>
      <c r="D1282" s="46" t="s">
        <v>178</v>
      </c>
      <c r="E1282" s="46">
        <v>2</v>
      </c>
      <c r="F1282" s="46" t="s">
        <v>60</v>
      </c>
      <c r="G1282" s="46">
        <v>4</v>
      </c>
      <c r="H1282" s="47">
        <v>28</v>
      </c>
      <c r="I1282" s="47" t="s">
        <v>102</v>
      </c>
      <c r="J1282" s="48">
        <v>2</v>
      </c>
      <c r="K1282" s="48">
        <v>1</v>
      </c>
      <c r="O1282" s="48">
        <v>1</v>
      </c>
      <c r="R1282" s="46">
        <f t="shared" ref="R1282:R1345" si="135">IF(J1282=4,1,0)</f>
        <v>0</v>
      </c>
      <c r="S1282" s="46">
        <f t="shared" ref="S1282:S1345" si="136">IF(K1282=3,1,0)</f>
        <v>0</v>
      </c>
      <c r="T1282" s="46">
        <f t="shared" si="134"/>
        <v>40</v>
      </c>
      <c r="U1282" s="46">
        <f t="shared" ref="U1282:U1345" si="137">T1282+M1282*(20) + (SUM(O1282:Q1282)*(10)) - L1282*(5) - N1282*(5)</f>
        <v>50</v>
      </c>
      <c r="V1282" s="54">
        <f t="shared" ref="V1282:V1345" si="138">AVERAGEIFS(U:U,A:A,A1282,F:F,"Pre")</f>
        <v>16.041666666666668</v>
      </c>
    </row>
    <row r="1283" spans="1:22" x14ac:dyDescent="0.2">
      <c r="A1283" s="46" t="s">
        <v>214</v>
      </c>
      <c r="B1283" s="46" t="s">
        <v>49</v>
      </c>
      <c r="C1283" s="46" t="s">
        <v>93</v>
      </c>
      <c r="D1283" s="46" t="s">
        <v>178</v>
      </c>
      <c r="E1283" s="46">
        <v>3</v>
      </c>
      <c r="F1283" s="46" t="s">
        <v>60</v>
      </c>
      <c r="G1283" s="46">
        <v>3</v>
      </c>
      <c r="H1283" s="47">
        <v>31</v>
      </c>
      <c r="I1283" s="47" t="s">
        <v>116</v>
      </c>
      <c r="J1283" s="48">
        <v>2</v>
      </c>
      <c r="K1283" s="48">
        <v>0</v>
      </c>
      <c r="R1283" s="46">
        <f t="shared" si="135"/>
        <v>0</v>
      </c>
      <c r="S1283" s="46">
        <f t="shared" si="136"/>
        <v>0</v>
      </c>
      <c r="T1283" s="46">
        <f t="shared" si="134"/>
        <v>40</v>
      </c>
      <c r="U1283" s="46">
        <f t="shared" si="137"/>
        <v>40</v>
      </c>
      <c r="V1283" s="54">
        <f t="shared" si="138"/>
        <v>16.041666666666668</v>
      </c>
    </row>
    <row r="1284" spans="1:22" x14ac:dyDescent="0.2">
      <c r="A1284" s="46" t="s">
        <v>214</v>
      </c>
      <c r="B1284" s="46" t="s">
        <v>49</v>
      </c>
      <c r="C1284" s="46" t="s">
        <v>93</v>
      </c>
      <c r="D1284" s="46" t="s">
        <v>178</v>
      </c>
      <c r="E1284" s="46">
        <v>2</v>
      </c>
      <c r="F1284" s="46" t="s">
        <v>60</v>
      </c>
      <c r="G1284" s="46">
        <v>3</v>
      </c>
      <c r="H1284" s="47">
        <v>35</v>
      </c>
      <c r="I1284" s="47" t="s">
        <v>116</v>
      </c>
      <c r="J1284" s="48">
        <v>2</v>
      </c>
      <c r="K1284" s="48">
        <v>0</v>
      </c>
      <c r="R1284" s="46">
        <f t="shared" si="135"/>
        <v>0</v>
      </c>
      <c r="S1284" s="46">
        <f t="shared" si="136"/>
        <v>0</v>
      </c>
      <c r="T1284" s="46">
        <f t="shared" si="134"/>
        <v>40</v>
      </c>
      <c r="U1284" s="46">
        <f t="shared" si="137"/>
        <v>40</v>
      </c>
      <c r="V1284" s="54">
        <f t="shared" si="138"/>
        <v>16.041666666666668</v>
      </c>
    </row>
    <row r="1285" spans="1:22" x14ac:dyDescent="0.2">
      <c r="A1285" s="46" t="s">
        <v>214</v>
      </c>
      <c r="B1285" s="46" t="s">
        <v>49</v>
      </c>
      <c r="C1285" s="46" t="s">
        <v>93</v>
      </c>
      <c r="D1285" s="46" t="s">
        <v>178</v>
      </c>
      <c r="E1285" s="46">
        <v>3</v>
      </c>
      <c r="F1285" s="46" t="s">
        <v>62</v>
      </c>
      <c r="G1285" s="46">
        <v>2</v>
      </c>
      <c r="H1285" s="47" t="s">
        <v>83</v>
      </c>
      <c r="I1285" s="47" t="s">
        <v>127</v>
      </c>
      <c r="J1285" s="48">
        <v>2</v>
      </c>
      <c r="K1285" s="48">
        <v>0</v>
      </c>
      <c r="R1285" s="46">
        <f t="shared" si="135"/>
        <v>0</v>
      </c>
      <c r="S1285" s="46">
        <f t="shared" si="136"/>
        <v>0</v>
      </c>
      <c r="T1285" s="46">
        <f t="shared" si="134"/>
        <v>40</v>
      </c>
      <c r="U1285" s="46">
        <f t="shared" si="137"/>
        <v>40</v>
      </c>
      <c r="V1285" s="54">
        <f t="shared" si="138"/>
        <v>16.041666666666668</v>
      </c>
    </row>
    <row r="1286" spans="1:22" x14ac:dyDescent="0.2">
      <c r="A1286" s="46" t="s">
        <v>214</v>
      </c>
      <c r="B1286" s="46" t="s">
        <v>49</v>
      </c>
      <c r="C1286" s="46" t="s">
        <v>93</v>
      </c>
      <c r="D1286" s="46" t="s">
        <v>178</v>
      </c>
      <c r="E1286" s="46">
        <v>3</v>
      </c>
      <c r="F1286" s="46" t="s">
        <v>62</v>
      </c>
      <c r="G1286" s="46">
        <v>2</v>
      </c>
      <c r="H1286" s="47" t="s">
        <v>81</v>
      </c>
      <c r="I1286" s="47" t="s">
        <v>127</v>
      </c>
      <c r="J1286" s="48">
        <v>3</v>
      </c>
      <c r="K1286" s="48">
        <v>0</v>
      </c>
      <c r="R1286" s="46">
        <f t="shared" si="135"/>
        <v>0</v>
      </c>
      <c r="S1286" s="46">
        <f t="shared" si="136"/>
        <v>0</v>
      </c>
      <c r="T1286" s="46">
        <f t="shared" si="134"/>
        <v>60</v>
      </c>
      <c r="U1286" s="46">
        <f t="shared" si="137"/>
        <v>60</v>
      </c>
      <c r="V1286" s="54">
        <f t="shared" si="138"/>
        <v>16.041666666666668</v>
      </c>
    </row>
    <row r="1287" spans="1:22" x14ac:dyDescent="0.2">
      <c r="A1287" s="46" t="s">
        <v>214</v>
      </c>
      <c r="B1287" s="46" t="s">
        <v>49</v>
      </c>
      <c r="C1287" s="46" t="s">
        <v>93</v>
      </c>
      <c r="D1287" s="46" t="s">
        <v>178</v>
      </c>
      <c r="E1287" s="46">
        <v>4</v>
      </c>
      <c r="F1287" s="46" t="s">
        <v>62</v>
      </c>
      <c r="G1287" s="46">
        <v>3</v>
      </c>
      <c r="H1287" s="47" t="s">
        <v>64</v>
      </c>
      <c r="I1287" s="47" t="s">
        <v>219</v>
      </c>
      <c r="J1287" s="48">
        <v>3</v>
      </c>
      <c r="K1287" s="48">
        <v>0</v>
      </c>
      <c r="R1287" s="46">
        <f t="shared" si="135"/>
        <v>0</v>
      </c>
      <c r="S1287" s="46">
        <f t="shared" si="136"/>
        <v>0</v>
      </c>
      <c r="T1287" s="46">
        <f t="shared" si="134"/>
        <v>60</v>
      </c>
      <c r="U1287" s="46">
        <f t="shared" si="137"/>
        <v>60</v>
      </c>
      <c r="V1287" s="54">
        <f t="shared" si="138"/>
        <v>16.041666666666668</v>
      </c>
    </row>
    <row r="1288" spans="1:22" x14ac:dyDescent="0.2">
      <c r="A1288" s="46" t="s">
        <v>214</v>
      </c>
      <c r="B1288" s="46" t="s">
        <v>49</v>
      </c>
      <c r="C1288" s="46" t="s">
        <v>93</v>
      </c>
      <c r="D1288" s="46" t="s">
        <v>178</v>
      </c>
      <c r="E1288" s="46">
        <v>5</v>
      </c>
      <c r="F1288" s="46" t="s">
        <v>60</v>
      </c>
      <c r="G1288" s="46">
        <v>3</v>
      </c>
      <c r="H1288" s="47">
        <v>7</v>
      </c>
      <c r="I1288" s="47" t="s">
        <v>159</v>
      </c>
      <c r="J1288" s="48">
        <v>0</v>
      </c>
      <c r="K1288" s="48">
        <v>0</v>
      </c>
      <c r="R1288" s="46">
        <f t="shared" si="135"/>
        <v>0</v>
      </c>
      <c r="S1288" s="46">
        <f t="shared" si="136"/>
        <v>0</v>
      </c>
      <c r="T1288" s="46">
        <f t="shared" si="134"/>
        <v>0</v>
      </c>
      <c r="U1288" s="46">
        <f t="shared" si="137"/>
        <v>0</v>
      </c>
      <c r="V1288" s="54">
        <f t="shared" si="138"/>
        <v>16.041666666666668</v>
      </c>
    </row>
    <row r="1289" spans="1:22" x14ac:dyDescent="0.2">
      <c r="A1289" s="46" t="s">
        <v>214</v>
      </c>
      <c r="B1289" s="46" t="s">
        <v>49</v>
      </c>
      <c r="C1289" s="46" t="s">
        <v>93</v>
      </c>
      <c r="D1289" s="46" t="s">
        <v>178</v>
      </c>
      <c r="E1289" s="46">
        <v>5</v>
      </c>
      <c r="F1289" s="46" t="s">
        <v>60</v>
      </c>
      <c r="G1289" s="46">
        <v>4</v>
      </c>
      <c r="H1289" s="47">
        <v>20</v>
      </c>
      <c r="I1289" s="47" t="s">
        <v>102</v>
      </c>
      <c r="J1289" s="48">
        <v>0</v>
      </c>
      <c r="K1289" s="48">
        <v>0</v>
      </c>
      <c r="R1289" s="46">
        <f t="shared" si="135"/>
        <v>0</v>
      </c>
      <c r="S1289" s="46">
        <f t="shared" si="136"/>
        <v>0</v>
      </c>
      <c r="T1289" s="46">
        <f t="shared" si="134"/>
        <v>0</v>
      </c>
      <c r="U1289" s="46">
        <f t="shared" si="137"/>
        <v>0</v>
      </c>
      <c r="V1289" s="54">
        <f t="shared" si="138"/>
        <v>16.041666666666668</v>
      </c>
    </row>
    <row r="1290" spans="1:22" x14ac:dyDescent="0.2">
      <c r="A1290" s="46" t="s">
        <v>214</v>
      </c>
      <c r="B1290" s="46" t="s">
        <v>49</v>
      </c>
      <c r="C1290" s="46" t="s">
        <v>93</v>
      </c>
      <c r="D1290" s="46" t="s">
        <v>178</v>
      </c>
      <c r="E1290" s="46">
        <v>5</v>
      </c>
      <c r="F1290" s="46" t="s">
        <v>60</v>
      </c>
      <c r="G1290" s="46">
        <v>2</v>
      </c>
      <c r="H1290" s="47">
        <v>22</v>
      </c>
      <c r="I1290" s="47" t="s">
        <v>127</v>
      </c>
      <c r="J1290" s="48">
        <v>0</v>
      </c>
      <c r="K1290" s="48">
        <v>0</v>
      </c>
      <c r="R1290" s="46">
        <f t="shared" si="135"/>
        <v>0</v>
      </c>
      <c r="S1290" s="46">
        <f t="shared" si="136"/>
        <v>0</v>
      </c>
      <c r="T1290" s="46">
        <f t="shared" si="134"/>
        <v>0</v>
      </c>
      <c r="U1290" s="46">
        <f t="shared" si="137"/>
        <v>0</v>
      </c>
      <c r="V1290" s="54">
        <f t="shared" si="138"/>
        <v>16.041666666666668</v>
      </c>
    </row>
    <row r="1291" spans="1:22" x14ac:dyDescent="0.2">
      <c r="A1291" s="46" t="s">
        <v>214</v>
      </c>
      <c r="B1291" s="46" t="s">
        <v>49</v>
      </c>
      <c r="C1291" s="46" t="s">
        <v>93</v>
      </c>
      <c r="D1291" s="46" t="s">
        <v>178</v>
      </c>
      <c r="E1291" s="46">
        <v>5</v>
      </c>
      <c r="F1291" s="46" t="s">
        <v>60</v>
      </c>
      <c r="G1291" s="46">
        <v>2</v>
      </c>
      <c r="H1291" s="47">
        <v>30</v>
      </c>
      <c r="I1291" s="47" t="s">
        <v>127</v>
      </c>
      <c r="J1291" s="48">
        <v>0</v>
      </c>
      <c r="K1291" s="48">
        <v>0</v>
      </c>
      <c r="R1291" s="46">
        <f t="shared" si="135"/>
        <v>0</v>
      </c>
      <c r="S1291" s="46">
        <f t="shared" si="136"/>
        <v>0</v>
      </c>
      <c r="T1291" s="46">
        <f t="shared" si="134"/>
        <v>0</v>
      </c>
      <c r="U1291" s="46">
        <f t="shared" si="137"/>
        <v>0</v>
      </c>
      <c r="V1291" s="54">
        <f t="shared" si="138"/>
        <v>16.041666666666668</v>
      </c>
    </row>
    <row r="1292" spans="1:22" x14ac:dyDescent="0.2">
      <c r="A1292" s="46" t="s">
        <v>214</v>
      </c>
      <c r="B1292" s="46" t="s">
        <v>49</v>
      </c>
      <c r="C1292" s="46" t="s">
        <v>93</v>
      </c>
      <c r="D1292" s="46" t="s">
        <v>178</v>
      </c>
      <c r="E1292" s="46">
        <v>5</v>
      </c>
      <c r="F1292" s="46" t="s">
        <v>60</v>
      </c>
      <c r="G1292" s="46">
        <v>1</v>
      </c>
      <c r="H1292" s="47">
        <v>37</v>
      </c>
      <c r="I1292" s="47" t="s">
        <v>101</v>
      </c>
      <c r="J1292" s="48">
        <v>1</v>
      </c>
      <c r="K1292" s="48">
        <v>1</v>
      </c>
      <c r="R1292" s="46">
        <f t="shared" si="135"/>
        <v>0</v>
      </c>
      <c r="S1292" s="46">
        <f t="shared" si="136"/>
        <v>0</v>
      </c>
      <c r="T1292" s="46">
        <f t="shared" si="134"/>
        <v>20</v>
      </c>
      <c r="U1292" s="46">
        <f t="shared" si="137"/>
        <v>20</v>
      </c>
      <c r="V1292" s="54">
        <f t="shared" si="138"/>
        <v>16.041666666666668</v>
      </c>
    </row>
    <row r="1293" spans="1:22" x14ac:dyDescent="0.2">
      <c r="A1293" s="46" t="s">
        <v>214</v>
      </c>
      <c r="B1293" s="46" t="s">
        <v>49</v>
      </c>
      <c r="C1293" s="46" t="s">
        <v>93</v>
      </c>
      <c r="D1293" s="46" t="s">
        <v>178</v>
      </c>
      <c r="E1293" s="46">
        <v>5</v>
      </c>
      <c r="F1293" s="46" t="s">
        <v>60</v>
      </c>
      <c r="G1293" s="46">
        <v>1</v>
      </c>
      <c r="H1293" s="47">
        <v>45</v>
      </c>
      <c r="I1293" s="47" t="s">
        <v>101</v>
      </c>
      <c r="J1293" s="48">
        <v>0</v>
      </c>
      <c r="K1293" s="48">
        <v>0</v>
      </c>
      <c r="R1293" s="46">
        <f t="shared" si="135"/>
        <v>0</v>
      </c>
      <c r="S1293" s="46">
        <f t="shared" si="136"/>
        <v>0</v>
      </c>
      <c r="T1293" s="46">
        <f t="shared" si="134"/>
        <v>0</v>
      </c>
      <c r="U1293" s="46">
        <f t="shared" si="137"/>
        <v>0</v>
      </c>
      <c r="V1293" s="54">
        <f t="shared" si="138"/>
        <v>16.041666666666668</v>
      </c>
    </row>
    <row r="1294" spans="1:22" x14ac:dyDescent="0.2">
      <c r="A1294" s="46" t="s">
        <v>214</v>
      </c>
      <c r="B1294" s="46" t="s">
        <v>49</v>
      </c>
      <c r="C1294" s="46" t="s">
        <v>93</v>
      </c>
      <c r="D1294" s="46" t="s">
        <v>178</v>
      </c>
      <c r="E1294" s="46">
        <v>5</v>
      </c>
      <c r="F1294" s="46" t="s">
        <v>62</v>
      </c>
      <c r="G1294" s="46">
        <v>2</v>
      </c>
      <c r="H1294" s="47" t="s">
        <v>79</v>
      </c>
      <c r="I1294" s="47" t="s">
        <v>127</v>
      </c>
      <c r="J1294" s="48">
        <v>1</v>
      </c>
      <c r="K1294" s="48">
        <v>0</v>
      </c>
      <c r="R1294" s="46">
        <f t="shared" si="135"/>
        <v>0</v>
      </c>
      <c r="S1294" s="46">
        <f t="shared" si="136"/>
        <v>0</v>
      </c>
      <c r="T1294" s="46">
        <f t="shared" si="134"/>
        <v>20</v>
      </c>
      <c r="U1294" s="46">
        <f t="shared" si="137"/>
        <v>20</v>
      </c>
      <c r="V1294" s="54">
        <f t="shared" si="138"/>
        <v>16.041666666666668</v>
      </c>
    </row>
    <row r="1295" spans="1:22" x14ac:dyDescent="0.2">
      <c r="A1295" s="46" t="s">
        <v>214</v>
      </c>
      <c r="B1295" s="46" t="s">
        <v>49</v>
      </c>
      <c r="C1295" s="46" t="s">
        <v>93</v>
      </c>
      <c r="D1295" s="46" t="s">
        <v>178</v>
      </c>
      <c r="E1295" s="46">
        <v>5</v>
      </c>
      <c r="F1295" s="46" t="s">
        <v>62</v>
      </c>
      <c r="G1295" s="46">
        <v>2</v>
      </c>
      <c r="H1295" s="47" t="s">
        <v>82</v>
      </c>
      <c r="I1295" s="47" t="s">
        <v>127</v>
      </c>
      <c r="J1295" s="48">
        <v>0</v>
      </c>
      <c r="K1295" s="48">
        <v>0</v>
      </c>
      <c r="R1295" s="46">
        <f t="shared" si="135"/>
        <v>0</v>
      </c>
      <c r="S1295" s="46">
        <f t="shared" si="136"/>
        <v>0</v>
      </c>
      <c r="T1295" s="46">
        <f t="shared" si="134"/>
        <v>0</v>
      </c>
      <c r="U1295" s="46">
        <f t="shared" si="137"/>
        <v>0</v>
      </c>
      <c r="V1295" s="54">
        <f t="shared" si="138"/>
        <v>16.041666666666668</v>
      </c>
    </row>
    <row r="1296" spans="1:22" x14ac:dyDescent="0.2">
      <c r="A1296" s="46" t="s">
        <v>214</v>
      </c>
      <c r="B1296" s="46" t="s">
        <v>49</v>
      </c>
      <c r="C1296" s="46" t="s">
        <v>93</v>
      </c>
      <c r="D1296" s="46" t="s">
        <v>178</v>
      </c>
      <c r="E1296" s="46">
        <v>5</v>
      </c>
      <c r="F1296" s="46" t="s">
        <v>62</v>
      </c>
      <c r="G1296" s="46">
        <v>2</v>
      </c>
      <c r="H1296" s="47" t="s">
        <v>86</v>
      </c>
      <c r="I1296" s="47" t="s">
        <v>127</v>
      </c>
      <c r="J1296" s="48">
        <v>0</v>
      </c>
      <c r="K1296" s="48">
        <v>0</v>
      </c>
      <c r="R1296" s="46">
        <f t="shared" si="135"/>
        <v>0</v>
      </c>
      <c r="S1296" s="46">
        <f t="shared" si="136"/>
        <v>0</v>
      </c>
      <c r="T1296" s="46">
        <f t="shared" si="134"/>
        <v>0</v>
      </c>
      <c r="U1296" s="46">
        <f t="shared" si="137"/>
        <v>0</v>
      </c>
      <c r="V1296" s="54">
        <f t="shared" si="138"/>
        <v>16.041666666666668</v>
      </c>
    </row>
    <row r="1297" spans="1:22" x14ac:dyDescent="0.2">
      <c r="A1297" s="46" t="s">
        <v>214</v>
      </c>
      <c r="B1297" s="46" t="s">
        <v>49</v>
      </c>
      <c r="C1297" s="46" t="str">
        <f>VLOOKUP(B1297,$B$2:$C$3219,2,FALSE)</f>
        <v>Lighthouse</v>
      </c>
      <c r="D1297" s="46" t="s">
        <v>178</v>
      </c>
      <c r="E1297" s="46">
        <v>5</v>
      </c>
      <c r="F1297" s="46" t="s">
        <v>62</v>
      </c>
      <c r="G1297" s="46">
        <v>3</v>
      </c>
      <c r="H1297" s="47" t="s">
        <v>83</v>
      </c>
      <c r="I1297" s="47" t="s">
        <v>219</v>
      </c>
      <c r="J1297" s="48">
        <v>0</v>
      </c>
      <c r="K1297" s="48">
        <v>0</v>
      </c>
      <c r="N1297" s="48">
        <v>1</v>
      </c>
      <c r="R1297" s="46">
        <f t="shared" si="135"/>
        <v>0</v>
      </c>
      <c r="S1297" s="46">
        <f t="shared" si="136"/>
        <v>0</v>
      </c>
      <c r="U1297" s="46">
        <f t="shared" si="137"/>
        <v>-5</v>
      </c>
      <c r="V1297" s="54">
        <f t="shared" si="138"/>
        <v>16.041666666666668</v>
      </c>
    </row>
    <row r="1298" spans="1:22" x14ac:dyDescent="0.2">
      <c r="A1298" s="46" t="s">
        <v>32</v>
      </c>
      <c r="B1298" s="46" t="s">
        <v>55</v>
      </c>
      <c r="C1298" s="46" t="s">
        <v>90</v>
      </c>
      <c r="D1298" s="46" t="s">
        <v>178</v>
      </c>
      <c r="E1298" s="46">
        <v>4</v>
      </c>
      <c r="F1298" s="46" t="s">
        <v>60</v>
      </c>
      <c r="G1298" s="46">
        <v>4</v>
      </c>
      <c r="H1298" s="47">
        <v>16</v>
      </c>
      <c r="I1298" s="47" t="s">
        <v>102</v>
      </c>
      <c r="J1298" s="48">
        <v>0</v>
      </c>
      <c r="K1298" s="48">
        <v>2</v>
      </c>
      <c r="R1298" s="46">
        <f t="shared" si="135"/>
        <v>0</v>
      </c>
      <c r="S1298" s="46">
        <f t="shared" si="136"/>
        <v>0</v>
      </c>
      <c r="T1298" s="46">
        <f t="shared" ref="T1298:T1329" si="139">quizscore(J1298,K1298)</f>
        <v>-10</v>
      </c>
      <c r="U1298" s="46">
        <f t="shared" si="137"/>
        <v>-10</v>
      </c>
      <c r="V1298" s="54">
        <f t="shared" si="138"/>
        <v>56.166666666666664</v>
      </c>
    </row>
    <row r="1299" spans="1:22" x14ac:dyDescent="0.2">
      <c r="A1299" s="46" t="s">
        <v>32</v>
      </c>
      <c r="B1299" s="46" t="s">
        <v>55</v>
      </c>
      <c r="C1299" s="46" t="s">
        <v>90</v>
      </c>
      <c r="D1299" s="46" t="s">
        <v>178</v>
      </c>
      <c r="E1299" s="46">
        <v>3</v>
      </c>
      <c r="F1299" s="46" t="s">
        <v>61</v>
      </c>
      <c r="G1299" s="46">
        <v>1</v>
      </c>
      <c r="H1299" s="47" t="s">
        <v>67</v>
      </c>
      <c r="I1299" s="47" t="s">
        <v>101</v>
      </c>
      <c r="J1299" s="48">
        <v>0</v>
      </c>
      <c r="K1299" s="48">
        <v>2</v>
      </c>
      <c r="M1299" s="48">
        <v>1</v>
      </c>
      <c r="R1299" s="46">
        <f t="shared" si="135"/>
        <v>0</v>
      </c>
      <c r="S1299" s="46">
        <f t="shared" si="136"/>
        <v>0</v>
      </c>
      <c r="T1299" s="46">
        <f t="shared" si="139"/>
        <v>-10</v>
      </c>
      <c r="U1299" s="46">
        <f t="shared" si="137"/>
        <v>10</v>
      </c>
      <c r="V1299" s="54">
        <f t="shared" si="138"/>
        <v>56.166666666666664</v>
      </c>
    </row>
    <row r="1300" spans="1:22" x14ac:dyDescent="0.2">
      <c r="A1300" s="46" t="s">
        <v>32</v>
      </c>
      <c r="B1300" s="46" t="s">
        <v>55</v>
      </c>
      <c r="C1300" s="46" t="s">
        <v>90</v>
      </c>
      <c r="D1300" s="46" t="s">
        <v>178</v>
      </c>
      <c r="E1300" s="46">
        <v>4</v>
      </c>
      <c r="F1300" s="46" t="s">
        <v>60</v>
      </c>
      <c r="G1300" s="46">
        <v>2</v>
      </c>
      <c r="H1300" s="47">
        <v>42</v>
      </c>
      <c r="I1300" s="47" t="s">
        <v>127</v>
      </c>
      <c r="J1300" s="48">
        <v>0</v>
      </c>
      <c r="K1300" s="48">
        <v>1</v>
      </c>
      <c r="R1300" s="46">
        <f t="shared" si="135"/>
        <v>0</v>
      </c>
      <c r="S1300" s="46">
        <f t="shared" si="136"/>
        <v>0</v>
      </c>
      <c r="T1300" s="46">
        <f t="shared" si="139"/>
        <v>0</v>
      </c>
      <c r="U1300" s="46">
        <f t="shared" si="137"/>
        <v>0</v>
      </c>
      <c r="V1300" s="54">
        <f t="shared" si="138"/>
        <v>56.166666666666664</v>
      </c>
    </row>
    <row r="1301" spans="1:22" x14ac:dyDescent="0.2">
      <c r="A1301" s="46" t="s">
        <v>32</v>
      </c>
      <c r="B1301" s="46" t="s">
        <v>55</v>
      </c>
      <c r="C1301" s="46" t="s">
        <v>90</v>
      </c>
      <c r="D1301" s="46" t="s">
        <v>178</v>
      </c>
      <c r="E1301" s="46">
        <v>4</v>
      </c>
      <c r="F1301" s="46" t="s">
        <v>61</v>
      </c>
      <c r="G1301" s="46">
        <v>1</v>
      </c>
      <c r="H1301" s="47" t="s">
        <v>67</v>
      </c>
      <c r="I1301" s="47" t="s">
        <v>101</v>
      </c>
      <c r="J1301" s="48">
        <v>0</v>
      </c>
      <c r="K1301" s="48">
        <v>1</v>
      </c>
      <c r="R1301" s="46">
        <f t="shared" si="135"/>
        <v>0</v>
      </c>
      <c r="S1301" s="46">
        <f t="shared" si="136"/>
        <v>0</v>
      </c>
      <c r="T1301" s="46">
        <f t="shared" si="139"/>
        <v>0</v>
      </c>
      <c r="U1301" s="46">
        <f t="shared" si="137"/>
        <v>0</v>
      </c>
      <c r="V1301" s="54">
        <f t="shared" si="138"/>
        <v>56.166666666666664</v>
      </c>
    </row>
    <row r="1302" spans="1:22" x14ac:dyDescent="0.2">
      <c r="A1302" s="46" t="s">
        <v>32</v>
      </c>
      <c r="B1302" s="46" t="s">
        <v>55</v>
      </c>
      <c r="C1302" s="46" t="s">
        <v>90</v>
      </c>
      <c r="D1302" s="46" t="s">
        <v>178</v>
      </c>
      <c r="E1302" s="46">
        <v>2</v>
      </c>
      <c r="F1302" s="46" t="s">
        <v>61</v>
      </c>
      <c r="G1302" s="46">
        <v>1</v>
      </c>
      <c r="H1302" s="47" t="s">
        <v>70</v>
      </c>
      <c r="I1302" s="47" t="s">
        <v>101</v>
      </c>
      <c r="J1302" s="48">
        <v>0</v>
      </c>
      <c r="K1302" s="48">
        <v>0</v>
      </c>
      <c r="R1302" s="46">
        <f t="shared" si="135"/>
        <v>0</v>
      </c>
      <c r="S1302" s="46">
        <f t="shared" si="136"/>
        <v>0</v>
      </c>
      <c r="T1302" s="46">
        <f t="shared" si="139"/>
        <v>0</v>
      </c>
      <c r="U1302" s="46">
        <f t="shared" si="137"/>
        <v>0</v>
      </c>
      <c r="V1302" s="54">
        <f t="shared" si="138"/>
        <v>56.166666666666664</v>
      </c>
    </row>
    <row r="1303" spans="1:22" x14ac:dyDescent="0.2">
      <c r="A1303" s="46" t="s">
        <v>32</v>
      </c>
      <c r="B1303" s="46" t="s">
        <v>55</v>
      </c>
      <c r="C1303" s="46" t="s">
        <v>90</v>
      </c>
      <c r="D1303" s="46" t="s">
        <v>178</v>
      </c>
      <c r="E1303" s="46">
        <v>4</v>
      </c>
      <c r="F1303" s="46" t="s">
        <v>61</v>
      </c>
      <c r="G1303" s="46">
        <v>2</v>
      </c>
      <c r="H1303" s="47" t="s">
        <v>66</v>
      </c>
      <c r="I1303" s="47" t="s">
        <v>127</v>
      </c>
      <c r="J1303" s="48">
        <v>1</v>
      </c>
      <c r="K1303" s="48">
        <v>2</v>
      </c>
      <c r="R1303" s="46">
        <f t="shared" si="135"/>
        <v>0</v>
      </c>
      <c r="S1303" s="46">
        <f t="shared" si="136"/>
        <v>0</v>
      </c>
      <c r="T1303" s="46">
        <f t="shared" si="139"/>
        <v>10</v>
      </c>
      <c r="U1303" s="46">
        <f t="shared" si="137"/>
        <v>10</v>
      </c>
      <c r="V1303" s="54">
        <f t="shared" si="138"/>
        <v>56.166666666666664</v>
      </c>
    </row>
    <row r="1304" spans="1:22" x14ac:dyDescent="0.2">
      <c r="A1304" s="46" t="s">
        <v>32</v>
      </c>
      <c r="B1304" s="46" t="s">
        <v>55</v>
      </c>
      <c r="C1304" s="46" t="s">
        <v>90</v>
      </c>
      <c r="D1304" s="46" t="s">
        <v>178</v>
      </c>
      <c r="E1304" s="46">
        <v>3</v>
      </c>
      <c r="F1304" s="46" t="s">
        <v>61</v>
      </c>
      <c r="G1304" s="46">
        <v>2</v>
      </c>
      <c r="H1304" s="47" t="s">
        <v>76</v>
      </c>
      <c r="I1304" s="47" t="s">
        <v>127</v>
      </c>
      <c r="J1304" s="48">
        <v>1</v>
      </c>
      <c r="K1304" s="48">
        <v>0</v>
      </c>
      <c r="R1304" s="46">
        <f t="shared" si="135"/>
        <v>0</v>
      </c>
      <c r="S1304" s="46">
        <f t="shared" si="136"/>
        <v>0</v>
      </c>
      <c r="T1304" s="46">
        <f t="shared" si="139"/>
        <v>20</v>
      </c>
      <c r="U1304" s="46">
        <f t="shared" si="137"/>
        <v>20</v>
      </c>
      <c r="V1304" s="54">
        <f t="shared" si="138"/>
        <v>56.166666666666664</v>
      </c>
    </row>
    <row r="1305" spans="1:22" x14ac:dyDescent="0.2">
      <c r="A1305" s="46" t="s">
        <v>32</v>
      </c>
      <c r="B1305" s="46" t="s">
        <v>55</v>
      </c>
      <c r="C1305" s="46" t="s">
        <v>90</v>
      </c>
      <c r="D1305" s="46" t="s">
        <v>178</v>
      </c>
      <c r="E1305" s="46">
        <v>4</v>
      </c>
      <c r="F1305" s="46" t="s">
        <v>61</v>
      </c>
      <c r="G1305" s="46">
        <v>1</v>
      </c>
      <c r="H1305" s="47" t="s">
        <v>71</v>
      </c>
      <c r="I1305" s="47" t="s">
        <v>101</v>
      </c>
      <c r="J1305" s="48">
        <v>1</v>
      </c>
      <c r="K1305" s="48">
        <v>1</v>
      </c>
      <c r="R1305" s="46">
        <f t="shared" si="135"/>
        <v>0</v>
      </c>
      <c r="S1305" s="46">
        <f t="shared" si="136"/>
        <v>0</v>
      </c>
      <c r="T1305" s="46">
        <f t="shared" si="139"/>
        <v>20</v>
      </c>
      <c r="U1305" s="46">
        <f t="shared" si="137"/>
        <v>20</v>
      </c>
      <c r="V1305" s="54">
        <f t="shared" si="138"/>
        <v>56.166666666666664</v>
      </c>
    </row>
    <row r="1306" spans="1:22" x14ac:dyDescent="0.2">
      <c r="A1306" s="46" t="s">
        <v>32</v>
      </c>
      <c r="B1306" s="46" t="s">
        <v>55</v>
      </c>
      <c r="C1306" s="46" t="s">
        <v>90</v>
      </c>
      <c r="D1306" s="46" t="s">
        <v>178</v>
      </c>
      <c r="E1306" s="46">
        <v>1</v>
      </c>
      <c r="F1306" s="46" t="s">
        <v>61</v>
      </c>
      <c r="G1306" s="46">
        <v>1</v>
      </c>
      <c r="H1306" s="47" t="s">
        <v>78</v>
      </c>
      <c r="I1306" s="47" t="s">
        <v>101</v>
      </c>
      <c r="J1306" s="48">
        <v>1</v>
      </c>
      <c r="K1306" s="48">
        <v>1</v>
      </c>
      <c r="O1306" s="48">
        <v>1</v>
      </c>
      <c r="R1306" s="46">
        <f t="shared" si="135"/>
        <v>0</v>
      </c>
      <c r="S1306" s="46">
        <f t="shared" si="136"/>
        <v>0</v>
      </c>
      <c r="T1306" s="46">
        <f t="shared" si="139"/>
        <v>20</v>
      </c>
      <c r="U1306" s="46">
        <f t="shared" si="137"/>
        <v>30</v>
      </c>
      <c r="V1306" s="54">
        <f t="shared" si="138"/>
        <v>56.166666666666664</v>
      </c>
    </row>
    <row r="1307" spans="1:22" x14ac:dyDescent="0.2">
      <c r="A1307" s="46" t="s">
        <v>32</v>
      </c>
      <c r="B1307" s="46" t="s">
        <v>55</v>
      </c>
      <c r="C1307" s="46" t="s">
        <v>90</v>
      </c>
      <c r="D1307" s="46" t="s">
        <v>178</v>
      </c>
      <c r="E1307" s="46">
        <v>1</v>
      </c>
      <c r="F1307" s="46" t="s">
        <v>61</v>
      </c>
      <c r="G1307" s="46">
        <v>1</v>
      </c>
      <c r="H1307" s="47" t="s">
        <v>78</v>
      </c>
      <c r="I1307" s="47" t="s">
        <v>101</v>
      </c>
      <c r="J1307" s="48">
        <v>1</v>
      </c>
      <c r="K1307" s="48">
        <v>0</v>
      </c>
      <c r="R1307" s="46">
        <f t="shared" si="135"/>
        <v>0</v>
      </c>
      <c r="S1307" s="46">
        <f t="shared" si="136"/>
        <v>0</v>
      </c>
      <c r="T1307" s="46">
        <f t="shared" si="139"/>
        <v>20</v>
      </c>
      <c r="U1307" s="46">
        <f t="shared" si="137"/>
        <v>20</v>
      </c>
      <c r="V1307" s="54">
        <f t="shared" si="138"/>
        <v>56.166666666666664</v>
      </c>
    </row>
    <row r="1308" spans="1:22" x14ac:dyDescent="0.2">
      <c r="A1308" s="46" t="s">
        <v>32</v>
      </c>
      <c r="B1308" s="46" t="s">
        <v>55</v>
      </c>
      <c r="C1308" s="46" t="s">
        <v>90</v>
      </c>
      <c r="D1308" s="46" t="s">
        <v>178</v>
      </c>
      <c r="E1308" s="46">
        <v>3</v>
      </c>
      <c r="F1308" s="46" t="s">
        <v>60</v>
      </c>
      <c r="G1308" s="46">
        <v>1</v>
      </c>
      <c r="H1308" s="47">
        <v>29</v>
      </c>
      <c r="I1308" s="47" t="s">
        <v>101</v>
      </c>
      <c r="J1308" s="48">
        <v>2</v>
      </c>
      <c r="K1308" s="48">
        <v>2</v>
      </c>
      <c r="R1308" s="46">
        <f t="shared" si="135"/>
        <v>0</v>
      </c>
      <c r="S1308" s="46">
        <f t="shared" si="136"/>
        <v>0</v>
      </c>
      <c r="T1308" s="46">
        <f t="shared" si="139"/>
        <v>30</v>
      </c>
      <c r="U1308" s="46">
        <f t="shared" si="137"/>
        <v>30</v>
      </c>
      <c r="V1308" s="54">
        <f t="shared" si="138"/>
        <v>56.166666666666664</v>
      </c>
    </row>
    <row r="1309" spans="1:22" x14ac:dyDescent="0.2">
      <c r="A1309" s="46" t="s">
        <v>32</v>
      </c>
      <c r="B1309" s="46" t="s">
        <v>55</v>
      </c>
      <c r="C1309" s="46" t="s">
        <v>90</v>
      </c>
      <c r="D1309" s="46" t="s">
        <v>178</v>
      </c>
      <c r="E1309" s="46">
        <v>1</v>
      </c>
      <c r="F1309" s="46" t="s">
        <v>61</v>
      </c>
      <c r="G1309" s="46">
        <v>1</v>
      </c>
      <c r="H1309" s="47" t="s">
        <v>70</v>
      </c>
      <c r="I1309" s="47" t="s">
        <v>101</v>
      </c>
      <c r="J1309" s="48">
        <v>2</v>
      </c>
      <c r="K1309" s="48">
        <v>2</v>
      </c>
      <c r="R1309" s="46">
        <f t="shared" si="135"/>
        <v>0</v>
      </c>
      <c r="S1309" s="46">
        <f t="shared" si="136"/>
        <v>0</v>
      </c>
      <c r="T1309" s="46">
        <f t="shared" si="139"/>
        <v>30</v>
      </c>
      <c r="U1309" s="46">
        <f t="shared" si="137"/>
        <v>30</v>
      </c>
      <c r="V1309" s="54">
        <f t="shared" si="138"/>
        <v>56.166666666666664</v>
      </c>
    </row>
    <row r="1310" spans="1:22" x14ac:dyDescent="0.2">
      <c r="A1310" s="46" t="s">
        <v>32</v>
      </c>
      <c r="B1310" s="46" t="s">
        <v>55</v>
      </c>
      <c r="C1310" s="46" t="s">
        <v>90</v>
      </c>
      <c r="D1310" s="46" t="s">
        <v>178</v>
      </c>
      <c r="E1310" s="46">
        <v>2</v>
      </c>
      <c r="F1310" s="46" t="s">
        <v>61</v>
      </c>
      <c r="G1310" s="46">
        <v>2</v>
      </c>
      <c r="H1310" s="47" t="s">
        <v>66</v>
      </c>
      <c r="I1310" s="47" t="s">
        <v>127</v>
      </c>
      <c r="J1310" s="48">
        <v>2</v>
      </c>
      <c r="K1310" s="48">
        <v>2</v>
      </c>
      <c r="R1310" s="46">
        <f t="shared" si="135"/>
        <v>0</v>
      </c>
      <c r="S1310" s="46">
        <f t="shared" si="136"/>
        <v>0</v>
      </c>
      <c r="T1310" s="46">
        <f t="shared" si="139"/>
        <v>30</v>
      </c>
      <c r="U1310" s="46">
        <f t="shared" si="137"/>
        <v>30</v>
      </c>
      <c r="V1310" s="54">
        <f t="shared" si="138"/>
        <v>56.166666666666664</v>
      </c>
    </row>
    <row r="1311" spans="1:22" x14ac:dyDescent="0.2">
      <c r="A1311" s="46" t="s">
        <v>32</v>
      </c>
      <c r="B1311" s="46" t="s">
        <v>55</v>
      </c>
      <c r="C1311" s="46" t="s">
        <v>90</v>
      </c>
      <c r="D1311" s="46" t="s">
        <v>178</v>
      </c>
      <c r="E1311" s="46">
        <v>1</v>
      </c>
      <c r="F1311" s="46" t="s">
        <v>61</v>
      </c>
      <c r="G1311" s="46">
        <v>1</v>
      </c>
      <c r="H1311" s="47" t="s">
        <v>78</v>
      </c>
      <c r="I1311" s="47" t="s">
        <v>101</v>
      </c>
      <c r="J1311" s="48">
        <v>2</v>
      </c>
      <c r="K1311" s="48">
        <v>2</v>
      </c>
      <c r="R1311" s="46">
        <f t="shared" si="135"/>
        <v>0</v>
      </c>
      <c r="S1311" s="46">
        <f t="shared" si="136"/>
        <v>0</v>
      </c>
      <c r="T1311" s="46">
        <f t="shared" si="139"/>
        <v>30</v>
      </c>
      <c r="U1311" s="46">
        <f t="shared" si="137"/>
        <v>30</v>
      </c>
      <c r="V1311" s="54">
        <f t="shared" si="138"/>
        <v>56.166666666666664</v>
      </c>
    </row>
    <row r="1312" spans="1:22" x14ac:dyDescent="0.2">
      <c r="A1312" s="46" t="s">
        <v>32</v>
      </c>
      <c r="B1312" s="46" t="s">
        <v>55</v>
      </c>
      <c r="C1312" s="46" t="s">
        <v>90</v>
      </c>
      <c r="D1312" s="46" t="s">
        <v>178</v>
      </c>
      <c r="E1312" s="46">
        <v>1</v>
      </c>
      <c r="F1312" s="46" t="s">
        <v>60</v>
      </c>
      <c r="G1312" s="46">
        <v>4</v>
      </c>
      <c r="H1312" s="47">
        <v>4</v>
      </c>
      <c r="I1312" s="47" t="s">
        <v>102</v>
      </c>
      <c r="J1312" s="48">
        <v>2</v>
      </c>
      <c r="K1312" s="48">
        <v>1</v>
      </c>
      <c r="O1312" s="48">
        <v>1</v>
      </c>
      <c r="R1312" s="46">
        <f t="shared" si="135"/>
        <v>0</v>
      </c>
      <c r="S1312" s="46">
        <f t="shared" si="136"/>
        <v>0</v>
      </c>
      <c r="T1312" s="46">
        <f t="shared" si="139"/>
        <v>40</v>
      </c>
      <c r="U1312" s="46">
        <f t="shared" si="137"/>
        <v>50</v>
      </c>
      <c r="V1312" s="54">
        <f t="shared" si="138"/>
        <v>56.166666666666664</v>
      </c>
    </row>
    <row r="1313" spans="1:22" x14ac:dyDescent="0.2">
      <c r="A1313" s="46" t="s">
        <v>32</v>
      </c>
      <c r="B1313" s="46" t="s">
        <v>55</v>
      </c>
      <c r="C1313" s="46" t="s">
        <v>90</v>
      </c>
      <c r="D1313" s="46" t="s">
        <v>178</v>
      </c>
      <c r="E1313" s="46">
        <v>3</v>
      </c>
      <c r="F1313" s="46" t="s">
        <v>60</v>
      </c>
      <c r="G1313" s="46">
        <v>1</v>
      </c>
      <c r="H1313" s="47">
        <v>5</v>
      </c>
      <c r="I1313" s="47" t="s">
        <v>101</v>
      </c>
      <c r="J1313" s="48">
        <v>3</v>
      </c>
      <c r="K1313" s="48">
        <v>3</v>
      </c>
      <c r="R1313" s="46">
        <f t="shared" si="135"/>
        <v>0</v>
      </c>
      <c r="S1313" s="46">
        <f t="shared" si="136"/>
        <v>1</v>
      </c>
      <c r="T1313" s="46">
        <f t="shared" si="139"/>
        <v>40</v>
      </c>
      <c r="U1313" s="46">
        <f t="shared" si="137"/>
        <v>40</v>
      </c>
      <c r="V1313" s="54">
        <f t="shared" si="138"/>
        <v>56.166666666666664</v>
      </c>
    </row>
    <row r="1314" spans="1:22" x14ac:dyDescent="0.2">
      <c r="A1314" s="46" t="s">
        <v>32</v>
      </c>
      <c r="B1314" s="46" t="s">
        <v>55</v>
      </c>
      <c r="C1314" s="46" t="s">
        <v>90</v>
      </c>
      <c r="D1314" s="46" t="s">
        <v>178</v>
      </c>
      <c r="E1314" s="46">
        <v>3</v>
      </c>
      <c r="F1314" s="46" t="s">
        <v>60</v>
      </c>
      <c r="G1314" s="46">
        <v>3</v>
      </c>
      <c r="H1314" s="47">
        <v>39</v>
      </c>
      <c r="I1314" s="47" t="s">
        <v>116</v>
      </c>
      <c r="J1314" s="48">
        <v>2</v>
      </c>
      <c r="K1314" s="48">
        <v>0</v>
      </c>
      <c r="R1314" s="46">
        <f t="shared" si="135"/>
        <v>0</v>
      </c>
      <c r="S1314" s="46">
        <f t="shared" si="136"/>
        <v>0</v>
      </c>
      <c r="T1314" s="46">
        <f t="shared" si="139"/>
        <v>40</v>
      </c>
      <c r="U1314" s="46">
        <f t="shared" si="137"/>
        <v>40</v>
      </c>
      <c r="V1314" s="54">
        <f t="shared" si="138"/>
        <v>56.166666666666664</v>
      </c>
    </row>
    <row r="1315" spans="1:22" x14ac:dyDescent="0.2">
      <c r="A1315" s="46" t="s">
        <v>32</v>
      </c>
      <c r="B1315" s="46" t="s">
        <v>55</v>
      </c>
      <c r="C1315" s="46" t="s">
        <v>90</v>
      </c>
      <c r="D1315" s="46" t="s">
        <v>178</v>
      </c>
      <c r="E1315" s="46">
        <v>2</v>
      </c>
      <c r="F1315" s="46" t="s">
        <v>60</v>
      </c>
      <c r="G1315" s="46">
        <v>1</v>
      </c>
      <c r="H1315" s="47">
        <v>45</v>
      </c>
      <c r="I1315" s="47" t="s">
        <v>101</v>
      </c>
      <c r="J1315" s="48">
        <v>3</v>
      </c>
      <c r="K1315" s="48">
        <v>3</v>
      </c>
      <c r="R1315" s="46">
        <f t="shared" si="135"/>
        <v>0</v>
      </c>
      <c r="S1315" s="46">
        <f t="shared" si="136"/>
        <v>1</v>
      </c>
      <c r="T1315" s="46">
        <f t="shared" si="139"/>
        <v>40</v>
      </c>
      <c r="U1315" s="46">
        <f t="shared" si="137"/>
        <v>40</v>
      </c>
      <c r="V1315" s="54">
        <f t="shared" si="138"/>
        <v>56.166666666666664</v>
      </c>
    </row>
    <row r="1316" spans="1:22" x14ac:dyDescent="0.2">
      <c r="A1316" s="46" t="s">
        <v>32</v>
      </c>
      <c r="B1316" s="46" t="s">
        <v>55</v>
      </c>
      <c r="C1316" s="46" t="s">
        <v>90</v>
      </c>
      <c r="D1316" s="46" t="s">
        <v>178</v>
      </c>
      <c r="E1316" s="46">
        <v>3</v>
      </c>
      <c r="F1316" s="46" t="s">
        <v>60</v>
      </c>
      <c r="G1316" s="46">
        <v>2</v>
      </c>
      <c r="H1316" s="47">
        <v>46</v>
      </c>
      <c r="I1316" s="47" t="s">
        <v>127</v>
      </c>
      <c r="J1316" s="48">
        <v>3</v>
      </c>
      <c r="K1316" s="48">
        <v>3</v>
      </c>
      <c r="R1316" s="46">
        <f t="shared" si="135"/>
        <v>0</v>
      </c>
      <c r="S1316" s="46">
        <f t="shared" si="136"/>
        <v>1</v>
      </c>
      <c r="T1316" s="46">
        <f t="shared" si="139"/>
        <v>40</v>
      </c>
      <c r="U1316" s="46">
        <f t="shared" si="137"/>
        <v>40</v>
      </c>
      <c r="V1316" s="54">
        <f t="shared" si="138"/>
        <v>56.166666666666664</v>
      </c>
    </row>
    <row r="1317" spans="1:22" x14ac:dyDescent="0.2">
      <c r="A1317" s="46" t="s">
        <v>32</v>
      </c>
      <c r="B1317" s="46" t="s">
        <v>55</v>
      </c>
      <c r="C1317" s="46" t="s">
        <v>90</v>
      </c>
      <c r="D1317" s="46" t="s">
        <v>178</v>
      </c>
      <c r="E1317" s="46">
        <v>4</v>
      </c>
      <c r="F1317" s="46" t="s">
        <v>61</v>
      </c>
      <c r="G1317" s="46">
        <v>2</v>
      </c>
      <c r="H1317" s="47" t="s">
        <v>76</v>
      </c>
      <c r="I1317" s="47" t="s">
        <v>127</v>
      </c>
      <c r="J1317" s="48">
        <v>2</v>
      </c>
      <c r="K1317" s="48">
        <v>0</v>
      </c>
      <c r="R1317" s="46">
        <f t="shared" si="135"/>
        <v>0</v>
      </c>
      <c r="S1317" s="46">
        <f t="shared" si="136"/>
        <v>0</v>
      </c>
      <c r="T1317" s="46">
        <f t="shared" si="139"/>
        <v>40</v>
      </c>
      <c r="U1317" s="46">
        <f t="shared" si="137"/>
        <v>40</v>
      </c>
      <c r="V1317" s="54">
        <f t="shared" si="138"/>
        <v>56.166666666666664</v>
      </c>
    </row>
    <row r="1318" spans="1:22" x14ac:dyDescent="0.2">
      <c r="A1318" s="46" t="s">
        <v>32</v>
      </c>
      <c r="B1318" s="46" t="s">
        <v>55</v>
      </c>
      <c r="C1318" s="46" t="s">
        <v>90</v>
      </c>
      <c r="D1318" s="46" t="s">
        <v>178</v>
      </c>
      <c r="E1318" s="46">
        <v>1</v>
      </c>
      <c r="F1318" s="46" t="s">
        <v>61</v>
      </c>
      <c r="G1318" s="46">
        <v>1</v>
      </c>
      <c r="H1318" s="47" t="s">
        <v>78</v>
      </c>
      <c r="I1318" s="47" t="s">
        <v>101</v>
      </c>
      <c r="J1318" s="48">
        <v>2</v>
      </c>
      <c r="K1318" s="48">
        <v>1</v>
      </c>
      <c r="R1318" s="46">
        <f t="shared" si="135"/>
        <v>0</v>
      </c>
      <c r="S1318" s="46">
        <f t="shared" si="136"/>
        <v>0</v>
      </c>
      <c r="T1318" s="46">
        <f t="shared" si="139"/>
        <v>40</v>
      </c>
      <c r="U1318" s="46">
        <f t="shared" si="137"/>
        <v>40</v>
      </c>
      <c r="V1318" s="54">
        <f t="shared" si="138"/>
        <v>56.166666666666664</v>
      </c>
    </row>
    <row r="1319" spans="1:22" x14ac:dyDescent="0.2">
      <c r="A1319" s="46" t="s">
        <v>32</v>
      </c>
      <c r="B1319" s="46" t="s">
        <v>55</v>
      </c>
      <c r="C1319" s="46" t="s">
        <v>90</v>
      </c>
      <c r="D1319" s="46" t="s">
        <v>178</v>
      </c>
      <c r="E1319" s="46">
        <v>1</v>
      </c>
      <c r="F1319" s="46" t="s">
        <v>60</v>
      </c>
      <c r="G1319" s="46">
        <v>3</v>
      </c>
      <c r="H1319" s="47">
        <v>15</v>
      </c>
      <c r="I1319" s="47" t="s">
        <v>116</v>
      </c>
      <c r="J1319" s="48">
        <v>3</v>
      </c>
      <c r="K1319" s="48">
        <v>2</v>
      </c>
      <c r="R1319" s="46">
        <f t="shared" si="135"/>
        <v>0</v>
      </c>
      <c r="S1319" s="46">
        <f t="shared" si="136"/>
        <v>0</v>
      </c>
      <c r="T1319" s="46">
        <f t="shared" si="139"/>
        <v>50</v>
      </c>
      <c r="U1319" s="46">
        <f t="shared" si="137"/>
        <v>50</v>
      </c>
      <c r="V1319" s="54">
        <f t="shared" si="138"/>
        <v>56.166666666666664</v>
      </c>
    </row>
    <row r="1320" spans="1:22" x14ac:dyDescent="0.2">
      <c r="A1320" s="46" t="s">
        <v>32</v>
      </c>
      <c r="B1320" s="46" t="s">
        <v>55</v>
      </c>
      <c r="C1320" s="46" t="s">
        <v>90</v>
      </c>
      <c r="D1320" s="46" t="s">
        <v>178</v>
      </c>
      <c r="E1320" s="46">
        <v>4</v>
      </c>
      <c r="F1320" s="46" t="s">
        <v>60</v>
      </c>
      <c r="G1320" s="46">
        <v>4</v>
      </c>
      <c r="H1320" s="47">
        <v>24</v>
      </c>
      <c r="I1320" s="47" t="s">
        <v>102</v>
      </c>
      <c r="J1320" s="48">
        <v>3</v>
      </c>
      <c r="K1320" s="48">
        <v>2</v>
      </c>
      <c r="R1320" s="46">
        <f t="shared" si="135"/>
        <v>0</v>
      </c>
      <c r="S1320" s="46">
        <f t="shared" si="136"/>
        <v>0</v>
      </c>
      <c r="T1320" s="46">
        <f t="shared" si="139"/>
        <v>50</v>
      </c>
      <c r="U1320" s="46">
        <f t="shared" si="137"/>
        <v>50</v>
      </c>
      <c r="V1320" s="54">
        <f t="shared" si="138"/>
        <v>56.166666666666664</v>
      </c>
    </row>
    <row r="1321" spans="1:22" x14ac:dyDescent="0.2">
      <c r="A1321" s="46" t="s">
        <v>32</v>
      </c>
      <c r="B1321" s="46" t="s">
        <v>55</v>
      </c>
      <c r="C1321" s="46" t="s">
        <v>90</v>
      </c>
      <c r="D1321" s="46" t="s">
        <v>178</v>
      </c>
      <c r="E1321" s="46">
        <v>4</v>
      </c>
      <c r="F1321" s="46" t="s">
        <v>60</v>
      </c>
      <c r="G1321" s="46">
        <v>1</v>
      </c>
      <c r="H1321" s="47">
        <v>49</v>
      </c>
      <c r="I1321" s="47" t="s">
        <v>101</v>
      </c>
      <c r="J1321" s="48">
        <v>3</v>
      </c>
      <c r="K1321" s="48">
        <v>2</v>
      </c>
      <c r="R1321" s="46">
        <f t="shared" si="135"/>
        <v>0</v>
      </c>
      <c r="S1321" s="46">
        <f t="shared" si="136"/>
        <v>0</v>
      </c>
      <c r="T1321" s="46">
        <f t="shared" si="139"/>
        <v>50</v>
      </c>
      <c r="U1321" s="46">
        <f t="shared" si="137"/>
        <v>50</v>
      </c>
      <c r="V1321" s="54">
        <f t="shared" si="138"/>
        <v>56.166666666666664</v>
      </c>
    </row>
    <row r="1322" spans="1:22" x14ac:dyDescent="0.2">
      <c r="A1322" s="46" t="s">
        <v>32</v>
      </c>
      <c r="B1322" s="46" t="s">
        <v>55</v>
      </c>
      <c r="C1322" s="46" t="s">
        <v>90</v>
      </c>
      <c r="D1322" s="46" t="s">
        <v>178</v>
      </c>
      <c r="E1322" s="46">
        <v>3</v>
      </c>
      <c r="F1322" s="46" t="s">
        <v>60</v>
      </c>
      <c r="G1322" s="46">
        <v>2</v>
      </c>
      <c r="H1322" s="47">
        <v>22</v>
      </c>
      <c r="I1322" s="47" t="s">
        <v>127</v>
      </c>
      <c r="J1322" s="48">
        <v>3</v>
      </c>
      <c r="K1322" s="48">
        <v>0</v>
      </c>
      <c r="R1322" s="46">
        <f t="shared" si="135"/>
        <v>0</v>
      </c>
      <c r="S1322" s="46">
        <f t="shared" si="136"/>
        <v>0</v>
      </c>
      <c r="T1322" s="46">
        <f t="shared" si="139"/>
        <v>60</v>
      </c>
      <c r="U1322" s="46">
        <f t="shared" si="137"/>
        <v>60</v>
      </c>
      <c r="V1322" s="54">
        <f t="shared" si="138"/>
        <v>56.166666666666664</v>
      </c>
    </row>
    <row r="1323" spans="1:22" x14ac:dyDescent="0.2">
      <c r="A1323" s="46" t="s">
        <v>32</v>
      </c>
      <c r="B1323" s="46" t="s">
        <v>55</v>
      </c>
      <c r="C1323" s="46" t="s">
        <v>90</v>
      </c>
      <c r="D1323" s="46" t="s">
        <v>178</v>
      </c>
      <c r="E1323" s="46">
        <v>2</v>
      </c>
      <c r="F1323" s="46" t="s">
        <v>60</v>
      </c>
      <c r="G1323" s="46">
        <v>2</v>
      </c>
      <c r="H1323" s="47">
        <v>38</v>
      </c>
      <c r="I1323" s="47" t="s">
        <v>127</v>
      </c>
      <c r="J1323" s="48">
        <v>3</v>
      </c>
      <c r="K1323" s="48">
        <v>1</v>
      </c>
      <c r="L1323" s="48">
        <v>1</v>
      </c>
      <c r="R1323" s="46">
        <f t="shared" si="135"/>
        <v>0</v>
      </c>
      <c r="S1323" s="46">
        <f t="shared" si="136"/>
        <v>0</v>
      </c>
      <c r="T1323" s="46">
        <f t="shared" si="139"/>
        <v>60</v>
      </c>
      <c r="U1323" s="46">
        <f t="shared" si="137"/>
        <v>55</v>
      </c>
      <c r="V1323" s="54">
        <f t="shared" si="138"/>
        <v>56.166666666666664</v>
      </c>
    </row>
    <row r="1324" spans="1:22" x14ac:dyDescent="0.2">
      <c r="A1324" s="46" t="s">
        <v>32</v>
      </c>
      <c r="B1324" s="46" t="s">
        <v>55</v>
      </c>
      <c r="C1324" s="46" t="s">
        <v>90</v>
      </c>
      <c r="D1324" s="46" t="s">
        <v>178</v>
      </c>
      <c r="E1324" s="46">
        <v>1</v>
      </c>
      <c r="F1324" s="46" t="s">
        <v>61</v>
      </c>
      <c r="G1324" s="46">
        <v>1</v>
      </c>
      <c r="H1324" s="47" t="s">
        <v>75</v>
      </c>
      <c r="I1324" s="47" t="s">
        <v>101</v>
      </c>
      <c r="J1324" s="48">
        <v>3</v>
      </c>
      <c r="K1324" s="48">
        <v>0</v>
      </c>
      <c r="R1324" s="46">
        <f t="shared" si="135"/>
        <v>0</v>
      </c>
      <c r="S1324" s="46">
        <f t="shared" si="136"/>
        <v>0</v>
      </c>
      <c r="T1324" s="46">
        <f t="shared" si="139"/>
        <v>60</v>
      </c>
      <c r="U1324" s="46">
        <f t="shared" si="137"/>
        <v>60</v>
      </c>
      <c r="V1324" s="54">
        <f t="shared" si="138"/>
        <v>56.166666666666664</v>
      </c>
    </row>
    <row r="1325" spans="1:22" x14ac:dyDescent="0.2">
      <c r="A1325" s="46" t="s">
        <v>32</v>
      </c>
      <c r="B1325" s="46" t="s">
        <v>55</v>
      </c>
      <c r="C1325" s="46" t="s">
        <v>90</v>
      </c>
      <c r="D1325" s="46" t="s">
        <v>178</v>
      </c>
      <c r="E1325" s="46">
        <v>2</v>
      </c>
      <c r="F1325" s="46" t="s">
        <v>61</v>
      </c>
      <c r="G1325" s="46">
        <v>2</v>
      </c>
      <c r="H1325" s="47" t="s">
        <v>76</v>
      </c>
      <c r="I1325" s="47" t="s">
        <v>127</v>
      </c>
      <c r="J1325" s="48">
        <v>3</v>
      </c>
      <c r="K1325" s="48">
        <v>0</v>
      </c>
      <c r="R1325" s="46">
        <f t="shared" si="135"/>
        <v>0</v>
      </c>
      <c r="S1325" s="46">
        <f t="shared" si="136"/>
        <v>0</v>
      </c>
      <c r="T1325" s="46">
        <f t="shared" si="139"/>
        <v>60</v>
      </c>
      <c r="U1325" s="46">
        <f t="shared" si="137"/>
        <v>60</v>
      </c>
      <c r="V1325" s="54">
        <f t="shared" si="138"/>
        <v>56.166666666666664</v>
      </c>
    </row>
    <row r="1326" spans="1:22" x14ac:dyDescent="0.2">
      <c r="A1326" s="46" t="s">
        <v>32</v>
      </c>
      <c r="B1326" s="46" t="s">
        <v>55</v>
      </c>
      <c r="C1326" s="46" t="s">
        <v>90</v>
      </c>
      <c r="D1326" s="46" t="s">
        <v>178</v>
      </c>
      <c r="E1326" s="46">
        <v>2</v>
      </c>
      <c r="F1326" s="46" t="s">
        <v>60</v>
      </c>
      <c r="G1326" s="46">
        <v>3</v>
      </c>
      <c r="H1326" s="47">
        <v>31</v>
      </c>
      <c r="I1326" s="47" t="s">
        <v>116</v>
      </c>
      <c r="J1326" s="48">
        <v>4</v>
      </c>
      <c r="K1326" s="48">
        <v>2</v>
      </c>
      <c r="R1326" s="46">
        <f t="shared" si="135"/>
        <v>1</v>
      </c>
      <c r="S1326" s="46">
        <f t="shared" si="136"/>
        <v>0</v>
      </c>
      <c r="T1326" s="46">
        <f t="shared" si="139"/>
        <v>70</v>
      </c>
      <c r="U1326" s="46">
        <f t="shared" si="137"/>
        <v>70</v>
      </c>
      <c r="V1326" s="54">
        <f t="shared" si="138"/>
        <v>56.166666666666664</v>
      </c>
    </row>
    <row r="1327" spans="1:22" x14ac:dyDescent="0.2">
      <c r="A1327" s="46" t="s">
        <v>32</v>
      </c>
      <c r="B1327" s="46" t="s">
        <v>55</v>
      </c>
      <c r="C1327" s="46" t="s">
        <v>90</v>
      </c>
      <c r="D1327" s="46" t="s">
        <v>178</v>
      </c>
      <c r="E1327" s="46">
        <v>4</v>
      </c>
      <c r="F1327" s="46" t="s">
        <v>60</v>
      </c>
      <c r="G1327" s="46">
        <v>2</v>
      </c>
      <c r="H1327" s="47">
        <v>34</v>
      </c>
      <c r="I1327" s="47" t="s">
        <v>127</v>
      </c>
      <c r="J1327" s="48">
        <v>4</v>
      </c>
      <c r="K1327" s="48">
        <v>2</v>
      </c>
      <c r="R1327" s="46">
        <f t="shared" si="135"/>
        <v>1</v>
      </c>
      <c r="S1327" s="46">
        <f t="shared" si="136"/>
        <v>0</v>
      </c>
      <c r="T1327" s="46">
        <f t="shared" si="139"/>
        <v>70</v>
      </c>
      <c r="U1327" s="46">
        <f t="shared" si="137"/>
        <v>70</v>
      </c>
      <c r="V1327" s="54">
        <f t="shared" si="138"/>
        <v>56.166666666666664</v>
      </c>
    </row>
    <row r="1328" spans="1:22" x14ac:dyDescent="0.2">
      <c r="A1328" s="46" t="s">
        <v>32</v>
      </c>
      <c r="B1328" s="46" t="s">
        <v>55</v>
      </c>
      <c r="C1328" s="46" t="s">
        <v>90</v>
      </c>
      <c r="D1328" s="46" t="s">
        <v>178</v>
      </c>
      <c r="E1328" s="46">
        <v>4</v>
      </c>
      <c r="F1328" s="46" t="s">
        <v>60</v>
      </c>
      <c r="G1328" s="46">
        <v>3</v>
      </c>
      <c r="H1328" s="47">
        <v>7</v>
      </c>
      <c r="I1328" s="47" t="s">
        <v>159</v>
      </c>
      <c r="J1328" s="48">
        <v>4</v>
      </c>
      <c r="K1328" s="48">
        <v>1</v>
      </c>
      <c r="M1328" s="48">
        <v>1</v>
      </c>
      <c r="R1328" s="46">
        <f t="shared" si="135"/>
        <v>1</v>
      </c>
      <c r="S1328" s="46">
        <f t="shared" si="136"/>
        <v>0</v>
      </c>
      <c r="T1328" s="46">
        <f t="shared" si="139"/>
        <v>80</v>
      </c>
      <c r="U1328" s="46">
        <f t="shared" si="137"/>
        <v>100</v>
      </c>
      <c r="V1328" s="54">
        <f t="shared" si="138"/>
        <v>56.166666666666664</v>
      </c>
    </row>
    <row r="1329" spans="1:22" x14ac:dyDescent="0.2">
      <c r="A1329" s="46" t="s">
        <v>32</v>
      </c>
      <c r="B1329" s="46" t="s">
        <v>55</v>
      </c>
      <c r="C1329" s="46" t="s">
        <v>90</v>
      </c>
      <c r="D1329" s="46" t="s">
        <v>178</v>
      </c>
      <c r="E1329" s="46">
        <v>1</v>
      </c>
      <c r="F1329" s="46" t="s">
        <v>60</v>
      </c>
      <c r="G1329" s="46">
        <v>2</v>
      </c>
      <c r="H1329" s="47">
        <v>10</v>
      </c>
      <c r="I1329" s="47" t="s">
        <v>127</v>
      </c>
      <c r="J1329" s="48">
        <v>4</v>
      </c>
      <c r="K1329" s="48">
        <v>1</v>
      </c>
      <c r="R1329" s="46">
        <f t="shared" si="135"/>
        <v>1</v>
      </c>
      <c r="S1329" s="46">
        <f t="shared" si="136"/>
        <v>0</v>
      </c>
      <c r="T1329" s="46">
        <f t="shared" si="139"/>
        <v>80</v>
      </c>
      <c r="U1329" s="46">
        <f t="shared" si="137"/>
        <v>80</v>
      </c>
      <c r="V1329" s="54">
        <f t="shared" si="138"/>
        <v>56.166666666666664</v>
      </c>
    </row>
    <row r="1330" spans="1:22" x14ac:dyDescent="0.2">
      <c r="A1330" s="46" t="s">
        <v>32</v>
      </c>
      <c r="B1330" s="46" t="s">
        <v>55</v>
      </c>
      <c r="C1330" s="46" t="s">
        <v>90</v>
      </c>
      <c r="D1330" s="46" t="s">
        <v>178</v>
      </c>
      <c r="E1330" s="46">
        <v>2</v>
      </c>
      <c r="F1330" s="46" t="s">
        <v>60</v>
      </c>
      <c r="G1330" s="46">
        <v>2</v>
      </c>
      <c r="H1330" s="47">
        <v>14</v>
      </c>
      <c r="I1330" s="47" t="s">
        <v>127</v>
      </c>
      <c r="J1330" s="48">
        <v>4</v>
      </c>
      <c r="K1330" s="48">
        <v>1</v>
      </c>
      <c r="R1330" s="46">
        <f t="shared" si="135"/>
        <v>1</v>
      </c>
      <c r="S1330" s="46">
        <f t="shared" si="136"/>
        <v>0</v>
      </c>
      <c r="T1330" s="46">
        <f t="shared" ref="T1330:T1361" si="140">quizscore(J1330,K1330)</f>
        <v>80</v>
      </c>
      <c r="U1330" s="46">
        <f t="shared" si="137"/>
        <v>80</v>
      </c>
      <c r="V1330" s="54">
        <f t="shared" si="138"/>
        <v>56.166666666666664</v>
      </c>
    </row>
    <row r="1331" spans="1:22" x14ac:dyDescent="0.2">
      <c r="A1331" s="46" t="s">
        <v>32</v>
      </c>
      <c r="B1331" s="46" t="s">
        <v>55</v>
      </c>
      <c r="C1331" s="46" t="s">
        <v>90</v>
      </c>
      <c r="D1331" s="46" t="s">
        <v>178</v>
      </c>
      <c r="E1331" s="46">
        <v>3</v>
      </c>
      <c r="F1331" s="46" t="s">
        <v>60</v>
      </c>
      <c r="G1331" s="46">
        <v>3</v>
      </c>
      <c r="H1331" s="47">
        <v>15</v>
      </c>
      <c r="I1331" s="47" t="s">
        <v>116</v>
      </c>
      <c r="J1331" s="48">
        <v>4</v>
      </c>
      <c r="K1331" s="48">
        <v>1</v>
      </c>
      <c r="R1331" s="46">
        <f t="shared" si="135"/>
        <v>1</v>
      </c>
      <c r="S1331" s="46">
        <f t="shared" si="136"/>
        <v>0</v>
      </c>
      <c r="T1331" s="46">
        <f t="shared" si="140"/>
        <v>80</v>
      </c>
      <c r="U1331" s="46">
        <f t="shared" si="137"/>
        <v>80</v>
      </c>
      <c r="V1331" s="54">
        <f t="shared" si="138"/>
        <v>56.166666666666664</v>
      </c>
    </row>
    <row r="1332" spans="1:22" x14ac:dyDescent="0.2">
      <c r="A1332" s="46" t="s">
        <v>32</v>
      </c>
      <c r="B1332" s="46" t="s">
        <v>55</v>
      </c>
      <c r="C1332" s="46" t="s">
        <v>90</v>
      </c>
      <c r="D1332" s="46" t="s">
        <v>178</v>
      </c>
      <c r="E1332" s="46">
        <v>2</v>
      </c>
      <c r="F1332" s="46" t="s">
        <v>60</v>
      </c>
      <c r="G1332" s="46">
        <v>1</v>
      </c>
      <c r="H1332" s="47">
        <v>21</v>
      </c>
      <c r="I1332" s="47" t="s">
        <v>101</v>
      </c>
      <c r="J1332" s="48">
        <v>4</v>
      </c>
      <c r="K1332" s="48">
        <v>1</v>
      </c>
      <c r="R1332" s="46">
        <f t="shared" si="135"/>
        <v>1</v>
      </c>
      <c r="S1332" s="46">
        <f t="shared" si="136"/>
        <v>0</v>
      </c>
      <c r="T1332" s="46">
        <f t="shared" si="140"/>
        <v>80</v>
      </c>
      <c r="U1332" s="46">
        <f t="shared" si="137"/>
        <v>80</v>
      </c>
      <c r="V1332" s="54">
        <f t="shared" si="138"/>
        <v>56.166666666666664</v>
      </c>
    </row>
    <row r="1333" spans="1:22" x14ac:dyDescent="0.2">
      <c r="A1333" s="46" t="s">
        <v>32</v>
      </c>
      <c r="B1333" s="46" t="s">
        <v>55</v>
      </c>
      <c r="C1333" s="46" t="s">
        <v>90</v>
      </c>
      <c r="D1333" s="46" t="s">
        <v>178</v>
      </c>
      <c r="E1333" s="46">
        <v>1</v>
      </c>
      <c r="F1333" s="46" t="s">
        <v>60</v>
      </c>
      <c r="G1333" s="46">
        <v>2</v>
      </c>
      <c r="H1333" s="47">
        <v>26</v>
      </c>
      <c r="I1333" s="47" t="s">
        <v>127</v>
      </c>
      <c r="J1333" s="48">
        <v>4</v>
      </c>
      <c r="K1333" s="48">
        <v>1</v>
      </c>
      <c r="R1333" s="46">
        <f t="shared" si="135"/>
        <v>1</v>
      </c>
      <c r="S1333" s="46">
        <f t="shared" si="136"/>
        <v>0</v>
      </c>
      <c r="T1333" s="46">
        <f t="shared" si="140"/>
        <v>80</v>
      </c>
      <c r="U1333" s="46">
        <f t="shared" si="137"/>
        <v>80</v>
      </c>
      <c r="V1333" s="54">
        <f t="shared" si="138"/>
        <v>56.166666666666664</v>
      </c>
    </row>
    <row r="1334" spans="1:22" x14ac:dyDescent="0.2">
      <c r="A1334" s="46" t="s">
        <v>32</v>
      </c>
      <c r="B1334" s="46" t="s">
        <v>55</v>
      </c>
      <c r="C1334" s="46" t="s">
        <v>90</v>
      </c>
      <c r="D1334" s="46" t="s">
        <v>178</v>
      </c>
      <c r="E1334" s="46">
        <v>1</v>
      </c>
      <c r="F1334" s="46" t="s">
        <v>60</v>
      </c>
      <c r="G1334" s="46">
        <v>1</v>
      </c>
      <c r="H1334" s="47">
        <v>33</v>
      </c>
      <c r="I1334" s="47" t="s">
        <v>101</v>
      </c>
      <c r="J1334" s="48">
        <v>4</v>
      </c>
      <c r="K1334" s="48">
        <v>1</v>
      </c>
      <c r="M1334" s="48">
        <v>1</v>
      </c>
      <c r="O1334" s="48">
        <v>1</v>
      </c>
      <c r="R1334" s="46">
        <f t="shared" si="135"/>
        <v>1</v>
      </c>
      <c r="S1334" s="46">
        <f t="shared" si="136"/>
        <v>0</v>
      </c>
      <c r="T1334" s="46">
        <f t="shared" si="140"/>
        <v>80</v>
      </c>
      <c r="U1334" s="46">
        <f t="shared" si="137"/>
        <v>110</v>
      </c>
      <c r="V1334" s="54">
        <f t="shared" si="138"/>
        <v>56.166666666666664</v>
      </c>
    </row>
    <row r="1335" spans="1:22" x14ac:dyDescent="0.2">
      <c r="A1335" s="46" t="s">
        <v>32</v>
      </c>
      <c r="B1335" s="46" t="s">
        <v>55</v>
      </c>
      <c r="C1335" s="46" t="s">
        <v>90</v>
      </c>
      <c r="D1335" s="46" t="s">
        <v>178</v>
      </c>
      <c r="E1335" s="46">
        <v>2</v>
      </c>
      <c r="F1335" s="46" t="s">
        <v>60</v>
      </c>
      <c r="G1335" s="46">
        <v>4</v>
      </c>
      <c r="H1335" s="47">
        <v>8</v>
      </c>
      <c r="I1335" s="47" t="s">
        <v>102</v>
      </c>
      <c r="J1335" s="48">
        <v>4</v>
      </c>
      <c r="K1335" s="48">
        <v>0</v>
      </c>
      <c r="R1335" s="46">
        <f t="shared" si="135"/>
        <v>1</v>
      </c>
      <c r="S1335" s="46">
        <f t="shared" si="136"/>
        <v>0</v>
      </c>
      <c r="T1335" s="46">
        <f t="shared" si="140"/>
        <v>90</v>
      </c>
      <c r="U1335" s="46">
        <f t="shared" si="137"/>
        <v>90</v>
      </c>
      <c r="V1335" s="54">
        <f t="shared" si="138"/>
        <v>56.166666666666664</v>
      </c>
    </row>
    <row r="1336" spans="1:22" x14ac:dyDescent="0.2">
      <c r="A1336" s="46" t="s">
        <v>32</v>
      </c>
      <c r="B1336" s="46" t="s">
        <v>55</v>
      </c>
      <c r="C1336" s="46" t="s">
        <v>90</v>
      </c>
      <c r="D1336" s="46" t="s">
        <v>178</v>
      </c>
      <c r="E1336" s="46">
        <v>1</v>
      </c>
      <c r="F1336" s="46" t="s">
        <v>60</v>
      </c>
      <c r="G1336" s="46">
        <v>3</v>
      </c>
      <c r="H1336" s="47">
        <v>43</v>
      </c>
      <c r="I1336" s="47" t="s">
        <v>116</v>
      </c>
      <c r="J1336" s="48">
        <v>4</v>
      </c>
      <c r="K1336" s="48">
        <v>0</v>
      </c>
      <c r="R1336" s="46">
        <f t="shared" si="135"/>
        <v>1</v>
      </c>
      <c r="S1336" s="46">
        <f t="shared" si="136"/>
        <v>0</v>
      </c>
      <c r="T1336" s="46">
        <f t="shared" si="140"/>
        <v>90</v>
      </c>
      <c r="U1336" s="46">
        <f t="shared" si="137"/>
        <v>90</v>
      </c>
      <c r="V1336" s="54">
        <f t="shared" si="138"/>
        <v>56.166666666666664</v>
      </c>
    </row>
    <row r="1337" spans="1:22" x14ac:dyDescent="0.2">
      <c r="A1337" s="46" t="s">
        <v>32</v>
      </c>
      <c r="B1337" s="46" t="s">
        <v>55</v>
      </c>
      <c r="C1337" s="46" t="s">
        <v>90</v>
      </c>
      <c r="D1337" s="46" t="s">
        <v>178</v>
      </c>
      <c r="E1337" s="46">
        <v>3</v>
      </c>
      <c r="F1337" s="46" t="s">
        <v>61</v>
      </c>
      <c r="G1337" s="46">
        <v>2</v>
      </c>
      <c r="H1337" s="47" t="s">
        <v>66</v>
      </c>
      <c r="I1337" s="47" t="s">
        <v>127</v>
      </c>
      <c r="J1337" s="48">
        <v>4</v>
      </c>
      <c r="K1337" s="48">
        <v>0</v>
      </c>
      <c r="R1337" s="46">
        <f t="shared" si="135"/>
        <v>1</v>
      </c>
      <c r="S1337" s="46">
        <f t="shared" si="136"/>
        <v>0</v>
      </c>
      <c r="T1337" s="46">
        <f t="shared" si="140"/>
        <v>90</v>
      </c>
      <c r="U1337" s="46">
        <f t="shared" si="137"/>
        <v>90</v>
      </c>
      <c r="V1337" s="54">
        <f t="shared" si="138"/>
        <v>56.166666666666664</v>
      </c>
    </row>
    <row r="1338" spans="1:22" x14ac:dyDescent="0.2">
      <c r="A1338" s="46" t="s">
        <v>32</v>
      </c>
      <c r="B1338" s="46" t="s">
        <v>55</v>
      </c>
      <c r="C1338" s="46" t="s">
        <v>90</v>
      </c>
      <c r="D1338" s="46" t="s">
        <v>178</v>
      </c>
      <c r="E1338" s="46">
        <v>5</v>
      </c>
      <c r="F1338" s="46" t="s">
        <v>60</v>
      </c>
      <c r="G1338" s="46">
        <v>3</v>
      </c>
      <c r="H1338" s="47">
        <v>11</v>
      </c>
      <c r="I1338" s="47" t="s">
        <v>159</v>
      </c>
      <c r="J1338" s="48">
        <v>0</v>
      </c>
      <c r="K1338" s="48">
        <v>1</v>
      </c>
      <c r="R1338" s="46">
        <f t="shared" si="135"/>
        <v>0</v>
      </c>
      <c r="S1338" s="46">
        <f t="shared" si="136"/>
        <v>0</v>
      </c>
      <c r="T1338" s="46">
        <f t="shared" si="140"/>
        <v>0</v>
      </c>
      <c r="U1338" s="46">
        <f t="shared" si="137"/>
        <v>0</v>
      </c>
      <c r="V1338" s="54">
        <f t="shared" si="138"/>
        <v>56.166666666666664</v>
      </c>
    </row>
    <row r="1339" spans="1:22" x14ac:dyDescent="0.2">
      <c r="A1339" s="46" t="s">
        <v>32</v>
      </c>
      <c r="B1339" s="46" t="s">
        <v>55</v>
      </c>
      <c r="C1339" s="46" t="s">
        <v>90</v>
      </c>
      <c r="D1339" s="46" t="s">
        <v>178</v>
      </c>
      <c r="E1339" s="46">
        <v>5</v>
      </c>
      <c r="F1339" s="46" t="s">
        <v>60</v>
      </c>
      <c r="G1339" s="46">
        <v>3</v>
      </c>
      <c r="H1339" s="47">
        <v>23</v>
      </c>
      <c r="I1339" s="47" t="s">
        <v>159</v>
      </c>
      <c r="J1339" s="48">
        <v>3</v>
      </c>
      <c r="K1339" s="48">
        <v>1</v>
      </c>
      <c r="R1339" s="46">
        <f t="shared" si="135"/>
        <v>0</v>
      </c>
      <c r="S1339" s="46">
        <f t="shared" si="136"/>
        <v>0</v>
      </c>
      <c r="T1339" s="46">
        <f t="shared" si="140"/>
        <v>60</v>
      </c>
      <c r="U1339" s="46">
        <f t="shared" si="137"/>
        <v>60</v>
      </c>
      <c r="V1339" s="54">
        <f t="shared" si="138"/>
        <v>56.166666666666664</v>
      </c>
    </row>
    <row r="1340" spans="1:22" x14ac:dyDescent="0.2">
      <c r="A1340" s="46" t="s">
        <v>32</v>
      </c>
      <c r="B1340" s="46" t="s">
        <v>55</v>
      </c>
      <c r="C1340" s="46" t="s">
        <v>90</v>
      </c>
      <c r="D1340" s="46" t="s">
        <v>178</v>
      </c>
      <c r="E1340" s="46">
        <v>5</v>
      </c>
      <c r="F1340" s="46" t="s">
        <v>60</v>
      </c>
      <c r="G1340" s="46">
        <v>4</v>
      </c>
      <c r="H1340" s="47">
        <v>28</v>
      </c>
      <c r="I1340" s="47" t="s">
        <v>102</v>
      </c>
      <c r="J1340" s="48">
        <v>4</v>
      </c>
      <c r="K1340" s="48">
        <v>0</v>
      </c>
      <c r="R1340" s="46">
        <f t="shared" si="135"/>
        <v>1</v>
      </c>
      <c r="S1340" s="46">
        <f t="shared" si="136"/>
        <v>0</v>
      </c>
      <c r="T1340" s="46">
        <f t="shared" si="140"/>
        <v>90</v>
      </c>
      <c r="U1340" s="46">
        <f t="shared" si="137"/>
        <v>90</v>
      </c>
      <c r="V1340" s="54">
        <f t="shared" si="138"/>
        <v>56.166666666666664</v>
      </c>
    </row>
    <row r="1341" spans="1:22" x14ac:dyDescent="0.2">
      <c r="A1341" s="46" t="s">
        <v>32</v>
      </c>
      <c r="B1341" s="46" t="s">
        <v>55</v>
      </c>
      <c r="C1341" s="46" t="s">
        <v>90</v>
      </c>
      <c r="D1341" s="46" t="s">
        <v>178</v>
      </c>
      <c r="E1341" s="46">
        <v>5</v>
      </c>
      <c r="F1341" s="46" t="s">
        <v>60</v>
      </c>
      <c r="G1341" s="46">
        <v>1</v>
      </c>
      <c r="H1341" s="47">
        <v>33</v>
      </c>
      <c r="I1341" s="47" t="s">
        <v>101</v>
      </c>
      <c r="J1341" s="48">
        <v>2</v>
      </c>
      <c r="K1341" s="48">
        <v>2</v>
      </c>
      <c r="R1341" s="46">
        <f t="shared" si="135"/>
        <v>0</v>
      </c>
      <c r="S1341" s="46">
        <f t="shared" si="136"/>
        <v>0</v>
      </c>
      <c r="T1341" s="46">
        <f t="shared" si="140"/>
        <v>30</v>
      </c>
      <c r="U1341" s="46">
        <f t="shared" si="137"/>
        <v>30</v>
      </c>
      <c r="V1341" s="54">
        <f t="shared" si="138"/>
        <v>56.166666666666664</v>
      </c>
    </row>
    <row r="1342" spans="1:22" x14ac:dyDescent="0.2">
      <c r="A1342" s="46" t="s">
        <v>32</v>
      </c>
      <c r="B1342" s="46" t="s">
        <v>55</v>
      </c>
      <c r="C1342" s="46" t="s">
        <v>90</v>
      </c>
      <c r="D1342" s="46" t="s">
        <v>178</v>
      </c>
      <c r="E1342" s="46">
        <v>5</v>
      </c>
      <c r="F1342" s="46" t="s">
        <v>60</v>
      </c>
      <c r="G1342" s="46">
        <v>2</v>
      </c>
      <c r="H1342" s="47">
        <v>42</v>
      </c>
      <c r="I1342" s="47" t="s">
        <v>127</v>
      </c>
      <c r="J1342" s="48">
        <v>0</v>
      </c>
      <c r="K1342" s="48">
        <v>2</v>
      </c>
      <c r="R1342" s="46">
        <f t="shared" si="135"/>
        <v>0</v>
      </c>
      <c r="S1342" s="46">
        <f t="shared" si="136"/>
        <v>0</v>
      </c>
      <c r="T1342" s="46">
        <f t="shared" si="140"/>
        <v>-10</v>
      </c>
      <c r="U1342" s="46">
        <f t="shared" si="137"/>
        <v>-10</v>
      </c>
      <c r="V1342" s="54">
        <f t="shared" si="138"/>
        <v>56.166666666666664</v>
      </c>
    </row>
    <row r="1343" spans="1:22" x14ac:dyDescent="0.2">
      <c r="A1343" s="46" t="s">
        <v>32</v>
      </c>
      <c r="B1343" s="46" t="s">
        <v>55</v>
      </c>
      <c r="C1343" s="46" t="s">
        <v>90</v>
      </c>
      <c r="D1343" s="46" t="s">
        <v>178</v>
      </c>
      <c r="E1343" s="46">
        <v>5</v>
      </c>
      <c r="F1343" s="46" t="s">
        <v>60</v>
      </c>
      <c r="G1343" s="46">
        <v>1</v>
      </c>
      <c r="H1343" s="47">
        <v>49</v>
      </c>
      <c r="I1343" s="47" t="s">
        <v>101</v>
      </c>
      <c r="J1343" s="48">
        <v>4</v>
      </c>
      <c r="K1343" s="48">
        <v>0</v>
      </c>
      <c r="R1343" s="46">
        <f t="shared" si="135"/>
        <v>1</v>
      </c>
      <c r="S1343" s="46">
        <f t="shared" si="136"/>
        <v>0</v>
      </c>
      <c r="T1343" s="46">
        <f t="shared" si="140"/>
        <v>90</v>
      </c>
      <c r="U1343" s="46">
        <f t="shared" si="137"/>
        <v>90</v>
      </c>
      <c r="V1343" s="54">
        <f t="shared" si="138"/>
        <v>56.166666666666664</v>
      </c>
    </row>
    <row r="1344" spans="1:22" x14ac:dyDescent="0.2">
      <c r="A1344" s="46" t="s">
        <v>32</v>
      </c>
      <c r="B1344" s="46" t="s">
        <v>55</v>
      </c>
      <c r="C1344" s="46" t="s">
        <v>90</v>
      </c>
      <c r="D1344" s="46" t="s">
        <v>178</v>
      </c>
      <c r="E1344" s="46">
        <v>5</v>
      </c>
      <c r="F1344" s="46" t="s">
        <v>61</v>
      </c>
      <c r="G1344" s="46">
        <v>1</v>
      </c>
      <c r="H1344" s="47" t="s">
        <v>70</v>
      </c>
      <c r="I1344" s="47" t="s">
        <v>101</v>
      </c>
      <c r="J1344" s="48">
        <v>1</v>
      </c>
      <c r="K1344" s="48">
        <v>1</v>
      </c>
      <c r="N1344" s="48">
        <v>1</v>
      </c>
      <c r="R1344" s="46">
        <f t="shared" si="135"/>
        <v>0</v>
      </c>
      <c r="S1344" s="46">
        <f t="shared" si="136"/>
        <v>0</v>
      </c>
      <c r="T1344" s="46">
        <f t="shared" si="140"/>
        <v>20</v>
      </c>
      <c r="U1344" s="46">
        <f t="shared" si="137"/>
        <v>15</v>
      </c>
      <c r="V1344" s="54">
        <f t="shared" si="138"/>
        <v>56.166666666666664</v>
      </c>
    </row>
    <row r="1345" spans="1:22" x14ac:dyDescent="0.2">
      <c r="A1345" s="46" t="s">
        <v>32</v>
      </c>
      <c r="B1345" s="46" t="s">
        <v>55</v>
      </c>
      <c r="C1345" s="46" t="s">
        <v>90</v>
      </c>
      <c r="D1345" s="46" t="s">
        <v>178</v>
      </c>
      <c r="E1345" s="46">
        <v>5</v>
      </c>
      <c r="F1345" s="46" t="s">
        <v>61</v>
      </c>
      <c r="G1345" s="46">
        <v>2</v>
      </c>
      <c r="H1345" s="47" t="s">
        <v>76</v>
      </c>
      <c r="I1345" s="47" t="s">
        <v>127</v>
      </c>
      <c r="J1345" s="48">
        <v>0</v>
      </c>
      <c r="K1345" s="48">
        <v>2</v>
      </c>
      <c r="R1345" s="46">
        <f t="shared" si="135"/>
        <v>0</v>
      </c>
      <c r="S1345" s="46">
        <f t="shared" si="136"/>
        <v>0</v>
      </c>
      <c r="T1345" s="46">
        <f t="shared" si="140"/>
        <v>-10</v>
      </c>
      <c r="U1345" s="46">
        <f t="shared" si="137"/>
        <v>-10</v>
      </c>
      <c r="V1345" s="54">
        <f t="shared" si="138"/>
        <v>56.166666666666664</v>
      </c>
    </row>
    <row r="1346" spans="1:22" x14ac:dyDescent="0.2">
      <c r="A1346" s="46" t="s">
        <v>31</v>
      </c>
      <c r="B1346" s="46" t="s">
        <v>50</v>
      </c>
      <c r="C1346" s="46" t="s">
        <v>93</v>
      </c>
      <c r="D1346" s="46" t="s">
        <v>178</v>
      </c>
      <c r="E1346" s="46">
        <v>3</v>
      </c>
      <c r="F1346" s="46" t="s">
        <v>60</v>
      </c>
      <c r="G1346" s="46">
        <v>2</v>
      </c>
      <c r="H1346" s="47">
        <v>6</v>
      </c>
      <c r="I1346" s="47" t="s">
        <v>127</v>
      </c>
      <c r="J1346" s="48">
        <v>0</v>
      </c>
      <c r="K1346" s="48">
        <v>2</v>
      </c>
      <c r="R1346" s="46">
        <f t="shared" ref="R1346:R1409" si="141">IF(J1346=4,1,0)</f>
        <v>0</v>
      </c>
      <c r="S1346" s="46">
        <f t="shared" ref="S1346:S1409" si="142">IF(K1346=3,1,0)</f>
        <v>0</v>
      </c>
      <c r="T1346" s="46">
        <f t="shared" si="140"/>
        <v>-10</v>
      </c>
      <c r="U1346" s="46">
        <f t="shared" ref="U1346:U1409" si="143">T1346+M1346*(20) + (SUM(O1346:Q1346)*(10)) - L1346*(5) - N1346*(5)</f>
        <v>-10</v>
      </c>
      <c r="V1346" s="54">
        <f t="shared" ref="V1346:V1409" si="144">AVERAGEIFS(U:U,A:A,A1346,F:F,"Pre")</f>
        <v>8.3333333333333339</v>
      </c>
    </row>
    <row r="1347" spans="1:22" x14ac:dyDescent="0.2">
      <c r="A1347" s="46" t="s">
        <v>31</v>
      </c>
      <c r="B1347" s="46" t="s">
        <v>50</v>
      </c>
      <c r="C1347" s="46" t="s">
        <v>93</v>
      </c>
      <c r="D1347" s="46" t="s">
        <v>178</v>
      </c>
      <c r="E1347" s="46">
        <v>1</v>
      </c>
      <c r="F1347" s="46" t="s">
        <v>60</v>
      </c>
      <c r="G1347" s="46">
        <v>3</v>
      </c>
      <c r="H1347" s="47">
        <v>11</v>
      </c>
      <c r="I1347" s="47" t="s">
        <v>116</v>
      </c>
      <c r="J1347" s="48">
        <v>0</v>
      </c>
      <c r="K1347" s="48">
        <v>2</v>
      </c>
      <c r="R1347" s="46">
        <f t="shared" si="141"/>
        <v>0</v>
      </c>
      <c r="S1347" s="46">
        <f t="shared" si="142"/>
        <v>0</v>
      </c>
      <c r="T1347" s="46">
        <f t="shared" si="140"/>
        <v>-10</v>
      </c>
      <c r="U1347" s="46">
        <f t="shared" si="143"/>
        <v>-10</v>
      </c>
      <c r="V1347" s="54">
        <f t="shared" si="144"/>
        <v>8.3333333333333339</v>
      </c>
    </row>
    <row r="1348" spans="1:22" x14ac:dyDescent="0.2">
      <c r="A1348" s="46" t="s">
        <v>31</v>
      </c>
      <c r="B1348" s="46" t="s">
        <v>50</v>
      </c>
      <c r="C1348" s="46" t="s">
        <v>93</v>
      </c>
      <c r="D1348" s="46" t="s">
        <v>178</v>
      </c>
      <c r="E1348" s="46">
        <v>3</v>
      </c>
      <c r="F1348" s="46" t="s">
        <v>62</v>
      </c>
      <c r="G1348" s="46">
        <v>2</v>
      </c>
      <c r="H1348" s="47" t="s">
        <v>79</v>
      </c>
      <c r="I1348" s="47" t="s">
        <v>127</v>
      </c>
      <c r="J1348" s="48">
        <v>0</v>
      </c>
      <c r="K1348" s="48">
        <v>2</v>
      </c>
      <c r="R1348" s="46">
        <f t="shared" si="141"/>
        <v>0</v>
      </c>
      <c r="S1348" s="46">
        <f t="shared" si="142"/>
        <v>0</v>
      </c>
      <c r="T1348" s="46">
        <f t="shared" si="140"/>
        <v>-10</v>
      </c>
      <c r="U1348" s="46">
        <f t="shared" si="143"/>
        <v>-10</v>
      </c>
      <c r="V1348" s="54">
        <f t="shared" si="144"/>
        <v>8.3333333333333339</v>
      </c>
    </row>
    <row r="1349" spans="1:22" x14ac:dyDescent="0.2">
      <c r="A1349" s="46" t="s">
        <v>31</v>
      </c>
      <c r="B1349" s="46" t="s">
        <v>50</v>
      </c>
      <c r="C1349" s="46" t="s">
        <v>93</v>
      </c>
      <c r="D1349" s="46" t="s">
        <v>178</v>
      </c>
      <c r="E1349" s="46">
        <v>1</v>
      </c>
      <c r="F1349" s="46" t="s">
        <v>60</v>
      </c>
      <c r="G1349" s="46">
        <v>1</v>
      </c>
      <c r="H1349" s="47">
        <v>1</v>
      </c>
      <c r="I1349" s="47" t="s">
        <v>101</v>
      </c>
      <c r="J1349" s="48">
        <v>0</v>
      </c>
      <c r="K1349" s="48">
        <v>0</v>
      </c>
      <c r="M1349" s="48">
        <v>1</v>
      </c>
      <c r="R1349" s="46">
        <f t="shared" si="141"/>
        <v>0</v>
      </c>
      <c r="S1349" s="46">
        <f t="shared" si="142"/>
        <v>0</v>
      </c>
      <c r="T1349" s="46">
        <f t="shared" si="140"/>
        <v>0</v>
      </c>
      <c r="U1349" s="46">
        <f t="shared" si="143"/>
        <v>20</v>
      </c>
      <c r="V1349" s="54">
        <f t="shared" si="144"/>
        <v>8.3333333333333339</v>
      </c>
    </row>
    <row r="1350" spans="1:22" x14ac:dyDescent="0.2">
      <c r="A1350" s="46" t="s">
        <v>31</v>
      </c>
      <c r="B1350" s="46" t="s">
        <v>50</v>
      </c>
      <c r="C1350" s="46" t="s">
        <v>93</v>
      </c>
      <c r="D1350" s="46" t="s">
        <v>178</v>
      </c>
      <c r="E1350" s="46">
        <v>4</v>
      </c>
      <c r="F1350" s="46" t="s">
        <v>60</v>
      </c>
      <c r="G1350" s="46">
        <v>2</v>
      </c>
      <c r="H1350" s="47">
        <v>2</v>
      </c>
      <c r="I1350" s="47" t="s">
        <v>127</v>
      </c>
      <c r="J1350" s="48">
        <v>0</v>
      </c>
      <c r="K1350" s="48">
        <v>0</v>
      </c>
      <c r="R1350" s="46">
        <f t="shared" si="141"/>
        <v>0</v>
      </c>
      <c r="S1350" s="46">
        <f t="shared" si="142"/>
        <v>0</v>
      </c>
      <c r="T1350" s="46">
        <f t="shared" si="140"/>
        <v>0</v>
      </c>
      <c r="U1350" s="46">
        <f t="shared" si="143"/>
        <v>0</v>
      </c>
      <c r="V1350" s="54">
        <f t="shared" si="144"/>
        <v>8.3333333333333339</v>
      </c>
    </row>
    <row r="1351" spans="1:22" x14ac:dyDescent="0.2">
      <c r="A1351" s="46" t="s">
        <v>31</v>
      </c>
      <c r="B1351" s="46" t="s">
        <v>50</v>
      </c>
      <c r="C1351" s="46" t="s">
        <v>93</v>
      </c>
      <c r="D1351" s="46" t="s">
        <v>178</v>
      </c>
      <c r="E1351" s="46">
        <v>3</v>
      </c>
      <c r="F1351" s="46" t="s">
        <v>60</v>
      </c>
      <c r="G1351" s="46">
        <v>1</v>
      </c>
      <c r="H1351" s="47">
        <v>9</v>
      </c>
      <c r="I1351" s="47" t="s">
        <v>101</v>
      </c>
      <c r="J1351" s="48">
        <v>0</v>
      </c>
      <c r="K1351" s="48">
        <v>0</v>
      </c>
      <c r="R1351" s="46">
        <f t="shared" si="141"/>
        <v>0</v>
      </c>
      <c r="S1351" s="46">
        <f t="shared" si="142"/>
        <v>0</v>
      </c>
      <c r="T1351" s="46">
        <f t="shared" si="140"/>
        <v>0</v>
      </c>
      <c r="U1351" s="46">
        <f t="shared" si="143"/>
        <v>0</v>
      </c>
      <c r="V1351" s="54">
        <f t="shared" si="144"/>
        <v>8.3333333333333339</v>
      </c>
    </row>
    <row r="1352" spans="1:22" x14ac:dyDescent="0.2">
      <c r="A1352" s="46" t="s">
        <v>31</v>
      </c>
      <c r="B1352" s="46" t="s">
        <v>50</v>
      </c>
      <c r="C1352" s="46" t="s">
        <v>93</v>
      </c>
      <c r="D1352" s="46" t="s">
        <v>178</v>
      </c>
      <c r="E1352" s="46">
        <v>4</v>
      </c>
      <c r="F1352" s="46" t="s">
        <v>60</v>
      </c>
      <c r="G1352" s="46">
        <v>1</v>
      </c>
      <c r="H1352" s="47">
        <v>9</v>
      </c>
      <c r="I1352" s="47" t="s">
        <v>101</v>
      </c>
      <c r="J1352" s="48">
        <v>0</v>
      </c>
      <c r="K1352" s="48">
        <v>0</v>
      </c>
      <c r="R1352" s="46">
        <f t="shared" si="141"/>
        <v>0</v>
      </c>
      <c r="S1352" s="46">
        <f t="shared" si="142"/>
        <v>0</v>
      </c>
      <c r="T1352" s="46">
        <f t="shared" si="140"/>
        <v>0</v>
      </c>
      <c r="U1352" s="46">
        <f t="shared" si="143"/>
        <v>0</v>
      </c>
      <c r="V1352" s="54">
        <f t="shared" si="144"/>
        <v>8.3333333333333339</v>
      </c>
    </row>
    <row r="1353" spans="1:22" x14ac:dyDescent="0.2">
      <c r="A1353" s="46" t="s">
        <v>31</v>
      </c>
      <c r="B1353" s="46" t="s">
        <v>50</v>
      </c>
      <c r="C1353" s="46" t="s">
        <v>93</v>
      </c>
      <c r="D1353" s="46" t="s">
        <v>178</v>
      </c>
      <c r="E1353" s="46">
        <v>4</v>
      </c>
      <c r="F1353" s="46" t="s">
        <v>60</v>
      </c>
      <c r="G1353" s="46">
        <v>3</v>
      </c>
      <c r="H1353" s="47">
        <v>15</v>
      </c>
      <c r="I1353" s="47" t="s">
        <v>159</v>
      </c>
      <c r="J1353" s="48">
        <v>0</v>
      </c>
      <c r="K1353" s="48">
        <v>0</v>
      </c>
      <c r="R1353" s="46">
        <f t="shared" si="141"/>
        <v>0</v>
      </c>
      <c r="S1353" s="46">
        <f t="shared" si="142"/>
        <v>0</v>
      </c>
      <c r="T1353" s="46">
        <f t="shared" si="140"/>
        <v>0</v>
      </c>
      <c r="U1353" s="46">
        <f t="shared" si="143"/>
        <v>0</v>
      </c>
      <c r="V1353" s="54">
        <f t="shared" si="144"/>
        <v>8.3333333333333339</v>
      </c>
    </row>
    <row r="1354" spans="1:22" x14ac:dyDescent="0.2">
      <c r="A1354" s="46" t="s">
        <v>31</v>
      </c>
      <c r="B1354" s="46" t="s">
        <v>50</v>
      </c>
      <c r="C1354" s="46" t="s">
        <v>93</v>
      </c>
      <c r="D1354" s="46" t="s">
        <v>178</v>
      </c>
      <c r="E1354" s="46">
        <v>1</v>
      </c>
      <c r="F1354" s="46" t="s">
        <v>60</v>
      </c>
      <c r="G1354" s="46">
        <v>4</v>
      </c>
      <c r="H1354" s="47">
        <v>16</v>
      </c>
      <c r="I1354" s="47" t="s">
        <v>102</v>
      </c>
      <c r="J1354" s="48">
        <v>0</v>
      </c>
      <c r="K1354" s="48">
        <v>1</v>
      </c>
      <c r="R1354" s="46">
        <f t="shared" si="141"/>
        <v>0</v>
      </c>
      <c r="S1354" s="46">
        <f t="shared" si="142"/>
        <v>0</v>
      </c>
      <c r="T1354" s="46">
        <f t="shared" si="140"/>
        <v>0</v>
      </c>
      <c r="U1354" s="46">
        <f t="shared" si="143"/>
        <v>0</v>
      </c>
      <c r="V1354" s="54">
        <f t="shared" si="144"/>
        <v>8.3333333333333339</v>
      </c>
    </row>
    <row r="1355" spans="1:22" x14ac:dyDescent="0.2">
      <c r="A1355" s="46" t="s">
        <v>31</v>
      </c>
      <c r="B1355" s="46" t="s">
        <v>50</v>
      </c>
      <c r="C1355" s="46" t="s">
        <v>93</v>
      </c>
      <c r="D1355" s="46" t="s">
        <v>178</v>
      </c>
      <c r="E1355" s="46">
        <v>2</v>
      </c>
      <c r="F1355" s="46" t="s">
        <v>60</v>
      </c>
      <c r="G1355" s="46">
        <v>4</v>
      </c>
      <c r="H1355" s="47">
        <v>16</v>
      </c>
      <c r="I1355" s="47" t="s">
        <v>102</v>
      </c>
      <c r="J1355" s="48">
        <v>0</v>
      </c>
      <c r="K1355" s="48">
        <v>0</v>
      </c>
      <c r="R1355" s="46">
        <f t="shared" si="141"/>
        <v>0</v>
      </c>
      <c r="S1355" s="46">
        <f t="shared" si="142"/>
        <v>0</v>
      </c>
      <c r="T1355" s="46">
        <f t="shared" si="140"/>
        <v>0</v>
      </c>
      <c r="U1355" s="46">
        <f t="shared" si="143"/>
        <v>0</v>
      </c>
      <c r="V1355" s="54">
        <f t="shared" si="144"/>
        <v>8.3333333333333339</v>
      </c>
    </row>
    <row r="1356" spans="1:22" x14ac:dyDescent="0.2">
      <c r="A1356" s="46" t="s">
        <v>31</v>
      </c>
      <c r="B1356" s="46" t="s">
        <v>50</v>
      </c>
      <c r="C1356" s="46" t="s">
        <v>93</v>
      </c>
      <c r="D1356" s="46" t="s">
        <v>178</v>
      </c>
      <c r="E1356" s="46">
        <v>3</v>
      </c>
      <c r="F1356" s="46" t="s">
        <v>60</v>
      </c>
      <c r="G1356" s="46">
        <v>4</v>
      </c>
      <c r="H1356" s="47">
        <v>20</v>
      </c>
      <c r="I1356" s="47" t="s">
        <v>102</v>
      </c>
      <c r="J1356" s="48">
        <v>0</v>
      </c>
      <c r="K1356" s="48">
        <v>0</v>
      </c>
      <c r="M1356" s="48">
        <v>1</v>
      </c>
      <c r="R1356" s="46">
        <f t="shared" si="141"/>
        <v>0</v>
      </c>
      <c r="S1356" s="46">
        <f t="shared" si="142"/>
        <v>0</v>
      </c>
      <c r="T1356" s="46">
        <f t="shared" si="140"/>
        <v>0</v>
      </c>
      <c r="U1356" s="46">
        <f t="shared" si="143"/>
        <v>20</v>
      </c>
      <c r="V1356" s="54">
        <f t="shared" si="144"/>
        <v>8.3333333333333339</v>
      </c>
    </row>
    <row r="1357" spans="1:22" x14ac:dyDescent="0.2">
      <c r="A1357" s="46" t="s">
        <v>31</v>
      </c>
      <c r="B1357" s="46" t="s">
        <v>50</v>
      </c>
      <c r="C1357" s="46" t="s">
        <v>93</v>
      </c>
      <c r="D1357" s="46" t="s">
        <v>178</v>
      </c>
      <c r="E1357" s="46">
        <v>2</v>
      </c>
      <c r="F1357" s="46" t="s">
        <v>60</v>
      </c>
      <c r="G1357" s="46">
        <v>2</v>
      </c>
      <c r="H1357" s="47">
        <v>22</v>
      </c>
      <c r="I1357" s="47" t="s">
        <v>127</v>
      </c>
      <c r="J1357" s="48">
        <v>0</v>
      </c>
      <c r="K1357" s="48">
        <v>0</v>
      </c>
      <c r="N1357" s="48">
        <v>1</v>
      </c>
      <c r="R1357" s="46">
        <f t="shared" si="141"/>
        <v>0</v>
      </c>
      <c r="S1357" s="46">
        <f t="shared" si="142"/>
        <v>0</v>
      </c>
      <c r="T1357" s="46">
        <f t="shared" si="140"/>
        <v>0</v>
      </c>
      <c r="U1357" s="46">
        <f t="shared" si="143"/>
        <v>-5</v>
      </c>
      <c r="V1357" s="54">
        <f t="shared" si="144"/>
        <v>8.3333333333333339</v>
      </c>
    </row>
    <row r="1358" spans="1:22" x14ac:dyDescent="0.2">
      <c r="A1358" s="46" t="s">
        <v>31</v>
      </c>
      <c r="B1358" s="46" t="s">
        <v>50</v>
      </c>
      <c r="C1358" s="46" t="s">
        <v>93</v>
      </c>
      <c r="D1358" s="46" t="s">
        <v>178</v>
      </c>
      <c r="E1358" s="46">
        <v>4</v>
      </c>
      <c r="F1358" s="46" t="s">
        <v>60</v>
      </c>
      <c r="G1358" s="46">
        <v>2</v>
      </c>
      <c r="H1358" s="47">
        <v>22</v>
      </c>
      <c r="I1358" s="47" t="s">
        <v>127</v>
      </c>
      <c r="J1358" s="48">
        <v>0</v>
      </c>
      <c r="K1358" s="48">
        <v>0</v>
      </c>
      <c r="N1358" s="48">
        <v>1</v>
      </c>
      <c r="R1358" s="46">
        <f t="shared" si="141"/>
        <v>0</v>
      </c>
      <c r="S1358" s="46">
        <f t="shared" si="142"/>
        <v>0</v>
      </c>
      <c r="T1358" s="46">
        <f t="shared" si="140"/>
        <v>0</v>
      </c>
      <c r="U1358" s="46">
        <f t="shared" si="143"/>
        <v>-5</v>
      </c>
      <c r="V1358" s="54">
        <f t="shared" si="144"/>
        <v>8.3333333333333339</v>
      </c>
    </row>
    <row r="1359" spans="1:22" x14ac:dyDescent="0.2">
      <c r="A1359" s="46" t="s">
        <v>31</v>
      </c>
      <c r="B1359" s="46" t="s">
        <v>50</v>
      </c>
      <c r="C1359" s="46" t="s">
        <v>93</v>
      </c>
      <c r="D1359" s="46" t="s">
        <v>178</v>
      </c>
      <c r="E1359" s="46">
        <v>2</v>
      </c>
      <c r="F1359" s="46" t="s">
        <v>60</v>
      </c>
      <c r="G1359" s="46">
        <v>3</v>
      </c>
      <c r="H1359" s="47">
        <v>31</v>
      </c>
      <c r="I1359" s="47" t="s">
        <v>116</v>
      </c>
      <c r="J1359" s="48">
        <v>0</v>
      </c>
      <c r="K1359" s="48">
        <v>0</v>
      </c>
      <c r="R1359" s="46">
        <f t="shared" si="141"/>
        <v>0</v>
      </c>
      <c r="S1359" s="46">
        <f t="shared" si="142"/>
        <v>0</v>
      </c>
      <c r="T1359" s="46">
        <f t="shared" si="140"/>
        <v>0</v>
      </c>
      <c r="U1359" s="46">
        <f t="shared" si="143"/>
        <v>0</v>
      </c>
      <c r="V1359" s="54">
        <f t="shared" si="144"/>
        <v>8.3333333333333339</v>
      </c>
    </row>
    <row r="1360" spans="1:22" x14ac:dyDescent="0.2">
      <c r="A1360" s="46" t="s">
        <v>31</v>
      </c>
      <c r="B1360" s="46" t="s">
        <v>50</v>
      </c>
      <c r="C1360" s="46" t="s">
        <v>93</v>
      </c>
      <c r="D1360" s="46" t="s">
        <v>178</v>
      </c>
      <c r="E1360" s="46">
        <v>4</v>
      </c>
      <c r="F1360" s="46" t="s">
        <v>60</v>
      </c>
      <c r="G1360" s="46">
        <v>3</v>
      </c>
      <c r="H1360" s="47">
        <v>35</v>
      </c>
      <c r="I1360" s="47" t="s">
        <v>159</v>
      </c>
      <c r="J1360" s="48">
        <v>0</v>
      </c>
      <c r="K1360" s="48">
        <v>0</v>
      </c>
      <c r="M1360" s="48">
        <v>1</v>
      </c>
      <c r="R1360" s="46">
        <f t="shared" si="141"/>
        <v>0</v>
      </c>
      <c r="S1360" s="46">
        <f t="shared" si="142"/>
        <v>0</v>
      </c>
      <c r="T1360" s="46">
        <f t="shared" si="140"/>
        <v>0</v>
      </c>
      <c r="U1360" s="46">
        <f t="shared" si="143"/>
        <v>20</v>
      </c>
      <c r="V1360" s="54">
        <f t="shared" si="144"/>
        <v>8.3333333333333339</v>
      </c>
    </row>
    <row r="1361" spans="1:22" x14ac:dyDescent="0.2">
      <c r="A1361" s="46" t="s">
        <v>31</v>
      </c>
      <c r="B1361" s="46" t="s">
        <v>50</v>
      </c>
      <c r="C1361" s="46" t="s">
        <v>93</v>
      </c>
      <c r="D1361" s="46" t="s">
        <v>178</v>
      </c>
      <c r="E1361" s="46">
        <v>2</v>
      </c>
      <c r="F1361" s="46" t="s">
        <v>60</v>
      </c>
      <c r="G1361" s="46">
        <v>1</v>
      </c>
      <c r="H1361" s="47">
        <v>37</v>
      </c>
      <c r="I1361" s="47" t="s">
        <v>101</v>
      </c>
      <c r="J1361" s="48">
        <v>0</v>
      </c>
      <c r="K1361" s="48">
        <v>1</v>
      </c>
      <c r="M1361" s="48">
        <v>1</v>
      </c>
      <c r="R1361" s="46">
        <f t="shared" si="141"/>
        <v>0</v>
      </c>
      <c r="S1361" s="46">
        <f t="shared" si="142"/>
        <v>0</v>
      </c>
      <c r="T1361" s="46">
        <f t="shared" si="140"/>
        <v>0</v>
      </c>
      <c r="U1361" s="46">
        <f t="shared" si="143"/>
        <v>20</v>
      </c>
      <c r="V1361" s="54">
        <f t="shared" si="144"/>
        <v>8.3333333333333339</v>
      </c>
    </row>
    <row r="1362" spans="1:22" x14ac:dyDescent="0.2">
      <c r="A1362" s="46" t="s">
        <v>31</v>
      </c>
      <c r="B1362" s="46" t="s">
        <v>50</v>
      </c>
      <c r="C1362" s="46" t="s">
        <v>93</v>
      </c>
      <c r="D1362" s="46" t="s">
        <v>178</v>
      </c>
      <c r="E1362" s="46">
        <v>4</v>
      </c>
      <c r="F1362" s="46" t="s">
        <v>60</v>
      </c>
      <c r="G1362" s="46">
        <v>4</v>
      </c>
      <c r="H1362" s="47">
        <v>44</v>
      </c>
      <c r="I1362" s="47" t="s">
        <v>102</v>
      </c>
      <c r="J1362" s="48">
        <v>0</v>
      </c>
      <c r="K1362" s="48">
        <v>0</v>
      </c>
      <c r="R1362" s="46">
        <f t="shared" si="141"/>
        <v>0</v>
      </c>
      <c r="S1362" s="46">
        <f t="shared" si="142"/>
        <v>0</v>
      </c>
      <c r="T1362" s="46">
        <f t="shared" ref="T1362:T1393" si="145">quizscore(J1362,K1362)</f>
        <v>0</v>
      </c>
      <c r="U1362" s="46">
        <f t="shared" si="143"/>
        <v>0</v>
      </c>
      <c r="V1362" s="54">
        <f t="shared" si="144"/>
        <v>8.3333333333333339</v>
      </c>
    </row>
    <row r="1363" spans="1:22" x14ac:dyDescent="0.2">
      <c r="A1363" s="46" t="s">
        <v>31</v>
      </c>
      <c r="B1363" s="46" t="s">
        <v>50</v>
      </c>
      <c r="C1363" s="46" t="s">
        <v>93</v>
      </c>
      <c r="D1363" s="46" t="s">
        <v>178</v>
      </c>
      <c r="E1363" s="46">
        <v>2</v>
      </c>
      <c r="F1363" s="46" t="s">
        <v>60</v>
      </c>
      <c r="G1363" s="46">
        <v>3</v>
      </c>
      <c r="H1363" s="47">
        <v>47</v>
      </c>
      <c r="I1363" s="47" t="s">
        <v>116</v>
      </c>
      <c r="J1363" s="48">
        <v>0</v>
      </c>
      <c r="K1363" s="48">
        <v>1</v>
      </c>
      <c r="R1363" s="46">
        <f t="shared" si="141"/>
        <v>0</v>
      </c>
      <c r="S1363" s="46">
        <f t="shared" si="142"/>
        <v>0</v>
      </c>
      <c r="T1363" s="46">
        <f t="shared" si="145"/>
        <v>0</v>
      </c>
      <c r="U1363" s="46">
        <f t="shared" si="143"/>
        <v>0</v>
      </c>
      <c r="V1363" s="54">
        <f t="shared" si="144"/>
        <v>8.3333333333333339</v>
      </c>
    </row>
    <row r="1364" spans="1:22" x14ac:dyDescent="0.2">
      <c r="A1364" s="46" t="s">
        <v>31</v>
      </c>
      <c r="B1364" s="46" t="s">
        <v>50</v>
      </c>
      <c r="C1364" s="46" t="s">
        <v>93</v>
      </c>
      <c r="D1364" s="46" t="s">
        <v>178</v>
      </c>
      <c r="E1364" s="46">
        <v>1</v>
      </c>
      <c r="F1364" s="46" t="s">
        <v>62</v>
      </c>
      <c r="G1364" s="46">
        <v>3</v>
      </c>
      <c r="H1364" s="47" t="s">
        <v>80</v>
      </c>
      <c r="I1364" s="47" t="s">
        <v>116</v>
      </c>
      <c r="J1364" s="48">
        <v>0</v>
      </c>
      <c r="K1364" s="48">
        <v>0</v>
      </c>
      <c r="R1364" s="46">
        <f t="shared" si="141"/>
        <v>0</v>
      </c>
      <c r="S1364" s="46">
        <f t="shared" si="142"/>
        <v>0</v>
      </c>
      <c r="T1364" s="46">
        <f t="shared" si="145"/>
        <v>0</v>
      </c>
      <c r="U1364" s="46">
        <f t="shared" si="143"/>
        <v>0</v>
      </c>
      <c r="V1364" s="54">
        <f t="shared" si="144"/>
        <v>8.3333333333333339</v>
      </c>
    </row>
    <row r="1365" spans="1:22" x14ac:dyDescent="0.2">
      <c r="A1365" s="46" t="s">
        <v>31</v>
      </c>
      <c r="B1365" s="46" t="s">
        <v>50</v>
      </c>
      <c r="C1365" s="46" t="s">
        <v>93</v>
      </c>
      <c r="D1365" s="46" t="s">
        <v>178</v>
      </c>
      <c r="E1365" s="46">
        <v>1</v>
      </c>
      <c r="F1365" s="46" t="s">
        <v>62</v>
      </c>
      <c r="G1365" s="46">
        <v>3</v>
      </c>
      <c r="H1365" s="47" t="s">
        <v>85</v>
      </c>
      <c r="I1365" s="47" t="s">
        <v>116</v>
      </c>
      <c r="J1365" s="48">
        <v>0</v>
      </c>
      <c r="K1365" s="48">
        <v>0</v>
      </c>
      <c r="R1365" s="46">
        <f t="shared" si="141"/>
        <v>0</v>
      </c>
      <c r="S1365" s="46">
        <f t="shared" si="142"/>
        <v>0</v>
      </c>
      <c r="T1365" s="46">
        <f t="shared" si="145"/>
        <v>0</v>
      </c>
      <c r="U1365" s="46">
        <f t="shared" si="143"/>
        <v>0</v>
      </c>
      <c r="V1365" s="54">
        <f t="shared" si="144"/>
        <v>8.3333333333333339</v>
      </c>
    </row>
    <row r="1366" spans="1:22" x14ac:dyDescent="0.2">
      <c r="A1366" s="46" t="s">
        <v>31</v>
      </c>
      <c r="B1366" s="46" t="s">
        <v>50</v>
      </c>
      <c r="C1366" s="46" t="s">
        <v>93</v>
      </c>
      <c r="D1366" s="46" t="s">
        <v>178</v>
      </c>
      <c r="E1366" s="46">
        <v>3</v>
      </c>
      <c r="F1366" s="46" t="s">
        <v>62</v>
      </c>
      <c r="G1366" s="46">
        <v>3</v>
      </c>
      <c r="H1366" s="47" t="s">
        <v>85</v>
      </c>
      <c r="I1366" s="47" t="s">
        <v>116</v>
      </c>
      <c r="J1366" s="48">
        <v>0</v>
      </c>
      <c r="K1366" s="48">
        <v>0</v>
      </c>
      <c r="R1366" s="46">
        <f t="shared" si="141"/>
        <v>0</v>
      </c>
      <c r="S1366" s="46">
        <f t="shared" si="142"/>
        <v>0</v>
      </c>
      <c r="T1366" s="46">
        <f t="shared" si="145"/>
        <v>0</v>
      </c>
      <c r="U1366" s="46">
        <f t="shared" si="143"/>
        <v>0</v>
      </c>
      <c r="V1366" s="54">
        <f t="shared" si="144"/>
        <v>8.3333333333333339</v>
      </c>
    </row>
    <row r="1367" spans="1:22" x14ac:dyDescent="0.2">
      <c r="A1367" s="46" t="s">
        <v>31</v>
      </c>
      <c r="B1367" s="46" t="s">
        <v>50</v>
      </c>
      <c r="C1367" s="46" t="s">
        <v>93</v>
      </c>
      <c r="D1367" s="46" t="s">
        <v>178</v>
      </c>
      <c r="E1367" s="46">
        <v>4</v>
      </c>
      <c r="F1367" s="46" t="s">
        <v>62</v>
      </c>
      <c r="G1367" s="46">
        <v>3</v>
      </c>
      <c r="H1367" s="47" t="s">
        <v>85</v>
      </c>
      <c r="I1367" s="47" t="s">
        <v>219</v>
      </c>
      <c r="J1367" s="48">
        <v>0</v>
      </c>
      <c r="K1367" s="48">
        <v>0</v>
      </c>
      <c r="R1367" s="46">
        <f t="shared" si="141"/>
        <v>0</v>
      </c>
      <c r="S1367" s="46">
        <f t="shared" si="142"/>
        <v>0</v>
      </c>
      <c r="T1367" s="46">
        <f t="shared" si="145"/>
        <v>0</v>
      </c>
      <c r="U1367" s="46">
        <f t="shared" si="143"/>
        <v>0</v>
      </c>
      <c r="V1367" s="54">
        <f t="shared" si="144"/>
        <v>8.3333333333333339</v>
      </c>
    </row>
    <row r="1368" spans="1:22" x14ac:dyDescent="0.2">
      <c r="A1368" s="46" t="s">
        <v>31</v>
      </c>
      <c r="B1368" s="46" t="s">
        <v>50</v>
      </c>
      <c r="C1368" s="46" t="s">
        <v>93</v>
      </c>
      <c r="D1368" s="46" t="s">
        <v>178</v>
      </c>
      <c r="E1368" s="46">
        <v>2</v>
      </c>
      <c r="F1368" s="46" t="s">
        <v>63</v>
      </c>
      <c r="G1368" s="46">
        <v>4</v>
      </c>
      <c r="H1368" s="47" t="s">
        <v>149</v>
      </c>
      <c r="I1368" s="47" t="s">
        <v>102</v>
      </c>
      <c r="J1368" s="48">
        <v>0</v>
      </c>
      <c r="K1368" s="48">
        <v>1</v>
      </c>
      <c r="R1368" s="46">
        <f t="shared" si="141"/>
        <v>0</v>
      </c>
      <c r="S1368" s="46">
        <f t="shared" si="142"/>
        <v>0</v>
      </c>
      <c r="T1368" s="46">
        <f t="shared" si="145"/>
        <v>0</v>
      </c>
      <c r="U1368" s="46">
        <f t="shared" si="143"/>
        <v>0</v>
      </c>
      <c r="V1368" s="54">
        <f t="shared" si="144"/>
        <v>8.3333333333333339</v>
      </c>
    </row>
    <row r="1369" spans="1:22" x14ac:dyDescent="0.2">
      <c r="A1369" s="46" t="s">
        <v>31</v>
      </c>
      <c r="B1369" s="46" t="s">
        <v>50</v>
      </c>
      <c r="C1369" s="46" t="s">
        <v>93</v>
      </c>
      <c r="D1369" s="46" t="s">
        <v>178</v>
      </c>
      <c r="E1369" s="46">
        <v>1</v>
      </c>
      <c r="F1369" s="46" t="s">
        <v>60</v>
      </c>
      <c r="G1369" s="46">
        <v>2</v>
      </c>
      <c r="H1369" s="47">
        <v>22</v>
      </c>
      <c r="I1369" s="47" t="s">
        <v>127</v>
      </c>
      <c r="J1369" s="48">
        <v>1</v>
      </c>
      <c r="K1369" s="48">
        <v>0</v>
      </c>
      <c r="N1369" s="48">
        <v>1</v>
      </c>
      <c r="R1369" s="46">
        <f t="shared" si="141"/>
        <v>0</v>
      </c>
      <c r="S1369" s="46">
        <f t="shared" si="142"/>
        <v>0</v>
      </c>
      <c r="T1369" s="46">
        <f t="shared" si="145"/>
        <v>20</v>
      </c>
      <c r="U1369" s="46">
        <f t="shared" si="143"/>
        <v>15</v>
      </c>
      <c r="V1369" s="54">
        <f t="shared" si="144"/>
        <v>8.3333333333333339</v>
      </c>
    </row>
    <row r="1370" spans="1:22" x14ac:dyDescent="0.2">
      <c r="A1370" s="46" t="s">
        <v>31</v>
      </c>
      <c r="B1370" s="46" t="s">
        <v>50</v>
      </c>
      <c r="C1370" s="46" t="s">
        <v>93</v>
      </c>
      <c r="D1370" s="46" t="s">
        <v>178</v>
      </c>
      <c r="E1370" s="46">
        <v>3</v>
      </c>
      <c r="F1370" s="46" t="s">
        <v>60</v>
      </c>
      <c r="G1370" s="46">
        <v>3</v>
      </c>
      <c r="H1370" s="47">
        <v>27</v>
      </c>
      <c r="I1370" s="47" t="s">
        <v>116</v>
      </c>
      <c r="J1370" s="48">
        <v>1</v>
      </c>
      <c r="K1370" s="48">
        <v>0</v>
      </c>
      <c r="R1370" s="46">
        <f t="shared" si="141"/>
        <v>0</v>
      </c>
      <c r="S1370" s="46">
        <f t="shared" si="142"/>
        <v>0</v>
      </c>
      <c r="T1370" s="46">
        <f t="shared" si="145"/>
        <v>20</v>
      </c>
      <c r="U1370" s="46">
        <f t="shared" si="143"/>
        <v>20</v>
      </c>
      <c r="V1370" s="54">
        <f t="shared" si="144"/>
        <v>8.3333333333333339</v>
      </c>
    </row>
    <row r="1371" spans="1:22" x14ac:dyDescent="0.2">
      <c r="A1371" s="46" t="s">
        <v>31</v>
      </c>
      <c r="B1371" s="46" t="s">
        <v>50</v>
      </c>
      <c r="C1371" s="46" t="s">
        <v>93</v>
      </c>
      <c r="D1371" s="46" t="s">
        <v>178</v>
      </c>
      <c r="E1371" s="46">
        <v>1</v>
      </c>
      <c r="F1371" s="46" t="s">
        <v>60</v>
      </c>
      <c r="G1371" s="46">
        <v>2</v>
      </c>
      <c r="H1371" s="47">
        <v>34</v>
      </c>
      <c r="I1371" s="47" t="s">
        <v>127</v>
      </c>
      <c r="J1371" s="48">
        <v>1</v>
      </c>
      <c r="K1371" s="48">
        <v>0</v>
      </c>
      <c r="R1371" s="46">
        <f t="shared" si="141"/>
        <v>0</v>
      </c>
      <c r="S1371" s="46">
        <f t="shared" si="142"/>
        <v>0</v>
      </c>
      <c r="T1371" s="46">
        <f t="shared" si="145"/>
        <v>20</v>
      </c>
      <c r="U1371" s="46">
        <f t="shared" si="143"/>
        <v>20</v>
      </c>
      <c r="V1371" s="54">
        <f t="shared" si="144"/>
        <v>8.3333333333333339</v>
      </c>
    </row>
    <row r="1372" spans="1:22" x14ac:dyDescent="0.2">
      <c r="A1372" s="46" t="s">
        <v>31</v>
      </c>
      <c r="B1372" s="46" t="s">
        <v>50</v>
      </c>
      <c r="C1372" s="46" t="s">
        <v>93</v>
      </c>
      <c r="D1372" s="46" t="s">
        <v>178</v>
      </c>
      <c r="E1372" s="46">
        <v>3</v>
      </c>
      <c r="F1372" s="46" t="s">
        <v>60</v>
      </c>
      <c r="G1372" s="46">
        <v>3</v>
      </c>
      <c r="H1372" s="47">
        <v>35</v>
      </c>
      <c r="I1372" s="47" t="s">
        <v>116</v>
      </c>
      <c r="J1372" s="48">
        <v>1</v>
      </c>
      <c r="K1372" s="48">
        <v>0</v>
      </c>
      <c r="R1372" s="46">
        <f t="shared" si="141"/>
        <v>0</v>
      </c>
      <c r="S1372" s="46">
        <f t="shared" si="142"/>
        <v>0</v>
      </c>
      <c r="T1372" s="46">
        <f t="shared" si="145"/>
        <v>20</v>
      </c>
      <c r="U1372" s="46">
        <f t="shared" si="143"/>
        <v>20</v>
      </c>
      <c r="V1372" s="54">
        <f t="shared" si="144"/>
        <v>8.3333333333333339</v>
      </c>
    </row>
    <row r="1373" spans="1:22" x14ac:dyDescent="0.2">
      <c r="A1373" s="46" t="s">
        <v>31</v>
      </c>
      <c r="B1373" s="46" t="s">
        <v>50</v>
      </c>
      <c r="C1373" s="46" t="s">
        <v>93</v>
      </c>
      <c r="D1373" s="46" t="s">
        <v>178</v>
      </c>
      <c r="E1373" s="46">
        <v>3</v>
      </c>
      <c r="F1373" s="46" t="s">
        <v>60</v>
      </c>
      <c r="G1373" s="46">
        <v>2</v>
      </c>
      <c r="H1373" s="47">
        <v>42</v>
      </c>
      <c r="I1373" s="47" t="s">
        <v>127</v>
      </c>
      <c r="J1373" s="48">
        <v>1</v>
      </c>
      <c r="K1373" s="48">
        <v>0</v>
      </c>
      <c r="R1373" s="46">
        <f t="shared" si="141"/>
        <v>0</v>
      </c>
      <c r="S1373" s="46">
        <f t="shared" si="142"/>
        <v>0</v>
      </c>
      <c r="T1373" s="46">
        <f t="shared" si="145"/>
        <v>20</v>
      </c>
      <c r="U1373" s="46">
        <f t="shared" si="143"/>
        <v>20</v>
      </c>
      <c r="V1373" s="54">
        <f t="shared" si="144"/>
        <v>8.3333333333333339</v>
      </c>
    </row>
    <row r="1374" spans="1:22" x14ac:dyDescent="0.2">
      <c r="A1374" s="46" t="s">
        <v>31</v>
      </c>
      <c r="B1374" s="46" t="s">
        <v>50</v>
      </c>
      <c r="C1374" s="46" t="s">
        <v>93</v>
      </c>
      <c r="D1374" s="46" t="s">
        <v>178</v>
      </c>
      <c r="E1374" s="46">
        <v>4</v>
      </c>
      <c r="F1374" s="46" t="s">
        <v>62</v>
      </c>
      <c r="G1374" s="46">
        <v>2</v>
      </c>
      <c r="H1374" s="47" t="s">
        <v>79</v>
      </c>
      <c r="I1374" s="47" t="s">
        <v>127</v>
      </c>
      <c r="J1374" s="48">
        <v>1</v>
      </c>
      <c r="K1374" s="48">
        <v>0</v>
      </c>
      <c r="R1374" s="46">
        <f t="shared" si="141"/>
        <v>0</v>
      </c>
      <c r="S1374" s="46">
        <f t="shared" si="142"/>
        <v>0</v>
      </c>
      <c r="T1374" s="46">
        <f t="shared" si="145"/>
        <v>20</v>
      </c>
      <c r="U1374" s="46">
        <f t="shared" si="143"/>
        <v>20</v>
      </c>
      <c r="V1374" s="54">
        <f t="shared" si="144"/>
        <v>8.3333333333333339</v>
      </c>
    </row>
    <row r="1375" spans="1:22" x14ac:dyDescent="0.2">
      <c r="A1375" s="46" t="s">
        <v>31</v>
      </c>
      <c r="B1375" s="46" t="s">
        <v>50</v>
      </c>
      <c r="C1375" s="46" t="s">
        <v>93</v>
      </c>
      <c r="D1375" s="46" t="s">
        <v>178</v>
      </c>
      <c r="E1375" s="46">
        <v>2</v>
      </c>
      <c r="F1375" s="46" t="s">
        <v>63</v>
      </c>
      <c r="G1375" s="46">
        <v>4</v>
      </c>
      <c r="H1375" s="47" t="s">
        <v>146</v>
      </c>
      <c r="I1375" s="47" t="s">
        <v>102</v>
      </c>
      <c r="J1375" s="48">
        <v>1</v>
      </c>
      <c r="K1375" s="48">
        <v>1</v>
      </c>
      <c r="R1375" s="46">
        <f t="shared" si="141"/>
        <v>0</v>
      </c>
      <c r="S1375" s="46">
        <f t="shared" si="142"/>
        <v>0</v>
      </c>
      <c r="T1375" s="46">
        <f t="shared" si="145"/>
        <v>20</v>
      </c>
      <c r="U1375" s="46">
        <f t="shared" si="143"/>
        <v>20</v>
      </c>
      <c r="V1375" s="54">
        <f t="shared" si="144"/>
        <v>8.3333333333333339</v>
      </c>
    </row>
    <row r="1376" spans="1:22" x14ac:dyDescent="0.2">
      <c r="A1376" s="46" t="s">
        <v>31</v>
      </c>
      <c r="B1376" s="46" t="s">
        <v>50</v>
      </c>
      <c r="C1376" s="46" t="s">
        <v>93</v>
      </c>
      <c r="D1376" s="46" t="s">
        <v>178</v>
      </c>
      <c r="E1376" s="46">
        <v>2</v>
      </c>
      <c r="F1376" s="46" t="s">
        <v>63</v>
      </c>
      <c r="G1376" s="46">
        <v>4</v>
      </c>
      <c r="H1376" s="47" t="s">
        <v>172</v>
      </c>
      <c r="I1376" s="47" t="s">
        <v>102</v>
      </c>
      <c r="J1376" s="48">
        <v>1</v>
      </c>
      <c r="K1376" s="48">
        <v>0</v>
      </c>
      <c r="O1376" s="48">
        <v>1</v>
      </c>
      <c r="R1376" s="46">
        <f t="shared" si="141"/>
        <v>0</v>
      </c>
      <c r="S1376" s="46">
        <f t="shared" si="142"/>
        <v>0</v>
      </c>
      <c r="T1376" s="46">
        <f t="shared" si="145"/>
        <v>20</v>
      </c>
      <c r="U1376" s="46">
        <f t="shared" si="143"/>
        <v>30</v>
      </c>
      <c r="V1376" s="54">
        <f t="shared" si="144"/>
        <v>8.3333333333333339</v>
      </c>
    </row>
    <row r="1377" spans="1:22" x14ac:dyDescent="0.2">
      <c r="A1377" s="46" t="s">
        <v>31</v>
      </c>
      <c r="B1377" s="46" t="s">
        <v>50</v>
      </c>
      <c r="C1377" s="46" t="s">
        <v>93</v>
      </c>
      <c r="D1377" s="46" t="s">
        <v>178</v>
      </c>
      <c r="E1377" s="46">
        <v>2</v>
      </c>
      <c r="F1377" s="46" t="s">
        <v>60</v>
      </c>
      <c r="G1377" s="46">
        <v>4</v>
      </c>
      <c r="H1377" s="47">
        <v>4</v>
      </c>
      <c r="I1377" s="47" t="s">
        <v>102</v>
      </c>
      <c r="J1377" s="48">
        <v>2</v>
      </c>
      <c r="K1377" s="48">
        <v>1</v>
      </c>
      <c r="R1377" s="46">
        <f t="shared" si="141"/>
        <v>0</v>
      </c>
      <c r="S1377" s="46">
        <f t="shared" si="142"/>
        <v>0</v>
      </c>
      <c r="T1377" s="46">
        <f t="shared" si="145"/>
        <v>40</v>
      </c>
      <c r="U1377" s="46">
        <f t="shared" si="143"/>
        <v>40</v>
      </c>
      <c r="V1377" s="54">
        <f t="shared" si="144"/>
        <v>8.3333333333333339</v>
      </c>
    </row>
    <row r="1378" spans="1:22" x14ac:dyDescent="0.2">
      <c r="A1378" s="46" t="s">
        <v>31</v>
      </c>
      <c r="B1378" s="46" t="s">
        <v>50</v>
      </c>
      <c r="C1378" s="46" t="s">
        <v>93</v>
      </c>
      <c r="D1378" s="46" t="s">
        <v>178</v>
      </c>
      <c r="E1378" s="46">
        <v>1</v>
      </c>
      <c r="F1378" s="46" t="s">
        <v>60</v>
      </c>
      <c r="G1378" s="46">
        <v>4</v>
      </c>
      <c r="H1378" s="47">
        <v>44</v>
      </c>
      <c r="I1378" s="47" t="s">
        <v>102</v>
      </c>
      <c r="J1378" s="48">
        <v>2</v>
      </c>
      <c r="K1378" s="48">
        <v>1</v>
      </c>
      <c r="R1378" s="46">
        <f t="shared" si="141"/>
        <v>0</v>
      </c>
      <c r="S1378" s="46">
        <f t="shared" si="142"/>
        <v>0</v>
      </c>
      <c r="T1378" s="46">
        <f t="shared" si="145"/>
        <v>40</v>
      </c>
      <c r="U1378" s="46">
        <f t="shared" si="143"/>
        <v>40</v>
      </c>
      <c r="V1378" s="54">
        <f t="shared" si="144"/>
        <v>8.3333333333333339</v>
      </c>
    </row>
    <row r="1379" spans="1:22" x14ac:dyDescent="0.2">
      <c r="A1379" s="46" t="s">
        <v>31</v>
      </c>
      <c r="B1379" s="46" t="s">
        <v>50</v>
      </c>
      <c r="C1379" s="46" t="s">
        <v>93</v>
      </c>
      <c r="D1379" s="46" t="s">
        <v>178</v>
      </c>
      <c r="E1379" s="46">
        <v>2</v>
      </c>
      <c r="F1379" s="46" t="s">
        <v>63</v>
      </c>
      <c r="G1379" s="46">
        <v>4</v>
      </c>
      <c r="H1379" s="47" t="s">
        <v>152</v>
      </c>
      <c r="I1379" s="47" t="s">
        <v>102</v>
      </c>
      <c r="J1379" s="48">
        <v>2</v>
      </c>
      <c r="K1379" s="48">
        <v>1</v>
      </c>
      <c r="O1379" s="48">
        <v>1</v>
      </c>
      <c r="R1379" s="46">
        <f t="shared" si="141"/>
        <v>0</v>
      </c>
      <c r="S1379" s="46">
        <f t="shared" si="142"/>
        <v>0</v>
      </c>
      <c r="T1379" s="46">
        <f t="shared" si="145"/>
        <v>40</v>
      </c>
      <c r="U1379" s="46">
        <f t="shared" si="143"/>
        <v>50</v>
      </c>
      <c r="V1379" s="54">
        <f t="shared" si="144"/>
        <v>8.3333333333333339</v>
      </c>
    </row>
    <row r="1380" spans="1:22" x14ac:dyDescent="0.2">
      <c r="A1380" s="46" t="s">
        <v>31</v>
      </c>
      <c r="B1380" s="46" t="s">
        <v>50</v>
      </c>
      <c r="C1380" s="46" t="s">
        <v>93</v>
      </c>
      <c r="D1380" s="46" t="s">
        <v>178</v>
      </c>
      <c r="E1380" s="46">
        <v>5</v>
      </c>
      <c r="F1380" s="46" t="s">
        <v>60</v>
      </c>
      <c r="G1380" s="46">
        <v>4</v>
      </c>
      <c r="H1380" s="47">
        <v>12</v>
      </c>
      <c r="I1380" s="47" t="s">
        <v>102</v>
      </c>
      <c r="J1380" s="48">
        <v>0</v>
      </c>
      <c r="K1380" s="48">
        <v>0</v>
      </c>
      <c r="R1380" s="46">
        <f t="shared" si="141"/>
        <v>0</v>
      </c>
      <c r="S1380" s="46">
        <f t="shared" si="142"/>
        <v>0</v>
      </c>
      <c r="T1380" s="46">
        <f t="shared" si="145"/>
        <v>0</v>
      </c>
      <c r="U1380" s="46">
        <f t="shared" si="143"/>
        <v>0</v>
      </c>
      <c r="V1380" s="54">
        <f t="shared" si="144"/>
        <v>8.3333333333333339</v>
      </c>
    </row>
    <row r="1381" spans="1:22" x14ac:dyDescent="0.2">
      <c r="A1381" s="46" t="s">
        <v>31</v>
      </c>
      <c r="B1381" s="46" t="s">
        <v>50</v>
      </c>
      <c r="C1381" s="46" t="s">
        <v>93</v>
      </c>
      <c r="D1381" s="46" t="s">
        <v>178</v>
      </c>
      <c r="E1381" s="46">
        <v>5</v>
      </c>
      <c r="F1381" s="46" t="s">
        <v>60</v>
      </c>
      <c r="G1381" s="46">
        <v>2</v>
      </c>
      <c r="H1381" s="47">
        <v>18</v>
      </c>
      <c r="I1381" s="47" t="s">
        <v>127</v>
      </c>
      <c r="J1381" s="48">
        <v>0</v>
      </c>
      <c r="K1381" s="48">
        <v>0</v>
      </c>
      <c r="R1381" s="46">
        <f t="shared" si="141"/>
        <v>0</v>
      </c>
      <c r="S1381" s="46">
        <f t="shared" si="142"/>
        <v>0</v>
      </c>
      <c r="T1381" s="46">
        <f t="shared" si="145"/>
        <v>0</v>
      </c>
      <c r="U1381" s="46">
        <f t="shared" si="143"/>
        <v>0</v>
      </c>
      <c r="V1381" s="54">
        <f t="shared" si="144"/>
        <v>8.3333333333333339</v>
      </c>
    </row>
    <row r="1382" spans="1:22" x14ac:dyDescent="0.2">
      <c r="A1382" s="46" t="s">
        <v>31</v>
      </c>
      <c r="B1382" s="46" t="s">
        <v>50</v>
      </c>
      <c r="C1382" s="46" t="s">
        <v>93</v>
      </c>
      <c r="D1382" s="46" t="s">
        <v>178</v>
      </c>
      <c r="E1382" s="46">
        <v>5</v>
      </c>
      <c r="F1382" s="46" t="s">
        <v>60</v>
      </c>
      <c r="G1382" s="46">
        <v>1</v>
      </c>
      <c r="H1382" s="47">
        <v>25</v>
      </c>
      <c r="I1382" s="47" t="s">
        <v>101</v>
      </c>
      <c r="J1382" s="48">
        <v>0</v>
      </c>
      <c r="K1382" s="48">
        <v>0</v>
      </c>
      <c r="R1382" s="46">
        <f t="shared" si="141"/>
        <v>0</v>
      </c>
      <c r="S1382" s="46">
        <f t="shared" si="142"/>
        <v>0</v>
      </c>
      <c r="T1382" s="46">
        <f t="shared" si="145"/>
        <v>0</v>
      </c>
      <c r="U1382" s="46">
        <f t="shared" si="143"/>
        <v>0</v>
      </c>
      <c r="V1382" s="54">
        <f t="shared" si="144"/>
        <v>8.3333333333333339</v>
      </c>
    </row>
    <row r="1383" spans="1:22" x14ac:dyDescent="0.2">
      <c r="A1383" s="46" t="s">
        <v>31</v>
      </c>
      <c r="B1383" s="46" t="s">
        <v>50</v>
      </c>
      <c r="C1383" s="46" t="s">
        <v>93</v>
      </c>
      <c r="D1383" s="46" t="s">
        <v>178</v>
      </c>
      <c r="E1383" s="46">
        <v>5</v>
      </c>
      <c r="F1383" s="46" t="s">
        <v>60</v>
      </c>
      <c r="G1383" s="46">
        <v>1</v>
      </c>
      <c r="H1383" s="47">
        <v>33</v>
      </c>
      <c r="I1383" s="47" t="s">
        <v>101</v>
      </c>
      <c r="J1383" s="48">
        <v>0</v>
      </c>
      <c r="K1383" s="48">
        <v>0</v>
      </c>
      <c r="R1383" s="46">
        <f t="shared" si="141"/>
        <v>0</v>
      </c>
      <c r="S1383" s="46">
        <f t="shared" si="142"/>
        <v>0</v>
      </c>
      <c r="T1383" s="46">
        <f t="shared" si="145"/>
        <v>0</v>
      </c>
      <c r="U1383" s="46">
        <f t="shared" si="143"/>
        <v>0</v>
      </c>
      <c r="V1383" s="54">
        <f t="shared" si="144"/>
        <v>8.3333333333333339</v>
      </c>
    </row>
    <row r="1384" spans="1:22" x14ac:dyDescent="0.2">
      <c r="A1384" s="46" t="s">
        <v>31</v>
      </c>
      <c r="B1384" s="46" t="s">
        <v>50</v>
      </c>
      <c r="C1384" s="46" t="s">
        <v>93</v>
      </c>
      <c r="D1384" s="46" t="s">
        <v>178</v>
      </c>
      <c r="E1384" s="46">
        <v>5</v>
      </c>
      <c r="F1384" s="46" t="s">
        <v>60</v>
      </c>
      <c r="G1384" s="46">
        <v>3</v>
      </c>
      <c r="H1384" s="47">
        <v>39</v>
      </c>
      <c r="I1384" s="47" t="s">
        <v>159</v>
      </c>
      <c r="J1384" s="48">
        <v>1</v>
      </c>
      <c r="K1384" s="48">
        <v>1</v>
      </c>
      <c r="N1384" s="48">
        <v>1</v>
      </c>
      <c r="O1384" s="48">
        <v>1</v>
      </c>
      <c r="R1384" s="46">
        <f t="shared" si="141"/>
        <v>0</v>
      </c>
      <c r="S1384" s="46">
        <f t="shared" si="142"/>
        <v>0</v>
      </c>
      <c r="T1384" s="46">
        <f t="shared" si="145"/>
        <v>20</v>
      </c>
      <c r="U1384" s="46">
        <f t="shared" si="143"/>
        <v>25</v>
      </c>
      <c r="V1384" s="54">
        <f t="shared" si="144"/>
        <v>8.3333333333333339</v>
      </c>
    </row>
    <row r="1385" spans="1:22" x14ac:dyDescent="0.2">
      <c r="A1385" s="46" t="s">
        <v>31</v>
      </c>
      <c r="B1385" s="46" t="s">
        <v>50</v>
      </c>
      <c r="C1385" s="46" t="s">
        <v>93</v>
      </c>
      <c r="D1385" s="46" t="s">
        <v>178</v>
      </c>
      <c r="E1385" s="46">
        <v>5</v>
      </c>
      <c r="F1385" s="46" t="s">
        <v>60</v>
      </c>
      <c r="G1385" s="46">
        <v>3</v>
      </c>
      <c r="H1385" s="47">
        <v>47</v>
      </c>
      <c r="I1385" s="47" t="s">
        <v>159</v>
      </c>
      <c r="J1385" s="48">
        <v>0</v>
      </c>
      <c r="K1385" s="48">
        <v>0</v>
      </c>
      <c r="R1385" s="46">
        <f t="shared" si="141"/>
        <v>0</v>
      </c>
      <c r="S1385" s="46">
        <f t="shared" si="142"/>
        <v>0</v>
      </c>
      <c r="T1385" s="46">
        <f t="shared" si="145"/>
        <v>0</v>
      </c>
      <c r="U1385" s="46">
        <f t="shared" si="143"/>
        <v>0</v>
      </c>
      <c r="V1385" s="54">
        <f t="shared" si="144"/>
        <v>8.3333333333333339</v>
      </c>
    </row>
    <row r="1386" spans="1:22" x14ac:dyDescent="0.2">
      <c r="A1386" s="46" t="s">
        <v>31</v>
      </c>
      <c r="B1386" s="46" t="s">
        <v>50</v>
      </c>
      <c r="C1386" s="46" t="s">
        <v>93</v>
      </c>
      <c r="D1386" s="46" t="s">
        <v>178</v>
      </c>
      <c r="E1386" s="46">
        <v>5</v>
      </c>
      <c r="F1386" s="46" t="s">
        <v>62</v>
      </c>
      <c r="G1386" s="46">
        <v>3</v>
      </c>
      <c r="H1386" s="47" t="s">
        <v>80</v>
      </c>
      <c r="I1386" s="47" t="s">
        <v>219</v>
      </c>
      <c r="J1386" s="48">
        <v>0</v>
      </c>
      <c r="K1386" s="48">
        <v>1</v>
      </c>
      <c r="R1386" s="46">
        <f t="shared" si="141"/>
        <v>0</v>
      </c>
      <c r="S1386" s="46">
        <f t="shared" si="142"/>
        <v>0</v>
      </c>
      <c r="T1386" s="46">
        <f t="shared" si="145"/>
        <v>0</v>
      </c>
      <c r="U1386" s="46">
        <f t="shared" si="143"/>
        <v>0</v>
      </c>
      <c r="V1386" s="54">
        <f t="shared" si="144"/>
        <v>8.3333333333333339</v>
      </c>
    </row>
    <row r="1387" spans="1:22" x14ac:dyDescent="0.2">
      <c r="A1387" s="46" t="s">
        <v>31</v>
      </c>
      <c r="B1387" s="46" t="s">
        <v>50</v>
      </c>
      <c r="C1387" s="46" t="s">
        <v>93</v>
      </c>
      <c r="D1387" s="46" t="s">
        <v>178</v>
      </c>
      <c r="E1387" s="46">
        <v>5</v>
      </c>
      <c r="F1387" s="46" t="s">
        <v>62</v>
      </c>
      <c r="G1387" s="46">
        <v>3</v>
      </c>
      <c r="H1387" s="47" t="s">
        <v>85</v>
      </c>
      <c r="I1387" s="47" t="s">
        <v>219</v>
      </c>
      <c r="J1387" s="48">
        <v>0</v>
      </c>
      <c r="K1387" s="48">
        <v>0</v>
      </c>
      <c r="R1387" s="46">
        <f t="shared" si="141"/>
        <v>0</v>
      </c>
      <c r="S1387" s="46">
        <f t="shared" si="142"/>
        <v>0</v>
      </c>
      <c r="T1387" s="46">
        <f t="shared" si="145"/>
        <v>0</v>
      </c>
      <c r="U1387" s="46">
        <f t="shared" si="143"/>
        <v>0</v>
      </c>
      <c r="V1387" s="54">
        <f t="shared" si="144"/>
        <v>8.3333333333333339</v>
      </c>
    </row>
    <row r="1388" spans="1:22" x14ac:dyDescent="0.2">
      <c r="A1388" s="46" t="s">
        <v>203</v>
      </c>
      <c r="B1388" s="46" t="s">
        <v>49</v>
      </c>
      <c r="C1388" s="46" t="s">
        <v>93</v>
      </c>
      <c r="D1388" s="46" t="s">
        <v>178</v>
      </c>
      <c r="E1388" s="46">
        <v>4</v>
      </c>
      <c r="F1388" s="46" t="s">
        <v>60</v>
      </c>
      <c r="G1388" s="46">
        <v>2</v>
      </c>
      <c r="H1388" s="47">
        <v>22</v>
      </c>
      <c r="I1388" s="47" t="s">
        <v>127</v>
      </c>
      <c r="J1388" s="48">
        <v>0</v>
      </c>
      <c r="K1388" s="48">
        <v>2</v>
      </c>
      <c r="R1388" s="46">
        <f t="shared" si="141"/>
        <v>0</v>
      </c>
      <c r="S1388" s="46">
        <f t="shared" si="142"/>
        <v>0</v>
      </c>
      <c r="T1388" s="46">
        <f t="shared" si="145"/>
        <v>-10</v>
      </c>
      <c r="U1388" s="46">
        <f t="shared" si="143"/>
        <v>-10</v>
      </c>
      <c r="V1388" s="54">
        <f t="shared" si="144"/>
        <v>11.333333333333334</v>
      </c>
    </row>
    <row r="1389" spans="1:22" x14ac:dyDescent="0.2">
      <c r="A1389" s="46" t="s">
        <v>203</v>
      </c>
      <c r="B1389" s="46" t="s">
        <v>49</v>
      </c>
      <c r="C1389" s="46" t="s">
        <v>93</v>
      </c>
      <c r="D1389" s="46" t="s">
        <v>178</v>
      </c>
      <c r="E1389" s="46">
        <v>4</v>
      </c>
      <c r="F1389" s="46" t="s">
        <v>60</v>
      </c>
      <c r="G1389" s="46">
        <v>4</v>
      </c>
      <c r="H1389" s="47">
        <v>48</v>
      </c>
      <c r="I1389" s="47" t="s">
        <v>102</v>
      </c>
      <c r="J1389" s="48">
        <v>0</v>
      </c>
      <c r="K1389" s="48">
        <v>2</v>
      </c>
      <c r="R1389" s="46">
        <f t="shared" si="141"/>
        <v>0</v>
      </c>
      <c r="S1389" s="46">
        <f t="shared" si="142"/>
        <v>0</v>
      </c>
      <c r="T1389" s="46">
        <f t="shared" si="145"/>
        <v>-10</v>
      </c>
      <c r="U1389" s="46">
        <f t="shared" si="143"/>
        <v>-10</v>
      </c>
      <c r="V1389" s="54">
        <f t="shared" si="144"/>
        <v>11.333333333333334</v>
      </c>
    </row>
    <row r="1390" spans="1:22" x14ac:dyDescent="0.2">
      <c r="A1390" s="46" t="s">
        <v>203</v>
      </c>
      <c r="B1390" s="46" t="s">
        <v>49</v>
      </c>
      <c r="C1390" s="46" t="s">
        <v>93</v>
      </c>
      <c r="D1390" s="46" t="s">
        <v>178</v>
      </c>
      <c r="E1390" s="46">
        <v>2</v>
      </c>
      <c r="F1390" s="46" t="s">
        <v>60</v>
      </c>
      <c r="G1390" s="46">
        <v>2</v>
      </c>
      <c r="H1390" s="47">
        <v>2</v>
      </c>
      <c r="I1390" s="47" t="s">
        <v>127</v>
      </c>
      <c r="J1390" s="48">
        <v>0</v>
      </c>
      <c r="K1390" s="48">
        <v>0</v>
      </c>
      <c r="R1390" s="46">
        <f t="shared" si="141"/>
        <v>0</v>
      </c>
      <c r="S1390" s="46">
        <f t="shared" si="142"/>
        <v>0</v>
      </c>
      <c r="T1390" s="46">
        <f t="shared" si="145"/>
        <v>0</v>
      </c>
      <c r="U1390" s="46">
        <f t="shared" si="143"/>
        <v>0</v>
      </c>
      <c r="V1390" s="54">
        <f t="shared" si="144"/>
        <v>11.333333333333334</v>
      </c>
    </row>
    <row r="1391" spans="1:22" x14ac:dyDescent="0.2">
      <c r="A1391" s="46" t="s">
        <v>203</v>
      </c>
      <c r="B1391" s="46" t="s">
        <v>49</v>
      </c>
      <c r="C1391" s="46" t="s">
        <v>93</v>
      </c>
      <c r="D1391" s="46" t="s">
        <v>178</v>
      </c>
      <c r="E1391" s="46">
        <v>2</v>
      </c>
      <c r="F1391" s="46" t="s">
        <v>60</v>
      </c>
      <c r="G1391" s="46">
        <v>2</v>
      </c>
      <c r="H1391" s="47">
        <v>6</v>
      </c>
      <c r="I1391" s="47" t="s">
        <v>127</v>
      </c>
      <c r="J1391" s="48">
        <v>0</v>
      </c>
      <c r="K1391" s="48">
        <v>0</v>
      </c>
      <c r="R1391" s="46">
        <f t="shared" si="141"/>
        <v>0</v>
      </c>
      <c r="S1391" s="46">
        <f t="shared" si="142"/>
        <v>0</v>
      </c>
      <c r="T1391" s="46">
        <f t="shared" si="145"/>
        <v>0</v>
      </c>
      <c r="U1391" s="46">
        <f t="shared" si="143"/>
        <v>0</v>
      </c>
      <c r="V1391" s="54">
        <f t="shared" si="144"/>
        <v>11.333333333333334</v>
      </c>
    </row>
    <row r="1392" spans="1:22" x14ac:dyDescent="0.2">
      <c r="A1392" s="46" t="s">
        <v>203</v>
      </c>
      <c r="B1392" s="46" t="s">
        <v>49</v>
      </c>
      <c r="C1392" s="46" t="s">
        <v>93</v>
      </c>
      <c r="D1392" s="46" t="s">
        <v>178</v>
      </c>
      <c r="E1392" s="46">
        <v>3</v>
      </c>
      <c r="F1392" s="46" t="s">
        <v>60</v>
      </c>
      <c r="G1392" s="46">
        <v>4</v>
      </c>
      <c r="H1392" s="47">
        <v>8</v>
      </c>
      <c r="I1392" s="47" t="s">
        <v>102</v>
      </c>
      <c r="J1392" s="48">
        <v>0</v>
      </c>
      <c r="K1392" s="48">
        <v>0</v>
      </c>
      <c r="R1392" s="46">
        <f t="shared" si="141"/>
        <v>0</v>
      </c>
      <c r="S1392" s="46">
        <f t="shared" si="142"/>
        <v>0</v>
      </c>
      <c r="T1392" s="46">
        <f t="shared" si="145"/>
        <v>0</v>
      </c>
      <c r="U1392" s="46">
        <f t="shared" si="143"/>
        <v>0</v>
      </c>
      <c r="V1392" s="54">
        <f t="shared" si="144"/>
        <v>11.333333333333334</v>
      </c>
    </row>
    <row r="1393" spans="1:22" x14ac:dyDescent="0.2">
      <c r="A1393" s="46" t="s">
        <v>203</v>
      </c>
      <c r="B1393" s="46" t="s">
        <v>49</v>
      </c>
      <c r="C1393" s="46" t="s">
        <v>93</v>
      </c>
      <c r="D1393" s="46" t="s">
        <v>178</v>
      </c>
      <c r="E1393" s="46">
        <v>1</v>
      </c>
      <c r="F1393" s="46" t="s">
        <v>60</v>
      </c>
      <c r="G1393" s="46">
        <v>1</v>
      </c>
      <c r="H1393" s="47">
        <v>9</v>
      </c>
      <c r="I1393" s="47" t="s">
        <v>101</v>
      </c>
      <c r="J1393" s="48">
        <v>0</v>
      </c>
      <c r="K1393" s="48">
        <v>1</v>
      </c>
      <c r="R1393" s="46">
        <f t="shared" si="141"/>
        <v>0</v>
      </c>
      <c r="S1393" s="46">
        <f t="shared" si="142"/>
        <v>0</v>
      </c>
      <c r="T1393" s="46">
        <f t="shared" si="145"/>
        <v>0</v>
      </c>
      <c r="U1393" s="46">
        <f t="shared" si="143"/>
        <v>0</v>
      </c>
      <c r="V1393" s="54">
        <f t="shared" si="144"/>
        <v>11.333333333333334</v>
      </c>
    </row>
    <row r="1394" spans="1:22" x14ac:dyDescent="0.2">
      <c r="A1394" s="46" t="s">
        <v>203</v>
      </c>
      <c r="B1394" s="46" t="s">
        <v>49</v>
      </c>
      <c r="C1394" s="46" t="s">
        <v>93</v>
      </c>
      <c r="D1394" s="46" t="s">
        <v>178</v>
      </c>
      <c r="E1394" s="46">
        <v>4</v>
      </c>
      <c r="F1394" s="46" t="s">
        <v>60</v>
      </c>
      <c r="G1394" s="46">
        <v>1</v>
      </c>
      <c r="H1394" s="47">
        <v>13</v>
      </c>
      <c r="I1394" s="47" t="s">
        <v>101</v>
      </c>
      <c r="J1394" s="48">
        <v>0</v>
      </c>
      <c r="K1394" s="48">
        <v>0</v>
      </c>
      <c r="R1394" s="46">
        <f t="shared" si="141"/>
        <v>0</v>
      </c>
      <c r="S1394" s="46">
        <f t="shared" si="142"/>
        <v>0</v>
      </c>
      <c r="T1394" s="46">
        <f t="shared" ref="T1394:T1425" si="146">quizscore(J1394,K1394)</f>
        <v>0</v>
      </c>
      <c r="U1394" s="46">
        <f t="shared" si="143"/>
        <v>0</v>
      </c>
      <c r="V1394" s="54">
        <f t="shared" si="144"/>
        <v>11.333333333333334</v>
      </c>
    </row>
    <row r="1395" spans="1:22" x14ac:dyDescent="0.2">
      <c r="A1395" s="46" t="s">
        <v>203</v>
      </c>
      <c r="B1395" s="46" t="s">
        <v>49</v>
      </c>
      <c r="C1395" s="46" t="s">
        <v>93</v>
      </c>
      <c r="D1395" s="46" t="s">
        <v>178</v>
      </c>
      <c r="E1395" s="46">
        <v>3</v>
      </c>
      <c r="F1395" s="46" t="s">
        <v>60</v>
      </c>
      <c r="G1395" s="46">
        <v>4</v>
      </c>
      <c r="H1395" s="47">
        <v>16</v>
      </c>
      <c r="I1395" s="47" t="s">
        <v>102</v>
      </c>
      <c r="J1395" s="48">
        <v>0</v>
      </c>
      <c r="K1395" s="48">
        <v>0</v>
      </c>
      <c r="R1395" s="46">
        <f t="shared" si="141"/>
        <v>0</v>
      </c>
      <c r="S1395" s="46">
        <f t="shared" si="142"/>
        <v>0</v>
      </c>
      <c r="T1395" s="46">
        <f t="shared" si="146"/>
        <v>0</v>
      </c>
      <c r="U1395" s="46">
        <f t="shared" si="143"/>
        <v>0</v>
      </c>
      <c r="V1395" s="54">
        <f t="shared" si="144"/>
        <v>11.333333333333334</v>
      </c>
    </row>
    <row r="1396" spans="1:22" x14ac:dyDescent="0.2">
      <c r="A1396" s="46" t="s">
        <v>203</v>
      </c>
      <c r="B1396" s="46" t="s">
        <v>49</v>
      </c>
      <c r="C1396" s="46" t="s">
        <v>93</v>
      </c>
      <c r="D1396" s="46" t="s">
        <v>178</v>
      </c>
      <c r="E1396" s="46">
        <v>2</v>
      </c>
      <c r="F1396" s="46" t="s">
        <v>60</v>
      </c>
      <c r="G1396" s="46">
        <v>4</v>
      </c>
      <c r="H1396" s="47">
        <v>20</v>
      </c>
      <c r="I1396" s="47" t="s">
        <v>102</v>
      </c>
      <c r="J1396" s="48">
        <v>0</v>
      </c>
      <c r="K1396" s="48">
        <v>0</v>
      </c>
      <c r="L1396" s="48">
        <v>1</v>
      </c>
      <c r="R1396" s="46">
        <f t="shared" si="141"/>
        <v>0</v>
      </c>
      <c r="S1396" s="46">
        <f t="shared" si="142"/>
        <v>0</v>
      </c>
      <c r="T1396" s="46">
        <f t="shared" si="146"/>
        <v>0</v>
      </c>
      <c r="U1396" s="46">
        <f t="shared" si="143"/>
        <v>-5</v>
      </c>
      <c r="V1396" s="54">
        <f t="shared" si="144"/>
        <v>11.333333333333334</v>
      </c>
    </row>
    <row r="1397" spans="1:22" x14ac:dyDescent="0.2">
      <c r="A1397" s="46" t="s">
        <v>203</v>
      </c>
      <c r="B1397" s="46" t="s">
        <v>49</v>
      </c>
      <c r="C1397" s="46" t="s">
        <v>93</v>
      </c>
      <c r="D1397" s="46" t="s">
        <v>178</v>
      </c>
      <c r="E1397" s="46">
        <v>1</v>
      </c>
      <c r="F1397" s="46" t="s">
        <v>60</v>
      </c>
      <c r="G1397" s="46">
        <v>4</v>
      </c>
      <c r="H1397" s="47">
        <v>28</v>
      </c>
      <c r="I1397" s="47" t="s">
        <v>102</v>
      </c>
      <c r="J1397" s="48">
        <v>0</v>
      </c>
      <c r="K1397" s="48">
        <v>0</v>
      </c>
      <c r="R1397" s="46">
        <f t="shared" si="141"/>
        <v>0</v>
      </c>
      <c r="S1397" s="46">
        <f t="shared" si="142"/>
        <v>0</v>
      </c>
      <c r="T1397" s="46">
        <f t="shared" si="146"/>
        <v>0</v>
      </c>
      <c r="U1397" s="46">
        <f t="shared" si="143"/>
        <v>0</v>
      </c>
      <c r="V1397" s="54">
        <f t="shared" si="144"/>
        <v>11.333333333333334</v>
      </c>
    </row>
    <row r="1398" spans="1:22" x14ac:dyDescent="0.2">
      <c r="A1398" s="46" t="s">
        <v>203</v>
      </c>
      <c r="B1398" s="46" t="s">
        <v>49</v>
      </c>
      <c r="C1398" s="46" t="s">
        <v>93</v>
      </c>
      <c r="D1398" s="46" t="s">
        <v>178</v>
      </c>
      <c r="E1398" s="46">
        <v>2</v>
      </c>
      <c r="F1398" s="46" t="s">
        <v>60</v>
      </c>
      <c r="G1398" s="46">
        <v>4</v>
      </c>
      <c r="H1398" s="47">
        <v>28</v>
      </c>
      <c r="I1398" s="47" t="s">
        <v>102</v>
      </c>
      <c r="J1398" s="48">
        <v>0</v>
      </c>
      <c r="K1398" s="48">
        <v>1</v>
      </c>
      <c r="R1398" s="46">
        <f t="shared" si="141"/>
        <v>0</v>
      </c>
      <c r="S1398" s="46">
        <f t="shared" si="142"/>
        <v>0</v>
      </c>
      <c r="T1398" s="46">
        <f t="shared" si="146"/>
        <v>0</v>
      </c>
      <c r="U1398" s="46">
        <f t="shared" si="143"/>
        <v>0</v>
      </c>
      <c r="V1398" s="54">
        <f t="shared" si="144"/>
        <v>11.333333333333334</v>
      </c>
    </row>
    <row r="1399" spans="1:22" x14ac:dyDescent="0.2">
      <c r="A1399" s="46" t="s">
        <v>203</v>
      </c>
      <c r="B1399" s="46" t="s">
        <v>49</v>
      </c>
      <c r="C1399" s="46" t="s">
        <v>93</v>
      </c>
      <c r="D1399" s="46" t="s">
        <v>178</v>
      </c>
      <c r="E1399" s="46">
        <v>3</v>
      </c>
      <c r="F1399" s="46" t="s">
        <v>60</v>
      </c>
      <c r="G1399" s="46">
        <v>3</v>
      </c>
      <c r="H1399" s="47">
        <v>31</v>
      </c>
      <c r="I1399" s="47" t="s">
        <v>116</v>
      </c>
      <c r="J1399" s="48">
        <v>0</v>
      </c>
      <c r="K1399" s="48">
        <v>1</v>
      </c>
      <c r="R1399" s="46">
        <f t="shared" si="141"/>
        <v>0</v>
      </c>
      <c r="S1399" s="46">
        <f t="shared" si="142"/>
        <v>0</v>
      </c>
      <c r="T1399" s="46">
        <f t="shared" si="146"/>
        <v>0</v>
      </c>
      <c r="U1399" s="46">
        <f t="shared" si="143"/>
        <v>0</v>
      </c>
      <c r="V1399" s="54">
        <f t="shared" si="144"/>
        <v>11.333333333333334</v>
      </c>
    </row>
    <row r="1400" spans="1:22" x14ac:dyDescent="0.2">
      <c r="A1400" s="46" t="s">
        <v>203</v>
      </c>
      <c r="B1400" s="46" t="s">
        <v>49</v>
      </c>
      <c r="C1400" s="46" t="s">
        <v>93</v>
      </c>
      <c r="D1400" s="46" t="s">
        <v>178</v>
      </c>
      <c r="E1400" s="46">
        <v>1</v>
      </c>
      <c r="F1400" s="46" t="s">
        <v>60</v>
      </c>
      <c r="G1400" s="46">
        <v>1</v>
      </c>
      <c r="H1400" s="47">
        <v>33</v>
      </c>
      <c r="I1400" s="47" t="s">
        <v>101</v>
      </c>
      <c r="J1400" s="48">
        <v>0</v>
      </c>
      <c r="K1400" s="48">
        <v>1</v>
      </c>
      <c r="L1400" s="48">
        <v>1</v>
      </c>
      <c r="R1400" s="46">
        <f t="shared" si="141"/>
        <v>0</v>
      </c>
      <c r="S1400" s="46">
        <f t="shared" si="142"/>
        <v>0</v>
      </c>
      <c r="T1400" s="46">
        <f t="shared" si="146"/>
        <v>0</v>
      </c>
      <c r="U1400" s="46">
        <f t="shared" si="143"/>
        <v>-5</v>
      </c>
      <c r="V1400" s="54">
        <f t="shared" si="144"/>
        <v>11.333333333333334</v>
      </c>
    </row>
    <row r="1401" spans="1:22" x14ac:dyDescent="0.2">
      <c r="A1401" s="46" t="s">
        <v>203</v>
      </c>
      <c r="B1401" s="46" t="s">
        <v>49</v>
      </c>
      <c r="C1401" s="46" t="s">
        <v>93</v>
      </c>
      <c r="D1401" s="46" t="s">
        <v>178</v>
      </c>
      <c r="E1401" s="46">
        <v>1</v>
      </c>
      <c r="F1401" s="46" t="s">
        <v>60</v>
      </c>
      <c r="G1401" s="46">
        <v>2</v>
      </c>
      <c r="H1401" s="47">
        <v>50</v>
      </c>
      <c r="I1401" s="47" t="s">
        <v>127</v>
      </c>
      <c r="J1401" s="48">
        <v>0</v>
      </c>
      <c r="K1401" s="48">
        <v>0</v>
      </c>
      <c r="R1401" s="46">
        <f t="shared" si="141"/>
        <v>0</v>
      </c>
      <c r="S1401" s="46">
        <f t="shared" si="142"/>
        <v>0</v>
      </c>
      <c r="T1401" s="46">
        <f t="shared" si="146"/>
        <v>0</v>
      </c>
      <c r="U1401" s="46">
        <f t="shared" si="143"/>
        <v>0</v>
      </c>
      <c r="V1401" s="54">
        <f t="shared" si="144"/>
        <v>11.333333333333334</v>
      </c>
    </row>
    <row r="1402" spans="1:22" x14ac:dyDescent="0.2">
      <c r="A1402" s="46" t="s">
        <v>203</v>
      </c>
      <c r="B1402" s="46" t="s">
        <v>49</v>
      </c>
      <c r="C1402" s="46" t="s">
        <v>93</v>
      </c>
      <c r="D1402" s="46" t="s">
        <v>178</v>
      </c>
      <c r="E1402" s="46">
        <v>4</v>
      </c>
      <c r="F1402" s="46" t="s">
        <v>62</v>
      </c>
      <c r="G1402" s="46">
        <v>2</v>
      </c>
      <c r="H1402" s="47" t="s">
        <v>82</v>
      </c>
      <c r="I1402" s="47" t="s">
        <v>127</v>
      </c>
      <c r="J1402" s="48">
        <v>0</v>
      </c>
      <c r="K1402" s="48">
        <v>0</v>
      </c>
      <c r="R1402" s="46">
        <f t="shared" si="141"/>
        <v>0</v>
      </c>
      <c r="S1402" s="46">
        <f t="shared" si="142"/>
        <v>0</v>
      </c>
      <c r="T1402" s="46">
        <f t="shared" si="146"/>
        <v>0</v>
      </c>
      <c r="U1402" s="46">
        <f t="shared" si="143"/>
        <v>0</v>
      </c>
      <c r="V1402" s="54">
        <f t="shared" si="144"/>
        <v>11.333333333333334</v>
      </c>
    </row>
    <row r="1403" spans="1:22" x14ac:dyDescent="0.2">
      <c r="A1403" s="46" t="s">
        <v>203</v>
      </c>
      <c r="B1403" s="46" t="s">
        <v>49</v>
      </c>
      <c r="C1403" s="46" t="s">
        <v>93</v>
      </c>
      <c r="D1403" s="46" t="s">
        <v>178</v>
      </c>
      <c r="E1403" s="46">
        <v>2</v>
      </c>
      <c r="F1403" s="46" t="s">
        <v>62</v>
      </c>
      <c r="G1403" s="46">
        <v>3</v>
      </c>
      <c r="H1403" s="47" t="s">
        <v>84</v>
      </c>
      <c r="I1403" s="47" t="s">
        <v>116</v>
      </c>
      <c r="J1403" s="48">
        <v>0</v>
      </c>
      <c r="K1403" s="48">
        <v>0</v>
      </c>
      <c r="R1403" s="46">
        <f t="shared" si="141"/>
        <v>0</v>
      </c>
      <c r="S1403" s="46">
        <f t="shared" si="142"/>
        <v>0</v>
      </c>
      <c r="T1403" s="46">
        <f t="shared" si="146"/>
        <v>0</v>
      </c>
      <c r="U1403" s="46">
        <f t="shared" si="143"/>
        <v>0</v>
      </c>
      <c r="V1403" s="54">
        <f t="shared" si="144"/>
        <v>11.333333333333334</v>
      </c>
    </row>
    <row r="1404" spans="1:22" x14ac:dyDescent="0.2">
      <c r="A1404" s="46" t="s">
        <v>203</v>
      </c>
      <c r="B1404" s="46" t="s">
        <v>49</v>
      </c>
      <c r="C1404" s="46" t="s">
        <v>93</v>
      </c>
      <c r="D1404" s="46" t="s">
        <v>178</v>
      </c>
      <c r="E1404" s="46">
        <v>4</v>
      </c>
      <c r="F1404" s="46" t="s">
        <v>62</v>
      </c>
      <c r="G1404" s="46">
        <v>2</v>
      </c>
      <c r="H1404" s="47" t="s">
        <v>86</v>
      </c>
      <c r="I1404" s="47" t="s">
        <v>127</v>
      </c>
      <c r="J1404" s="48">
        <v>0</v>
      </c>
      <c r="K1404" s="48">
        <v>1</v>
      </c>
      <c r="R1404" s="46">
        <f t="shared" si="141"/>
        <v>0</v>
      </c>
      <c r="S1404" s="46">
        <f t="shared" si="142"/>
        <v>0</v>
      </c>
      <c r="T1404" s="46">
        <f t="shared" si="146"/>
        <v>0</v>
      </c>
      <c r="U1404" s="46">
        <f t="shared" si="143"/>
        <v>0</v>
      </c>
      <c r="V1404" s="54">
        <f t="shared" si="144"/>
        <v>11.333333333333334</v>
      </c>
    </row>
    <row r="1405" spans="1:22" x14ac:dyDescent="0.2">
      <c r="A1405" s="46" t="s">
        <v>203</v>
      </c>
      <c r="B1405" s="46" t="s">
        <v>49</v>
      </c>
      <c r="C1405" s="46" t="s">
        <v>93</v>
      </c>
      <c r="D1405" s="46" t="s">
        <v>178</v>
      </c>
      <c r="E1405" s="46">
        <v>1</v>
      </c>
      <c r="F1405" s="46" t="s">
        <v>63</v>
      </c>
      <c r="G1405" s="46">
        <v>4</v>
      </c>
      <c r="H1405" s="47" t="s">
        <v>149</v>
      </c>
      <c r="I1405" s="47" t="s">
        <v>102</v>
      </c>
      <c r="J1405" s="48">
        <v>1</v>
      </c>
      <c r="K1405" s="48">
        <v>3</v>
      </c>
      <c r="O1405" s="48">
        <v>1</v>
      </c>
      <c r="R1405" s="46">
        <f t="shared" si="141"/>
        <v>0</v>
      </c>
      <c r="S1405" s="46">
        <f t="shared" si="142"/>
        <v>1</v>
      </c>
      <c r="T1405" s="46">
        <f t="shared" si="146"/>
        <v>0</v>
      </c>
      <c r="U1405" s="46">
        <f t="shared" si="143"/>
        <v>10</v>
      </c>
      <c r="V1405" s="54">
        <f t="shared" si="144"/>
        <v>11.333333333333334</v>
      </c>
    </row>
    <row r="1406" spans="1:22" x14ac:dyDescent="0.2">
      <c r="A1406" s="46" t="s">
        <v>203</v>
      </c>
      <c r="B1406" s="46" t="s">
        <v>49</v>
      </c>
      <c r="C1406" s="46" t="s">
        <v>93</v>
      </c>
      <c r="D1406" s="46" t="s">
        <v>178</v>
      </c>
      <c r="E1406" s="46">
        <v>4</v>
      </c>
      <c r="F1406" s="46" t="s">
        <v>60</v>
      </c>
      <c r="G1406" s="46">
        <v>3</v>
      </c>
      <c r="H1406" s="47">
        <v>39</v>
      </c>
      <c r="I1406" s="47" t="s">
        <v>159</v>
      </c>
      <c r="J1406" s="48">
        <v>1</v>
      </c>
      <c r="K1406" s="48">
        <v>2</v>
      </c>
      <c r="P1406" s="48">
        <v>1</v>
      </c>
      <c r="R1406" s="46">
        <f t="shared" si="141"/>
        <v>0</v>
      </c>
      <c r="S1406" s="46">
        <f t="shared" si="142"/>
        <v>0</v>
      </c>
      <c r="T1406" s="46">
        <f t="shared" si="146"/>
        <v>10</v>
      </c>
      <c r="U1406" s="46">
        <f t="shared" si="143"/>
        <v>20</v>
      </c>
      <c r="V1406" s="54">
        <f t="shared" si="144"/>
        <v>11.333333333333334</v>
      </c>
    </row>
    <row r="1407" spans="1:22" x14ac:dyDescent="0.2">
      <c r="A1407" s="46" t="s">
        <v>203</v>
      </c>
      <c r="B1407" s="46" t="s">
        <v>49</v>
      </c>
      <c r="C1407" s="46" t="s">
        <v>93</v>
      </c>
      <c r="D1407" s="46" t="s">
        <v>178</v>
      </c>
      <c r="E1407" s="46">
        <v>1</v>
      </c>
      <c r="F1407" s="46" t="s">
        <v>60</v>
      </c>
      <c r="G1407" s="46">
        <v>3</v>
      </c>
      <c r="H1407" s="47">
        <v>19</v>
      </c>
      <c r="I1407" s="47" t="s">
        <v>116</v>
      </c>
      <c r="J1407" s="48">
        <v>1</v>
      </c>
      <c r="K1407" s="48">
        <v>1</v>
      </c>
      <c r="R1407" s="46">
        <f t="shared" si="141"/>
        <v>0</v>
      </c>
      <c r="S1407" s="46">
        <f t="shared" si="142"/>
        <v>0</v>
      </c>
      <c r="T1407" s="46">
        <f t="shared" si="146"/>
        <v>20</v>
      </c>
      <c r="U1407" s="46">
        <f t="shared" si="143"/>
        <v>20</v>
      </c>
      <c r="V1407" s="54">
        <f t="shared" si="144"/>
        <v>11.333333333333334</v>
      </c>
    </row>
    <row r="1408" spans="1:22" x14ac:dyDescent="0.2">
      <c r="A1408" s="46" t="s">
        <v>203</v>
      </c>
      <c r="B1408" s="46" t="s">
        <v>49</v>
      </c>
      <c r="C1408" s="46" t="s">
        <v>93</v>
      </c>
      <c r="D1408" s="46" t="s">
        <v>178</v>
      </c>
      <c r="E1408" s="46">
        <v>3</v>
      </c>
      <c r="F1408" s="46" t="s">
        <v>60</v>
      </c>
      <c r="G1408" s="46">
        <v>3</v>
      </c>
      <c r="H1408" s="47">
        <v>23</v>
      </c>
      <c r="I1408" s="47" t="s">
        <v>116</v>
      </c>
      <c r="J1408" s="48">
        <v>1</v>
      </c>
      <c r="K1408" s="48">
        <v>1</v>
      </c>
      <c r="O1408" s="48">
        <v>1</v>
      </c>
      <c r="R1408" s="46">
        <f t="shared" si="141"/>
        <v>0</v>
      </c>
      <c r="S1408" s="46">
        <f t="shared" si="142"/>
        <v>0</v>
      </c>
      <c r="T1408" s="46">
        <f t="shared" si="146"/>
        <v>20</v>
      </c>
      <c r="U1408" s="46">
        <f t="shared" si="143"/>
        <v>30</v>
      </c>
      <c r="V1408" s="54">
        <f t="shared" si="144"/>
        <v>11.333333333333334</v>
      </c>
    </row>
    <row r="1409" spans="1:22" x14ac:dyDescent="0.2">
      <c r="A1409" s="46" t="s">
        <v>203</v>
      </c>
      <c r="B1409" s="46" t="s">
        <v>49</v>
      </c>
      <c r="C1409" s="46" t="s">
        <v>93</v>
      </c>
      <c r="D1409" s="46" t="s">
        <v>178</v>
      </c>
      <c r="E1409" s="46">
        <v>4</v>
      </c>
      <c r="F1409" s="46" t="s">
        <v>60</v>
      </c>
      <c r="G1409" s="46">
        <v>3</v>
      </c>
      <c r="H1409" s="47">
        <v>31</v>
      </c>
      <c r="I1409" s="47" t="s">
        <v>159</v>
      </c>
      <c r="J1409" s="48">
        <v>1</v>
      </c>
      <c r="K1409" s="48">
        <v>0</v>
      </c>
      <c r="R1409" s="46">
        <f t="shared" si="141"/>
        <v>0</v>
      </c>
      <c r="S1409" s="46">
        <f t="shared" si="142"/>
        <v>0</v>
      </c>
      <c r="T1409" s="46">
        <f t="shared" si="146"/>
        <v>20</v>
      </c>
      <c r="U1409" s="46">
        <f t="shared" si="143"/>
        <v>20</v>
      </c>
      <c r="V1409" s="54">
        <f t="shared" si="144"/>
        <v>11.333333333333334</v>
      </c>
    </row>
    <row r="1410" spans="1:22" x14ac:dyDescent="0.2">
      <c r="A1410" s="46" t="s">
        <v>203</v>
      </c>
      <c r="B1410" s="46" t="s">
        <v>49</v>
      </c>
      <c r="C1410" s="46" t="s">
        <v>93</v>
      </c>
      <c r="D1410" s="46" t="s">
        <v>178</v>
      </c>
      <c r="E1410" s="46">
        <v>3</v>
      </c>
      <c r="F1410" s="46" t="s">
        <v>60</v>
      </c>
      <c r="G1410" s="46">
        <v>1</v>
      </c>
      <c r="H1410" s="47">
        <v>37</v>
      </c>
      <c r="I1410" s="47" t="s">
        <v>101</v>
      </c>
      <c r="J1410" s="48">
        <v>1</v>
      </c>
      <c r="K1410" s="48">
        <v>0</v>
      </c>
      <c r="L1410" s="48">
        <v>1</v>
      </c>
      <c r="R1410" s="46">
        <f t="shared" ref="R1410:R1473" si="147">IF(J1410=4,1,0)</f>
        <v>0</v>
      </c>
      <c r="S1410" s="46">
        <f t="shared" ref="S1410:S1473" si="148">IF(K1410=3,1,0)</f>
        <v>0</v>
      </c>
      <c r="T1410" s="46">
        <f t="shared" si="146"/>
        <v>20</v>
      </c>
      <c r="U1410" s="46">
        <f t="shared" ref="U1410:U1473" si="149">T1410+M1410*(20) + (SUM(O1410:Q1410)*(10)) - L1410*(5) - N1410*(5)</f>
        <v>15</v>
      </c>
      <c r="V1410" s="54">
        <f t="shared" ref="V1410:V1473" si="150">AVERAGEIFS(U:U,A:A,A1410,F:F,"Pre")</f>
        <v>11.333333333333334</v>
      </c>
    </row>
    <row r="1411" spans="1:22" x14ac:dyDescent="0.2">
      <c r="A1411" s="46" t="s">
        <v>203</v>
      </c>
      <c r="B1411" s="46" t="s">
        <v>49</v>
      </c>
      <c r="C1411" s="46" t="s">
        <v>93</v>
      </c>
      <c r="D1411" s="46" t="s">
        <v>178</v>
      </c>
      <c r="E1411" s="46">
        <v>2</v>
      </c>
      <c r="F1411" s="46" t="s">
        <v>62</v>
      </c>
      <c r="G1411" s="46">
        <v>2</v>
      </c>
      <c r="H1411" s="47" t="s">
        <v>79</v>
      </c>
      <c r="I1411" s="47" t="s">
        <v>127</v>
      </c>
      <c r="J1411" s="48">
        <v>1</v>
      </c>
      <c r="K1411" s="48">
        <v>1</v>
      </c>
      <c r="R1411" s="46">
        <f t="shared" si="147"/>
        <v>0</v>
      </c>
      <c r="S1411" s="46">
        <f t="shared" si="148"/>
        <v>0</v>
      </c>
      <c r="T1411" s="46">
        <f t="shared" si="146"/>
        <v>20</v>
      </c>
      <c r="U1411" s="46">
        <f t="shared" si="149"/>
        <v>20</v>
      </c>
      <c r="V1411" s="54">
        <f t="shared" si="150"/>
        <v>11.333333333333334</v>
      </c>
    </row>
    <row r="1412" spans="1:22" x14ac:dyDescent="0.2">
      <c r="A1412" s="46" t="s">
        <v>203</v>
      </c>
      <c r="B1412" s="46" t="s">
        <v>49</v>
      </c>
      <c r="C1412" s="46" t="s">
        <v>93</v>
      </c>
      <c r="D1412" s="46" t="s">
        <v>178</v>
      </c>
      <c r="E1412" s="46">
        <v>3</v>
      </c>
      <c r="F1412" s="46" t="s">
        <v>62</v>
      </c>
      <c r="G1412" s="46">
        <v>2</v>
      </c>
      <c r="H1412" s="47" t="s">
        <v>81</v>
      </c>
      <c r="I1412" s="47" t="s">
        <v>127</v>
      </c>
      <c r="J1412" s="48">
        <v>1</v>
      </c>
      <c r="K1412" s="48">
        <v>0</v>
      </c>
      <c r="O1412" s="48">
        <v>1</v>
      </c>
      <c r="R1412" s="46">
        <f t="shared" si="147"/>
        <v>0</v>
      </c>
      <c r="S1412" s="46">
        <f t="shared" si="148"/>
        <v>0</v>
      </c>
      <c r="T1412" s="46">
        <f t="shared" si="146"/>
        <v>20</v>
      </c>
      <c r="U1412" s="46">
        <f t="shared" si="149"/>
        <v>30</v>
      </c>
      <c r="V1412" s="54">
        <f t="shared" si="150"/>
        <v>11.333333333333334</v>
      </c>
    </row>
    <row r="1413" spans="1:22" x14ac:dyDescent="0.2">
      <c r="A1413" s="46" t="s">
        <v>203</v>
      </c>
      <c r="B1413" s="46" t="s">
        <v>49</v>
      </c>
      <c r="C1413" s="46" t="s">
        <v>93</v>
      </c>
      <c r="D1413" s="46" t="s">
        <v>178</v>
      </c>
      <c r="E1413" s="46">
        <v>3</v>
      </c>
      <c r="F1413" s="46" t="s">
        <v>62</v>
      </c>
      <c r="G1413" s="46">
        <v>2</v>
      </c>
      <c r="H1413" s="47" t="s">
        <v>82</v>
      </c>
      <c r="I1413" s="47" t="s">
        <v>127</v>
      </c>
      <c r="J1413" s="48">
        <v>1</v>
      </c>
      <c r="K1413" s="48">
        <v>0</v>
      </c>
      <c r="R1413" s="46">
        <f t="shared" si="147"/>
        <v>0</v>
      </c>
      <c r="S1413" s="46">
        <f t="shared" si="148"/>
        <v>0</v>
      </c>
      <c r="T1413" s="46">
        <f t="shared" si="146"/>
        <v>20</v>
      </c>
      <c r="U1413" s="46">
        <f t="shared" si="149"/>
        <v>20</v>
      </c>
      <c r="V1413" s="54">
        <f t="shared" si="150"/>
        <v>11.333333333333334</v>
      </c>
    </row>
    <row r="1414" spans="1:22" x14ac:dyDescent="0.2">
      <c r="A1414" s="46" t="s">
        <v>203</v>
      </c>
      <c r="B1414" s="46" t="s">
        <v>49</v>
      </c>
      <c r="C1414" s="46" t="s">
        <v>93</v>
      </c>
      <c r="D1414" s="46" t="s">
        <v>178</v>
      </c>
      <c r="E1414" s="46">
        <v>2</v>
      </c>
      <c r="F1414" s="46" t="s">
        <v>62</v>
      </c>
      <c r="G1414" s="46">
        <v>3</v>
      </c>
      <c r="H1414" s="47" t="s">
        <v>87</v>
      </c>
      <c r="I1414" s="47" t="s">
        <v>116</v>
      </c>
      <c r="J1414" s="48">
        <v>1</v>
      </c>
      <c r="K1414" s="48">
        <v>0</v>
      </c>
      <c r="R1414" s="46">
        <f t="shared" si="147"/>
        <v>0</v>
      </c>
      <c r="S1414" s="46">
        <f t="shared" si="148"/>
        <v>0</v>
      </c>
      <c r="T1414" s="46">
        <f t="shared" si="146"/>
        <v>20</v>
      </c>
      <c r="U1414" s="46">
        <f t="shared" si="149"/>
        <v>20</v>
      </c>
      <c r="V1414" s="54">
        <f t="shared" si="150"/>
        <v>11.333333333333334</v>
      </c>
    </row>
    <row r="1415" spans="1:22" x14ac:dyDescent="0.2">
      <c r="A1415" s="46" t="s">
        <v>203</v>
      </c>
      <c r="B1415" s="46" t="s">
        <v>49</v>
      </c>
      <c r="C1415" s="46" t="s">
        <v>93</v>
      </c>
      <c r="D1415" s="46" t="s">
        <v>178</v>
      </c>
      <c r="E1415" s="46">
        <v>4</v>
      </c>
      <c r="F1415" s="46" t="s">
        <v>62</v>
      </c>
      <c r="G1415" s="46">
        <v>3</v>
      </c>
      <c r="H1415" s="47" t="s">
        <v>64</v>
      </c>
      <c r="I1415" s="47" t="s">
        <v>219</v>
      </c>
      <c r="J1415" s="48">
        <v>1</v>
      </c>
      <c r="K1415" s="48">
        <v>1</v>
      </c>
      <c r="R1415" s="46">
        <f t="shared" si="147"/>
        <v>0</v>
      </c>
      <c r="S1415" s="46">
        <f t="shared" si="148"/>
        <v>0</v>
      </c>
      <c r="T1415" s="46">
        <f t="shared" si="146"/>
        <v>20</v>
      </c>
      <c r="U1415" s="46">
        <f t="shared" si="149"/>
        <v>20</v>
      </c>
      <c r="V1415" s="54">
        <f t="shared" si="150"/>
        <v>11.333333333333334</v>
      </c>
    </row>
    <row r="1416" spans="1:22" x14ac:dyDescent="0.2">
      <c r="A1416" s="46" t="s">
        <v>203</v>
      </c>
      <c r="B1416" s="46" t="s">
        <v>49</v>
      </c>
      <c r="C1416" s="46" t="s">
        <v>93</v>
      </c>
      <c r="D1416" s="46" t="s">
        <v>178</v>
      </c>
      <c r="E1416" s="46">
        <v>3</v>
      </c>
      <c r="F1416" s="46" t="s">
        <v>62</v>
      </c>
      <c r="G1416" s="46">
        <v>2</v>
      </c>
      <c r="H1416" s="47" t="s">
        <v>83</v>
      </c>
      <c r="I1416" s="47" t="s">
        <v>127</v>
      </c>
      <c r="J1416" s="48">
        <v>1</v>
      </c>
      <c r="K1416" s="48">
        <v>1</v>
      </c>
      <c r="R1416" s="46">
        <f t="shared" si="147"/>
        <v>0</v>
      </c>
      <c r="S1416" s="46">
        <f t="shared" si="148"/>
        <v>0</v>
      </c>
      <c r="T1416" s="46">
        <f t="shared" si="146"/>
        <v>20</v>
      </c>
      <c r="U1416" s="46">
        <f t="shared" si="149"/>
        <v>20</v>
      </c>
      <c r="V1416" s="54">
        <f t="shared" si="150"/>
        <v>11.333333333333334</v>
      </c>
    </row>
    <row r="1417" spans="1:22" x14ac:dyDescent="0.2">
      <c r="A1417" s="46" t="s">
        <v>203</v>
      </c>
      <c r="B1417" s="46" t="s">
        <v>49</v>
      </c>
      <c r="C1417" s="46" t="s">
        <v>93</v>
      </c>
      <c r="D1417" s="46" t="s">
        <v>178</v>
      </c>
      <c r="E1417" s="46">
        <v>2</v>
      </c>
      <c r="F1417" s="46" t="s">
        <v>60</v>
      </c>
      <c r="G1417" s="46">
        <v>3</v>
      </c>
      <c r="H1417" s="47">
        <v>35</v>
      </c>
      <c r="I1417" s="47" t="s">
        <v>116</v>
      </c>
      <c r="J1417" s="48">
        <v>2</v>
      </c>
      <c r="K1417" s="48">
        <v>0</v>
      </c>
      <c r="R1417" s="46">
        <f t="shared" si="147"/>
        <v>0</v>
      </c>
      <c r="S1417" s="46">
        <f t="shared" si="148"/>
        <v>0</v>
      </c>
      <c r="T1417" s="46">
        <f t="shared" si="146"/>
        <v>40</v>
      </c>
      <c r="U1417" s="46">
        <f t="shared" si="149"/>
        <v>40</v>
      </c>
      <c r="V1417" s="54">
        <f t="shared" si="150"/>
        <v>11.333333333333334</v>
      </c>
    </row>
    <row r="1418" spans="1:22" x14ac:dyDescent="0.2">
      <c r="A1418" s="46" t="s">
        <v>203</v>
      </c>
      <c r="B1418" s="46" t="s">
        <v>49</v>
      </c>
      <c r="C1418" s="46" t="s">
        <v>93</v>
      </c>
      <c r="D1418" s="46" t="s">
        <v>178</v>
      </c>
      <c r="E1418" s="46">
        <v>1</v>
      </c>
      <c r="F1418" s="46" t="s">
        <v>60</v>
      </c>
      <c r="G1418" s="46">
        <v>4</v>
      </c>
      <c r="H1418" s="47">
        <v>44</v>
      </c>
      <c r="I1418" s="47" t="s">
        <v>102</v>
      </c>
      <c r="J1418" s="48">
        <v>2</v>
      </c>
      <c r="K1418" s="48">
        <v>0</v>
      </c>
      <c r="R1418" s="46">
        <f t="shared" si="147"/>
        <v>0</v>
      </c>
      <c r="S1418" s="46">
        <f t="shared" si="148"/>
        <v>0</v>
      </c>
      <c r="T1418" s="46">
        <f t="shared" si="146"/>
        <v>40</v>
      </c>
      <c r="U1418" s="46">
        <f t="shared" si="149"/>
        <v>40</v>
      </c>
      <c r="V1418" s="54">
        <f t="shared" si="150"/>
        <v>11.333333333333334</v>
      </c>
    </row>
    <row r="1419" spans="1:22" x14ac:dyDescent="0.2">
      <c r="A1419" s="46" t="s">
        <v>203</v>
      </c>
      <c r="B1419" s="46" t="s">
        <v>49</v>
      </c>
      <c r="C1419" s="46" t="s">
        <v>93</v>
      </c>
      <c r="D1419" s="46" t="s">
        <v>178</v>
      </c>
      <c r="E1419" s="46">
        <v>2</v>
      </c>
      <c r="F1419" s="46" t="s">
        <v>60</v>
      </c>
      <c r="G1419" s="46">
        <v>1</v>
      </c>
      <c r="H1419" s="47">
        <v>45</v>
      </c>
      <c r="I1419" s="47" t="s">
        <v>101</v>
      </c>
      <c r="J1419" s="48">
        <v>2</v>
      </c>
      <c r="K1419" s="48">
        <v>1</v>
      </c>
      <c r="R1419" s="46">
        <f t="shared" si="147"/>
        <v>0</v>
      </c>
      <c r="S1419" s="46">
        <f t="shared" si="148"/>
        <v>0</v>
      </c>
      <c r="T1419" s="46">
        <f t="shared" si="146"/>
        <v>40</v>
      </c>
      <c r="U1419" s="46">
        <f t="shared" si="149"/>
        <v>40</v>
      </c>
      <c r="V1419" s="54">
        <f t="shared" si="150"/>
        <v>11.333333333333334</v>
      </c>
    </row>
    <row r="1420" spans="1:22" x14ac:dyDescent="0.2">
      <c r="A1420" s="46" t="s">
        <v>203</v>
      </c>
      <c r="B1420" s="46" t="s">
        <v>49</v>
      </c>
      <c r="C1420" s="46" t="s">
        <v>93</v>
      </c>
      <c r="D1420" s="46" t="s">
        <v>178</v>
      </c>
      <c r="E1420" s="46">
        <v>4</v>
      </c>
      <c r="F1420" s="46" t="s">
        <v>62</v>
      </c>
      <c r="G1420" s="46">
        <v>2</v>
      </c>
      <c r="H1420" s="47" t="s">
        <v>81</v>
      </c>
      <c r="I1420" s="47" t="s">
        <v>127</v>
      </c>
      <c r="J1420" s="48">
        <v>2</v>
      </c>
      <c r="K1420" s="48">
        <v>0</v>
      </c>
      <c r="L1420" s="48">
        <v>1</v>
      </c>
      <c r="R1420" s="46">
        <f t="shared" si="147"/>
        <v>0</v>
      </c>
      <c r="S1420" s="46">
        <f t="shared" si="148"/>
        <v>0</v>
      </c>
      <c r="T1420" s="46">
        <f t="shared" si="146"/>
        <v>40</v>
      </c>
      <c r="U1420" s="46">
        <f t="shared" si="149"/>
        <v>35</v>
      </c>
      <c r="V1420" s="54">
        <f t="shared" si="150"/>
        <v>11.333333333333334</v>
      </c>
    </row>
    <row r="1421" spans="1:22" x14ac:dyDescent="0.2">
      <c r="A1421" s="46" t="s">
        <v>203</v>
      </c>
      <c r="B1421" s="46" t="s">
        <v>49</v>
      </c>
      <c r="C1421" s="46" t="s">
        <v>93</v>
      </c>
      <c r="D1421" s="46" t="s">
        <v>178</v>
      </c>
      <c r="E1421" s="46">
        <v>1</v>
      </c>
      <c r="F1421" s="46" t="s">
        <v>63</v>
      </c>
      <c r="G1421" s="46">
        <v>4</v>
      </c>
      <c r="H1421" s="47" t="s">
        <v>146</v>
      </c>
      <c r="I1421" s="47" t="s">
        <v>102</v>
      </c>
      <c r="J1421" s="48">
        <v>2</v>
      </c>
      <c r="K1421" s="48">
        <v>0</v>
      </c>
      <c r="R1421" s="46">
        <f t="shared" si="147"/>
        <v>0</v>
      </c>
      <c r="S1421" s="46">
        <f t="shared" si="148"/>
        <v>0</v>
      </c>
      <c r="T1421" s="46">
        <f t="shared" si="146"/>
        <v>40</v>
      </c>
      <c r="U1421" s="46">
        <f t="shared" si="149"/>
        <v>40</v>
      </c>
      <c r="V1421" s="54">
        <f t="shared" si="150"/>
        <v>11.333333333333334</v>
      </c>
    </row>
    <row r="1422" spans="1:22" x14ac:dyDescent="0.2">
      <c r="A1422" s="46" t="s">
        <v>203</v>
      </c>
      <c r="B1422" s="46" t="s">
        <v>49</v>
      </c>
      <c r="C1422" s="46" t="s">
        <v>93</v>
      </c>
      <c r="D1422" s="46" t="s">
        <v>178</v>
      </c>
      <c r="E1422" s="46">
        <v>1</v>
      </c>
      <c r="F1422" s="46" t="s">
        <v>63</v>
      </c>
      <c r="G1422" s="46">
        <v>4</v>
      </c>
      <c r="H1422" s="47" t="s">
        <v>172</v>
      </c>
      <c r="I1422" s="47" t="s">
        <v>102</v>
      </c>
      <c r="J1422" s="48">
        <v>2</v>
      </c>
      <c r="K1422" s="48">
        <v>1</v>
      </c>
      <c r="O1422" s="48">
        <v>1</v>
      </c>
      <c r="R1422" s="46">
        <f t="shared" si="147"/>
        <v>0</v>
      </c>
      <c r="S1422" s="46">
        <f t="shared" si="148"/>
        <v>0</v>
      </c>
      <c r="T1422" s="46">
        <f t="shared" si="146"/>
        <v>40</v>
      </c>
      <c r="U1422" s="46">
        <f t="shared" si="149"/>
        <v>50</v>
      </c>
      <c r="V1422" s="54">
        <f t="shared" si="150"/>
        <v>11.333333333333334</v>
      </c>
    </row>
    <row r="1423" spans="1:22" x14ac:dyDescent="0.2">
      <c r="A1423" s="46" t="s">
        <v>203</v>
      </c>
      <c r="B1423" s="46" t="s">
        <v>49</v>
      </c>
      <c r="C1423" s="46" t="s">
        <v>93</v>
      </c>
      <c r="D1423" s="46" t="s">
        <v>178</v>
      </c>
      <c r="E1423" s="46">
        <v>4</v>
      </c>
      <c r="F1423" s="46" t="s">
        <v>60</v>
      </c>
      <c r="G1423" s="46">
        <v>4</v>
      </c>
      <c r="H1423" s="47">
        <v>8</v>
      </c>
      <c r="I1423" s="47" t="s">
        <v>102</v>
      </c>
      <c r="J1423" s="48">
        <v>3</v>
      </c>
      <c r="K1423" s="48">
        <v>1</v>
      </c>
      <c r="R1423" s="46">
        <f t="shared" si="147"/>
        <v>0</v>
      </c>
      <c r="S1423" s="46">
        <f t="shared" si="148"/>
        <v>0</v>
      </c>
      <c r="T1423" s="46">
        <f t="shared" si="146"/>
        <v>60</v>
      </c>
      <c r="U1423" s="46">
        <f t="shared" si="149"/>
        <v>60</v>
      </c>
      <c r="V1423" s="54">
        <f t="shared" si="150"/>
        <v>11.333333333333334</v>
      </c>
    </row>
    <row r="1424" spans="1:22" x14ac:dyDescent="0.2">
      <c r="A1424" s="46" t="s">
        <v>203</v>
      </c>
      <c r="B1424" s="46" t="s">
        <v>49</v>
      </c>
      <c r="C1424" s="46" t="s">
        <v>93</v>
      </c>
      <c r="D1424" s="46" t="s">
        <v>178</v>
      </c>
      <c r="E1424" s="46">
        <v>3</v>
      </c>
      <c r="F1424" s="46" t="s">
        <v>60</v>
      </c>
      <c r="G1424" s="46">
        <v>2</v>
      </c>
      <c r="H1424" s="47">
        <v>46</v>
      </c>
      <c r="I1424" s="47" t="s">
        <v>127</v>
      </c>
      <c r="J1424" s="48">
        <v>3</v>
      </c>
      <c r="K1424" s="48">
        <v>0</v>
      </c>
      <c r="R1424" s="46">
        <f t="shared" si="147"/>
        <v>0</v>
      </c>
      <c r="S1424" s="46">
        <f t="shared" si="148"/>
        <v>0</v>
      </c>
      <c r="T1424" s="46">
        <f t="shared" si="146"/>
        <v>60</v>
      </c>
      <c r="U1424" s="46">
        <f t="shared" si="149"/>
        <v>60</v>
      </c>
      <c r="V1424" s="54">
        <f t="shared" si="150"/>
        <v>11.333333333333334</v>
      </c>
    </row>
    <row r="1425" spans="1:22" x14ac:dyDescent="0.2">
      <c r="A1425" s="46" t="s">
        <v>203</v>
      </c>
      <c r="B1425" s="46" t="s">
        <v>49</v>
      </c>
      <c r="C1425" s="46" t="s">
        <v>93</v>
      </c>
      <c r="D1425" s="46" t="s">
        <v>178</v>
      </c>
      <c r="E1425" s="46">
        <v>1</v>
      </c>
      <c r="F1425" s="46" t="s">
        <v>63</v>
      </c>
      <c r="G1425" s="46">
        <v>4</v>
      </c>
      <c r="H1425" s="47" t="s">
        <v>152</v>
      </c>
      <c r="I1425" s="47" t="s">
        <v>102</v>
      </c>
      <c r="J1425" s="48">
        <v>3</v>
      </c>
      <c r="K1425" s="48">
        <v>1</v>
      </c>
      <c r="R1425" s="46">
        <f t="shared" si="147"/>
        <v>0</v>
      </c>
      <c r="S1425" s="46">
        <f t="shared" si="148"/>
        <v>0</v>
      </c>
      <c r="T1425" s="46">
        <f t="shared" si="146"/>
        <v>60</v>
      </c>
      <c r="U1425" s="46">
        <f t="shared" si="149"/>
        <v>60</v>
      </c>
      <c r="V1425" s="54">
        <f t="shared" si="150"/>
        <v>11.333333333333334</v>
      </c>
    </row>
    <row r="1426" spans="1:22" x14ac:dyDescent="0.2">
      <c r="A1426" s="46" t="s">
        <v>203</v>
      </c>
      <c r="B1426" s="46" t="s">
        <v>49</v>
      </c>
      <c r="C1426" s="46" t="s">
        <v>93</v>
      </c>
      <c r="D1426" s="46" t="s">
        <v>178</v>
      </c>
      <c r="E1426" s="46">
        <v>3</v>
      </c>
      <c r="F1426" s="46" t="s">
        <v>62</v>
      </c>
      <c r="G1426" s="46">
        <v>2</v>
      </c>
      <c r="H1426" s="47" t="s">
        <v>86</v>
      </c>
      <c r="I1426" s="47" t="s">
        <v>127</v>
      </c>
      <c r="J1426" s="48">
        <v>4</v>
      </c>
      <c r="K1426" s="48">
        <v>1</v>
      </c>
      <c r="R1426" s="46">
        <f t="shared" si="147"/>
        <v>1</v>
      </c>
      <c r="S1426" s="46">
        <f t="shared" si="148"/>
        <v>0</v>
      </c>
      <c r="T1426" s="46">
        <f t="shared" ref="T1426:T1435" si="151">quizscore(J1426,K1426)</f>
        <v>80</v>
      </c>
      <c r="U1426" s="46">
        <f t="shared" si="149"/>
        <v>80</v>
      </c>
      <c r="V1426" s="54">
        <f t="shared" si="150"/>
        <v>11.333333333333334</v>
      </c>
    </row>
    <row r="1427" spans="1:22" x14ac:dyDescent="0.2">
      <c r="A1427" s="46" t="s">
        <v>203</v>
      </c>
      <c r="B1427" s="46" t="s">
        <v>49</v>
      </c>
      <c r="C1427" s="46" t="s">
        <v>93</v>
      </c>
      <c r="D1427" s="46" t="s">
        <v>178</v>
      </c>
      <c r="E1427" s="46">
        <v>5</v>
      </c>
      <c r="F1427" s="46" t="s">
        <v>60</v>
      </c>
      <c r="G1427" s="46">
        <v>3</v>
      </c>
      <c r="H1427" s="47">
        <v>7</v>
      </c>
      <c r="I1427" s="47" t="s">
        <v>159</v>
      </c>
      <c r="J1427" s="48">
        <v>0</v>
      </c>
      <c r="K1427" s="48">
        <v>1</v>
      </c>
      <c r="R1427" s="46">
        <f t="shared" si="147"/>
        <v>0</v>
      </c>
      <c r="S1427" s="46">
        <f t="shared" si="148"/>
        <v>0</v>
      </c>
      <c r="T1427" s="46">
        <f t="shared" si="151"/>
        <v>0</v>
      </c>
      <c r="U1427" s="46">
        <f t="shared" si="149"/>
        <v>0</v>
      </c>
      <c r="V1427" s="54">
        <f t="shared" si="150"/>
        <v>11.333333333333334</v>
      </c>
    </row>
    <row r="1428" spans="1:22" x14ac:dyDescent="0.2">
      <c r="A1428" s="46" t="s">
        <v>203</v>
      </c>
      <c r="B1428" s="46" t="s">
        <v>49</v>
      </c>
      <c r="C1428" s="46" t="s">
        <v>93</v>
      </c>
      <c r="D1428" s="46" t="s">
        <v>178</v>
      </c>
      <c r="E1428" s="46">
        <v>5</v>
      </c>
      <c r="F1428" s="46" t="s">
        <v>60</v>
      </c>
      <c r="G1428" s="46">
        <v>4</v>
      </c>
      <c r="H1428" s="47">
        <v>20</v>
      </c>
      <c r="I1428" s="47" t="s">
        <v>102</v>
      </c>
      <c r="J1428" s="48">
        <v>0</v>
      </c>
      <c r="K1428" s="48">
        <v>0</v>
      </c>
      <c r="R1428" s="46">
        <f t="shared" si="147"/>
        <v>0</v>
      </c>
      <c r="S1428" s="46">
        <f t="shared" si="148"/>
        <v>0</v>
      </c>
      <c r="T1428" s="46">
        <f t="shared" si="151"/>
        <v>0</v>
      </c>
      <c r="U1428" s="46">
        <f t="shared" si="149"/>
        <v>0</v>
      </c>
      <c r="V1428" s="54">
        <f t="shared" si="150"/>
        <v>11.333333333333334</v>
      </c>
    </row>
    <row r="1429" spans="1:22" x14ac:dyDescent="0.2">
      <c r="A1429" s="46" t="s">
        <v>203</v>
      </c>
      <c r="B1429" s="46" t="s">
        <v>49</v>
      </c>
      <c r="C1429" s="46" t="s">
        <v>93</v>
      </c>
      <c r="D1429" s="46" t="s">
        <v>178</v>
      </c>
      <c r="E1429" s="46">
        <v>5</v>
      </c>
      <c r="F1429" s="46" t="s">
        <v>60</v>
      </c>
      <c r="G1429" s="46">
        <v>2</v>
      </c>
      <c r="H1429" s="47">
        <v>22</v>
      </c>
      <c r="I1429" s="47" t="s">
        <v>127</v>
      </c>
      <c r="J1429" s="48">
        <v>1</v>
      </c>
      <c r="K1429" s="48">
        <v>0</v>
      </c>
      <c r="R1429" s="46">
        <f t="shared" si="147"/>
        <v>0</v>
      </c>
      <c r="S1429" s="46">
        <f t="shared" si="148"/>
        <v>0</v>
      </c>
      <c r="T1429" s="46">
        <f t="shared" si="151"/>
        <v>20</v>
      </c>
      <c r="U1429" s="46">
        <f t="shared" si="149"/>
        <v>20</v>
      </c>
      <c r="V1429" s="54">
        <f t="shared" si="150"/>
        <v>11.333333333333334</v>
      </c>
    </row>
    <row r="1430" spans="1:22" x14ac:dyDescent="0.2">
      <c r="A1430" s="46" t="s">
        <v>203</v>
      </c>
      <c r="B1430" s="46" t="s">
        <v>49</v>
      </c>
      <c r="C1430" s="46" t="s">
        <v>93</v>
      </c>
      <c r="D1430" s="46" t="s">
        <v>178</v>
      </c>
      <c r="E1430" s="46">
        <v>5</v>
      </c>
      <c r="F1430" s="46" t="s">
        <v>60</v>
      </c>
      <c r="G1430" s="46">
        <v>2</v>
      </c>
      <c r="H1430" s="47">
        <v>30</v>
      </c>
      <c r="I1430" s="47" t="s">
        <v>127</v>
      </c>
      <c r="J1430" s="48">
        <v>1</v>
      </c>
      <c r="K1430" s="48">
        <v>0</v>
      </c>
      <c r="R1430" s="46">
        <f t="shared" si="147"/>
        <v>0</v>
      </c>
      <c r="S1430" s="46">
        <f t="shared" si="148"/>
        <v>0</v>
      </c>
      <c r="T1430" s="46">
        <f t="shared" si="151"/>
        <v>20</v>
      </c>
      <c r="U1430" s="46">
        <f t="shared" si="149"/>
        <v>20</v>
      </c>
      <c r="V1430" s="54">
        <f t="shared" si="150"/>
        <v>11.333333333333334</v>
      </c>
    </row>
    <row r="1431" spans="1:22" x14ac:dyDescent="0.2">
      <c r="A1431" s="46" t="s">
        <v>203</v>
      </c>
      <c r="B1431" s="46" t="s">
        <v>49</v>
      </c>
      <c r="C1431" s="46" t="s">
        <v>93</v>
      </c>
      <c r="D1431" s="46" t="s">
        <v>178</v>
      </c>
      <c r="E1431" s="46">
        <v>5</v>
      </c>
      <c r="F1431" s="46" t="s">
        <v>60</v>
      </c>
      <c r="G1431" s="46">
        <v>1</v>
      </c>
      <c r="H1431" s="47">
        <v>37</v>
      </c>
      <c r="I1431" s="47" t="s">
        <v>101</v>
      </c>
      <c r="J1431" s="48">
        <v>0</v>
      </c>
      <c r="K1431" s="48">
        <v>0</v>
      </c>
      <c r="R1431" s="46">
        <f t="shared" si="147"/>
        <v>0</v>
      </c>
      <c r="S1431" s="46">
        <f t="shared" si="148"/>
        <v>0</v>
      </c>
      <c r="T1431" s="46">
        <f t="shared" si="151"/>
        <v>0</v>
      </c>
      <c r="U1431" s="46">
        <f t="shared" si="149"/>
        <v>0</v>
      </c>
      <c r="V1431" s="54">
        <f t="shared" si="150"/>
        <v>11.333333333333334</v>
      </c>
    </row>
    <row r="1432" spans="1:22" x14ac:dyDescent="0.2">
      <c r="A1432" s="46" t="s">
        <v>203</v>
      </c>
      <c r="B1432" s="46" t="s">
        <v>49</v>
      </c>
      <c r="C1432" s="46" t="s">
        <v>93</v>
      </c>
      <c r="D1432" s="46" t="s">
        <v>178</v>
      </c>
      <c r="E1432" s="46">
        <v>5</v>
      </c>
      <c r="F1432" s="46" t="s">
        <v>60</v>
      </c>
      <c r="G1432" s="46">
        <v>1</v>
      </c>
      <c r="H1432" s="47">
        <v>45</v>
      </c>
      <c r="I1432" s="47" t="s">
        <v>101</v>
      </c>
      <c r="J1432" s="48">
        <v>0</v>
      </c>
      <c r="K1432" s="48">
        <v>0</v>
      </c>
      <c r="L1432" s="48">
        <v>2</v>
      </c>
      <c r="N1432" s="48">
        <v>1</v>
      </c>
      <c r="R1432" s="46">
        <f t="shared" si="147"/>
        <v>0</v>
      </c>
      <c r="S1432" s="46">
        <f t="shared" si="148"/>
        <v>0</v>
      </c>
      <c r="T1432" s="46">
        <f t="shared" si="151"/>
        <v>0</v>
      </c>
      <c r="U1432" s="46">
        <f t="shared" si="149"/>
        <v>-15</v>
      </c>
      <c r="V1432" s="54">
        <f t="shared" si="150"/>
        <v>11.333333333333334</v>
      </c>
    </row>
    <row r="1433" spans="1:22" x14ac:dyDescent="0.2">
      <c r="A1433" s="46" t="s">
        <v>203</v>
      </c>
      <c r="B1433" s="46" t="s">
        <v>49</v>
      </c>
      <c r="C1433" s="46" t="s">
        <v>93</v>
      </c>
      <c r="D1433" s="46" t="s">
        <v>178</v>
      </c>
      <c r="E1433" s="46">
        <v>5</v>
      </c>
      <c r="F1433" s="46" t="s">
        <v>62</v>
      </c>
      <c r="G1433" s="46">
        <v>2</v>
      </c>
      <c r="H1433" s="47" t="s">
        <v>79</v>
      </c>
      <c r="I1433" s="47" t="s">
        <v>127</v>
      </c>
      <c r="J1433" s="48">
        <v>1</v>
      </c>
      <c r="K1433" s="48">
        <v>1</v>
      </c>
      <c r="O1433" s="48">
        <v>1</v>
      </c>
      <c r="R1433" s="46">
        <f t="shared" si="147"/>
        <v>0</v>
      </c>
      <c r="S1433" s="46">
        <f t="shared" si="148"/>
        <v>0</v>
      </c>
      <c r="T1433" s="46">
        <f t="shared" si="151"/>
        <v>20</v>
      </c>
      <c r="U1433" s="46">
        <f t="shared" si="149"/>
        <v>30</v>
      </c>
      <c r="V1433" s="54">
        <f t="shared" si="150"/>
        <v>11.333333333333334</v>
      </c>
    </row>
    <row r="1434" spans="1:22" x14ac:dyDescent="0.2">
      <c r="A1434" s="46" t="s">
        <v>203</v>
      </c>
      <c r="B1434" s="46" t="s">
        <v>49</v>
      </c>
      <c r="C1434" s="46" t="s">
        <v>93</v>
      </c>
      <c r="D1434" s="46" t="s">
        <v>178</v>
      </c>
      <c r="E1434" s="46">
        <v>5</v>
      </c>
      <c r="F1434" s="46" t="s">
        <v>62</v>
      </c>
      <c r="G1434" s="46">
        <v>2</v>
      </c>
      <c r="H1434" s="47" t="s">
        <v>82</v>
      </c>
      <c r="I1434" s="47" t="s">
        <v>127</v>
      </c>
      <c r="J1434" s="48">
        <v>0</v>
      </c>
      <c r="K1434" s="48">
        <v>0</v>
      </c>
      <c r="R1434" s="46">
        <f t="shared" si="147"/>
        <v>0</v>
      </c>
      <c r="S1434" s="46">
        <f t="shared" si="148"/>
        <v>0</v>
      </c>
      <c r="T1434" s="46">
        <f t="shared" si="151"/>
        <v>0</v>
      </c>
      <c r="U1434" s="46">
        <f t="shared" si="149"/>
        <v>0</v>
      </c>
      <c r="V1434" s="54">
        <f t="shared" si="150"/>
        <v>11.333333333333334</v>
      </c>
    </row>
    <row r="1435" spans="1:22" x14ac:dyDescent="0.2">
      <c r="A1435" s="46" t="s">
        <v>203</v>
      </c>
      <c r="B1435" s="46" t="s">
        <v>49</v>
      </c>
      <c r="C1435" s="46" t="s">
        <v>93</v>
      </c>
      <c r="D1435" s="46" t="s">
        <v>178</v>
      </c>
      <c r="E1435" s="46">
        <v>5</v>
      </c>
      <c r="F1435" s="46" t="s">
        <v>62</v>
      </c>
      <c r="G1435" s="46">
        <v>2</v>
      </c>
      <c r="H1435" s="47" t="s">
        <v>86</v>
      </c>
      <c r="I1435" s="47" t="s">
        <v>127</v>
      </c>
      <c r="J1435" s="48">
        <v>0</v>
      </c>
      <c r="K1435" s="48">
        <v>0</v>
      </c>
      <c r="R1435" s="46">
        <f t="shared" si="147"/>
        <v>0</v>
      </c>
      <c r="S1435" s="46">
        <f t="shared" si="148"/>
        <v>0</v>
      </c>
      <c r="T1435" s="46">
        <f t="shared" si="151"/>
        <v>0</v>
      </c>
      <c r="U1435" s="46">
        <f t="shared" si="149"/>
        <v>0</v>
      </c>
      <c r="V1435" s="54">
        <f t="shared" si="150"/>
        <v>11.333333333333334</v>
      </c>
    </row>
    <row r="1436" spans="1:22" x14ac:dyDescent="0.2">
      <c r="A1436" s="46" t="s">
        <v>203</v>
      </c>
      <c r="B1436" s="46" t="s">
        <v>49</v>
      </c>
      <c r="C1436" s="46" t="str">
        <f>VLOOKUP(B1436,$B$2:$C$3219,2,FALSE)</f>
        <v>Lighthouse</v>
      </c>
      <c r="D1436" s="46" t="s">
        <v>178</v>
      </c>
      <c r="E1436" s="46">
        <v>5</v>
      </c>
      <c r="F1436" s="46" t="s">
        <v>62</v>
      </c>
      <c r="G1436" s="46">
        <v>3</v>
      </c>
      <c r="H1436" s="47" t="s">
        <v>83</v>
      </c>
      <c r="I1436" s="47" t="s">
        <v>219</v>
      </c>
      <c r="J1436" s="48">
        <v>1</v>
      </c>
      <c r="K1436" s="48">
        <v>0</v>
      </c>
      <c r="R1436" s="46">
        <f t="shared" si="147"/>
        <v>0</v>
      </c>
      <c r="S1436" s="46">
        <f t="shared" si="148"/>
        <v>0</v>
      </c>
      <c r="U1436" s="46">
        <f t="shared" si="149"/>
        <v>0</v>
      </c>
      <c r="V1436" s="54">
        <f t="shared" si="150"/>
        <v>11.333333333333334</v>
      </c>
    </row>
    <row r="1437" spans="1:22" x14ac:dyDescent="0.2">
      <c r="A1437" s="46" t="s">
        <v>21</v>
      </c>
      <c r="B1437" s="46" t="s">
        <v>52</v>
      </c>
      <c r="C1437" s="46" t="s">
        <v>90</v>
      </c>
      <c r="D1437" s="46" t="s">
        <v>178</v>
      </c>
      <c r="E1437" s="46">
        <v>1</v>
      </c>
      <c r="F1437" s="46" t="s">
        <v>60</v>
      </c>
      <c r="G1437" s="46">
        <v>3</v>
      </c>
      <c r="H1437" s="47">
        <v>39</v>
      </c>
      <c r="I1437" s="47" t="s">
        <v>116</v>
      </c>
      <c r="J1437" s="48">
        <v>0</v>
      </c>
      <c r="K1437" s="48">
        <v>2</v>
      </c>
      <c r="R1437" s="46">
        <f t="shared" si="147"/>
        <v>0</v>
      </c>
      <c r="S1437" s="46">
        <f t="shared" si="148"/>
        <v>0</v>
      </c>
      <c r="T1437" s="46">
        <f t="shared" ref="T1437:T1468" si="152">quizscore(J1437,K1437)</f>
        <v>-10</v>
      </c>
      <c r="U1437" s="46">
        <f t="shared" si="149"/>
        <v>-10</v>
      </c>
      <c r="V1437" s="54">
        <f t="shared" si="150"/>
        <v>61.166666666666664</v>
      </c>
    </row>
    <row r="1438" spans="1:22" x14ac:dyDescent="0.2">
      <c r="A1438" s="46" t="s">
        <v>21</v>
      </c>
      <c r="B1438" s="46" t="s">
        <v>52</v>
      </c>
      <c r="C1438" s="46" t="s">
        <v>90</v>
      </c>
      <c r="D1438" s="46" t="s">
        <v>178</v>
      </c>
      <c r="E1438" s="46">
        <v>2</v>
      </c>
      <c r="F1438" s="46" t="s">
        <v>61</v>
      </c>
      <c r="G1438" s="46">
        <v>1</v>
      </c>
      <c r="H1438" s="47" t="s">
        <v>69</v>
      </c>
      <c r="I1438" s="47" t="s">
        <v>101</v>
      </c>
      <c r="J1438" s="48">
        <v>0</v>
      </c>
      <c r="K1438" s="48">
        <v>2</v>
      </c>
      <c r="R1438" s="46">
        <f t="shared" si="147"/>
        <v>0</v>
      </c>
      <c r="S1438" s="46">
        <f t="shared" si="148"/>
        <v>0</v>
      </c>
      <c r="T1438" s="46">
        <f t="shared" si="152"/>
        <v>-10</v>
      </c>
      <c r="U1438" s="46">
        <f t="shared" si="149"/>
        <v>-10</v>
      </c>
      <c r="V1438" s="54">
        <f t="shared" si="150"/>
        <v>61.166666666666664</v>
      </c>
    </row>
    <row r="1439" spans="1:22" x14ac:dyDescent="0.2">
      <c r="A1439" s="46" t="s">
        <v>21</v>
      </c>
      <c r="B1439" s="46" t="s">
        <v>52</v>
      </c>
      <c r="C1439" s="46" t="s">
        <v>90</v>
      </c>
      <c r="D1439" s="46" t="s">
        <v>178</v>
      </c>
      <c r="E1439" s="46">
        <v>4</v>
      </c>
      <c r="F1439" s="46" t="s">
        <v>61</v>
      </c>
      <c r="G1439" s="46">
        <v>1</v>
      </c>
      <c r="H1439" s="47" t="s">
        <v>69</v>
      </c>
      <c r="I1439" s="47" t="s">
        <v>101</v>
      </c>
      <c r="J1439" s="48">
        <v>0</v>
      </c>
      <c r="K1439" s="48">
        <v>2</v>
      </c>
      <c r="R1439" s="46">
        <f t="shared" si="147"/>
        <v>0</v>
      </c>
      <c r="S1439" s="46">
        <f t="shared" si="148"/>
        <v>0</v>
      </c>
      <c r="T1439" s="46">
        <f t="shared" si="152"/>
        <v>-10</v>
      </c>
      <c r="U1439" s="46">
        <f t="shared" si="149"/>
        <v>-10</v>
      </c>
      <c r="V1439" s="54">
        <f t="shared" si="150"/>
        <v>61.166666666666664</v>
      </c>
    </row>
    <row r="1440" spans="1:22" x14ac:dyDescent="0.2">
      <c r="A1440" s="46" t="s">
        <v>21</v>
      </c>
      <c r="B1440" s="46" t="s">
        <v>52</v>
      </c>
      <c r="C1440" s="46" t="s">
        <v>90</v>
      </c>
      <c r="D1440" s="46" t="s">
        <v>178</v>
      </c>
      <c r="E1440" s="46">
        <v>2</v>
      </c>
      <c r="F1440" s="46" t="s">
        <v>61</v>
      </c>
      <c r="G1440" s="46">
        <v>1</v>
      </c>
      <c r="H1440" s="47" t="s">
        <v>78</v>
      </c>
      <c r="I1440" s="47" t="s">
        <v>101</v>
      </c>
      <c r="J1440" s="48">
        <v>0</v>
      </c>
      <c r="K1440" s="48">
        <v>2</v>
      </c>
      <c r="R1440" s="46">
        <f t="shared" si="147"/>
        <v>0</v>
      </c>
      <c r="S1440" s="46">
        <f t="shared" si="148"/>
        <v>0</v>
      </c>
      <c r="T1440" s="46">
        <f t="shared" si="152"/>
        <v>-10</v>
      </c>
      <c r="U1440" s="46">
        <f t="shared" si="149"/>
        <v>-10</v>
      </c>
      <c r="V1440" s="54">
        <f t="shared" si="150"/>
        <v>61.166666666666664</v>
      </c>
    </row>
    <row r="1441" spans="1:22" x14ac:dyDescent="0.2">
      <c r="A1441" s="46" t="s">
        <v>21</v>
      </c>
      <c r="B1441" s="46" t="s">
        <v>52</v>
      </c>
      <c r="C1441" s="46" t="s">
        <v>90</v>
      </c>
      <c r="D1441" s="46" t="s">
        <v>178</v>
      </c>
      <c r="E1441" s="46">
        <v>3</v>
      </c>
      <c r="F1441" s="46" t="s">
        <v>60</v>
      </c>
      <c r="G1441" s="46">
        <v>1</v>
      </c>
      <c r="H1441" s="47">
        <v>17</v>
      </c>
      <c r="I1441" s="47" t="s">
        <v>101</v>
      </c>
      <c r="J1441" s="48">
        <v>0</v>
      </c>
      <c r="K1441" s="48">
        <v>0</v>
      </c>
      <c r="R1441" s="46">
        <f t="shared" si="147"/>
        <v>0</v>
      </c>
      <c r="S1441" s="46">
        <f t="shared" si="148"/>
        <v>0</v>
      </c>
      <c r="T1441" s="46">
        <f t="shared" si="152"/>
        <v>0</v>
      </c>
      <c r="U1441" s="46">
        <f t="shared" si="149"/>
        <v>0</v>
      </c>
      <c r="V1441" s="54">
        <f t="shared" si="150"/>
        <v>61.166666666666664</v>
      </c>
    </row>
    <row r="1442" spans="1:22" x14ac:dyDescent="0.2">
      <c r="A1442" s="46" t="s">
        <v>21</v>
      </c>
      <c r="B1442" s="46" t="s">
        <v>52</v>
      </c>
      <c r="C1442" s="46" t="s">
        <v>90</v>
      </c>
      <c r="D1442" s="46" t="s">
        <v>178</v>
      </c>
      <c r="E1442" s="46">
        <v>2</v>
      </c>
      <c r="F1442" s="46" t="s">
        <v>61</v>
      </c>
      <c r="G1442" s="46">
        <v>1</v>
      </c>
      <c r="H1442" s="47" t="s">
        <v>75</v>
      </c>
      <c r="I1442" s="47" t="s">
        <v>101</v>
      </c>
      <c r="J1442" s="48">
        <v>0</v>
      </c>
      <c r="K1442" s="48">
        <v>0</v>
      </c>
      <c r="R1442" s="46">
        <f t="shared" si="147"/>
        <v>0</v>
      </c>
      <c r="S1442" s="46">
        <f t="shared" si="148"/>
        <v>0</v>
      </c>
      <c r="T1442" s="46">
        <f t="shared" si="152"/>
        <v>0</v>
      </c>
      <c r="U1442" s="46">
        <f t="shared" si="149"/>
        <v>0</v>
      </c>
      <c r="V1442" s="54">
        <f t="shared" si="150"/>
        <v>61.166666666666664</v>
      </c>
    </row>
    <row r="1443" spans="1:22" x14ac:dyDescent="0.2">
      <c r="A1443" s="46" t="s">
        <v>21</v>
      </c>
      <c r="B1443" s="46" t="s">
        <v>52</v>
      </c>
      <c r="C1443" s="46" t="s">
        <v>90</v>
      </c>
      <c r="D1443" s="46" t="s">
        <v>178</v>
      </c>
      <c r="E1443" s="46">
        <v>1</v>
      </c>
      <c r="F1443" s="46" t="s">
        <v>60</v>
      </c>
      <c r="G1443" s="46">
        <v>3</v>
      </c>
      <c r="H1443" s="47">
        <v>3</v>
      </c>
      <c r="I1443" s="47" t="s">
        <v>116</v>
      </c>
      <c r="J1443" s="48">
        <v>1</v>
      </c>
      <c r="K1443" s="48">
        <v>0</v>
      </c>
      <c r="R1443" s="46">
        <f t="shared" si="147"/>
        <v>0</v>
      </c>
      <c r="S1443" s="46">
        <f t="shared" si="148"/>
        <v>0</v>
      </c>
      <c r="T1443" s="46">
        <f t="shared" si="152"/>
        <v>20</v>
      </c>
      <c r="U1443" s="46">
        <f t="shared" si="149"/>
        <v>20</v>
      </c>
      <c r="V1443" s="54">
        <f t="shared" si="150"/>
        <v>61.166666666666664</v>
      </c>
    </row>
    <row r="1444" spans="1:22" x14ac:dyDescent="0.2">
      <c r="A1444" s="46" t="s">
        <v>21</v>
      </c>
      <c r="B1444" s="46" t="s">
        <v>52</v>
      </c>
      <c r="C1444" s="46" t="s">
        <v>90</v>
      </c>
      <c r="D1444" s="46" t="s">
        <v>178</v>
      </c>
      <c r="E1444" s="46">
        <v>3</v>
      </c>
      <c r="F1444" s="46" t="s">
        <v>60</v>
      </c>
      <c r="G1444" s="46">
        <v>2</v>
      </c>
      <c r="H1444" s="47">
        <v>10</v>
      </c>
      <c r="I1444" s="47" t="s">
        <v>127</v>
      </c>
      <c r="J1444" s="48">
        <v>1</v>
      </c>
      <c r="K1444" s="48">
        <v>0</v>
      </c>
      <c r="R1444" s="46">
        <f t="shared" si="147"/>
        <v>0</v>
      </c>
      <c r="S1444" s="46">
        <f t="shared" si="148"/>
        <v>0</v>
      </c>
      <c r="T1444" s="46">
        <f t="shared" si="152"/>
        <v>20</v>
      </c>
      <c r="U1444" s="46">
        <f t="shared" si="149"/>
        <v>20</v>
      </c>
      <c r="V1444" s="54">
        <f t="shared" si="150"/>
        <v>61.166666666666664</v>
      </c>
    </row>
    <row r="1445" spans="1:22" x14ac:dyDescent="0.2">
      <c r="A1445" s="46" t="s">
        <v>21</v>
      </c>
      <c r="B1445" s="46" t="s">
        <v>52</v>
      </c>
      <c r="C1445" s="46" t="s">
        <v>90</v>
      </c>
      <c r="D1445" s="46" t="s">
        <v>178</v>
      </c>
      <c r="E1445" s="46">
        <v>1</v>
      </c>
      <c r="F1445" s="46" t="s">
        <v>60</v>
      </c>
      <c r="G1445" s="46">
        <v>2</v>
      </c>
      <c r="H1445" s="47">
        <v>30</v>
      </c>
      <c r="I1445" s="47" t="s">
        <v>127</v>
      </c>
      <c r="J1445" s="48">
        <v>1</v>
      </c>
      <c r="K1445" s="48">
        <v>1</v>
      </c>
      <c r="R1445" s="46">
        <f t="shared" si="147"/>
        <v>0</v>
      </c>
      <c r="S1445" s="46">
        <f t="shared" si="148"/>
        <v>0</v>
      </c>
      <c r="T1445" s="46">
        <f t="shared" si="152"/>
        <v>20</v>
      </c>
      <c r="U1445" s="46">
        <f t="shared" si="149"/>
        <v>20</v>
      </c>
      <c r="V1445" s="54">
        <f t="shared" si="150"/>
        <v>61.166666666666664</v>
      </c>
    </row>
    <row r="1446" spans="1:22" x14ac:dyDescent="0.2">
      <c r="A1446" s="46" t="s">
        <v>21</v>
      </c>
      <c r="B1446" s="46" t="s">
        <v>52</v>
      </c>
      <c r="C1446" s="46" t="s">
        <v>90</v>
      </c>
      <c r="D1446" s="46" t="s">
        <v>178</v>
      </c>
      <c r="E1446" s="46">
        <v>2</v>
      </c>
      <c r="F1446" s="46" t="s">
        <v>61</v>
      </c>
      <c r="G1446" s="46">
        <v>1</v>
      </c>
      <c r="H1446" s="47" t="s">
        <v>74</v>
      </c>
      <c r="I1446" s="47" t="s">
        <v>101</v>
      </c>
      <c r="J1446" s="48">
        <v>1</v>
      </c>
      <c r="K1446" s="48">
        <v>1</v>
      </c>
      <c r="R1446" s="46">
        <f t="shared" si="147"/>
        <v>0</v>
      </c>
      <c r="S1446" s="46">
        <f t="shared" si="148"/>
        <v>0</v>
      </c>
      <c r="T1446" s="46">
        <f t="shared" si="152"/>
        <v>20</v>
      </c>
      <c r="U1446" s="46">
        <f t="shared" si="149"/>
        <v>20</v>
      </c>
      <c r="V1446" s="54">
        <f t="shared" si="150"/>
        <v>61.166666666666664</v>
      </c>
    </row>
    <row r="1447" spans="1:22" x14ac:dyDescent="0.2">
      <c r="A1447" s="46" t="s">
        <v>21</v>
      </c>
      <c r="B1447" s="46" t="s">
        <v>52</v>
      </c>
      <c r="C1447" s="46" t="s">
        <v>90</v>
      </c>
      <c r="D1447" s="46" t="s">
        <v>178</v>
      </c>
      <c r="E1447" s="46">
        <v>4</v>
      </c>
      <c r="F1447" s="46" t="s">
        <v>61</v>
      </c>
      <c r="G1447" s="46">
        <v>1</v>
      </c>
      <c r="H1447" s="47" t="s">
        <v>74</v>
      </c>
      <c r="I1447" s="47" t="s">
        <v>101</v>
      </c>
      <c r="J1447" s="48">
        <v>1</v>
      </c>
      <c r="K1447" s="48">
        <v>0</v>
      </c>
      <c r="R1447" s="46">
        <f t="shared" si="147"/>
        <v>0</v>
      </c>
      <c r="S1447" s="46">
        <f t="shared" si="148"/>
        <v>0</v>
      </c>
      <c r="T1447" s="46">
        <f t="shared" si="152"/>
        <v>20</v>
      </c>
      <c r="U1447" s="46">
        <f t="shared" si="149"/>
        <v>20</v>
      </c>
      <c r="V1447" s="54">
        <f t="shared" si="150"/>
        <v>61.166666666666664</v>
      </c>
    </row>
    <row r="1448" spans="1:22" x14ac:dyDescent="0.2">
      <c r="A1448" s="46" t="s">
        <v>21</v>
      </c>
      <c r="B1448" s="46" t="s">
        <v>52</v>
      </c>
      <c r="C1448" s="46" t="s">
        <v>90</v>
      </c>
      <c r="D1448" s="46" t="s">
        <v>178</v>
      </c>
      <c r="E1448" s="46">
        <v>3</v>
      </c>
      <c r="F1448" s="46" t="s">
        <v>61</v>
      </c>
      <c r="G1448" s="46">
        <v>1</v>
      </c>
      <c r="H1448" s="47" t="s">
        <v>75</v>
      </c>
      <c r="I1448" s="47" t="s">
        <v>101</v>
      </c>
      <c r="J1448" s="48">
        <v>1</v>
      </c>
      <c r="K1448" s="48">
        <v>1</v>
      </c>
      <c r="M1448" s="48">
        <v>1</v>
      </c>
      <c r="R1448" s="46">
        <f t="shared" si="147"/>
        <v>0</v>
      </c>
      <c r="S1448" s="46">
        <f t="shared" si="148"/>
        <v>0</v>
      </c>
      <c r="T1448" s="46">
        <f t="shared" si="152"/>
        <v>20</v>
      </c>
      <c r="U1448" s="46">
        <f t="shared" si="149"/>
        <v>40</v>
      </c>
      <c r="V1448" s="54">
        <f t="shared" si="150"/>
        <v>61.166666666666664</v>
      </c>
    </row>
    <row r="1449" spans="1:22" x14ac:dyDescent="0.2">
      <c r="A1449" s="46" t="s">
        <v>21</v>
      </c>
      <c r="B1449" s="46" t="s">
        <v>52</v>
      </c>
      <c r="C1449" s="46" t="s">
        <v>90</v>
      </c>
      <c r="D1449" s="46" t="s">
        <v>178</v>
      </c>
      <c r="E1449" s="46">
        <v>3</v>
      </c>
      <c r="F1449" s="46" t="s">
        <v>61</v>
      </c>
      <c r="G1449" s="46">
        <v>1</v>
      </c>
      <c r="H1449" s="47" t="s">
        <v>69</v>
      </c>
      <c r="I1449" s="47" t="s">
        <v>101</v>
      </c>
      <c r="J1449" s="48">
        <v>1</v>
      </c>
      <c r="K1449" s="48">
        <v>0</v>
      </c>
      <c r="R1449" s="46">
        <f t="shared" si="147"/>
        <v>0</v>
      </c>
      <c r="S1449" s="46">
        <f t="shared" si="148"/>
        <v>0</v>
      </c>
      <c r="T1449" s="46">
        <f t="shared" si="152"/>
        <v>20</v>
      </c>
      <c r="U1449" s="46">
        <f t="shared" si="149"/>
        <v>20</v>
      </c>
      <c r="V1449" s="54">
        <f t="shared" si="150"/>
        <v>61.166666666666664</v>
      </c>
    </row>
    <row r="1450" spans="1:22" x14ac:dyDescent="0.2">
      <c r="A1450" s="46" t="s">
        <v>21</v>
      </c>
      <c r="B1450" s="46" t="s">
        <v>52</v>
      </c>
      <c r="C1450" s="46" t="s">
        <v>90</v>
      </c>
      <c r="D1450" s="46" t="s">
        <v>178</v>
      </c>
      <c r="E1450" s="46">
        <v>2</v>
      </c>
      <c r="F1450" s="46" t="s">
        <v>61</v>
      </c>
      <c r="G1450" s="46">
        <v>1</v>
      </c>
      <c r="H1450" s="47" t="s">
        <v>71</v>
      </c>
      <c r="I1450" s="47" t="s">
        <v>101</v>
      </c>
      <c r="J1450" s="48">
        <v>1</v>
      </c>
      <c r="K1450" s="48">
        <v>0</v>
      </c>
      <c r="R1450" s="46">
        <f t="shared" si="147"/>
        <v>0</v>
      </c>
      <c r="S1450" s="46">
        <f t="shared" si="148"/>
        <v>0</v>
      </c>
      <c r="T1450" s="46">
        <f t="shared" si="152"/>
        <v>20</v>
      </c>
      <c r="U1450" s="46">
        <f t="shared" si="149"/>
        <v>20</v>
      </c>
      <c r="V1450" s="54">
        <f t="shared" si="150"/>
        <v>61.166666666666664</v>
      </c>
    </row>
    <row r="1451" spans="1:22" x14ac:dyDescent="0.2">
      <c r="A1451" s="46" t="s">
        <v>21</v>
      </c>
      <c r="B1451" s="46" t="s">
        <v>52</v>
      </c>
      <c r="C1451" s="46" t="s">
        <v>90</v>
      </c>
      <c r="D1451" s="46" t="s">
        <v>178</v>
      </c>
      <c r="E1451" s="46">
        <v>4</v>
      </c>
      <c r="F1451" s="46" t="s">
        <v>61</v>
      </c>
      <c r="G1451" s="46">
        <v>1</v>
      </c>
      <c r="H1451" s="47" t="s">
        <v>71</v>
      </c>
      <c r="I1451" s="47" t="s">
        <v>101</v>
      </c>
      <c r="J1451" s="48">
        <v>1</v>
      </c>
      <c r="K1451" s="48">
        <v>1</v>
      </c>
      <c r="R1451" s="46">
        <f t="shared" si="147"/>
        <v>0</v>
      </c>
      <c r="S1451" s="46">
        <f t="shared" si="148"/>
        <v>0</v>
      </c>
      <c r="T1451" s="46">
        <f t="shared" si="152"/>
        <v>20</v>
      </c>
      <c r="U1451" s="46">
        <f t="shared" si="149"/>
        <v>20</v>
      </c>
      <c r="V1451" s="54">
        <f t="shared" si="150"/>
        <v>61.166666666666664</v>
      </c>
    </row>
    <row r="1452" spans="1:22" x14ac:dyDescent="0.2">
      <c r="A1452" s="46" t="s">
        <v>21</v>
      </c>
      <c r="B1452" s="46" t="s">
        <v>52</v>
      </c>
      <c r="C1452" s="46" t="s">
        <v>90</v>
      </c>
      <c r="D1452" s="46" t="s">
        <v>178</v>
      </c>
      <c r="E1452" s="46">
        <v>2</v>
      </c>
      <c r="F1452" s="46" t="s">
        <v>61</v>
      </c>
      <c r="G1452" s="46">
        <v>1</v>
      </c>
      <c r="H1452" s="47" t="s">
        <v>78</v>
      </c>
      <c r="I1452" s="47" t="s">
        <v>101</v>
      </c>
      <c r="J1452" s="48">
        <v>1</v>
      </c>
      <c r="K1452" s="48">
        <v>0</v>
      </c>
      <c r="R1452" s="46">
        <f t="shared" si="147"/>
        <v>0</v>
      </c>
      <c r="S1452" s="46">
        <f t="shared" si="148"/>
        <v>0</v>
      </c>
      <c r="T1452" s="46">
        <f t="shared" si="152"/>
        <v>20</v>
      </c>
      <c r="U1452" s="46">
        <f t="shared" si="149"/>
        <v>20</v>
      </c>
      <c r="V1452" s="54">
        <f t="shared" si="150"/>
        <v>61.166666666666664</v>
      </c>
    </row>
    <row r="1453" spans="1:22" x14ac:dyDescent="0.2">
      <c r="A1453" s="46" t="s">
        <v>21</v>
      </c>
      <c r="B1453" s="46" t="s">
        <v>52</v>
      </c>
      <c r="C1453" s="46" t="s">
        <v>90</v>
      </c>
      <c r="D1453" s="46" t="s">
        <v>178</v>
      </c>
      <c r="E1453" s="46">
        <v>3</v>
      </c>
      <c r="F1453" s="46" t="s">
        <v>61</v>
      </c>
      <c r="G1453" s="46">
        <v>1</v>
      </c>
      <c r="H1453" s="47" t="s">
        <v>78</v>
      </c>
      <c r="I1453" s="47" t="s">
        <v>101</v>
      </c>
      <c r="J1453" s="48">
        <v>1</v>
      </c>
      <c r="K1453" s="48">
        <v>0</v>
      </c>
      <c r="R1453" s="46">
        <f t="shared" si="147"/>
        <v>0</v>
      </c>
      <c r="S1453" s="46">
        <f t="shared" si="148"/>
        <v>0</v>
      </c>
      <c r="T1453" s="46">
        <f t="shared" si="152"/>
        <v>20</v>
      </c>
      <c r="U1453" s="46">
        <f t="shared" si="149"/>
        <v>20</v>
      </c>
      <c r="V1453" s="54">
        <f t="shared" si="150"/>
        <v>61.166666666666664</v>
      </c>
    </row>
    <row r="1454" spans="1:22" x14ac:dyDescent="0.2">
      <c r="A1454" s="46" t="s">
        <v>21</v>
      </c>
      <c r="B1454" s="46" t="s">
        <v>52</v>
      </c>
      <c r="C1454" s="46" t="s">
        <v>90</v>
      </c>
      <c r="D1454" s="46" t="s">
        <v>178</v>
      </c>
      <c r="E1454" s="46">
        <v>2</v>
      </c>
      <c r="F1454" s="46" t="s">
        <v>60</v>
      </c>
      <c r="G1454" s="46">
        <v>4</v>
      </c>
      <c r="H1454" s="47">
        <v>12</v>
      </c>
      <c r="I1454" s="47" t="s">
        <v>102</v>
      </c>
      <c r="J1454" s="48">
        <v>2</v>
      </c>
      <c r="K1454" s="48">
        <v>2</v>
      </c>
      <c r="R1454" s="46">
        <f t="shared" si="147"/>
        <v>0</v>
      </c>
      <c r="S1454" s="46">
        <f t="shared" si="148"/>
        <v>0</v>
      </c>
      <c r="T1454" s="46">
        <f t="shared" si="152"/>
        <v>30</v>
      </c>
      <c r="U1454" s="46">
        <f t="shared" si="149"/>
        <v>30</v>
      </c>
      <c r="V1454" s="54">
        <f t="shared" si="150"/>
        <v>61.166666666666664</v>
      </c>
    </row>
    <row r="1455" spans="1:22" x14ac:dyDescent="0.2">
      <c r="A1455" s="46" t="s">
        <v>21</v>
      </c>
      <c r="B1455" s="46" t="s">
        <v>52</v>
      </c>
      <c r="C1455" s="46" t="s">
        <v>90</v>
      </c>
      <c r="D1455" s="46" t="s">
        <v>178</v>
      </c>
      <c r="E1455" s="46">
        <v>4</v>
      </c>
      <c r="F1455" s="46" t="s">
        <v>60</v>
      </c>
      <c r="G1455" s="46">
        <v>2</v>
      </c>
      <c r="H1455" s="47">
        <v>18</v>
      </c>
      <c r="I1455" s="47" t="s">
        <v>127</v>
      </c>
      <c r="J1455" s="48">
        <v>2</v>
      </c>
      <c r="K1455" s="48">
        <v>2</v>
      </c>
      <c r="M1455" s="48">
        <v>1</v>
      </c>
      <c r="R1455" s="46">
        <f t="shared" si="147"/>
        <v>0</v>
      </c>
      <c r="S1455" s="46">
        <f t="shared" si="148"/>
        <v>0</v>
      </c>
      <c r="T1455" s="46">
        <f t="shared" si="152"/>
        <v>30</v>
      </c>
      <c r="U1455" s="46">
        <f t="shared" si="149"/>
        <v>50</v>
      </c>
      <c r="V1455" s="54">
        <f t="shared" si="150"/>
        <v>61.166666666666664</v>
      </c>
    </row>
    <row r="1456" spans="1:22" x14ac:dyDescent="0.2">
      <c r="A1456" s="46" t="s">
        <v>21</v>
      </c>
      <c r="B1456" s="46" t="s">
        <v>52</v>
      </c>
      <c r="C1456" s="46" t="s">
        <v>90</v>
      </c>
      <c r="D1456" s="46" t="s">
        <v>178</v>
      </c>
      <c r="E1456" s="46">
        <v>2</v>
      </c>
      <c r="F1456" s="46" t="s">
        <v>60</v>
      </c>
      <c r="G1456" s="46">
        <v>1</v>
      </c>
      <c r="H1456" s="47">
        <v>17</v>
      </c>
      <c r="I1456" s="47" t="s">
        <v>101</v>
      </c>
      <c r="J1456" s="48">
        <v>2</v>
      </c>
      <c r="K1456" s="48">
        <v>0</v>
      </c>
      <c r="M1456" s="48">
        <v>2</v>
      </c>
      <c r="R1456" s="46">
        <f t="shared" si="147"/>
        <v>0</v>
      </c>
      <c r="S1456" s="46">
        <f t="shared" si="148"/>
        <v>0</v>
      </c>
      <c r="T1456" s="46">
        <f t="shared" si="152"/>
        <v>40</v>
      </c>
      <c r="U1456" s="46">
        <f t="shared" si="149"/>
        <v>80</v>
      </c>
      <c r="V1456" s="54">
        <f t="shared" si="150"/>
        <v>61.166666666666664</v>
      </c>
    </row>
    <row r="1457" spans="1:22" x14ac:dyDescent="0.2">
      <c r="A1457" s="46" t="s">
        <v>21</v>
      </c>
      <c r="B1457" s="46" t="s">
        <v>52</v>
      </c>
      <c r="C1457" s="46" t="s">
        <v>90</v>
      </c>
      <c r="D1457" s="46" t="s">
        <v>178</v>
      </c>
      <c r="E1457" s="46">
        <v>1</v>
      </c>
      <c r="F1457" s="46" t="s">
        <v>62</v>
      </c>
      <c r="G1457" s="46">
        <v>2</v>
      </c>
      <c r="H1457" s="47" t="s">
        <v>83</v>
      </c>
      <c r="I1457" s="47" t="s">
        <v>127</v>
      </c>
      <c r="J1457" s="48">
        <v>2</v>
      </c>
      <c r="K1457" s="48">
        <v>1</v>
      </c>
      <c r="R1457" s="46">
        <f t="shared" si="147"/>
        <v>0</v>
      </c>
      <c r="S1457" s="46">
        <f t="shared" si="148"/>
        <v>0</v>
      </c>
      <c r="T1457" s="46">
        <f t="shared" si="152"/>
        <v>40</v>
      </c>
      <c r="U1457" s="46">
        <f t="shared" si="149"/>
        <v>40</v>
      </c>
      <c r="V1457" s="54">
        <f t="shared" si="150"/>
        <v>61.166666666666664</v>
      </c>
    </row>
    <row r="1458" spans="1:22" x14ac:dyDescent="0.2">
      <c r="A1458" s="46" t="s">
        <v>21</v>
      </c>
      <c r="B1458" s="46" t="s">
        <v>52</v>
      </c>
      <c r="C1458" s="46" t="s">
        <v>90</v>
      </c>
      <c r="D1458" s="46" t="s">
        <v>178</v>
      </c>
      <c r="E1458" s="46">
        <v>3</v>
      </c>
      <c r="F1458" s="46" t="s">
        <v>61</v>
      </c>
      <c r="G1458" s="46">
        <v>1</v>
      </c>
      <c r="H1458" s="47" t="s">
        <v>78</v>
      </c>
      <c r="I1458" s="47" t="s">
        <v>101</v>
      </c>
      <c r="J1458" s="48">
        <v>2</v>
      </c>
      <c r="K1458" s="48">
        <v>0</v>
      </c>
      <c r="M1458" s="48">
        <v>1</v>
      </c>
      <c r="R1458" s="46">
        <f t="shared" si="147"/>
        <v>0</v>
      </c>
      <c r="S1458" s="46">
        <f t="shared" si="148"/>
        <v>0</v>
      </c>
      <c r="T1458" s="46">
        <f t="shared" si="152"/>
        <v>40</v>
      </c>
      <c r="U1458" s="46">
        <f t="shared" si="149"/>
        <v>60</v>
      </c>
      <c r="V1458" s="54">
        <f t="shared" si="150"/>
        <v>61.166666666666664</v>
      </c>
    </row>
    <row r="1459" spans="1:22" x14ac:dyDescent="0.2">
      <c r="A1459" s="46" t="s">
        <v>21</v>
      </c>
      <c r="B1459" s="46" t="s">
        <v>52</v>
      </c>
      <c r="C1459" s="46" t="s">
        <v>90</v>
      </c>
      <c r="D1459" s="46" t="s">
        <v>178</v>
      </c>
      <c r="E1459" s="46">
        <v>2</v>
      </c>
      <c r="F1459" s="46" t="s">
        <v>60</v>
      </c>
      <c r="G1459" s="46">
        <v>1</v>
      </c>
      <c r="H1459" s="47">
        <v>33</v>
      </c>
      <c r="I1459" s="47" t="s">
        <v>101</v>
      </c>
      <c r="J1459" s="48">
        <v>3</v>
      </c>
      <c r="K1459" s="48">
        <v>2</v>
      </c>
      <c r="R1459" s="46">
        <f t="shared" si="147"/>
        <v>0</v>
      </c>
      <c r="S1459" s="46">
        <f t="shared" si="148"/>
        <v>0</v>
      </c>
      <c r="T1459" s="46">
        <f t="shared" si="152"/>
        <v>50</v>
      </c>
      <c r="U1459" s="46">
        <f t="shared" si="149"/>
        <v>50</v>
      </c>
      <c r="V1459" s="54">
        <f t="shared" si="150"/>
        <v>61.166666666666664</v>
      </c>
    </row>
    <row r="1460" spans="1:22" x14ac:dyDescent="0.2">
      <c r="A1460" s="46" t="s">
        <v>21</v>
      </c>
      <c r="B1460" s="46" t="s">
        <v>52</v>
      </c>
      <c r="C1460" s="46" t="s">
        <v>90</v>
      </c>
      <c r="D1460" s="46" t="s">
        <v>178</v>
      </c>
      <c r="E1460" s="46">
        <v>3</v>
      </c>
      <c r="F1460" s="46" t="s">
        <v>60</v>
      </c>
      <c r="G1460" s="46">
        <v>3</v>
      </c>
      <c r="H1460" s="47">
        <v>39</v>
      </c>
      <c r="I1460" s="47" t="s">
        <v>116</v>
      </c>
      <c r="J1460" s="48">
        <v>3</v>
      </c>
      <c r="K1460" s="48">
        <v>2</v>
      </c>
      <c r="R1460" s="46">
        <f t="shared" si="147"/>
        <v>0</v>
      </c>
      <c r="S1460" s="46">
        <f t="shared" si="148"/>
        <v>0</v>
      </c>
      <c r="T1460" s="46">
        <f t="shared" si="152"/>
        <v>50</v>
      </c>
      <c r="U1460" s="46">
        <f t="shared" si="149"/>
        <v>50</v>
      </c>
      <c r="V1460" s="54">
        <f t="shared" si="150"/>
        <v>61.166666666666664</v>
      </c>
    </row>
    <row r="1461" spans="1:22" x14ac:dyDescent="0.2">
      <c r="A1461" s="46" t="s">
        <v>21</v>
      </c>
      <c r="B1461" s="46" t="s">
        <v>52</v>
      </c>
      <c r="C1461" s="46" t="s">
        <v>90</v>
      </c>
      <c r="D1461" s="46" t="s">
        <v>178</v>
      </c>
      <c r="E1461" s="46">
        <v>1</v>
      </c>
      <c r="F1461" s="46" t="s">
        <v>60</v>
      </c>
      <c r="G1461" s="46">
        <v>4</v>
      </c>
      <c r="H1461" s="47">
        <v>48</v>
      </c>
      <c r="I1461" s="47" t="s">
        <v>102</v>
      </c>
      <c r="J1461" s="48">
        <v>3</v>
      </c>
      <c r="K1461" s="48">
        <v>2</v>
      </c>
      <c r="R1461" s="46">
        <f t="shared" si="147"/>
        <v>0</v>
      </c>
      <c r="S1461" s="46">
        <f t="shared" si="148"/>
        <v>0</v>
      </c>
      <c r="T1461" s="46">
        <f t="shared" si="152"/>
        <v>50</v>
      </c>
      <c r="U1461" s="46">
        <f t="shared" si="149"/>
        <v>50</v>
      </c>
      <c r="V1461" s="54">
        <f t="shared" si="150"/>
        <v>61.166666666666664</v>
      </c>
    </row>
    <row r="1462" spans="1:22" x14ac:dyDescent="0.2">
      <c r="A1462" s="46" t="s">
        <v>21</v>
      </c>
      <c r="B1462" s="46" t="s">
        <v>52</v>
      </c>
      <c r="C1462" s="46" t="s">
        <v>90</v>
      </c>
      <c r="D1462" s="46" t="s">
        <v>178</v>
      </c>
      <c r="E1462" s="46">
        <v>2</v>
      </c>
      <c r="F1462" s="46" t="s">
        <v>60</v>
      </c>
      <c r="G1462" s="46">
        <v>2</v>
      </c>
      <c r="H1462" s="47">
        <v>50</v>
      </c>
      <c r="I1462" s="47" t="s">
        <v>127</v>
      </c>
      <c r="J1462" s="48">
        <v>3</v>
      </c>
      <c r="K1462" s="48">
        <v>2</v>
      </c>
      <c r="R1462" s="46">
        <f t="shared" si="147"/>
        <v>0</v>
      </c>
      <c r="S1462" s="46">
        <f t="shared" si="148"/>
        <v>0</v>
      </c>
      <c r="T1462" s="46">
        <f t="shared" si="152"/>
        <v>50</v>
      </c>
      <c r="U1462" s="46">
        <f t="shared" si="149"/>
        <v>50</v>
      </c>
      <c r="V1462" s="54">
        <f t="shared" si="150"/>
        <v>61.166666666666664</v>
      </c>
    </row>
    <row r="1463" spans="1:22" x14ac:dyDescent="0.2">
      <c r="A1463" s="46" t="s">
        <v>21</v>
      </c>
      <c r="B1463" s="46" t="s">
        <v>52</v>
      </c>
      <c r="C1463" s="46" t="s">
        <v>90</v>
      </c>
      <c r="D1463" s="46" t="s">
        <v>178</v>
      </c>
      <c r="E1463" s="46">
        <v>1</v>
      </c>
      <c r="F1463" s="46" t="s">
        <v>62</v>
      </c>
      <c r="G1463" s="46">
        <v>2</v>
      </c>
      <c r="H1463" s="47" t="s">
        <v>86</v>
      </c>
      <c r="I1463" s="47" t="s">
        <v>127</v>
      </c>
      <c r="J1463" s="48">
        <v>3</v>
      </c>
      <c r="K1463" s="48">
        <v>2</v>
      </c>
      <c r="R1463" s="46">
        <f t="shared" si="147"/>
        <v>0</v>
      </c>
      <c r="S1463" s="46">
        <f t="shared" si="148"/>
        <v>0</v>
      </c>
      <c r="T1463" s="46">
        <f t="shared" si="152"/>
        <v>50</v>
      </c>
      <c r="U1463" s="46">
        <f t="shared" si="149"/>
        <v>50</v>
      </c>
      <c r="V1463" s="54">
        <f t="shared" si="150"/>
        <v>61.166666666666664</v>
      </c>
    </row>
    <row r="1464" spans="1:22" x14ac:dyDescent="0.2">
      <c r="A1464" s="46" t="s">
        <v>21</v>
      </c>
      <c r="B1464" s="46" t="s">
        <v>52</v>
      </c>
      <c r="C1464" s="46" t="s">
        <v>90</v>
      </c>
      <c r="D1464" s="46" t="s">
        <v>178</v>
      </c>
      <c r="E1464" s="46">
        <v>4</v>
      </c>
      <c r="F1464" s="46" t="s">
        <v>60</v>
      </c>
      <c r="G1464" s="46">
        <v>2</v>
      </c>
      <c r="H1464" s="47">
        <v>6</v>
      </c>
      <c r="I1464" s="47" t="s">
        <v>127</v>
      </c>
      <c r="J1464" s="48">
        <v>3</v>
      </c>
      <c r="K1464" s="48">
        <v>1</v>
      </c>
      <c r="R1464" s="46">
        <f t="shared" si="147"/>
        <v>0</v>
      </c>
      <c r="S1464" s="46">
        <f t="shared" si="148"/>
        <v>0</v>
      </c>
      <c r="T1464" s="46">
        <f t="shared" si="152"/>
        <v>60</v>
      </c>
      <c r="U1464" s="46">
        <f t="shared" si="149"/>
        <v>60</v>
      </c>
      <c r="V1464" s="54">
        <f t="shared" si="150"/>
        <v>61.166666666666664</v>
      </c>
    </row>
    <row r="1465" spans="1:22" x14ac:dyDescent="0.2">
      <c r="A1465" s="46" t="s">
        <v>21</v>
      </c>
      <c r="B1465" s="46" t="s">
        <v>52</v>
      </c>
      <c r="C1465" s="46" t="s">
        <v>90</v>
      </c>
      <c r="D1465" s="46" t="s">
        <v>178</v>
      </c>
      <c r="E1465" s="46">
        <v>4</v>
      </c>
      <c r="F1465" s="46" t="s">
        <v>60</v>
      </c>
      <c r="G1465" s="46">
        <v>1</v>
      </c>
      <c r="H1465" s="47">
        <v>29</v>
      </c>
      <c r="I1465" s="47" t="s">
        <v>101</v>
      </c>
      <c r="J1465" s="48">
        <v>3</v>
      </c>
      <c r="K1465" s="48">
        <v>1</v>
      </c>
      <c r="R1465" s="46">
        <f t="shared" si="147"/>
        <v>0</v>
      </c>
      <c r="S1465" s="46">
        <f t="shared" si="148"/>
        <v>0</v>
      </c>
      <c r="T1465" s="46">
        <f t="shared" si="152"/>
        <v>60</v>
      </c>
      <c r="U1465" s="46">
        <f t="shared" si="149"/>
        <v>60</v>
      </c>
      <c r="V1465" s="54">
        <f t="shared" si="150"/>
        <v>61.166666666666664</v>
      </c>
    </row>
    <row r="1466" spans="1:22" x14ac:dyDescent="0.2">
      <c r="A1466" s="46" t="s">
        <v>21</v>
      </c>
      <c r="B1466" s="46" t="s">
        <v>52</v>
      </c>
      <c r="C1466" s="46" t="s">
        <v>90</v>
      </c>
      <c r="D1466" s="46" t="s">
        <v>178</v>
      </c>
      <c r="E1466" s="46">
        <v>1</v>
      </c>
      <c r="F1466" s="46" t="s">
        <v>62</v>
      </c>
      <c r="G1466" s="46">
        <v>2</v>
      </c>
      <c r="H1466" s="47" t="s">
        <v>79</v>
      </c>
      <c r="I1466" s="47" t="s">
        <v>127</v>
      </c>
      <c r="J1466" s="48">
        <v>3</v>
      </c>
      <c r="K1466" s="48">
        <v>0</v>
      </c>
      <c r="R1466" s="46">
        <f t="shared" si="147"/>
        <v>0</v>
      </c>
      <c r="S1466" s="46">
        <f t="shared" si="148"/>
        <v>0</v>
      </c>
      <c r="T1466" s="46">
        <f t="shared" si="152"/>
        <v>60</v>
      </c>
      <c r="U1466" s="46">
        <f t="shared" si="149"/>
        <v>60</v>
      </c>
      <c r="V1466" s="54">
        <f t="shared" si="150"/>
        <v>61.166666666666664</v>
      </c>
    </row>
    <row r="1467" spans="1:22" x14ac:dyDescent="0.2">
      <c r="A1467" s="46" t="s">
        <v>21</v>
      </c>
      <c r="B1467" s="46" t="s">
        <v>52</v>
      </c>
      <c r="C1467" s="46" t="s">
        <v>90</v>
      </c>
      <c r="D1467" s="46" t="s">
        <v>178</v>
      </c>
      <c r="E1467" s="46">
        <v>4</v>
      </c>
      <c r="F1467" s="46" t="s">
        <v>61</v>
      </c>
      <c r="G1467" s="46">
        <v>1</v>
      </c>
      <c r="H1467" s="47" t="s">
        <v>75</v>
      </c>
      <c r="I1467" s="47" t="s">
        <v>101</v>
      </c>
      <c r="J1467" s="48">
        <v>3</v>
      </c>
      <c r="K1467" s="48">
        <v>0</v>
      </c>
      <c r="R1467" s="46">
        <f t="shared" si="147"/>
        <v>0</v>
      </c>
      <c r="S1467" s="46">
        <f t="shared" si="148"/>
        <v>0</v>
      </c>
      <c r="T1467" s="46">
        <f t="shared" si="152"/>
        <v>60</v>
      </c>
      <c r="U1467" s="46">
        <f t="shared" si="149"/>
        <v>60</v>
      </c>
      <c r="V1467" s="54">
        <f t="shared" si="150"/>
        <v>61.166666666666664</v>
      </c>
    </row>
    <row r="1468" spans="1:22" x14ac:dyDescent="0.2">
      <c r="A1468" s="46" t="s">
        <v>21</v>
      </c>
      <c r="B1468" s="46" t="s">
        <v>52</v>
      </c>
      <c r="C1468" s="46" t="s">
        <v>90</v>
      </c>
      <c r="D1468" s="46" t="s">
        <v>178</v>
      </c>
      <c r="E1468" s="46">
        <v>2</v>
      </c>
      <c r="F1468" s="46" t="s">
        <v>60</v>
      </c>
      <c r="G1468" s="46">
        <v>2</v>
      </c>
      <c r="H1468" s="47">
        <v>2</v>
      </c>
      <c r="I1468" s="47" t="s">
        <v>127</v>
      </c>
      <c r="J1468" s="48">
        <v>4</v>
      </c>
      <c r="K1468" s="48">
        <v>2</v>
      </c>
      <c r="R1468" s="46">
        <f t="shared" si="147"/>
        <v>1</v>
      </c>
      <c r="S1468" s="46">
        <f t="shared" si="148"/>
        <v>0</v>
      </c>
      <c r="T1468" s="46">
        <f t="shared" si="152"/>
        <v>70</v>
      </c>
      <c r="U1468" s="46">
        <f t="shared" si="149"/>
        <v>70</v>
      </c>
      <c r="V1468" s="54">
        <f t="shared" si="150"/>
        <v>61.166666666666664</v>
      </c>
    </row>
    <row r="1469" spans="1:22" x14ac:dyDescent="0.2">
      <c r="A1469" s="46" t="s">
        <v>21</v>
      </c>
      <c r="B1469" s="46" t="s">
        <v>52</v>
      </c>
      <c r="C1469" s="46" t="s">
        <v>90</v>
      </c>
      <c r="D1469" s="46" t="s">
        <v>178</v>
      </c>
      <c r="E1469" s="46">
        <v>2</v>
      </c>
      <c r="F1469" s="46" t="s">
        <v>60</v>
      </c>
      <c r="G1469" s="46">
        <v>3</v>
      </c>
      <c r="H1469" s="47">
        <v>27</v>
      </c>
      <c r="I1469" s="47" t="s">
        <v>116</v>
      </c>
      <c r="J1469" s="48">
        <v>4</v>
      </c>
      <c r="K1469" s="48">
        <v>1</v>
      </c>
      <c r="M1469" s="48">
        <v>1</v>
      </c>
      <c r="R1469" s="46">
        <f t="shared" si="147"/>
        <v>1</v>
      </c>
      <c r="S1469" s="46">
        <f t="shared" si="148"/>
        <v>0</v>
      </c>
      <c r="T1469" s="46">
        <f t="shared" ref="T1469:T1489" si="153">quizscore(J1469,K1469)</f>
        <v>80</v>
      </c>
      <c r="U1469" s="46">
        <f t="shared" si="149"/>
        <v>100</v>
      </c>
      <c r="V1469" s="54">
        <f t="shared" si="150"/>
        <v>61.166666666666664</v>
      </c>
    </row>
    <row r="1470" spans="1:22" x14ac:dyDescent="0.2">
      <c r="A1470" s="46" t="s">
        <v>21</v>
      </c>
      <c r="B1470" s="46" t="s">
        <v>52</v>
      </c>
      <c r="C1470" s="46" t="s">
        <v>90</v>
      </c>
      <c r="D1470" s="46" t="s">
        <v>178</v>
      </c>
      <c r="E1470" s="46">
        <v>4</v>
      </c>
      <c r="F1470" s="46" t="s">
        <v>60</v>
      </c>
      <c r="G1470" s="46">
        <v>3</v>
      </c>
      <c r="H1470" s="47">
        <v>27</v>
      </c>
      <c r="I1470" s="47" t="s">
        <v>159</v>
      </c>
      <c r="J1470" s="48">
        <v>4</v>
      </c>
      <c r="K1470" s="48">
        <v>1</v>
      </c>
      <c r="R1470" s="46">
        <f t="shared" si="147"/>
        <v>1</v>
      </c>
      <c r="S1470" s="46">
        <f t="shared" si="148"/>
        <v>0</v>
      </c>
      <c r="T1470" s="46">
        <f t="shared" si="153"/>
        <v>80</v>
      </c>
      <c r="U1470" s="46">
        <f t="shared" si="149"/>
        <v>80</v>
      </c>
      <c r="V1470" s="54">
        <f t="shared" si="150"/>
        <v>61.166666666666664</v>
      </c>
    </row>
    <row r="1471" spans="1:22" x14ac:dyDescent="0.2">
      <c r="A1471" s="46" t="s">
        <v>21</v>
      </c>
      <c r="B1471" s="46" t="s">
        <v>52</v>
      </c>
      <c r="C1471" s="46" t="s">
        <v>90</v>
      </c>
      <c r="D1471" s="46" t="s">
        <v>178</v>
      </c>
      <c r="E1471" s="46">
        <v>3</v>
      </c>
      <c r="F1471" s="46" t="s">
        <v>60</v>
      </c>
      <c r="G1471" s="46">
        <v>4</v>
      </c>
      <c r="H1471" s="47">
        <v>36</v>
      </c>
      <c r="I1471" s="47" t="s">
        <v>102</v>
      </c>
      <c r="J1471" s="48">
        <v>4</v>
      </c>
      <c r="K1471" s="48">
        <v>1</v>
      </c>
      <c r="R1471" s="46">
        <f t="shared" si="147"/>
        <v>1</v>
      </c>
      <c r="S1471" s="46">
        <f t="shared" si="148"/>
        <v>0</v>
      </c>
      <c r="T1471" s="46">
        <f t="shared" si="153"/>
        <v>80</v>
      </c>
      <c r="U1471" s="46">
        <f t="shared" si="149"/>
        <v>80</v>
      </c>
      <c r="V1471" s="54">
        <f t="shared" si="150"/>
        <v>61.166666666666664</v>
      </c>
    </row>
    <row r="1472" spans="1:22" x14ac:dyDescent="0.2">
      <c r="A1472" s="46" t="s">
        <v>21</v>
      </c>
      <c r="B1472" s="46" t="s">
        <v>52</v>
      </c>
      <c r="C1472" s="46" t="s">
        <v>90</v>
      </c>
      <c r="D1472" s="46" t="s">
        <v>178</v>
      </c>
      <c r="E1472" s="46">
        <v>3</v>
      </c>
      <c r="F1472" s="46" t="s">
        <v>60</v>
      </c>
      <c r="G1472" s="46">
        <v>1</v>
      </c>
      <c r="H1472" s="47">
        <v>49</v>
      </c>
      <c r="I1472" s="47" t="s">
        <v>101</v>
      </c>
      <c r="J1472" s="48">
        <v>4</v>
      </c>
      <c r="K1472" s="48">
        <v>1</v>
      </c>
      <c r="R1472" s="46">
        <f t="shared" si="147"/>
        <v>1</v>
      </c>
      <c r="S1472" s="46">
        <f t="shared" si="148"/>
        <v>0</v>
      </c>
      <c r="T1472" s="46">
        <f t="shared" si="153"/>
        <v>80</v>
      </c>
      <c r="U1472" s="46">
        <f t="shared" si="149"/>
        <v>80</v>
      </c>
      <c r="V1472" s="54">
        <f t="shared" si="150"/>
        <v>61.166666666666664</v>
      </c>
    </row>
    <row r="1473" spans="1:22" x14ac:dyDescent="0.2">
      <c r="A1473" s="46" t="s">
        <v>21</v>
      </c>
      <c r="B1473" s="46" t="s">
        <v>52</v>
      </c>
      <c r="C1473" s="46" t="s">
        <v>90</v>
      </c>
      <c r="D1473" s="46" t="s">
        <v>178</v>
      </c>
      <c r="E1473" s="46">
        <v>3</v>
      </c>
      <c r="F1473" s="46" t="s">
        <v>60</v>
      </c>
      <c r="G1473" s="46">
        <v>4</v>
      </c>
      <c r="H1473" s="47">
        <v>4</v>
      </c>
      <c r="I1473" s="47" t="s">
        <v>102</v>
      </c>
      <c r="J1473" s="48">
        <v>4</v>
      </c>
      <c r="K1473" s="48">
        <v>0</v>
      </c>
      <c r="R1473" s="46">
        <f t="shared" si="147"/>
        <v>1</v>
      </c>
      <c r="S1473" s="46">
        <f t="shared" si="148"/>
        <v>0</v>
      </c>
      <c r="T1473" s="46">
        <f t="shared" si="153"/>
        <v>90</v>
      </c>
      <c r="U1473" s="46">
        <f t="shared" si="149"/>
        <v>90</v>
      </c>
      <c r="V1473" s="54">
        <f t="shared" si="150"/>
        <v>61.166666666666664</v>
      </c>
    </row>
    <row r="1474" spans="1:22" x14ac:dyDescent="0.2">
      <c r="A1474" s="46" t="s">
        <v>21</v>
      </c>
      <c r="B1474" s="46" t="s">
        <v>52</v>
      </c>
      <c r="C1474" s="46" t="s">
        <v>90</v>
      </c>
      <c r="D1474" s="46" t="s">
        <v>178</v>
      </c>
      <c r="E1474" s="46">
        <v>1</v>
      </c>
      <c r="F1474" s="46" t="s">
        <v>60</v>
      </c>
      <c r="G1474" s="46">
        <v>1</v>
      </c>
      <c r="H1474" s="47">
        <v>9</v>
      </c>
      <c r="I1474" s="47" t="s">
        <v>101</v>
      </c>
      <c r="J1474" s="48">
        <v>4</v>
      </c>
      <c r="K1474" s="48">
        <v>0</v>
      </c>
      <c r="R1474" s="46">
        <f t="shared" ref="R1474:R1537" si="154">IF(J1474=4,1,0)</f>
        <v>1</v>
      </c>
      <c r="S1474" s="46">
        <f t="shared" ref="S1474:S1537" si="155">IF(K1474=3,1,0)</f>
        <v>0</v>
      </c>
      <c r="T1474" s="46">
        <f t="shared" si="153"/>
        <v>90</v>
      </c>
      <c r="U1474" s="46">
        <f t="shared" ref="U1474:U1537" si="156">T1474+M1474*(20) + (SUM(O1474:Q1474)*(10)) - L1474*(5) - N1474*(5)</f>
        <v>90</v>
      </c>
      <c r="V1474" s="54">
        <f t="shared" ref="V1474:V1537" si="157">AVERAGEIFS(U:U,A:A,A1474,F:F,"Pre")</f>
        <v>61.166666666666664</v>
      </c>
    </row>
    <row r="1475" spans="1:22" x14ac:dyDescent="0.2">
      <c r="A1475" s="46" t="s">
        <v>21</v>
      </c>
      <c r="B1475" s="46" t="s">
        <v>52</v>
      </c>
      <c r="C1475" s="46" t="s">
        <v>90</v>
      </c>
      <c r="D1475" s="46" t="s">
        <v>178</v>
      </c>
      <c r="E1475" s="46">
        <v>1</v>
      </c>
      <c r="F1475" s="46" t="s">
        <v>60</v>
      </c>
      <c r="G1475" s="46">
        <v>1</v>
      </c>
      <c r="H1475" s="47">
        <v>17</v>
      </c>
      <c r="I1475" s="47" t="s">
        <v>101</v>
      </c>
      <c r="J1475" s="48">
        <v>4</v>
      </c>
      <c r="K1475" s="48">
        <v>0</v>
      </c>
      <c r="R1475" s="46">
        <f t="shared" si="154"/>
        <v>1</v>
      </c>
      <c r="S1475" s="46">
        <f t="shared" si="155"/>
        <v>0</v>
      </c>
      <c r="T1475" s="46">
        <f t="shared" si="153"/>
        <v>90</v>
      </c>
      <c r="U1475" s="46">
        <f t="shared" si="156"/>
        <v>90</v>
      </c>
      <c r="V1475" s="54">
        <f t="shared" si="157"/>
        <v>61.166666666666664</v>
      </c>
    </row>
    <row r="1476" spans="1:22" x14ac:dyDescent="0.2">
      <c r="A1476" s="46" t="s">
        <v>21</v>
      </c>
      <c r="B1476" s="46" t="s">
        <v>52</v>
      </c>
      <c r="C1476" s="46" t="s">
        <v>90</v>
      </c>
      <c r="D1476" s="46" t="s">
        <v>178</v>
      </c>
      <c r="E1476" s="46">
        <v>4</v>
      </c>
      <c r="F1476" s="46" t="s">
        <v>60</v>
      </c>
      <c r="G1476" s="46">
        <v>1</v>
      </c>
      <c r="H1476" s="47">
        <v>41</v>
      </c>
      <c r="I1476" s="47" t="s">
        <v>101</v>
      </c>
      <c r="J1476" s="48">
        <v>4</v>
      </c>
      <c r="K1476" s="48">
        <v>0</v>
      </c>
      <c r="R1476" s="46">
        <f t="shared" si="154"/>
        <v>1</v>
      </c>
      <c r="S1476" s="46">
        <f t="shared" si="155"/>
        <v>0</v>
      </c>
      <c r="T1476" s="46">
        <f t="shared" si="153"/>
        <v>90</v>
      </c>
      <c r="U1476" s="46">
        <f t="shared" si="156"/>
        <v>90</v>
      </c>
      <c r="V1476" s="54">
        <f t="shared" si="157"/>
        <v>61.166666666666664</v>
      </c>
    </row>
    <row r="1477" spans="1:22" x14ac:dyDescent="0.2">
      <c r="A1477" s="46" t="s">
        <v>21</v>
      </c>
      <c r="B1477" s="46" t="s">
        <v>52</v>
      </c>
      <c r="C1477" s="46" t="s">
        <v>90</v>
      </c>
      <c r="D1477" s="46" t="s">
        <v>178</v>
      </c>
      <c r="E1477" s="46">
        <v>4</v>
      </c>
      <c r="F1477" s="46" t="s">
        <v>60</v>
      </c>
      <c r="G1477" s="46">
        <v>4</v>
      </c>
      <c r="H1477" s="47">
        <v>48</v>
      </c>
      <c r="I1477" s="47" t="s">
        <v>102</v>
      </c>
      <c r="J1477" s="48">
        <v>4</v>
      </c>
      <c r="K1477" s="48">
        <v>0</v>
      </c>
      <c r="R1477" s="46">
        <f t="shared" si="154"/>
        <v>1</v>
      </c>
      <c r="S1477" s="46">
        <f t="shared" si="155"/>
        <v>0</v>
      </c>
      <c r="T1477" s="46">
        <f t="shared" si="153"/>
        <v>90</v>
      </c>
      <c r="U1477" s="46">
        <f t="shared" si="156"/>
        <v>90</v>
      </c>
      <c r="V1477" s="54">
        <f t="shared" si="157"/>
        <v>61.166666666666664</v>
      </c>
    </row>
    <row r="1478" spans="1:22" x14ac:dyDescent="0.2">
      <c r="A1478" s="46" t="s">
        <v>21</v>
      </c>
      <c r="B1478" s="46" t="s">
        <v>52</v>
      </c>
      <c r="C1478" s="46" t="s">
        <v>90</v>
      </c>
      <c r="D1478" s="46" t="s">
        <v>178</v>
      </c>
      <c r="E1478" s="46">
        <v>1</v>
      </c>
      <c r="F1478" s="46" t="s">
        <v>62</v>
      </c>
      <c r="G1478" s="46">
        <v>2</v>
      </c>
      <c r="H1478" s="47" t="s">
        <v>82</v>
      </c>
      <c r="I1478" s="47" t="s">
        <v>127</v>
      </c>
      <c r="J1478" s="48">
        <v>4</v>
      </c>
      <c r="K1478" s="48">
        <v>0</v>
      </c>
      <c r="R1478" s="46">
        <f t="shared" si="154"/>
        <v>1</v>
      </c>
      <c r="S1478" s="46">
        <f t="shared" si="155"/>
        <v>0</v>
      </c>
      <c r="T1478" s="46">
        <f t="shared" si="153"/>
        <v>90</v>
      </c>
      <c r="U1478" s="46">
        <f t="shared" si="156"/>
        <v>90</v>
      </c>
      <c r="V1478" s="54">
        <f t="shared" si="157"/>
        <v>61.166666666666664</v>
      </c>
    </row>
    <row r="1479" spans="1:22" x14ac:dyDescent="0.2">
      <c r="A1479" s="46" t="s">
        <v>21</v>
      </c>
      <c r="B1479" s="46" t="s">
        <v>52</v>
      </c>
      <c r="C1479" s="46" t="s">
        <v>90</v>
      </c>
      <c r="D1479" s="46" t="s">
        <v>178</v>
      </c>
      <c r="E1479" s="46">
        <v>3</v>
      </c>
      <c r="F1479" s="46" t="s">
        <v>61</v>
      </c>
      <c r="G1479" s="46">
        <v>1</v>
      </c>
      <c r="H1479" s="47" t="s">
        <v>70</v>
      </c>
      <c r="I1479" s="47" t="s">
        <v>101</v>
      </c>
      <c r="J1479" s="48">
        <v>4</v>
      </c>
      <c r="K1479" s="48">
        <v>0</v>
      </c>
      <c r="R1479" s="46">
        <f t="shared" si="154"/>
        <v>1</v>
      </c>
      <c r="S1479" s="46">
        <f t="shared" si="155"/>
        <v>0</v>
      </c>
      <c r="T1479" s="46">
        <f t="shared" si="153"/>
        <v>90</v>
      </c>
      <c r="U1479" s="46">
        <f t="shared" si="156"/>
        <v>90</v>
      </c>
      <c r="V1479" s="54">
        <f t="shared" si="157"/>
        <v>61.166666666666664</v>
      </c>
    </row>
    <row r="1480" spans="1:22" x14ac:dyDescent="0.2">
      <c r="A1480" s="46" t="s">
        <v>21</v>
      </c>
      <c r="B1480" s="46" t="s">
        <v>52</v>
      </c>
      <c r="C1480" s="46" t="s">
        <v>90</v>
      </c>
      <c r="D1480" s="46" t="s">
        <v>178</v>
      </c>
      <c r="E1480" s="46">
        <v>5</v>
      </c>
      <c r="F1480" s="46" t="s">
        <v>60</v>
      </c>
      <c r="G1480" s="46">
        <v>2</v>
      </c>
      <c r="H1480" s="47">
        <v>2</v>
      </c>
      <c r="I1480" s="47" t="s">
        <v>127</v>
      </c>
      <c r="J1480" s="48">
        <v>3</v>
      </c>
      <c r="K1480" s="48">
        <v>3</v>
      </c>
      <c r="R1480" s="46">
        <f t="shared" si="154"/>
        <v>0</v>
      </c>
      <c r="S1480" s="46">
        <f t="shared" si="155"/>
        <v>1</v>
      </c>
      <c r="T1480" s="46">
        <f t="shared" si="153"/>
        <v>40</v>
      </c>
      <c r="U1480" s="46">
        <f t="shared" si="156"/>
        <v>40</v>
      </c>
      <c r="V1480" s="54">
        <f t="shared" si="157"/>
        <v>61.166666666666664</v>
      </c>
    </row>
    <row r="1481" spans="1:22" x14ac:dyDescent="0.2">
      <c r="A1481" s="46" t="s">
        <v>21</v>
      </c>
      <c r="B1481" s="46" t="s">
        <v>52</v>
      </c>
      <c r="C1481" s="46" t="s">
        <v>90</v>
      </c>
      <c r="D1481" s="46" t="s">
        <v>178</v>
      </c>
      <c r="E1481" s="46">
        <v>5</v>
      </c>
      <c r="F1481" s="46" t="s">
        <v>60</v>
      </c>
      <c r="G1481" s="46">
        <v>3</v>
      </c>
      <c r="H1481" s="47">
        <v>15</v>
      </c>
      <c r="I1481" s="47" t="s">
        <v>159</v>
      </c>
      <c r="J1481" s="48">
        <v>4</v>
      </c>
      <c r="K1481" s="48">
        <v>1</v>
      </c>
      <c r="R1481" s="46">
        <f t="shared" si="154"/>
        <v>1</v>
      </c>
      <c r="S1481" s="46">
        <f t="shared" si="155"/>
        <v>0</v>
      </c>
      <c r="T1481" s="46">
        <f t="shared" si="153"/>
        <v>80</v>
      </c>
      <c r="U1481" s="46">
        <f t="shared" si="156"/>
        <v>80</v>
      </c>
      <c r="V1481" s="54">
        <f t="shared" si="157"/>
        <v>61.166666666666664</v>
      </c>
    </row>
    <row r="1482" spans="1:22" x14ac:dyDescent="0.2">
      <c r="A1482" s="46" t="s">
        <v>21</v>
      </c>
      <c r="B1482" s="46" t="s">
        <v>52</v>
      </c>
      <c r="C1482" s="46" t="s">
        <v>90</v>
      </c>
      <c r="D1482" s="46" t="s">
        <v>178</v>
      </c>
      <c r="E1482" s="46">
        <v>5</v>
      </c>
      <c r="F1482" s="46" t="s">
        <v>60</v>
      </c>
      <c r="G1482" s="46">
        <v>1</v>
      </c>
      <c r="H1482" s="47">
        <v>17</v>
      </c>
      <c r="I1482" s="47" t="s">
        <v>101</v>
      </c>
      <c r="J1482" s="48">
        <v>4</v>
      </c>
      <c r="K1482" s="48">
        <v>2</v>
      </c>
      <c r="R1482" s="46">
        <f t="shared" si="154"/>
        <v>1</v>
      </c>
      <c r="S1482" s="46">
        <f t="shared" si="155"/>
        <v>0</v>
      </c>
      <c r="T1482" s="46">
        <f t="shared" si="153"/>
        <v>70</v>
      </c>
      <c r="U1482" s="46">
        <f t="shared" si="156"/>
        <v>70</v>
      </c>
      <c r="V1482" s="54">
        <f t="shared" si="157"/>
        <v>61.166666666666664</v>
      </c>
    </row>
    <row r="1483" spans="1:22" x14ac:dyDescent="0.2">
      <c r="A1483" s="46" t="s">
        <v>21</v>
      </c>
      <c r="B1483" s="46" t="s">
        <v>52</v>
      </c>
      <c r="C1483" s="46" t="s">
        <v>90</v>
      </c>
      <c r="D1483" s="46" t="s">
        <v>178</v>
      </c>
      <c r="E1483" s="46">
        <v>5</v>
      </c>
      <c r="F1483" s="46" t="s">
        <v>60</v>
      </c>
      <c r="G1483" s="46">
        <v>4</v>
      </c>
      <c r="H1483" s="47">
        <v>28</v>
      </c>
      <c r="I1483" s="47" t="s">
        <v>102</v>
      </c>
      <c r="J1483" s="48">
        <v>4</v>
      </c>
      <c r="K1483" s="48">
        <v>0</v>
      </c>
      <c r="R1483" s="46">
        <f t="shared" si="154"/>
        <v>1</v>
      </c>
      <c r="S1483" s="46">
        <f t="shared" si="155"/>
        <v>0</v>
      </c>
      <c r="T1483" s="46">
        <f t="shared" si="153"/>
        <v>90</v>
      </c>
      <c r="U1483" s="46">
        <f t="shared" si="156"/>
        <v>90</v>
      </c>
      <c r="V1483" s="54">
        <f t="shared" si="157"/>
        <v>61.166666666666664</v>
      </c>
    </row>
    <row r="1484" spans="1:22" x14ac:dyDescent="0.2">
      <c r="A1484" s="46" t="s">
        <v>21</v>
      </c>
      <c r="B1484" s="46" t="s">
        <v>52</v>
      </c>
      <c r="C1484" s="46" t="s">
        <v>90</v>
      </c>
      <c r="D1484" s="46" t="s">
        <v>178</v>
      </c>
      <c r="E1484" s="46">
        <v>5</v>
      </c>
      <c r="F1484" s="46" t="s">
        <v>60</v>
      </c>
      <c r="G1484" s="46">
        <v>4</v>
      </c>
      <c r="H1484" s="47">
        <v>36</v>
      </c>
      <c r="I1484" s="47" t="s">
        <v>102</v>
      </c>
      <c r="J1484" s="48">
        <v>4</v>
      </c>
      <c r="K1484" s="48">
        <v>1</v>
      </c>
      <c r="N1484" s="48">
        <v>1</v>
      </c>
      <c r="R1484" s="46">
        <f t="shared" si="154"/>
        <v>1</v>
      </c>
      <c r="S1484" s="46">
        <f t="shared" si="155"/>
        <v>0</v>
      </c>
      <c r="T1484" s="46">
        <f t="shared" si="153"/>
        <v>80</v>
      </c>
      <c r="U1484" s="46">
        <f t="shared" si="156"/>
        <v>75</v>
      </c>
      <c r="V1484" s="54">
        <f t="shared" si="157"/>
        <v>61.166666666666664</v>
      </c>
    </row>
    <row r="1485" spans="1:22" x14ac:dyDescent="0.2">
      <c r="A1485" s="46" t="s">
        <v>21</v>
      </c>
      <c r="B1485" s="46" t="s">
        <v>52</v>
      </c>
      <c r="C1485" s="46" t="s">
        <v>90</v>
      </c>
      <c r="D1485" s="46" t="s">
        <v>178</v>
      </c>
      <c r="E1485" s="46">
        <v>5</v>
      </c>
      <c r="F1485" s="46" t="s">
        <v>60</v>
      </c>
      <c r="G1485" s="46">
        <v>1</v>
      </c>
      <c r="H1485" s="47">
        <v>41</v>
      </c>
      <c r="I1485" s="47" t="s">
        <v>101</v>
      </c>
      <c r="J1485" s="48">
        <v>4</v>
      </c>
      <c r="K1485" s="48">
        <v>0</v>
      </c>
      <c r="R1485" s="46">
        <f t="shared" si="154"/>
        <v>1</v>
      </c>
      <c r="S1485" s="46">
        <f t="shared" si="155"/>
        <v>0</v>
      </c>
      <c r="T1485" s="46">
        <f t="shared" si="153"/>
        <v>90</v>
      </c>
      <c r="U1485" s="46">
        <f t="shared" si="156"/>
        <v>90</v>
      </c>
      <c r="V1485" s="54">
        <f t="shared" si="157"/>
        <v>61.166666666666664</v>
      </c>
    </row>
    <row r="1486" spans="1:22" x14ac:dyDescent="0.2">
      <c r="A1486" s="46" t="s">
        <v>21</v>
      </c>
      <c r="B1486" s="46" t="s">
        <v>52</v>
      </c>
      <c r="C1486" s="46" t="s">
        <v>90</v>
      </c>
      <c r="D1486" s="46" t="s">
        <v>178</v>
      </c>
      <c r="E1486" s="46">
        <v>5</v>
      </c>
      <c r="F1486" s="46" t="s">
        <v>61</v>
      </c>
      <c r="G1486" s="46">
        <v>1</v>
      </c>
      <c r="H1486" s="47" t="s">
        <v>70</v>
      </c>
      <c r="I1486" s="47" t="s">
        <v>101</v>
      </c>
      <c r="J1486" s="48">
        <v>2</v>
      </c>
      <c r="K1486" s="48">
        <v>0</v>
      </c>
      <c r="M1486" s="48">
        <v>1</v>
      </c>
      <c r="R1486" s="46">
        <f t="shared" si="154"/>
        <v>0</v>
      </c>
      <c r="S1486" s="46">
        <f t="shared" si="155"/>
        <v>0</v>
      </c>
      <c r="T1486" s="46">
        <f t="shared" si="153"/>
        <v>40</v>
      </c>
      <c r="U1486" s="46">
        <f t="shared" si="156"/>
        <v>60</v>
      </c>
      <c r="V1486" s="54">
        <f t="shared" si="157"/>
        <v>61.166666666666664</v>
      </c>
    </row>
    <row r="1487" spans="1:22" x14ac:dyDescent="0.2">
      <c r="A1487" s="46" t="s">
        <v>21</v>
      </c>
      <c r="B1487" s="46" t="s">
        <v>52</v>
      </c>
      <c r="C1487" s="46" t="s">
        <v>90</v>
      </c>
      <c r="D1487" s="46" t="s">
        <v>178</v>
      </c>
      <c r="E1487" s="46">
        <v>5</v>
      </c>
      <c r="F1487" s="46" t="s">
        <v>61</v>
      </c>
      <c r="G1487" s="46">
        <v>1</v>
      </c>
      <c r="H1487" s="47" t="s">
        <v>68</v>
      </c>
      <c r="I1487" s="47" t="s">
        <v>101</v>
      </c>
      <c r="J1487" s="48">
        <v>4</v>
      </c>
      <c r="K1487" s="48">
        <v>0</v>
      </c>
      <c r="R1487" s="46">
        <f t="shared" si="154"/>
        <v>1</v>
      </c>
      <c r="S1487" s="46">
        <f t="shared" si="155"/>
        <v>0</v>
      </c>
      <c r="T1487" s="46">
        <f t="shared" si="153"/>
        <v>90</v>
      </c>
      <c r="U1487" s="46">
        <f t="shared" si="156"/>
        <v>90</v>
      </c>
      <c r="V1487" s="54">
        <f t="shared" si="157"/>
        <v>61.166666666666664</v>
      </c>
    </row>
    <row r="1488" spans="1:22" x14ac:dyDescent="0.2">
      <c r="A1488" s="46" t="s">
        <v>21</v>
      </c>
      <c r="B1488" s="46" t="s">
        <v>52</v>
      </c>
      <c r="C1488" s="46" t="s">
        <v>90</v>
      </c>
      <c r="D1488" s="46" t="s">
        <v>178</v>
      </c>
      <c r="E1488" s="46">
        <v>5</v>
      </c>
      <c r="F1488" s="46" t="s">
        <v>61</v>
      </c>
      <c r="G1488" s="46">
        <v>1</v>
      </c>
      <c r="H1488" s="47" t="s">
        <v>69</v>
      </c>
      <c r="I1488" s="47" t="s">
        <v>101</v>
      </c>
      <c r="J1488" s="48">
        <v>1</v>
      </c>
      <c r="K1488" s="48">
        <v>2</v>
      </c>
      <c r="N1488" s="48">
        <v>1</v>
      </c>
      <c r="R1488" s="46">
        <f t="shared" si="154"/>
        <v>0</v>
      </c>
      <c r="S1488" s="46">
        <f t="shared" si="155"/>
        <v>0</v>
      </c>
      <c r="T1488" s="46">
        <f t="shared" si="153"/>
        <v>10</v>
      </c>
      <c r="U1488" s="46">
        <f t="shared" si="156"/>
        <v>5</v>
      </c>
      <c r="V1488" s="54">
        <f t="shared" si="157"/>
        <v>61.166666666666664</v>
      </c>
    </row>
    <row r="1489" spans="1:22" x14ac:dyDescent="0.2">
      <c r="A1489" s="46" t="s">
        <v>21</v>
      </c>
      <c r="B1489" s="46" t="s">
        <v>52</v>
      </c>
      <c r="C1489" s="46" t="s">
        <v>90</v>
      </c>
      <c r="D1489" s="46" t="s">
        <v>178</v>
      </c>
      <c r="E1489" s="46">
        <v>5</v>
      </c>
      <c r="F1489" s="46" t="s">
        <v>61</v>
      </c>
      <c r="G1489" s="46">
        <v>1</v>
      </c>
      <c r="H1489" s="47" t="s">
        <v>71</v>
      </c>
      <c r="I1489" s="47" t="s">
        <v>101</v>
      </c>
      <c r="J1489" s="48">
        <v>4</v>
      </c>
      <c r="K1489" s="48">
        <v>0</v>
      </c>
      <c r="R1489" s="46">
        <f t="shared" si="154"/>
        <v>1</v>
      </c>
      <c r="S1489" s="46">
        <f t="shared" si="155"/>
        <v>0</v>
      </c>
      <c r="T1489" s="46">
        <f t="shared" si="153"/>
        <v>90</v>
      </c>
      <c r="U1489" s="46">
        <f t="shared" si="156"/>
        <v>90</v>
      </c>
      <c r="V1489" s="54">
        <f t="shared" si="157"/>
        <v>61.166666666666664</v>
      </c>
    </row>
    <row r="1490" spans="1:22" x14ac:dyDescent="0.2">
      <c r="A1490" s="46" t="s">
        <v>21</v>
      </c>
      <c r="B1490" s="46" t="s">
        <v>52</v>
      </c>
      <c r="C1490" s="46" t="s">
        <v>90</v>
      </c>
      <c r="D1490" s="46" t="s">
        <v>178</v>
      </c>
      <c r="E1490" s="46">
        <v>5</v>
      </c>
      <c r="F1490" s="46" t="s">
        <v>61</v>
      </c>
      <c r="G1490" s="46">
        <v>1</v>
      </c>
      <c r="H1490" s="47" t="s">
        <v>78</v>
      </c>
      <c r="I1490" s="47" t="s">
        <v>101</v>
      </c>
      <c r="J1490" s="48">
        <v>3</v>
      </c>
      <c r="K1490" s="48">
        <v>0</v>
      </c>
      <c r="M1490" s="48">
        <v>1</v>
      </c>
      <c r="R1490" s="46">
        <f t="shared" si="154"/>
        <v>0</v>
      </c>
      <c r="S1490" s="46">
        <f t="shared" si="155"/>
        <v>0</v>
      </c>
      <c r="U1490" s="46">
        <f t="shared" si="156"/>
        <v>20</v>
      </c>
      <c r="V1490" s="54">
        <f t="shared" si="157"/>
        <v>61.166666666666664</v>
      </c>
    </row>
    <row r="1491" spans="1:22" x14ac:dyDescent="0.2">
      <c r="A1491" s="46" t="s">
        <v>21</v>
      </c>
      <c r="B1491" s="46" t="s">
        <v>52</v>
      </c>
      <c r="C1491" s="46" t="s">
        <v>90</v>
      </c>
      <c r="D1491" s="46" t="s">
        <v>178</v>
      </c>
      <c r="E1491" s="46">
        <v>5</v>
      </c>
      <c r="F1491" s="46" t="s">
        <v>61</v>
      </c>
      <c r="G1491" s="46">
        <v>1</v>
      </c>
      <c r="H1491" s="47" t="s">
        <v>78</v>
      </c>
      <c r="I1491" s="47" t="s">
        <v>101</v>
      </c>
      <c r="J1491" s="48">
        <v>3</v>
      </c>
      <c r="K1491" s="48">
        <v>0</v>
      </c>
      <c r="M1491" s="48">
        <v>1</v>
      </c>
      <c r="R1491" s="46">
        <f t="shared" si="154"/>
        <v>0</v>
      </c>
      <c r="S1491" s="46">
        <f t="shared" si="155"/>
        <v>0</v>
      </c>
      <c r="U1491" s="46">
        <f t="shared" si="156"/>
        <v>20</v>
      </c>
      <c r="V1491" s="54">
        <f t="shared" si="157"/>
        <v>61.166666666666664</v>
      </c>
    </row>
    <row r="1492" spans="1:22" x14ac:dyDescent="0.2">
      <c r="A1492" s="46" t="s">
        <v>20</v>
      </c>
      <c r="B1492" s="46" t="s">
        <v>206</v>
      </c>
      <c r="C1492" s="46" t="s">
        <v>91</v>
      </c>
      <c r="D1492" s="46" t="s">
        <v>178</v>
      </c>
      <c r="E1492" s="46">
        <v>4</v>
      </c>
      <c r="F1492" s="46" t="s">
        <v>60</v>
      </c>
      <c r="G1492" s="46">
        <v>1</v>
      </c>
      <c r="H1492" s="47">
        <v>25</v>
      </c>
      <c r="I1492" s="47" t="s">
        <v>101</v>
      </c>
      <c r="J1492" s="48">
        <v>0</v>
      </c>
      <c r="K1492" s="48">
        <v>2</v>
      </c>
      <c r="R1492" s="46">
        <f t="shared" si="154"/>
        <v>0</v>
      </c>
      <c r="S1492" s="46">
        <f t="shared" si="155"/>
        <v>0</v>
      </c>
      <c r="T1492" s="46">
        <f t="shared" ref="T1492:T1523" si="158">quizscore(J1492,K1492)</f>
        <v>-10</v>
      </c>
      <c r="U1492" s="46">
        <f t="shared" si="156"/>
        <v>-10</v>
      </c>
      <c r="V1492" s="54">
        <f t="shared" si="157"/>
        <v>14.666666666666666</v>
      </c>
    </row>
    <row r="1493" spans="1:22" x14ac:dyDescent="0.2">
      <c r="A1493" s="46" t="s">
        <v>20</v>
      </c>
      <c r="B1493" s="46" t="s">
        <v>206</v>
      </c>
      <c r="C1493" s="46" t="s">
        <v>91</v>
      </c>
      <c r="D1493" s="46" t="s">
        <v>178</v>
      </c>
      <c r="E1493" s="46">
        <v>2</v>
      </c>
      <c r="F1493" s="46" t="s">
        <v>60</v>
      </c>
      <c r="G1493" s="46">
        <v>3</v>
      </c>
      <c r="H1493" s="47">
        <v>27</v>
      </c>
      <c r="I1493" s="47" t="s">
        <v>116</v>
      </c>
      <c r="J1493" s="48">
        <v>0</v>
      </c>
      <c r="K1493" s="48">
        <v>2</v>
      </c>
      <c r="R1493" s="46">
        <f t="shared" si="154"/>
        <v>0</v>
      </c>
      <c r="S1493" s="46">
        <f t="shared" si="155"/>
        <v>0</v>
      </c>
      <c r="T1493" s="46">
        <f t="shared" si="158"/>
        <v>-10</v>
      </c>
      <c r="U1493" s="46">
        <f t="shared" si="156"/>
        <v>-10</v>
      </c>
      <c r="V1493" s="54">
        <f t="shared" si="157"/>
        <v>14.666666666666666</v>
      </c>
    </row>
    <row r="1494" spans="1:22" x14ac:dyDescent="0.2">
      <c r="A1494" s="46" t="s">
        <v>20</v>
      </c>
      <c r="B1494" s="46" t="s">
        <v>206</v>
      </c>
      <c r="C1494" s="46" t="s">
        <v>91</v>
      </c>
      <c r="D1494" s="46" t="s">
        <v>178</v>
      </c>
      <c r="E1494" s="46">
        <v>3</v>
      </c>
      <c r="F1494" s="46" t="s">
        <v>60</v>
      </c>
      <c r="G1494" s="46">
        <v>4</v>
      </c>
      <c r="H1494" s="47">
        <v>32</v>
      </c>
      <c r="I1494" s="47" t="s">
        <v>102</v>
      </c>
      <c r="J1494" s="48">
        <v>0</v>
      </c>
      <c r="K1494" s="48">
        <v>2</v>
      </c>
      <c r="R1494" s="46">
        <f t="shared" si="154"/>
        <v>0</v>
      </c>
      <c r="S1494" s="46">
        <f t="shared" si="155"/>
        <v>0</v>
      </c>
      <c r="T1494" s="46">
        <f t="shared" si="158"/>
        <v>-10</v>
      </c>
      <c r="U1494" s="46">
        <f t="shared" si="156"/>
        <v>-10</v>
      </c>
      <c r="V1494" s="54">
        <f t="shared" si="157"/>
        <v>14.666666666666666</v>
      </c>
    </row>
    <row r="1495" spans="1:22" x14ac:dyDescent="0.2">
      <c r="A1495" s="46" t="s">
        <v>20</v>
      </c>
      <c r="B1495" s="46" t="s">
        <v>206</v>
      </c>
      <c r="C1495" s="46" t="s">
        <v>91</v>
      </c>
      <c r="D1495" s="46" t="s">
        <v>178</v>
      </c>
      <c r="E1495" s="46">
        <v>3</v>
      </c>
      <c r="F1495" s="46" t="s">
        <v>60</v>
      </c>
      <c r="G1495" s="46">
        <v>1</v>
      </c>
      <c r="H1495" s="47">
        <v>41</v>
      </c>
      <c r="I1495" s="47" t="s">
        <v>101</v>
      </c>
      <c r="J1495" s="48">
        <v>0</v>
      </c>
      <c r="K1495" s="48">
        <v>2</v>
      </c>
      <c r="R1495" s="46">
        <f t="shared" si="154"/>
        <v>0</v>
      </c>
      <c r="S1495" s="46">
        <f t="shared" si="155"/>
        <v>0</v>
      </c>
      <c r="T1495" s="46">
        <f t="shared" si="158"/>
        <v>-10</v>
      </c>
      <c r="U1495" s="46">
        <f t="shared" si="156"/>
        <v>-10</v>
      </c>
      <c r="V1495" s="54">
        <f t="shared" si="157"/>
        <v>14.666666666666666</v>
      </c>
    </row>
    <row r="1496" spans="1:22" x14ac:dyDescent="0.2">
      <c r="A1496" s="46" t="s">
        <v>20</v>
      </c>
      <c r="B1496" s="46" t="s">
        <v>206</v>
      </c>
      <c r="C1496" s="46" t="s">
        <v>91</v>
      </c>
      <c r="D1496" s="46" t="s">
        <v>178</v>
      </c>
      <c r="E1496" s="46">
        <v>4</v>
      </c>
      <c r="F1496" s="46" t="s">
        <v>60</v>
      </c>
      <c r="G1496" s="46">
        <v>4</v>
      </c>
      <c r="H1496" s="47">
        <v>44</v>
      </c>
      <c r="I1496" s="47" t="s">
        <v>102</v>
      </c>
      <c r="J1496" s="48">
        <v>0</v>
      </c>
      <c r="K1496" s="48">
        <v>2</v>
      </c>
      <c r="R1496" s="46">
        <f t="shared" si="154"/>
        <v>0</v>
      </c>
      <c r="S1496" s="46">
        <f t="shared" si="155"/>
        <v>0</v>
      </c>
      <c r="T1496" s="46">
        <f t="shared" si="158"/>
        <v>-10</v>
      </c>
      <c r="U1496" s="46">
        <f t="shared" si="156"/>
        <v>-10</v>
      </c>
      <c r="V1496" s="54">
        <f t="shared" si="157"/>
        <v>14.666666666666666</v>
      </c>
    </row>
    <row r="1497" spans="1:22" x14ac:dyDescent="0.2">
      <c r="A1497" s="46" t="s">
        <v>20</v>
      </c>
      <c r="B1497" s="46" t="s">
        <v>206</v>
      </c>
      <c r="C1497" s="46" t="s">
        <v>91</v>
      </c>
      <c r="D1497" s="46" t="s">
        <v>178</v>
      </c>
      <c r="E1497" s="46">
        <v>2</v>
      </c>
      <c r="F1497" s="46" t="s">
        <v>62</v>
      </c>
      <c r="G1497" s="46">
        <v>2</v>
      </c>
      <c r="H1497" s="47" t="s">
        <v>82</v>
      </c>
      <c r="I1497" s="47" t="s">
        <v>127</v>
      </c>
      <c r="J1497" s="48">
        <v>0</v>
      </c>
      <c r="K1497" s="48">
        <v>2</v>
      </c>
      <c r="R1497" s="46">
        <f t="shared" si="154"/>
        <v>0</v>
      </c>
      <c r="S1497" s="46">
        <f t="shared" si="155"/>
        <v>0</v>
      </c>
      <c r="T1497" s="46">
        <f t="shared" si="158"/>
        <v>-10</v>
      </c>
      <c r="U1497" s="46">
        <f t="shared" si="156"/>
        <v>-10</v>
      </c>
      <c r="V1497" s="54">
        <f t="shared" si="157"/>
        <v>14.666666666666666</v>
      </c>
    </row>
    <row r="1498" spans="1:22" x14ac:dyDescent="0.2">
      <c r="A1498" s="46" t="s">
        <v>20</v>
      </c>
      <c r="B1498" s="46" t="s">
        <v>206</v>
      </c>
      <c r="C1498" s="46" t="s">
        <v>91</v>
      </c>
      <c r="D1498" s="46" t="s">
        <v>178</v>
      </c>
      <c r="E1498" s="46">
        <v>4</v>
      </c>
      <c r="F1498" s="46" t="s">
        <v>60</v>
      </c>
      <c r="G1498" s="46">
        <v>3</v>
      </c>
      <c r="H1498" s="47">
        <v>7</v>
      </c>
      <c r="I1498" s="47" t="s">
        <v>159</v>
      </c>
      <c r="J1498" s="48">
        <v>0</v>
      </c>
      <c r="K1498" s="48">
        <v>1</v>
      </c>
      <c r="R1498" s="46">
        <f t="shared" si="154"/>
        <v>0</v>
      </c>
      <c r="S1498" s="46">
        <f t="shared" si="155"/>
        <v>0</v>
      </c>
      <c r="T1498" s="46">
        <f t="shared" si="158"/>
        <v>0</v>
      </c>
      <c r="U1498" s="46">
        <f t="shared" si="156"/>
        <v>0</v>
      </c>
      <c r="V1498" s="54">
        <f t="shared" si="157"/>
        <v>14.666666666666666</v>
      </c>
    </row>
    <row r="1499" spans="1:22" x14ac:dyDescent="0.2">
      <c r="A1499" s="46" t="s">
        <v>20</v>
      </c>
      <c r="B1499" s="46" t="s">
        <v>206</v>
      </c>
      <c r="C1499" s="46" t="s">
        <v>91</v>
      </c>
      <c r="D1499" s="46" t="s">
        <v>178</v>
      </c>
      <c r="E1499" s="46">
        <v>3</v>
      </c>
      <c r="F1499" s="46" t="s">
        <v>60</v>
      </c>
      <c r="G1499" s="46">
        <v>3</v>
      </c>
      <c r="H1499" s="47">
        <v>19</v>
      </c>
      <c r="I1499" s="47" t="s">
        <v>116</v>
      </c>
      <c r="J1499" s="48">
        <v>0</v>
      </c>
      <c r="K1499" s="48">
        <v>1</v>
      </c>
      <c r="R1499" s="46">
        <f t="shared" si="154"/>
        <v>0</v>
      </c>
      <c r="S1499" s="46">
        <f t="shared" si="155"/>
        <v>0</v>
      </c>
      <c r="T1499" s="46">
        <f t="shared" si="158"/>
        <v>0</v>
      </c>
      <c r="U1499" s="46">
        <f t="shared" si="156"/>
        <v>0</v>
      </c>
      <c r="V1499" s="54">
        <f t="shared" si="157"/>
        <v>14.666666666666666</v>
      </c>
    </row>
    <row r="1500" spans="1:22" x14ac:dyDescent="0.2">
      <c r="A1500" s="46" t="s">
        <v>20</v>
      </c>
      <c r="B1500" s="46" t="s">
        <v>206</v>
      </c>
      <c r="C1500" s="46" t="s">
        <v>91</v>
      </c>
      <c r="D1500" s="46" t="s">
        <v>178</v>
      </c>
      <c r="E1500" s="46">
        <v>4</v>
      </c>
      <c r="F1500" s="46" t="s">
        <v>60</v>
      </c>
      <c r="G1500" s="46">
        <v>4</v>
      </c>
      <c r="H1500" s="47">
        <v>20</v>
      </c>
      <c r="I1500" s="47" t="s">
        <v>102</v>
      </c>
      <c r="J1500" s="48">
        <v>0</v>
      </c>
      <c r="K1500" s="48">
        <v>0</v>
      </c>
      <c r="N1500" s="48">
        <v>1</v>
      </c>
      <c r="R1500" s="46">
        <f t="shared" si="154"/>
        <v>0</v>
      </c>
      <c r="S1500" s="46">
        <f t="shared" si="155"/>
        <v>0</v>
      </c>
      <c r="T1500" s="46">
        <f t="shared" si="158"/>
        <v>0</v>
      </c>
      <c r="U1500" s="46">
        <f t="shared" si="156"/>
        <v>-5</v>
      </c>
      <c r="V1500" s="54">
        <f t="shared" si="157"/>
        <v>14.666666666666666</v>
      </c>
    </row>
    <row r="1501" spans="1:22" x14ac:dyDescent="0.2">
      <c r="A1501" s="46" t="s">
        <v>20</v>
      </c>
      <c r="B1501" s="46" t="s">
        <v>206</v>
      </c>
      <c r="C1501" s="46" t="s">
        <v>91</v>
      </c>
      <c r="D1501" s="46" t="s">
        <v>178</v>
      </c>
      <c r="E1501" s="46">
        <v>4</v>
      </c>
      <c r="F1501" s="46" t="s">
        <v>60</v>
      </c>
      <c r="G1501" s="46">
        <v>1</v>
      </c>
      <c r="H1501" s="47">
        <v>29</v>
      </c>
      <c r="I1501" s="47" t="s">
        <v>101</v>
      </c>
      <c r="J1501" s="48">
        <v>0</v>
      </c>
      <c r="K1501" s="48">
        <v>1</v>
      </c>
      <c r="R1501" s="46">
        <f t="shared" si="154"/>
        <v>0</v>
      </c>
      <c r="S1501" s="46">
        <f t="shared" si="155"/>
        <v>0</v>
      </c>
      <c r="T1501" s="46">
        <f t="shared" si="158"/>
        <v>0</v>
      </c>
      <c r="U1501" s="46">
        <f t="shared" si="156"/>
        <v>0</v>
      </c>
      <c r="V1501" s="54">
        <f t="shared" si="157"/>
        <v>14.666666666666666</v>
      </c>
    </row>
    <row r="1502" spans="1:22" x14ac:dyDescent="0.2">
      <c r="A1502" s="46" t="s">
        <v>20</v>
      </c>
      <c r="B1502" s="46" t="s">
        <v>206</v>
      </c>
      <c r="C1502" s="46" t="s">
        <v>91</v>
      </c>
      <c r="D1502" s="46" t="s">
        <v>178</v>
      </c>
      <c r="E1502" s="46">
        <v>1</v>
      </c>
      <c r="F1502" s="46" t="s">
        <v>60</v>
      </c>
      <c r="G1502" s="46">
        <v>4</v>
      </c>
      <c r="H1502" s="47">
        <v>32</v>
      </c>
      <c r="I1502" s="47" t="s">
        <v>102</v>
      </c>
      <c r="J1502" s="48">
        <v>0</v>
      </c>
      <c r="K1502" s="48">
        <v>1</v>
      </c>
      <c r="R1502" s="46">
        <f t="shared" si="154"/>
        <v>0</v>
      </c>
      <c r="S1502" s="46">
        <f t="shared" si="155"/>
        <v>0</v>
      </c>
      <c r="T1502" s="46">
        <f t="shared" si="158"/>
        <v>0</v>
      </c>
      <c r="U1502" s="46">
        <f t="shared" si="156"/>
        <v>0</v>
      </c>
      <c r="V1502" s="54">
        <f t="shared" si="157"/>
        <v>14.666666666666666</v>
      </c>
    </row>
    <row r="1503" spans="1:22" x14ac:dyDescent="0.2">
      <c r="A1503" s="46" t="s">
        <v>20</v>
      </c>
      <c r="B1503" s="46" t="s">
        <v>206</v>
      </c>
      <c r="C1503" s="46" t="s">
        <v>91</v>
      </c>
      <c r="D1503" s="46" t="s">
        <v>178</v>
      </c>
      <c r="E1503" s="46">
        <v>2</v>
      </c>
      <c r="F1503" s="46" t="s">
        <v>60</v>
      </c>
      <c r="G1503" s="46">
        <v>4</v>
      </c>
      <c r="H1503" s="47">
        <v>36</v>
      </c>
      <c r="I1503" s="47" t="s">
        <v>102</v>
      </c>
      <c r="J1503" s="48">
        <v>0</v>
      </c>
      <c r="K1503" s="48">
        <v>0</v>
      </c>
      <c r="R1503" s="46">
        <f t="shared" si="154"/>
        <v>0</v>
      </c>
      <c r="S1503" s="46">
        <f t="shared" si="155"/>
        <v>0</v>
      </c>
      <c r="T1503" s="46">
        <f t="shared" si="158"/>
        <v>0</v>
      </c>
      <c r="U1503" s="46">
        <f t="shared" si="156"/>
        <v>0</v>
      </c>
      <c r="V1503" s="54">
        <f t="shared" si="157"/>
        <v>14.666666666666666</v>
      </c>
    </row>
    <row r="1504" spans="1:22" x14ac:dyDescent="0.2">
      <c r="A1504" s="46" t="s">
        <v>20</v>
      </c>
      <c r="B1504" s="46" t="s">
        <v>206</v>
      </c>
      <c r="C1504" s="46" t="s">
        <v>91</v>
      </c>
      <c r="D1504" s="46" t="s">
        <v>178</v>
      </c>
      <c r="E1504" s="46">
        <v>2</v>
      </c>
      <c r="F1504" s="46" t="s">
        <v>60</v>
      </c>
      <c r="G1504" s="46">
        <v>2</v>
      </c>
      <c r="H1504" s="47">
        <v>46</v>
      </c>
      <c r="I1504" s="47" t="s">
        <v>127</v>
      </c>
      <c r="J1504" s="48">
        <v>0</v>
      </c>
      <c r="K1504" s="48">
        <v>1</v>
      </c>
      <c r="R1504" s="46">
        <f t="shared" si="154"/>
        <v>0</v>
      </c>
      <c r="S1504" s="46">
        <f t="shared" si="155"/>
        <v>0</v>
      </c>
      <c r="T1504" s="46">
        <f t="shared" si="158"/>
        <v>0</v>
      </c>
      <c r="U1504" s="46">
        <f t="shared" si="156"/>
        <v>0</v>
      </c>
      <c r="V1504" s="54">
        <f t="shared" si="157"/>
        <v>14.666666666666666</v>
      </c>
    </row>
    <row r="1505" spans="1:22" x14ac:dyDescent="0.2">
      <c r="A1505" s="46" t="s">
        <v>20</v>
      </c>
      <c r="B1505" s="46" t="s">
        <v>206</v>
      </c>
      <c r="C1505" s="46" t="s">
        <v>91</v>
      </c>
      <c r="D1505" s="46" t="s">
        <v>178</v>
      </c>
      <c r="E1505" s="46">
        <v>3</v>
      </c>
      <c r="F1505" s="46" t="s">
        <v>60</v>
      </c>
      <c r="G1505" s="46">
        <v>1</v>
      </c>
      <c r="H1505" s="47">
        <v>49</v>
      </c>
      <c r="I1505" s="47" t="s">
        <v>101</v>
      </c>
      <c r="J1505" s="48">
        <v>0</v>
      </c>
      <c r="K1505" s="48">
        <v>0</v>
      </c>
      <c r="R1505" s="46">
        <f t="shared" si="154"/>
        <v>0</v>
      </c>
      <c r="S1505" s="46">
        <f t="shared" si="155"/>
        <v>0</v>
      </c>
      <c r="T1505" s="46">
        <f t="shared" si="158"/>
        <v>0</v>
      </c>
      <c r="U1505" s="46">
        <f t="shared" si="156"/>
        <v>0</v>
      </c>
      <c r="V1505" s="54">
        <f t="shared" si="157"/>
        <v>14.666666666666666</v>
      </c>
    </row>
    <row r="1506" spans="1:22" x14ac:dyDescent="0.2">
      <c r="A1506" s="46" t="s">
        <v>20</v>
      </c>
      <c r="B1506" s="46" t="s">
        <v>206</v>
      </c>
      <c r="C1506" s="46" t="s">
        <v>91</v>
      </c>
      <c r="D1506" s="46" t="s">
        <v>178</v>
      </c>
      <c r="E1506" s="46">
        <v>3</v>
      </c>
      <c r="F1506" s="46" t="s">
        <v>62</v>
      </c>
      <c r="G1506" s="46">
        <v>2</v>
      </c>
      <c r="H1506" s="47" t="s">
        <v>79</v>
      </c>
      <c r="I1506" s="47" t="s">
        <v>127</v>
      </c>
      <c r="J1506" s="48">
        <v>0</v>
      </c>
      <c r="K1506" s="48">
        <v>0</v>
      </c>
      <c r="R1506" s="46">
        <f t="shared" si="154"/>
        <v>0</v>
      </c>
      <c r="S1506" s="46">
        <f t="shared" si="155"/>
        <v>0</v>
      </c>
      <c r="T1506" s="46">
        <f t="shared" si="158"/>
        <v>0</v>
      </c>
      <c r="U1506" s="46">
        <f t="shared" si="156"/>
        <v>0</v>
      </c>
      <c r="V1506" s="54">
        <f t="shared" si="157"/>
        <v>14.666666666666666</v>
      </c>
    </row>
    <row r="1507" spans="1:22" x14ac:dyDescent="0.2">
      <c r="A1507" s="46" t="s">
        <v>20</v>
      </c>
      <c r="B1507" s="46" t="s">
        <v>206</v>
      </c>
      <c r="C1507" s="46" t="s">
        <v>91</v>
      </c>
      <c r="D1507" s="46" t="s">
        <v>178</v>
      </c>
      <c r="E1507" s="46">
        <v>2</v>
      </c>
      <c r="F1507" s="46" t="s">
        <v>62</v>
      </c>
      <c r="G1507" s="46">
        <v>2</v>
      </c>
      <c r="H1507" s="47" t="s">
        <v>86</v>
      </c>
      <c r="I1507" s="47" t="s">
        <v>127</v>
      </c>
      <c r="J1507" s="48">
        <v>0</v>
      </c>
      <c r="K1507" s="48">
        <v>1</v>
      </c>
      <c r="R1507" s="46">
        <f t="shared" si="154"/>
        <v>0</v>
      </c>
      <c r="S1507" s="46">
        <f t="shared" si="155"/>
        <v>0</v>
      </c>
      <c r="T1507" s="46">
        <f t="shared" si="158"/>
        <v>0</v>
      </c>
      <c r="U1507" s="46">
        <f t="shared" si="156"/>
        <v>0</v>
      </c>
      <c r="V1507" s="54">
        <f t="shared" si="157"/>
        <v>14.666666666666666</v>
      </c>
    </row>
    <row r="1508" spans="1:22" x14ac:dyDescent="0.2">
      <c r="A1508" s="46" t="s">
        <v>20</v>
      </c>
      <c r="B1508" s="46" t="s">
        <v>206</v>
      </c>
      <c r="C1508" s="46" t="s">
        <v>91</v>
      </c>
      <c r="D1508" s="46" t="s">
        <v>178</v>
      </c>
      <c r="E1508" s="46">
        <v>3</v>
      </c>
      <c r="F1508" s="46" t="s">
        <v>62</v>
      </c>
      <c r="G1508" s="46">
        <v>3</v>
      </c>
      <c r="H1508" s="47" t="s">
        <v>87</v>
      </c>
      <c r="I1508" s="47" t="s">
        <v>116</v>
      </c>
      <c r="J1508" s="48">
        <v>0</v>
      </c>
      <c r="K1508" s="48">
        <v>1</v>
      </c>
      <c r="R1508" s="46">
        <f t="shared" si="154"/>
        <v>0</v>
      </c>
      <c r="S1508" s="46">
        <f t="shared" si="155"/>
        <v>0</v>
      </c>
      <c r="T1508" s="46">
        <f t="shared" si="158"/>
        <v>0</v>
      </c>
      <c r="U1508" s="46">
        <f t="shared" si="156"/>
        <v>0</v>
      </c>
      <c r="V1508" s="54">
        <f t="shared" si="157"/>
        <v>14.666666666666666</v>
      </c>
    </row>
    <row r="1509" spans="1:22" x14ac:dyDescent="0.2">
      <c r="A1509" s="46" t="s">
        <v>20</v>
      </c>
      <c r="B1509" s="46" t="s">
        <v>206</v>
      </c>
      <c r="C1509" s="46" t="s">
        <v>91</v>
      </c>
      <c r="D1509" s="46" t="s">
        <v>178</v>
      </c>
      <c r="E1509" s="46">
        <v>2</v>
      </c>
      <c r="F1509" s="46" t="s">
        <v>62</v>
      </c>
      <c r="G1509" s="46">
        <v>3</v>
      </c>
      <c r="H1509" s="47" t="s">
        <v>64</v>
      </c>
      <c r="I1509" s="47" t="s">
        <v>116</v>
      </c>
      <c r="J1509" s="48">
        <v>0</v>
      </c>
      <c r="K1509" s="48">
        <v>1</v>
      </c>
      <c r="R1509" s="46">
        <f t="shared" si="154"/>
        <v>0</v>
      </c>
      <c r="S1509" s="46">
        <f t="shared" si="155"/>
        <v>0</v>
      </c>
      <c r="T1509" s="46">
        <f t="shared" si="158"/>
        <v>0</v>
      </c>
      <c r="U1509" s="46">
        <f t="shared" si="156"/>
        <v>0</v>
      </c>
      <c r="V1509" s="54">
        <f t="shared" si="157"/>
        <v>14.666666666666666</v>
      </c>
    </row>
    <row r="1510" spans="1:22" x14ac:dyDescent="0.2">
      <c r="A1510" s="46" t="s">
        <v>20</v>
      </c>
      <c r="B1510" s="46" t="s">
        <v>206</v>
      </c>
      <c r="C1510" s="46" t="s">
        <v>91</v>
      </c>
      <c r="D1510" s="46" t="s">
        <v>178</v>
      </c>
      <c r="E1510" s="46">
        <v>1</v>
      </c>
      <c r="F1510" s="46" t="s">
        <v>61</v>
      </c>
      <c r="G1510" s="46">
        <v>2</v>
      </c>
      <c r="H1510" s="47" t="s">
        <v>66</v>
      </c>
      <c r="I1510" s="47" t="s">
        <v>127</v>
      </c>
      <c r="J1510" s="48">
        <v>0</v>
      </c>
      <c r="K1510" s="48">
        <v>0</v>
      </c>
      <c r="R1510" s="46">
        <f t="shared" si="154"/>
        <v>0</v>
      </c>
      <c r="S1510" s="46">
        <f t="shared" si="155"/>
        <v>0</v>
      </c>
      <c r="T1510" s="46">
        <f t="shared" si="158"/>
        <v>0</v>
      </c>
      <c r="U1510" s="46">
        <f t="shared" si="156"/>
        <v>0</v>
      </c>
      <c r="V1510" s="54">
        <f t="shared" si="157"/>
        <v>14.666666666666666</v>
      </c>
    </row>
    <row r="1511" spans="1:22" x14ac:dyDescent="0.2">
      <c r="A1511" s="46" t="s">
        <v>20</v>
      </c>
      <c r="B1511" s="46" t="s">
        <v>206</v>
      </c>
      <c r="C1511" s="46" t="s">
        <v>91</v>
      </c>
      <c r="D1511" s="46" t="s">
        <v>178</v>
      </c>
      <c r="E1511" s="46">
        <v>3</v>
      </c>
      <c r="F1511" s="46" t="s">
        <v>60</v>
      </c>
      <c r="G1511" s="46">
        <v>3</v>
      </c>
      <c r="H1511" s="47">
        <v>3</v>
      </c>
      <c r="I1511" s="47" t="s">
        <v>116</v>
      </c>
      <c r="J1511" s="48">
        <v>1</v>
      </c>
      <c r="K1511" s="48">
        <v>0</v>
      </c>
      <c r="R1511" s="46">
        <f t="shared" si="154"/>
        <v>0</v>
      </c>
      <c r="S1511" s="46">
        <f t="shared" si="155"/>
        <v>0</v>
      </c>
      <c r="T1511" s="46">
        <f t="shared" si="158"/>
        <v>20</v>
      </c>
      <c r="U1511" s="46">
        <f t="shared" si="156"/>
        <v>20</v>
      </c>
      <c r="V1511" s="54">
        <f t="shared" si="157"/>
        <v>14.666666666666666</v>
      </c>
    </row>
    <row r="1512" spans="1:22" x14ac:dyDescent="0.2">
      <c r="A1512" s="46" t="s">
        <v>20</v>
      </c>
      <c r="B1512" s="46" t="s">
        <v>206</v>
      </c>
      <c r="C1512" s="46" t="s">
        <v>91</v>
      </c>
      <c r="D1512" s="46" t="s">
        <v>178</v>
      </c>
      <c r="E1512" s="46">
        <v>2</v>
      </c>
      <c r="F1512" s="46" t="s">
        <v>60</v>
      </c>
      <c r="G1512" s="46">
        <v>1</v>
      </c>
      <c r="H1512" s="47">
        <v>9</v>
      </c>
      <c r="I1512" s="47" t="s">
        <v>101</v>
      </c>
      <c r="J1512" s="48">
        <v>1</v>
      </c>
      <c r="K1512" s="48">
        <v>1</v>
      </c>
      <c r="R1512" s="46">
        <f t="shared" si="154"/>
        <v>0</v>
      </c>
      <c r="S1512" s="46">
        <f t="shared" si="155"/>
        <v>0</v>
      </c>
      <c r="T1512" s="46">
        <f t="shared" si="158"/>
        <v>20</v>
      </c>
      <c r="U1512" s="46">
        <f t="shared" si="156"/>
        <v>20</v>
      </c>
      <c r="V1512" s="54">
        <f t="shared" si="157"/>
        <v>14.666666666666666</v>
      </c>
    </row>
    <row r="1513" spans="1:22" x14ac:dyDescent="0.2">
      <c r="A1513" s="46" t="s">
        <v>20</v>
      </c>
      <c r="B1513" s="46" t="s">
        <v>206</v>
      </c>
      <c r="C1513" s="46" t="s">
        <v>91</v>
      </c>
      <c r="D1513" s="46" t="s">
        <v>178</v>
      </c>
      <c r="E1513" s="46">
        <v>4</v>
      </c>
      <c r="F1513" s="46" t="s">
        <v>60</v>
      </c>
      <c r="G1513" s="46">
        <v>2</v>
      </c>
      <c r="H1513" s="47">
        <v>10</v>
      </c>
      <c r="I1513" s="47" t="s">
        <v>127</v>
      </c>
      <c r="J1513" s="48">
        <v>1</v>
      </c>
      <c r="K1513" s="48">
        <v>1</v>
      </c>
      <c r="R1513" s="46">
        <f t="shared" si="154"/>
        <v>0</v>
      </c>
      <c r="S1513" s="46">
        <f t="shared" si="155"/>
        <v>0</v>
      </c>
      <c r="T1513" s="46">
        <f t="shared" si="158"/>
        <v>20</v>
      </c>
      <c r="U1513" s="46">
        <f t="shared" si="156"/>
        <v>20</v>
      </c>
      <c r="V1513" s="54">
        <f t="shared" si="157"/>
        <v>14.666666666666666</v>
      </c>
    </row>
    <row r="1514" spans="1:22" x14ac:dyDescent="0.2">
      <c r="A1514" s="46" t="s">
        <v>20</v>
      </c>
      <c r="B1514" s="46" t="s">
        <v>206</v>
      </c>
      <c r="C1514" s="46" t="s">
        <v>91</v>
      </c>
      <c r="D1514" s="46" t="s">
        <v>178</v>
      </c>
      <c r="E1514" s="46">
        <v>2</v>
      </c>
      <c r="F1514" s="46" t="s">
        <v>60</v>
      </c>
      <c r="G1514" s="46">
        <v>2</v>
      </c>
      <c r="H1514" s="47">
        <v>18</v>
      </c>
      <c r="I1514" s="47" t="s">
        <v>127</v>
      </c>
      <c r="J1514" s="48">
        <v>1</v>
      </c>
      <c r="K1514" s="48">
        <v>1</v>
      </c>
      <c r="R1514" s="46">
        <f t="shared" si="154"/>
        <v>0</v>
      </c>
      <c r="S1514" s="46">
        <f t="shared" si="155"/>
        <v>0</v>
      </c>
      <c r="T1514" s="46">
        <f t="shared" si="158"/>
        <v>20</v>
      </c>
      <c r="U1514" s="46">
        <f t="shared" si="156"/>
        <v>20</v>
      </c>
      <c r="V1514" s="54">
        <f t="shared" si="157"/>
        <v>14.666666666666666</v>
      </c>
    </row>
    <row r="1515" spans="1:22" x14ac:dyDescent="0.2">
      <c r="A1515" s="46" t="s">
        <v>20</v>
      </c>
      <c r="B1515" s="46" t="s">
        <v>206</v>
      </c>
      <c r="C1515" s="46" t="s">
        <v>91</v>
      </c>
      <c r="D1515" s="46" t="s">
        <v>178</v>
      </c>
      <c r="E1515" s="46">
        <v>3</v>
      </c>
      <c r="F1515" s="46" t="s">
        <v>60</v>
      </c>
      <c r="G1515" s="46">
        <v>2</v>
      </c>
      <c r="H1515" s="47">
        <v>38</v>
      </c>
      <c r="I1515" s="47" t="s">
        <v>127</v>
      </c>
      <c r="J1515" s="48">
        <v>1</v>
      </c>
      <c r="K1515" s="48">
        <v>0</v>
      </c>
      <c r="O1515" s="48">
        <v>1</v>
      </c>
      <c r="R1515" s="46">
        <f t="shared" si="154"/>
        <v>0</v>
      </c>
      <c r="S1515" s="46">
        <f t="shared" si="155"/>
        <v>0</v>
      </c>
      <c r="T1515" s="46">
        <f t="shared" si="158"/>
        <v>20</v>
      </c>
      <c r="U1515" s="46">
        <f t="shared" si="156"/>
        <v>30</v>
      </c>
      <c r="V1515" s="54">
        <f t="shared" si="157"/>
        <v>14.666666666666666</v>
      </c>
    </row>
    <row r="1516" spans="1:22" x14ac:dyDescent="0.2">
      <c r="A1516" s="46" t="s">
        <v>20</v>
      </c>
      <c r="B1516" s="46" t="s">
        <v>206</v>
      </c>
      <c r="C1516" s="46" t="s">
        <v>91</v>
      </c>
      <c r="D1516" s="46" t="s">
        <v>178</v>
      </c>
      <c r="E1516" s="46">
        <v>1</v>
      </c>
      <c r="F1516" s="46" t="s">
        <v>60</v>
      </c>
      <c r="G1516" s="46">
        <v>2</v>
      </c>
      <c r="H1516" s="47">
        <v>50</v>
      </c>
      <c r="I1516" s="47" t="s">
        <v>127</v>
      </c>
      <c r="J1516" s="48">
        <v>1</v>
      </c>
      <c r="K1516" s="48">
        <v>0</v>
      </c>
      <c r="O1516" s="48">
        <v>1</v>
      </c>
      <c r="R1516" s="46">
        <f t="shared" si="154"/>
        <v>0</v>
      </c>
      <c r="S1516" s="46">
        <f t="shared" si="155"/>
        <v>0</v>
      </c>
      <c r="T1516" s="46">
        <f t="shared" si="158"/>
        <v>20</v>
      </c>
      <c r="U1516" s="46">
        <f t="shared" si="156"/>
        <v>30</v>
      </c>
      <c r="V1516" s="54">
        <f t="shared" si="157"/>
        <v>14.666666666666666</v>
      </c>
    </row>
    <row r="1517" spans="1:22" x14ac:dyDescent="0.2">
      <c r="A1517" s="46" t="s">
        <v>20</v>
      </c>
      <c r="B1517" s="46" t="s">
        <v>206</v>
      </c>
      <c r="C1517" s="46" t="s">
        <v>91</v>
      </c>
      <c r="D1517" s="46" t="s">
        <v>178</v>
      </c>
      <c r="E1517" s="46">
        <v>1</v>
      </c>
      <c r="F1517" s="46" t="s">
        <v>61</v>
      </c>
      <c r="G1517" s="46">
        <v>1</v>
      </c>
      <c r="H1517" s="47" t="s">
        <v>67</v>
      </c>
      <c r="I1517" s="47" t="s">
        <v>101</v>
      </c>
      <c r="J1517" s="48">
        <v>1</v>
      </c>
      <c r="K1517" s="48">
        <v>1</v>
      </c>
      <c r="R1517" s="46">
        <f t="shared" si="154"/>
        <v>0</v>
      </c>
      <c r="S1517" s="46">
        <f t="shared" si="155"/>
        <v>0</v>
      </c>
      <c r="T1517" s="46">
        <f t="shared" si="158"/>
        <v>20</v>
      </c>
      <c r="U1517" s="46">
        <f t="shared" si="156"/>
        <v>20</v>
      </c>
      <c r="V1517" s="54">
        <f t="shared" si="157"/>
        <v>14.666666666666666</v>
      </c>
    </row>
    <row r="1518" spans="1:22" x14ac:dyDescent="0.2">
      <c r="A1518" s="46" t="s">
        <v>20</v>
      </c>
      <c r="B1518" s="46" t="s">
        <v>206</v>
      </c>
      <c r="C1518" s="46" t="s">
        <v>91</v>
      </c>
      <c r="D1518" s="46" t="s">
        <v>178</v>
      </c>
      <c r="E1518" s="46">
        <v>4</v>
      </c>
      <c r="F1518" s="46" t="s">
        <v>63</v>
      </c>
      <c r="G1518" s="46">
        <v>4</v>
      </c>
      <c r="H1518" s="47" t="s">
        <v>148</v>
      </c>
      <c r="I1518" s="47" t="s">
        <v>102</v>
      </c>
      <c r="J1518" s="48">
        <v>1</v>
      </c>
      <c r="K1518" s="48">
        <v>1</v>
      </c>
      <c r="R1518" s="46">
        <f t="shared" si="154"/>
        <v>0</v>
      </c>
      <c r="S1518" s="46">
        <f t="shared" si="155"/>
        <v>0</v>
      </c>
      <c r="T1518" s="46">
        <f t="shared" si="158"/>
        <v>20</v>
      </c>
      <c r="U1518" s="46">
        <f t="shared" si="156"/>
        <v>20</v>
      </c>
      <c r="V1518" s="54">
        <f t="shared" si="157"/>
        <v>14.666666666666666</v>
      </c>
    </row>
    <row r="1519" spans="1:22" x14ac:dyDescent="0.2">
      <c r="A1519" s="46" t="s">
        <v>20</v>
      </c>
      <c r="B1519" s="46" t="s">
        <v>206</v>
      </c>
      <c r="C1519" s="46" t="s">
        <v>91</v>
      </c>
      <c r="D1519" s="46" t="s">
        <v>178</v>
      </c>
      <c r="E1519" s="46">
        <v>4</v>
      </c>
      <c r="F1519" s="46" t="s">
        <v>63</v>
      </c>
      <c r="G1519" s="46">
        <v>4</v>
      </c>
      <c r="H1519" s="47" t="s">
        <v>149</v>
      </c>
      <c r="I1519" s="47" t="s">
        <v>102</v>
      </c>
      <c r="J1519" s="48">
        <v>1</v>
      </c>
      <c r="K1519" s="48">
        <v>0</v>
      </c>
      <c r="R1519" s="46">
        <f t="shared" si="154"/>
        <v>0</v>
      </c>
      <c r="S1519" s="46">
        <f t="shared" si="155"/>
        <v>0</v>
      </c>
      <c r="T1519" s="46">
        <f t="shared" si="158"/>
        <v>20</v>
      </c>
      <c r="U1519" s="46">
        <f t="shared" si="156"/>
        <v>20</v>
      </c>
      <c r="V1519" s="54">
        <f t="shared" si="157"/>
        <v>14.666666666666666</v>
      </c>
    </row>
    <row r="1520" spans="1:22" x14ac:dyDescent="0.2">
      <c r="A1520" s="46" t="s">
        <v>20</v>
      </c>
      <c r="B1520" s="46" t="s">
        <v>206</v>
      </c>
      <c r="C1520" s="46" t="s">
        <v>91</v>
      </c>
      <c r="D1520" s="46" t="s">
        <v>178</v>
      </c>
      <c r="E1520" s="46">
        <v>1</v>
      </c>
      <c r="F1520" s="46" t="s">
        <v>61</v>
      </c>
      <c r="G1520" s="46">
        <v>1</v>
      </c>
      <c r="H1520" s="47" t="s">
        <v>68</v>
      </c>
      <c r="I1520" s="47" t="s">
        <v>101</v>
      </c>
      <c r="J1520" s="48">
        <v>1</v>
      </c>
      <c r="K1520" s="48">
        <v>0</v>
      </c>
      <c r="R1520" s="46">
        <f t="shared" si="154"/>
        <v>0</v>
      </c>
      <c r="S1520" s="46">
        <f t="shared" si="155"/>
        <v>0</v>
      </c>
      <c r="T1520" s="46">
        <f t="shared" si="158"/>
        <v>20</v>
      </c>
      <c r="U1520" s="46">
        <f t="shared" si="156"/>
        <v>20</v>
      </c>
      <c r="V1520" s="54">
        <f t="shared" si="157"/>
        <v>14.666666666666666</v>
      </c>
    </row>
    <row r="1521" spans="1:22" x14ac:dyDescent="0.2">
      <c r="A1521" s="46" t="s">
        <v>20</v>
      </c>
      <c r="B1521" s="46" t="s">
        <v>206</v>
      </c>
      <c r="C1521" s="46" t="s">
        <v>91</v>
      </c>
      <c r="D1521" s="46" t="s">
        <v>178</v>
      </c>
      <c r="E1521" s="46">
        <v>1</v>
      </c>
      <c r="F1521" s="46" t="s">
        <v>60</v>
      </c>
      <c r="G1521" s="46">
        <v>4</v>
      </c>
      <c r="H1521" s="47">
        <v>16</v>
      </c>
      <c r="I1521" s="47" t="s">
        <v>102</v>
      </c>
      <c r="J1521" s="48">
        <v>2</v>
      </c>
      <c r="K1521" s="48">
        <v>2</v>
      </c>
      <c r="M1521" s="48">
        <v>1</v>
      </c>
      <c r="R1521" s="46">
        <f t="shared" si="154"/>
        <v>0</v>
      </c>
      <c r="S1521" s="46">
        <f t="shared" si="155"/>
        <v>0</v>
      </c>
      <c r="T1521" s="46">
        <f t="shared" si="158"/>
        <v>30</v>
      </c>
      <c r="U1521" s="46">
        <f t="shared" si="156"/>
        <v>50</v>
      </c>
      <c r="V1521" s="54">
        <f t="shared" si="157"/>
        <v>14.666666666666666</v>
      </c>
    </row>
    <row r="1522" spans="1:22" x14ac:dyDescent="0.2">
      <c r="A1522" s="46" t="s">
        <v>20</v>
      </c>
      <c r="B1522" s="46" t="s">
        <v>206</v>
      </c>
      <c r="C1522" s="46" t="s">
        <v>91</v>
      </c>
      <c r="D1522" s="46" t="s">
        <v>178</v>
      </c>
      <c r="E1522" s="46">
        <v>1</v>
      </c>
      <c r="F1522" s="46" t="s">
        <v>60</v>
      </c>
      <c r="G1522" s="46">
        <v>1</v>
      </c>
      <c r="H1522" s="47">
        <v>21</v>
      </c>
      <c r="I1522" s="47" t="s">
        <v>101</v>
      </c>
      <c r="J1522" s="48">
        <v>2</v>
      </c>
      <c r="K1522" s="48">
        <v>2</v>
      </c>
      <c r="R1522" s="46">
        <f t="shared" si="154"/>
        <v>0</v>
      </c>
      <c r="S1522" s="46">
        <f t="shared" si="155"/>
        <v>0</v>
      </c>
      <c r="T1522" s="46">
        <f t="shared" si="158"/>
        <v>30</v>
      </c>
      <c r="U1522" s="46">
        <f t="shared" si="156"/>
        <v>30</v>
      </c>
      <c r="V1522" s="54">
        <f t="shared" si="157"/>
        <v>14.666666666666666</v>
      </c>
    </row>
    <row r="1523" spans="1:22" x14ac:dyDescent="0.2">
      <c r="A1523" s="46" t="s">
        <v>20</v>
      </c>
      <c r="B1523" s="46" t="s">
        <v>206</v>
      </c>
      <c r="C1523" s="46" t="s">
        <v>91</v>
      </c>
      <c r="D1523" s="46" t="s">
        <v>178</v>
      </c>
      <c r="E1523" s="46">
        <v>2</v>
      </c>
      <c r="F1523" s="46" t="s">
        <v>62</v>
      </c>
      <c r="G1523" s="46">
        <v>2</v>
      </c>
      <c r="H1523" s="47" t="s">
        <v>81</v>
      </c>
      <c r="I1523" s="47" t="s">
        <v>127</v>
      </c>
      <c r="J1523" s="48">
        <v>2</v>
      </c>
      <c r="K1523" s="48">
        <v>0</v>
      </c>
      <c r="O1523" s="48">
        <v>1</v>
      </c>
      <c r="R1523" s="46">
        <f t="shared" si="154"/>
        <v>0</v>
      </c>
      <c r="S1523" s="46">
        <f t="shared" si="155"/>
        <v>0</v>
      </c>
      <c r="T1523" s="46">
        <f t="shared" si="158"/>
        <v>40</v>
      </c>
      <c r="U1523" s="46">
        <f t="shared" si="156"/>
        <v>50</v>
      </c>
      <c r="V1523" s="54">
        <f t="shared" si="157"/>
        <v>14.666666666666666</v>
      </c>
    </row>
    <row r="1524" spans="1:22" x14ac:dyDescent="0.2">
      <c r="A1524" s="46" t="s">
        <v>20</v>
      </c>
      <c r="B1524" s="46" t="s">
        <v>206</v>
      </c>
      <c r="C1524" s="46" t="s">
        <v>91</v>
      </c>
      <c r="D1524" s="46" t="s">
        <v>178</v>
      </c>
      <c r="E1524" s="46">
        <v>3</v>
      </c>
      <c r="F1524" s="46" t="s">
        <v>62</v>
      </c>
      <c r="G1524" s="46">
        <v>3</v>
      </c>
      <c r="H1524" s="47" t="s">
        <v>84</v>
      </c>
      <c r="I1524" s="47" t="s">
        <v>116</v>
      </c>
      <c r="J1524" s="48">
        <v>2</v>
      </c>
      <c r="K1524" s="48">
        <v>1</v>
      </c>
      <c r="R1524" s="46">
        <f t="shared" si="154"/>
        <v>0</v>
      </c>
      <c r="S1524" s="46">
        <f t="shared" si="155"/>
        <v>0</v>
      </c>
      <c r="T1524" s="46">
        <f t="shared" ref="T1524:T1555" si="159">quizscore(J1524,K1524)</f>
        <v>40</v>
      </c>
      <c r="U1524" s="46">
        <f t="shared" si="156"/>
        <v>40</v>
      </c>
      <c r="V1524" s="54">
        <f t="shared" si="157"/>
        <v>14.666666666666666</v>
      </c>
    </row>
    <row r="1525" spans="1:22" x14ac:dyDescent="0.2">
      <c r="A1525" s="46" t="s">
        <v>20</v>
      </c>
      <c r="B1525" s="46" t="s">
        <v>206</v>
      </c>
      <c r="C1525" s="46" t="s">
        <v>91</v>
      </c>
      <c r="D1525" s="46" t="s">
        <v>178</v>
      </c>
      <c r="E1525" s="46">
        <v>4</v>
      </c>
      <c r="F1525" s="46" t="s">
        <v>63</v>
      </c>
      <c r="G1525" s="46">
        <v>4</v>
      </c>
      <c r="H1525" s="47" t="s">
        <v>147</v>
      </c>
      <c r="I1525" s="47" t="s">
        <v>102</v>
      </c>
      <c r="J1525" s="48">
        <v>2</v>
      </c>
      <c r="K1525" s="48">
        <v>1</v>
      </c>
      <c r="R1525" s="46">
        <f t="shared" si="154"/>
        <v>0</v>
      </c>
      <c r="S1525" s="46">
        <f t="shared" si="155"/>
        <v>0</v>
      </c>
      <c r="T1525" s="46">
        <f t="shared" si="159"/>
        <v>40</v>
      </c>
      <c r="U1525" s="46">
        <f t="shared" si="156"/>
        <v>40</v>
      </c>
      <c r="V1525" s="54">
        <f t="shared" si="157"/>
        <v>14.666666666666666</v>
      </c>
    </row>
    <row r="1526" spans="1:22" x14ac:dyDescent="0.2">
      <c r="A1526" s="46" t="s">
        <v>20</v>
      </c>
      <c r="B1526" s="46" t="s">
        <v>206</v>
      </c>
      <c r="C1526" s="46" t="s">
        <v>91</v>
      </c>
      <c r="D1526" s="46" t="s">
        <v>178</v>
      </c>
      <c r="E1526" s="46">
        <v>2</v>
      </c>
      <c r="F1526" s="46" t="s">
        <v>60</v>
      </c>
      <c r="G1526" s="46">
        <v>3</v>
      </c>
      <c r="H1526" s="47">
        <v>43</v>
      </c>
      <c r="I1526" s="47" t="s">
        <v>116</v>
      </c>
      <c r="J1526" s="48">
        <v>4</v>
      </c>
      <c r="K1526" s="48">
        <v>2</v>
      </c>
      <c r="R1526" s="46">
        <f t="shared" si="154"/>
        <v>1</v>
      </c>
      <c r="S1526" s="46">
        <f t="shared" si="155"/>
        <v>0</v>
      </c>
      <c r="T1526" s="46">
        <f t="shared" si="159"/>
        <v>70</v>
      </c>
      <c r="U1526" s="46">
        <f t="shared" si="156"/>
        <v>70</v>
      </c>
      <c r="V1526" s="54">
        <f t="shared" si="157"/>
        <v>14.666666666666666</v>
      </c>
    </row>
    <row r="1527" spans="1:22" x14ac:dyDescent="0.2">
      <c r="A1527" s="46" t="s">
        <v>20</v>
      </c>
      <c r="B1527" s="46" t="s">
        <v>206</v>
      </c>
      <c r="C1527" s="46" t="s">
        <v>91</v>
      </c>
      <c r="D1527" s="46" t="s">
        <v>178</v>
      </c>
      <c r="E1527" s="46">
        <v>1</v>
      </c>
      <c r="F1527" s="46" t="s">
        <v>60</v>
      </c>
      <c r="G1527" s="46">
        <v>3</v>
      </c>
      <c r="H1527" s="47">
        <v>39</v>
      </c>
      <c r="I1527" s="47" t="s">
        <v>116</v>
      </c>
      <c r="J1527" s="48">
        <v>4</v>
      </c>
      <c r="K1527" s="48">
        <v>1</v>
      </c>
      <c r="O1527" s="48">
        <v>1</v>
      </c>
      <c r="R1527" s="46">
        <f t="shared" si="154"/>
        <v>1</v>
      </c>
      <c r="S1527" s="46">
        <f t="shared" si="155"/>
        <v>0</v>
      </c>
      <c r="T1527" s="46">
        <f t="shared" si="159"/>
        <v>80</v>
      </c>
      <c r="U1527" s="46">
        <f t="shared" si="156"/>
        <v>90</v>
      </c>
      <c r="V1527" s="54">
        <f t="shared" si="157"/>
        <v>14.666666666666666</v>
      </c>
    </row>
    <row r="1528" spans="1:22" x14ac:dyDescent="0.2">
      <c r="A1528" s="46" t="s">
        <v>20</v>
      </c>
      <c r="B1528" s="46" t="s">
        <v>206</v>
      </c>
      <c r="C1528" s="46" t="s">
        <v>91</v>
      </c>
      <c r="D1528" s="46" t="s">
        <v>178</v>
      </c>
      <c r="E1528" s="46">
        <v>1</v>
      </c>
      <c r="F1528" s="46" t="s">
        <v>60</v>
      </c>
      <c r="G1528" s="46">
        <v>1</v>
      </c>
      <c r="H1528" s="47">
        <v>5</v>
      </c>
      <c r="I1528" s="47" t="s">
        <v>101</v>
      </c>
      <c r="J1528" s="48">
        <v>4</v>
      </c>
      <c r="K1528" s="48">
        <v>0</v>
      </c>
      <c r="R1528" s="46">
        <f t="shared" si="154"/>
        <v>1</v>
      </c>
      <c r="S1528" s="46">
        <f t="shared" si="155"/>
        <v>0</v>
      </c>
      <c r="T1528" s="46">
        <f t="shared" si="159"/>
        <v>90</v>
      </c>
      <c r="U1528" s="46">
        <f t="shared" si="156"/>
        <v>90</v>
      </c>
      <c r="V1528" s="54">
        <f t="shared" si="157"/>
        <v>14.666666666666666</v>
      </c>
    </row>
    <row r="1529" spans="1:22" x14ac:dyDescent="0.2">
      <c r="A1529" s="46" t="s">
        <v>20</v>
      </c>
      <c r="B1529" s="46" t="s">
        <v>206</v>
      </c>
      <c r="C1529" s="46" t="s">
        <v>91</v>
      </c>
      <c r="D1529" s="46" t="s">
        <v>178</v>
      </c>
      <c r="E1529" s="46">
        <v>4</v>
      </c>
      <c r="F1529" s="46" t="s">
        <v>63</v>
      </c>
      <c r="G1529" s="46">
        <v>4</v>
      </c>
      <c r="H1529" s="47" t="s">
        <v>172</v>
      </c>
      <c r="I1529" s="47" t="s">
        <v>102</v>
      </c>
      <c r="J1529" s="48">
        <v>2</v>
      </c>
      <c r="K1529" s="48">
        <v>1</v>
      </c>
      <c r="R1529" s="46">
        <f t="shared" si="154"/>
        <v>0</v>
      </c>
      <c r="S1529" s="46">
        <f t="shared" si="155"/>
        <v>0</v>
      </c>
      <c r="T1529" s="46">
        <f t="shared" si="159"/>
        <v>40</v>
      </c>
      <c r="U1529" s="46">
        <f t="shared" si="156"/>
        <v>40</v>
      </c>
      <c r="V1529" s="54">
        <f t="shared" si="157"/>
        <v>14.666666666666666</v>
      </c>
    </row>
    <row r="1530" spans="1:22" x14ac:dyDescent="0.2">
      <c r="A1530" s="46" t="s">
        <v>20</v>
      </c>
      <c r="B1530" s="46" t="s">
        <v>206</v>
      </c>
      <c r="C1530" s="46" t="s">
        <v>91</v>
      </c>
      <c r="D1530" s="46" t="s">
        <v>178</v>
      </c>
      <c r="E1530" s="46">
        <v>5</v>
      </c>
      <c r="F1530" s="46" t="s">
        <v>60</v>
      </c>
      <c r="G1530" s="46">
        <v>1</v>
      </c>
      <c r="H1530" s="47">
        <v>9</v>
      </c>
      <c r="I1530" s="47" t="s">
        <v>101</v>
      </c>
      <c r="J1530" s="48">
        <v>1</v>
      </c>
      <c r="K1530" s="48">
        <v>0</v>
      </c>
      <c r="O1530" s="48">
        <v>1</v>
      </c>
      <c r="R1530" s="46">
        <f t="shared" si="154"/>
        <v>0</v>
      </c>
      <c r="S1530" s="46">
        <f t="shared" si="155"/>
        <v>0</v>
      </c>
      <c r="T1530" s="46">
        <f t="shared" si="159"/>
        <v>20</v>
      </c>
      <c r="U1530" s="46">
        <f t="shared" si="156"/>
        <v>30</v>
      </c>
      <c r="V1530" s="54">
        <f t="shared" si="157"/>
        <v>14.666666666666666</v>
      </c>
    </row>
    <row r="1531" spans="1:22" x14ac:dyDescent="0.2">
      <c r="A1531" s="46" t="s">
        <v>20</v>
      </c>
      <c r="B1531" s="46" t="s">
        <v>206</v>
      </c>
      <c r="C1531" s="46" t="s">
        <v>91</v>
      </c>
      <c r="D1531" s="46" t="s">
        <v>178</v>
      </c>
      <c r="E1531" s="46">
        <v>5</v>
      </c>
      <c r="F1531" s="46" t="s">
        <v>60</v>
      </c>
      <c r="G1531" s="46">
        <v>4</v>
      </c>
      <c r="H1531" s="47">
        <v>20</v>
      </c>
      <c r="I1531" s="47" t="s">
        <v>102</v>
      </c>
      <c r="J1531" s="48">
        <v>0</v>
      </c>
      <c r="K1531" s="48">
        <v>1</v>
      </c>
      <c r="R1531" s="46">
        <f t="shared" si="154"/>
        <v>0</v>
      </c>
      <c r="S1531" s="46">
        <f t="shared" si="155"/>
        <v>0</v>
      </c>
      <c r="T1531" s="46">
        <f t="shared" si="159"/>
        <v>0</v>
      </c>
      <c r="U1531" s="46">
        <f t="shared" si="156"/>
        <v>0</v>
      </c>
      <c r="V1531" s="54">
        <f t="shared" si="157"/>
        <v>14.666666666666666</v>
      </c>
    </row>
    <row r="1532" spans="1:22" x14ac:dyDescent="0.2">
      <c r="A1532" s="46" t="s">
        <v>20</v>
      </c>
      <c r="B1532" s="46" t="s">
        <v>206</v>
      </c>
      <c r="C1532" s="46" t="s">
        <v>91</v>
      </c>
      <c r="D1532" s="46" t="s">
        <v>178</v>
      </c>
      <c r="E1532" s="46">
        <v>5</v>
      </c>
      <c r="F1532" s="46" t="s">
        <v>60</v>
      </c>
      <c r="G1532" s="46">
        <v>3</v>
      </c>
      <c r="H1532" s="47">
        <v>27</v>
      </c>
      <c r="I1532" s="47" t="s">
        <v>159</v>
      </c>
      <c r="J1532" s="48">
        <v>0</v>
      </c>
      <c r="K1532" s="48">
        <v>0</v>
      </c>
      <c r="R1532" s="46">
        <f t="shared" si="154"/>
        <v>0</v>
      </c>
      <c r="S1532" s="46">
        <f t="shared" si="155"/>
        <v>0</v>
      </c>
      <c r="T1532" s="46">
        <f t="shared" si="159"/>
        <v>0</v>
      </c>
      <c r="U1532" s="46">
        <f t="shared" si="156"/>
        <v>0</v>
      </c>
      <c r="V1532" s="54">
        <f t="shared" si="157"/>
        <v>14.666666666666666</v>
      </c>
    </row>
    <row r="1533" spans="1:22" x14ac:dyDescent="0.2">
      <c r="A1533" s="46" t="s">
        <v>20</v>
      </c>
      <c r="B1533" s="46" t="s">
        <v>206</v>
      </c>
      <c r="C1533" s="46" t="s">
        <v>91</v>
      </c>
      <c r="D1533" s="46" t="s">
        <v>178</v>
      </c>
      <c r="E1533" s="46">
        <v>5</v>
      </c>
      <c r="F1533" s="46" t="s">
        <v>60</v>
      </c>
      <c r="G1533" s="46">
        <v>4</v>
      </c>
      <c r="H1533" s="47">
        <v>36</v>
      </c>
      <c r="I1533" s="47" t="s">
        <v>102</v>
      </c>
      <c r="J1533" s="48">
        <v>0</v>
      </c>
      <c r="K1533" s="48">
        <v>0</v>
      </c>
      <c r="R1533" s="46">
        <f t="shared" si="154"/>
        <v>0</v>
      </c>
      <c r="S1533" s="46">
        <f t="shared" si="155"/>
        <v>0</v>
      </c>
      <c r="T1533" s="46">
        <f t="shared" si="159"/>
        <v>0</v>
      </c>
      <c r="U1533" s="46">
        <f t="shared" si="156"/>
        <v>0</v>
      </c>
      <c r="V1533" s="54">
        <f t="shared" si="157"/>
        <v>14.666666666666666</v>
      </c>
    </row>
    <row r="1534" spans="1:22" x14ac:dyDescent="0.2">
      <c r="A1534" s="46" t="s">
        <v>20</v>
      </c>
      <c r="B1534" s="46" t="s">
        <v>206</v>
      </c>
      <c r="C1534" s="46" t="s">
        <v>91</v>
      </c>
      <c r="D1534" s="46" t="s">
        <v>178</v>
      </c>
      <c r="E1534" s="46">
        <v>5</v>
      </c>
      <c r="F1534" s="46" t="s">
        <v>60</v>
      </c>
      <c r="G1534" s="46">
        <v>2</v>
      </c>
      <c r="H1534" s="47">
        <v>42</v>
      </c>
      <c r="I1534" s="47" t="s">
        <v>127</v>
      </c>
      <c r="J1534" s="48">
        <v>0</v>
      </c>
      <c r="K1534" s="48">
        <v>0</v>
      </c>
      <c r="N1534" s="48">
        <v>1</v>
      </c>
      <c r="R1534" s="46">
        <f t="shared" si="154"/>
        <v>0</v>
      </c>
      <c r="S1534" s="46">
        <f t="shared" si="155"/>
        <v>0</v>
      </c>
      <c r="T1534" s="46">
        <f t="shared" si="159"/>
        <v>0</v>
      </c>
      <c r="U1534" s="46">
        <f t="shared" si="156"/>
        <v>-5</v>
      </c>
      <c r="V1534" s="54">
        <f t="shared" si="157"/>
        <v>14.666666666666666</v>
      </c>
    </row>
    <row r="1535" spans="1:22" x14ac:dyDescent="0.2">
      <c r="A1535" s="46" t="s">
        <v>20</v>
      </c>
      <c r="B1535" s="46" t="s">
        <v>206</v>
      </c>
      <c r="C1535" s="46" t="s">
        <v>91</v>
      </c>
      <c r="D1535" s="46" t="s">
        <v>178</v>
      </c>
      <c r="E1535" s="46">
        <v>5</v>
      </c>
      <c r="F1535" s="46" t="s">
        <v>60</v>
      </c>
      <c r="G1535" s="46">
        <v>2</v>
      </c>
      <c r="H1535" s="47">
        <v>50</v>
      </c>
      <c r="I1535" s="47" t="s">
        <v>127</v>
      </c>
      <c r="J1535" s="48">
        <v>0</v>
      </c>
      <c r="K1535" s="48">
        <v>0</v>
      </c>
      <c r="R1535" s="46">
        <f t="shared" si="154"/>
        <v>0</v>
      </c>
      <c r="S1535" s="46">
        <f t="shared" si="155"/>
        <v>0</v>
      </c>
      <c r="T1535" s="46">
        <f t="shared" si="159"/>
        <v>0</v>
      </c>
      <c r="U1535" s="46">
        <f t="shared" si="156"/>
        <v>0</v>
      </c>
      <c r="V1535" s="54">
        <f t="shared" si="157"/>
        <v>14.666666666666666</v>
      </c>
    </row>
    <row r="1536" spans="1:22" x14ac:dyDescent="0.2">
      <c r="A1536" s="46" t="s">
        <v>20</v>
      </c>
      <c r="B1536" s="46" t="s">
        <v>206</v>
      </c>
      <c r="C1536" s="46" t="s">
        <v>91</v>
      </c>
      <c r="D1536" s="46" t="s">
        <v>178</v>
      </c>
      <c r="E1536" s="46">
        <v>5</v>
      </c>
      <c r="F1536" s="46" t="s">
        <v>62</v>
      </c>
      <c r="G1536" s="46">
        <v>3</v>
      </c>
      <c r="H1536" s="47" t="s">
        <v>80</v>
      </c>
      <c r="I1536" s="47" t="s">
        <v>219</v>
      </c>
      <c r="J1536" s="48">
        <v>0</v>
      </c>
      <c r="K1536" s="48">
        <v>2</v>
      </c>
      <c r="R1536" s="46">
        <f t="shared" si="154"/>
        <v>0</v>
      </c>
      <c r="S1536" s="46">
        <f t="shared" si="155"/>
        <v>0</v>
      </c>
      <c r="T1536" s="46">
        <f t="shared" si="159"/>
        <v>-10</v>
      </c>
      <c r="U1536" s="46">
        <f t="shared" si="156"/>
        <v>-10</v>
      </c>
      <c r="V1536" s="54">
        <f t="shared" si="157"/>
        <v>14.666666666666666</v>
      </c>
    </row>
    <row r="1537" spans="1:22" x14ac:dyDescent="0.2">
      <c r="A1537" s="46" t="s">
        <v>20</v>
      </c>
      <c r="B1537" s="46" t="s">
        <v>206</v>
      </c>
      <c r="C1537" s="46" t="s">
        <v>91</v>
      </c>
      <c r="D1537" s="46" t="s">
        <v>178</v>
      </c>
      <c r="E1537" s="46">
        <v>5</v>
      </c>
      <c r="F1537" s="46" t="s">
        <v>62</v>
      </c>
      <c r="G1537" s="46">
        <v>3</v>
      </c>
      <c r="H1537" s="47" t="s">
        <v>84</v>
      </c>
      <c r="I1537" s="47" t="s">
        <v>219</v>
      </c>
      <c r="J1537" s="48">
        <v>1</v>
      </c>
      <c r="K1537" s="48">
        <v>0</v>
      </c>
      <c r="O1537" s="48">
        <v>1</v>
      </c>
      <c r="R1537" s="46">
        <f t="shared" si="154"/>
        <v>0</v>
      </c>
      <c r="S1537" s="46">
        <f t="shared" si="155"/>
        <v>0</v>
      </c>
      <c r="T1537" s="46">
        <f t="shared" si="159"/>
        <v>20</v>
      </c>
      <c r="U1537" s="46">
        <f t="shared" si="156"/>
        <v>30</v>
      </c>
      <c r="V1537" s="54">
        <f t="shared" si="157"/>
        <v>14.666666666666666</v>
      </c>
    </row>
    <row r="1538" spans="1:22" x14ac:dyDescent="0.2">
      <c r="A1538" s="46" t="s">
        <v>20</v>
      </c>
      <c r="B1538" s="46" t="s">
        <v>206</v>
      </c>
      <c r="C1538" s="46" t="s">
        <v>91</v>
      </c>
      <c r="D1538" s="46" t="s">
        <v>178</v>
      </c>
      <c r="E1538" s="46">
        <v>5</v>
      </c>
      <c r="F1538" s="46" t="s">
        <v>62</v>
      </c>
      <c r="G1538" s="46">
        <v>2</v>
      </c>
      <c r="H1538" s="47" t="s">
        <v>86</v>
      </c>
      <c r="I1538" s="47" t="s">
        <v>127</v>
      </c>
      <c r="J1538" s="48">
        <v>0</v>
      </c>
      <c r="K1538" s="48">
        <v>1</v>
      </c>
      <c r="R1538" s="46">
        <f t="shared" ref="R1538:R1601" si="160">IF(J1538=4,1,0)</f>
        <v>0</v>
      </c>
      <c r="S1538" s="46">
        <f t="shared" ref="S1538:S1601" si="161">IF(K1538=3,1,0)</f>
        <v>0</v>
      </c>
      <c r="T1538" s="46">
        <f t="shared" si="159"/>
        <v>0</v>
      </c>
      <c r="U1538" s="46">
        <f t="shared" ref="U1538:U1601" si="162">T1538+M1538*(20) + (SUM(O1538:Q1538)*(10)) - L1538*(5) - N1538*(5)</f>
        <v>0</v>
      </c>
      <c r="V1538" s="54">
        <f t="shared" ref="V1538:V1601" si="163">AVERAGEIFS(U:U,A:A,A1538,F:F,"Pre")</f>
        <v>14.666666666666666</v>
      </c>
    </row>
    <row r="1539" spans="1:22" x14ac:dyDescent="0.2">
      <c r="A1539" s="46" t="s">
        <v>20</v>
      </c>
      <c r="B1539" s="46" t="s">
        <v>206</v>
      </c>
      <c r="C1539" s="46" t="str">
        <f>VLOOKUP(B1539,$B$2:$C$3219,2,FALSE)</f>
        <v>Fox Island</v>
      </c>
      <c r="D1539" s="46" t="s">
        <v>178</v>
      </c>
      <c r="E1539" s="46">
        <v>5</v>
      </c>
      <c r="F1539" s="46" t="s">
        <v>62</v>
      </c>
      <c r="G1539" s="46">
        <v>3</v>
      </c>
      <c r="H1539" s="47" t="s">
        <v>64</v>
      </c>
      <c r="I1539" s="47" t="s">
        <v>219</v>
      </c>
      <c r="J1539" s="48">
        <v>0</v>
      </c>
      <c r="K1539" s="48">
        <v>1</v>
      </c>
      <c r="R1539" s="46">
        <f t="shared" si="160"/>
        <v>0</v>
      </c>
      <c r="S1539" s="46">
        <f t="shared" si="161"/>
        <v>0</v>
      </c>
      <c r="T1539" s="46">
        <f t="shared" si="159"/>
        <v>0</v>
      </c>
      <c r="U1539" s="46">
        <f t="shared" si="162"/>
        <v>0</v>
      </c>
      <c r="V1539" s="54">
        <f t="shared" si="163"/>
        <v>14.666666666666666</v>
      </c>
    </row>
    <row r="1540" spans="1:22" x14ac:dyDescent="0.2">
      <c r="A1540" s="46" t="s">
        <v>131</v>
      </c>
      <c r="B1540" s="46" t="s">
        <v>46</v>
      </c>
      <c r="C1540" s="46" t="s">
        <v>89</v>
      </c>
      <c r="D1540" s="46" t="s">
        <v>178</v>
      </c>
      <c r="E1540" s="46">
        <v>2</v>
      </c>
      <c r="F1540" s="46" t="s">
        <v>60</v>
      </c>
      <c r="G1540" s="46">
        <v>4</v>
      </c>
      <c r="H1540" s="47">
        <v>12</v>
      </c>
      <c r="I1540" s="47" t="s">
        <v>102</v>
      </c>
      <c r="J1540" s="48">
        <v>0</v>
      </c>
      <c r="K1540" s="48">
        <v>1</v>
      </c>
      <c r="R1540" s="46">
        <f t="shared" si="160"/>
        <v>0</v>
      </c>
      <c r="S1540" s="46">
        <f t="shared" si="161"/>
        <v>0</v>
      </c>
      <c r="T1540" s="46">
        <f t="shared" si="159"/>
        <v>0</v>
      </c>
      <c r="U1540" s="46">
        <f t="shared" si="162"/>
        <v>0</v>
      </c>
      <c r="V1540" s="54">
        <f t="shared" si="163"/>
        <v>46.333333333333336</v>
      </c>
    </row>
    <row r="1541" spans="1:22" x14ac:dyDescent="0.2">
      <c r="A1541" s="46" t="s">
        <v>131</v>
      </c>
      <c r="B1541" s="46" t="s">
        <v>46</v>
      </c>
      <c r="C1541" s="46" t="s">
        <v>89</v>
      </c>
      <c r="D1541" s="46" t="s">
        <v>178</v>
      </c>
      <c r="E1541" s="46">
        <v>2</v>
      </c>
      <c r="F1541" s="46" t="s">
        <v>60</v>
      </c>
      <c r="G1541" s="46">
        <v>2</v>
      </c>
      <c r="H1541" s="47">
        <v>46</v>
      </c>
      <c r="I1541" s="47" t="s">
        <v>127</v>
      </c>
      <c r="J1541" s="48">
        <v>1</v>
      </c>
      <c r="K1541" s="48">
        <v>2</v>
      </c>
      <c r="R1541" s="46">
        <f t="shared" si="160"/>
        <v>0</v>
      </c>
      <c r="S1541" s="46">
        <f t="shared" si="161"/>
        <v>0</v>
      </c>
      <c r="T1541" s="46">
        <f t="shared" si="159"/>
        <v>10</v>
      </c>
      <c r="U1541" s="46">
        <f t="shared" si="162"/>
        <v>10</v>
      </c>
      <c r="V1541" s="54">
        <f t="shared" si="163"/>
        <v>46.333333333333336</v>
      </c>
    </row>
    <row r="1542" spans="1:22" x14ac:dyDescent="0.2">
      <c r="A1542" s="46" t="s">
        <v>131</v>
      </c>
      <c r="B1542" s="46" t="s">
        <v>46</v>
      </c>
      <c r="C1542" s="46" t="s">
        <v>89</v>
      </c>
      <c r="D1542" s="46" t="s">
        <v>178</v>
      </c>
      <c r="E1542" s="46">
        <v>4</v>
      </c>
      <c r="F1542" s="46" t="s">
        <v>62</v>
      </c>
      <c r="G1542" s="46">
        <v>3</v>
      </c>
      <c r="H1542" s="47" t="s">
        <v>80</v>
      </c>
      <c r="I1542" s="47" t="s">
        <v>219</v>
      </c>
      <c r="J1542" s="48">
        <v>1</v>
      </c>
      <c r="K1542" s="48">
        <v>2</v>
      </c>
      <c r="R1542" s="46">
        <f t="shared" si="160"/>
        <v>0</v>
      </c>
      <c r="S1542" s="46">
        <f t="shared" si="161"/>
        <v>0</v>
      </c>
      <c r="T1542" s="46">
        <f t="shared" si="159"/>
        <v>10</v>
      </c>
      <c r="U1542" s="46">
        <f t="shared" si="162"/>
        <v>10</v>
      </c>
      <c r="V1542" s="54">
        <f t="shared" si="163"/>
        <v>46.333333333333336</v>
      </c>
    </row>
    <row r="1543" spans="1:22" x14ac:dyDescent="0.2">
      <c r="A1543" s="46" t="s">
        <v>131</v>
      </c>
      <c r="B1543" s="46" t="s">
        <v>46</v>
      </c>
      <c r="C1543" s="46" t="s">
        <v>89</v>
      </c>
      <c r="D1543" s="46" t="s">
        <v>178</v>
      </c>
      <c r="E1543" s="46">
        <v>2</v>
      </c>
      <c r="F1543" s="46" t="s">
        <v>62</v>
      </c>
      <c r="G1543" s="46">
        <v>2</v>
      </c>
      <c r="H1543" s="47" t="s">
        <v>86</v>
      </c>
      <c r="I1543" s="47" t="s">
        <v>127</v>
      </c>
      <c r="J1543" s="48">
        <v>1</v>
      </c>
      <c r="K1543" s="48">
        <v>2</v>
      </c>
      <c r="R1543" s="46">
        <f t="shared" si="160"/>
        <v>0</v>
      </c>
      <c r="S1543" s="46">
        <f t="shared" si="161"/>
        <v>0</v>
      </c>
      <c r="T1543" s="46">
        <f t="shared" si="159"/>
        <v>10</v>
      </c>
      <c r="U1543" s="46">
        <f t="shared" si="162"/>
        <v>10</v>
      </c>
      <c r="V1543" s="54">
        <f t="shared" si="163"/>
        <v>46.333333333333336</v>
      </c>
    </row>
    <row r="1544" spans="1:22" x14ac:dyDescent="0.2">
      <c r="A1544" s="46" t="s">
        <v>131</v>
      </c>
      <c r="B1544" s="46" t="s">
        <v>46</v>
      </c>
      <c r="C1544" s="46" t="s">
        <v>89</v>
      </c>
      <c r="D1544" s="46" t="s">
        <v>178</v>
      </c>
      <c r="E1544" s="46">
        <v>2</v>
      </c>
      <c r="F1544" s="46" t="s">
        <v>62</v>
      </c>
      <c r="G1544" s="46">
        <v>3</v>
      </c>
      <c r="H1544" s="47" t="s">
        <v>64</v>
      </c>
      <c r="I1544" s="47" t="s">
        <v>116</v>
      </c>
      <c r="J1544" s="48">
        <v>1</v>
      </c>
      <c r="K1544" s="48">
        <v>2</v>
      </c>
      <c r="R1544" s="46">
        <f t="shared" si="160"/>
        <v>0</v>
      </c>
      <c r="S1544" s="46">
        <f t="shared" si="161"/>
        <v>0</v>
      </c>
      <c r="T1544" s="46">
        <f t="shared" si="159"/>
        <v>10</v>
      </c>
      <c r="U1544" s="46">
        <f t="shared" si="162"/>
        <v>10</v>
      </c>
      <c r="V1544" s="54">
        <f t="shared" si="163"/>
        <v>46.333333333333336</v>
      </c>
    </row>
    <row r="1545" spans="1:22" x14ac:dyDescent="0.2">
      <c r="A1545" s="46" t="s">
        <v>131</v>
      </c>
      <c r="B1545" s="46" t="s">
        <v>46</v>
      </c>
      <c r="C1545" s="46" t="s">
        <v>89</v>
      </c>
      <c r="D1545" s="46" t="s">
        <v>178</v>
      </c>
      <c r="E1545" s="46">
        <v>2</v>
      </c>
      <c r="F1545" s="46" t="s">
        <v>60</v>
      </c>
      <c r="G1545" s="46">
        <v>3</v>
      </c>
      <c r="H1545" s="47">
        <v>3</v>
      </c>
      <c r="I1545" s="47" t="s">
        <v>116</v>
      </c>
      <c r="J1545" s="48">
        <v>1</v>
      </c>
      <c r="K1545" s="48">
        <v>0</v>
      </c>
      <c r="L1545" s="48">
        <v>1</v>
      </c>
      <c r="R1545" s="46">
        <f t="shared" si="160"/>
        <v>0</v>
      </c>
      <c r="S1545" s="46">
        <f t="shared" si="161"/>
        <v>0</v>
      </c>
      <c r="T1545" s="46">
        <f t="shared" si="159"/>
        <v>20</v>
      </c>
      <c r="U1545" s="46">
        <f t="shared" si="162"/>
        <v>15</v>
      </c>
      <c r="V1545" s="54">
        <f t="shared" si="163"/>
        <v>46.333333333333336</v>
      </c>
    </row>
    <row r="1546" spans="1:22" x14ac:dyDescent="0.2">
      <c r="A1546" s="46" t="s">
        <v>131</v>
      </c>
      <c r="B1546" s="46" t="s">
        <v>46</v>
      </c>
      <c r="C1546" s="46" t="s">
        <v>89</v>
      </c>
      <c r="D1546" s="46" t="s">
        <v>178</v>
      </c>
      <c r="E1546" s="46">
        <v>4</v>
      </c>
      <c r="F1546" s="46" t="s">
        <v>60</v>
      </c>
      <c r="G1546" s="46">
        <v>2</v>
      </c>
      <c r="H1546" s="47">
        <v>14</v>
      </c>
      <c r="I1546" s="47" t="s">
        <v>127</v>
      </c>
      <c r="J1546" s="48">
        <v>2</v>
      </c>
      <c r="K1546" s="48">
        <v>3</v>
      </c>
      <c r="R1546" s="46">
        <f t="shared" si="160"/>
        <v>0</v>
      </c>
      <c r="S1546" s="46">
        <f t="shared" si="161"/>
        <v>1</v>
      </c>
      <c r="T1546" s="46">
        <f t="shared" si="159"/>
        <v>20</v>
      </c>
      <c r="U1546" s="46">
        <f t="shared" si="162"/>
        <v>20</v>
      </c>
      <c r="V1546" s="54">
        <f t="shared" si="163"/>
        <v>46.333333333333336</v>
      </c>
    </row>
    <row r="1547" spans="1:22" x14ac:dyDescent="0.2">
      <c r="A1547" s="46" t="s">
        <v>131</v>
      </c>
      <c r="B1547" s="46" t="s">
        <v>46</v>
      </c>
      <c r="C1547" s="46" t="s">
        <v>89</v>
      </c>
      <c r="D1547" s="46" t="s">
        <v>178</v>
      </c>
      <c r="E1547" s="46">
        <v>3</v>
      </c>
      <c r="F1547" s="46" t="s">
        <v>60</v>
      </c>
      <c r="G1547" s="46">
        <v>1</v>
      </c>
      <c r="H1547" s="47">
        <v>25</v>
      </c>
      <c r="I1547" s="47" t="s">
        <v>116</v>
      </c>
      <c r="J1547" s="48">
        <v>1</v>
      </c>
      <c r="K1547" s="48">
        <v>0</v>
      </c>
      <c r="R1547" s="46">
        <f t="shared" si="160"/>
        <v>0</v>
      </c>
      <c r="S1547" s="46">
        <f t="shared" si="161"/>
        <v>0</v>
      </c>
      <c r="T1547" s="46">
        <f t="shared" si="159"/>
        <v>20</v>
      </c>
      <c r="U1547" s="46">
        <f t="shared" si="162"/>
        <v>20</v>
      </c>
      <c r="V1547" s="54">
        <f t="shared" si="163"/>
        <v>46.333333333333336</v>
      </c>
    </row>
    <row r="1548" spans="1:22" x14ac:dyDescent="0.2">
      <c r="A1548" s="46" t="s">
        <v>131</v>
      </c>
      <c r="B1548" s="46" t="s">
        <v>46</v>
      </c>
      <c r="C1548" s="46" t="s">
        <v>89</v>
      </c>
      <c r="D1548" s="46" t="s">
        <v>178</v>
      </c>
      <c r="E1548" s="46">
        <v>1</v>
      </c>
      <c r="F1548" s="46" t="s">
        <v>60</v>
      </c>
      <c r="G1548" s="46">
        <v>3</v>
      </c>
      <c r="H1548" s="47">
        <v>27</v>
      </c>
      <c r="I1548" s="47" t="s">
        <v>116</v>
      </c>
      <c r="J1548" s="48">
        <v>2</v>
      </c>
      <c r="K1548" s="48">
        <v>2</v>
      </c>
      <c r="R1548" s="46">
        <f t="shared" si="160"/>
        <v>0</v>
      </c>
      <c r="S1548" s="46">
        <f t="shared" si="161"/>
        <v>0</v>
      </c>
      <c r="T1548" s="46">
        <f t="shared" si="159"/>
        <v>30</v>
      </c>
      <c r="U1548" s="46">
        <f t="shared" si="162"/>
        <v>30</v>
      </c>
      <c r="V1548" s="54">
        <f t="shared" si="163"/>
        <v>46.333333333333336</v>
      </c>
    </row>
    <row r="1549" spans="1:22" x14ac:dyDescent="0.2">
      <c r="A1549" s="46" t="s">
        <v>131</v>
      </c>
      <c r="B1549" s="46" t="s">
        <v>46</v>
      </c>
      <c r="C1549" s="46" t="s">
        <v>89</v>
      </c>
      <c r="D1549" s="46" t="s">
        <v>178</v>
      </c>
      <c r="E1549" s="46">
        <v>4</v>
      </c>
      <c r="F1549" s="46" t="s">
        <v>60</v>
      </c>
      <c r="G1549" s="46">
        <v>3</v>
      </c>
      <c r="H1549" s="47">
        <v>31</v>
      </c>
      <c r="I1549" s="47" t="s">
        <v>159</v>
      </c>
      <c r="J1549" s="48">
        <v>2</v>
      </c>
      <c r="K1549" s="48">
        <v>2</v>
      </c>
      <c r="R1549" s="46">
        <f t="shared" si="160"/>
        <v>0</v>
      </c>
      <c r="S1549" s="46">
        <f t="shared" si="161"/>
        <v>0</v>
      </c>
      <c r="T1549" s="46">
        <f t="shared" si="159"/>
        <v>30</v>
      </c>
      <c r="U1549" s="46">
        <f t="shared" si="162"/>
        <v>30</v>
      </c>
      <c r="V1549" s="54">
        <f t="shared" si="163"/>
        <v>46.333333333333336</v>
      </c>
    </row>
    <row r="1550" spans="1:22" x14ac:dyDescent="0.2">
      <c r="A1550" s="46" t="s">
        <v>131</v>
      </c>
      <c r="B1550" s="46" t="s">
        <v>46</v>
      </c>
      <c r="C1550" s="46" t="s">
        <v>89</v>
      </c>
      <c r="D1550" s="46" t="s">
        <v>178</v>
      </c>
      <c r="E1550" s="46">
        <v>4</v>
      </c>
      <c r="F1550" s="46" t="s">
        <v>60</v>
      </c>
      <c r="G1550" s="46">
        <v>2</v>
      </c>
      <c r="H1550" s="47">
        <v>38</v>
      </c>
      <c r="I1550" s="47" t="s">
        <v>127</v>
      </c>
      <c r="J1550" s="48">
        <v>2</v>
      </c>
      <c r="K1550" s="48">
        <v>2</v>
      </c>
      <c r="R1550" s="46">
        <f t="shared" si="160"/>
        <v>0</v>
      </c>
      <c r="S1550" s="46">
        <f t="shared" si="161"/>
        <v>0</v>
      </c>
      <c r="T1550" s="46">
        <f t="shared" si="159"/>
        <v>30</v>
      </c>
      <c r="U1550" s="46">
        <f t="shared" si="162"/>
        <v>30</v>
      </c>
      <c r="V1550" s="54">
        <f t="shared" si="163"/>
        <v>46.333333333333336</v>
      </c>
    </row>
    <row r="1551" spans="1:22" x14ac:dyDescent="0.2">
      <c r="A1551" s="46" t="s">
        <v>131</v>
      </c>
      <c r="B1551" s="46" t="s">
        <v>46</v>
      </c>
      <c r="C1551" s="46" t="s">
        <v>89</v>
      </c>
      <c r="D1551" s="46" t="s">
        <v>178</v>
      </c>
      <c r="E1551" s="46">
        <v>3</v>
      </c>
      <c r="F1551" s="46" t="s">
        <v>60</v>
      </c>
      <c r="G1551" s="46">
        <v>3</v>
      </c>
      <c r="H1551" s="47">
        <v>39</v>
      </c>
      <c r="I1551" s="47" t="s">
        <v>116</v>
      </c>
      <c r="J1551" s="48">
        <v>2</v>
      </c>
      <c r="K1551" s="48">
        <v>2</v>
      </c>
      <c r="N1551" s="48">
        <v>1</v>
      </c>
      <c r="R1551" s="46">
        <f t="shared" si="160"/>
        <v>0</v>
      </c>
      <c r="S1551" s="46">
        <f t="shared" si="161"/>
        <v>0</v>
      </c>
      <c r="T1551" s="46">
        <f t="shared" si="159"/>
        <v>30</v>
      </c>
      <c r="U1551" s="46">
        <f t="shared" si="162"/>
        <v>25</v>
      </c>
      <c r="V1551" s="54">
        <f t="shared" si="163"/>
        <v>46.333333333333336</v>
      </c>
    </row>
    <row r="1552" spans="1:22" x14ac:dyDescent="0.2">
      <c r="A1552" s="46" t="s">
        <v>131</v>
      </c>
      <c r="B1552" s="46" t="s">
        <v>46</v>
      </c>
      <c r="C1552" s="46" t="s">
        <v>89</v>
      </c>
      <c r="D1552" s="46" t="s">
        <v>178</v>
      </c>
      <c r="E1552" s="46">
        <v>3</v>
      </c>
      <c r="F1552" s="46" t="s">
        <v>62</v>
      </c>
      <c r="G1552" s="46">
        <v>2</v>
      </c>
      <c r="H1552" s="47" t="s">
        <v>81</v>
      </c>
      <c r="I1552" s="47" t="s">
        <v>127</v>
      </c>
      <c r="J1552" s="48">
        <v>2</v>
      </c>
      <c r="K1552" s="48">
        <v>2</v>
      </c>
      <c r="R1552" s="46">
        <f t="shared" si="160"/>
        <v>0</v>
      </c>
      <c r="S1552" s="46">
        <f t="shared" si="161"/>
        <v>0</v>
      </c>
      <c r="T1552" s="46">
        <f t="shared" si="159"/>
        <v>30</v>
      </c>
      <c r="U1552" s="46">
        <f t="shared" si="162"/>
        <v>30</v>
      </c>
      <c r="V1552" s="54">
        <f t="shared" si="163"/>
        <v>46.333333333333336</v>
      </c>
    </row>
    <row r="1553" spans="1:22" x14ac:dyDescent="0.2">
      <c r="A1553" s="46" t="s">
        <v>131</v>
      </c>
      <c r="B1553" s="46" t="s">
        <v>46</v>
      </c>
      <c r="C1553" s="46" t="s">
        <v>89</v>
      </c>
      <c r="D1553" s="46" t="s">
        <v>178</v>
      </c>
      <c r="E1553" s="46">
        <v>1</v>
      </c>
      <c r="F1553" s="46" t="s">
        <v>60</v>
      </c>
      <c r="G1553" s="46">
        <v>1</v>
      </c>
      <c r="H1553" s="47">
        <v>9</v>
      </c>
      <c r="I1553" s="47" t="s">
        <v>101</v>
      </c>
      <c r="J1553" s="48">
        <v>3</v>
      </c>
      <c r="K1553" s="48">
        <v>3</v>
      </c>
      <c r="R1553" s="46">
        <f t="shared" si="160"/>
        <v>0</v>
      </c>
      <c r="S1553" s="46">
        <f t="shared" si="161"/>
        <v>1</v>
      </c>
      <c r="T1553" s="46">
        <f t="shared" si="159"/>
        <v>40</v>
      </c>
      <c r="U1553" s="46">
        <f t="shared" si="162"/>
        <v>40</v>
      </c>
      <c r="V1553" s="54">
        <f t="shared" si="163"/>
        <v>46.333333333333336</v>
      </c>
    </row>
    <row r="1554" spans="1:22" x14ac:dyDescent="0.2">
      <c r="A1554" s="46" t="s">
        <v>131</v>
      </c>
      <c r="B1554" s="46" t="s">
        <v>46</v>
      </c>
      <c r="C1554" s="46" t="s">
        <v>89</v>
      </c>
      <c r="D1554" s="46" t="s">
        <v>178</v>
      </c>
      <c r="E1554" s="46">
        <v>4</v>
      </c>
      <c r="F1554" s="46" t="s">
        <v>60</v>
      </c>
      <c r="G1554" s="46">
        <v>4</v>
      </c>
      <c r="H1554" s="47">
        <v>24</v>
      </c>
      <c r="I1554" s="47" t="s">
        <v>102</v>
      </c>
      <c r="J1554" s="48">
        <v>2</v>
      </c>
      <c r="K1554" s="48">
        <v>1</v>
      </c>
      <c r="R1554" s="46">
        <f t="shared" si="160"/>
        <v>0</v>
      </c>
      <c r="S1554" s="46">
        <f t="shared" si="161"/>
        <v>0</v>
      </c>
      <c r="T1554" s="46">
        <f t="shared" si="159"/>
        <v>40</v>
      </c>
      <c r="U1554" s="46">
        <f t="shared" si="162"/>
        <v>40</v>
      </c>
      <c r="V1554" s="54">
        <f t="shared" si="163"/>
        <v>46.333333333333336</v>
      </c>
    </row>
    <row r="1555" spans="1:22" x14ac:dyDescent="0.2">
      <c r="A1555" s="46" t="s">
        <v>131</v>
      </c>
      <c r="B1555" s="46" t="s">
        <v>46</v>
      </c>
      <c r="C1555" s="46" t="s">
        <v>89</v>
      </c>
      <c r="D1555" s="46" t="s">
        <v>178</v>
      </c>
      <c r="E1555" s="46">
        <v>3</v>
      </c>
      <c r="F1555" s="46" t="s">
        <v>60</v>
      </c>
      <c r="G1555" s="46">
        <v>3</v>
      </c>
      <c r="H1555" s="47">
        <v>11</v>
      </c>
      <c r="I1555" s="47" t="s">
        <v>116</v>
      </c>
      <c r="J1555" s="48">
        <v>3</v>
      </c>
      <c r="K1555" s="48">
        <v>2</v>
      </c>
      <c r="R1555" s="46">
        <f t="shared" si="160"/>
        <v>0</v>
      </c>
      <c r="S1555" s="46">
        <f t="shared" si="161"/>
        <v>0</v>
      </c>
      <c r="T1555" s="46">
        <f t="shared" si="159"/>
        <v>50</v>
      </c>
      <c r="U1555" s="46">
        <f t="shared" si="162"/>
        <v>50</v>
      </c>
      <c r="V1555" s="54">
        <f t="shared" si="163"/>
        <v>46.333333333333336</v>
      </c>
    </row>
    <row r="1556" spans="1:22" x14ac:dyDescent="0.2">
      <c r="A1556" s="46" t="s">
        <v>131</v>
      </c>
      <c r="B1556" s="46" t="s">
        <v>46</v>
      </c>
      <c r="C1556" s="46" t="s">
        <v>89</v>
      </c>
      <c r="D1556" s="46" t="s">
        <v>178</v>
      </c>
      <c r="E1556" s="46">
        <v>3</v>
      </c>
      <c r="F1556" s="46" t="s">
        <v>60</v>
      </c>
      <c r="G1556" s="46">
        <v>4</v>
      </c>
      <c r="H1556" s="47">
        <v>20</v>
      </c>
      <c r="I1556" s="47" t="s">
        <v>102</v>
      </c>
      <c r="J1556" s="48">
        <v>3</v>
      </c>
      <c r="K1556" s="48">
        <v>2</v>
      </c>
      <c r="R1556" s="46">
        <f t="shared" si="160"/>
        <v>0</v>
      </c>
      <c r="S1556" s="46">
        <f t="shared" si="161"/>
        <v>0</v>
      </c>
      <c r="T1556" s="46">
        <f t="shared" ref="T1556:T1588" si="164">quizscore(J1556,K1556)</f>
        <v>50</v>
      </c>
      <c r="U1556" s="46">
        <f t="shared" si="162"/>
        <v>50</v>
      </c>
      <c r="V1556" s="54">
        <f t="shared" si="163"/>
        <v>46.333333333333336</v>
      </c>
    </row>
    <row r="1557" spans="1:22" x14ac:dyDescent="0.2">
      <c r="A1557" s="46" t="s">
        <v>131</v>
      </c>
      <c r="B1557" s="46" t="s">
        <v>46</v>
      </c>
      <c r="C1557" s="46" t="s">
        <v>89</v>
      </c>
      <c r="D1557" s="46" t="s">
        <v>178</v>
      </c>
      <c r="E1557" s="46">
        <v>4</v>
      </c>
      <c r="F1557" s="46" t="s">
        <v>62</v>
      </c>
      <c r="G1557" s="46">
        <v>3</v>
      </c>
      <c r="H1557" s="47" t="s">
        <v>85</v>
      </c>
      <c r="I1557" s="47" t="s">
        <v>219</v>
      </c>
      <c r="J1557" s="48">
        <v>3</v>
      </c>
      <c r="K1557" s="48">
        <v>2</v>
      </c>
      <c r="R1557" s="46">
        <f t="shared" si="160"/>
        <v>0</v>
      </c>
      <c r="S1557" s="46">
        <f t="shared" si="161"/>
        <v>0</v>
      </c>
      <c r="T1557" s="46">
        <f t="shared" si="164"/>
        <v>50</v>
      </c>
      <c r="U1557" s="46">
        <f t="shared" si="162"/>
        <v>50</v>
      </c>
      <c r="V1557" s="54">
        <f t="shared" si="163"/>
        <v>46.333333333333336</v>
      </c>
    </row>
    <row r="1558" spans="1:22" x14ac:dyDescent="0.2">
      <c r="A1558" s="46" t="s">
        <v>131</v>
      </c>
      <c r="B1558" s="46" t="s">
        <v>46</v>
      </c>
      <c r="C1558" s="46" t="s">
        <v>89</v>
      </c>
      <c r="D1558" s="46" t="s">
        <v>178</v>
      </c>
      <c r="E1558" s="46">
        <v>4</v>
      </c>
      <c r="F1558" s="46" t="s">
        <v>60</v>
      </c>
      <c r="G1558" s="46">
        <v>1</v>
      </c>
      <c r="H1558" s="47">
        <v>5</v>
      </c>
      <c r="I1558" s="47" t="s">
        <v>101</v>
      </c>
      <c r="J1558" s="48">
        <v>3</v>
      </c>
      <c r="K1558" s="48">
        <v>0</v>
      </c>
      <c r="R1558" s="46">
        <f t="shared" si="160"/>
        <v>0</v>
      </c>
      <c r="S1558" s="46">
        <f t="shared" si="161"/>
        <v>0</v>
      </c>
      <c r="T1558" s="46">
        <f t="shared" si="164"/>
        <v>60</v>
      </c>
      <c r="U1558" s="46">
        <f t="shared" si="162"/>
        <v>60</v>
      </c>
      <c r="V1558" s="54">
        <f t="shared" si="163"/>
        <v>46.333333333333336</v>
      </c>
    </row>
    <row r="1559" spans="1:22" x14ac:dyDescent="0.2">
      <c r="A1559" s="46" t="s">
        <v>131</v>
      </c>
      <c r="B1559" s="46" t="s">
        <v>46</v>
      </c>
      <c r="C1559" s="46" t="s">
        <v>89</v>
      </c>
      <c r="D1559" s="46" t="s">
        <v>178</v>
      </c>
      <c r="E1559" s="46">
        <v>4</v>
      </c>
      <c r="F1559" s="46" t="s">
        <v>60</v>
      </c>
      <c r="G1559" s="46">
        <v>1</v>
      </c>
      <c r="H1559" s="47">
        <v>45</v>
      </c>
      <c r="I1559" s="47" t="s">
        <v>101</v>
      </c>
      <c r="J1559" s="48">
        <v>3</v>
      </c>
      <c r="K1559" s="48">
        <v>1</v>
      </c>
      <c r="R1559" s="46">
        <f t="shared" si="160"/>
        <v>0</v>
      </c>
      <c r="S1559" s="46">
        <f t="shared" si="161"/>
        <v>0</v>
      </c>
      <c r="T1559" s="46">
        <f t="shared" si="164"/>
        <v>60</v>
      </c>
      <c r="U1559" s="46">
        <f t="shared" si="162"/>
        <v>60</v>
      </c>
      <c r="V1559" s="54">
        <f t="shared" si="163"/>
        <v>46.333333333333336</v>
      </c>
    </row>
    <row r="1560" spans="1:22" x14ac:dyDescent="0.2">
      <c r="A1560" s="46" t="s">
        <v>131</v>
      </c>
      <c r="B1560" s="46" t="s">
        <v>46</v>
      </c>
      <c r="C1560" s="46" t="s">
        <v>89</v>
      </c>
      <c r="D1560" s="46" t="s">
        <v>178</v>
      </c>
      <c r="E1560" s="46">
        <v>1</v>
      </c>
      <c r="F1560" s="46" t="s">
        <v>60</v>
      </c>
      <c r="G1560" s="46">
        <v>1</v>
      </c>
      <c r="H1560" s="47">
        <v>29</v>
      </c>
      <c r="I1560" s="47" t="s">
        <v>101</v>
      </c>
      <c r="J1560" s="48">
        <v>4</v>
      </c>
      <c r="K1560" s="48">
        <v>2</v>
      </c>
      <c r="R1560" s="46">
        <f t="shared" si="160"/>
        <v>1</v>
      </c>
      <c r="S1560" s="46">
        <f t="shared" si="161"/>
        <v>0</v>
      </c>
      <c r="T1560" s="46">
        <f t="shared" si="164"/>
        <v>70</v>
      </c>
      <c r="U1560" s="46">
        <f t="shared" si="162"/>
        <v>70</v>
      </c>
      <c r="V1560" s="54">
        <f t="shared" si="163"/>
        <v>46.333333333333336</v>
      </c>
    </row>
    <row r="1561" spans="1:22" x14ac:dyDescent="0.2">
      <c r="A1561" s="46" t="s">
        <v>131</v>
      </c>
      <c r="B1561" s="46" t="s">
        <v>46</v>
      </c>
      <c r="C1561" s="46" t="s">
        <v>89</v>
      </c>
      <c r="D1561" s="46" t="s">
        <v>178</v>
      </c>
      <c r="E1561" s="46">
        <v>3</v>
      </c>
      <c r="F1561" s="46" t="s">
        <v>62</v>
      </c>
      <c r="G1561" s="46">
        <v>3</v>
      </c>
      <c r="H1561" s="47" t="s">
        <v>64</v>
      </c>
      <c r="I1561" s="47" t="s">
        <v>116</v>
      </c>
      <c r="J1561" s="48">
        <v>4</v>
      </c>
      <c r="K1561" s="48">
        <v>2</v>
      </c>
      <c r="R1561" s="46">
        <f t="shared" si="160"/>
        <v>1</v>
      </c>
      <c r="S1561" s="46">
        <f t="shared" si="161"/>
        <v>0</v>
      </c>
      <c r="T1561" s="46">
        <f t="shared" si="164"/>
        <v>70</v>
      </c>
      <c r="U1561" s="46">
        <f t="shared" si="162"/>
        <v>70</v>
      </c>
      <c r="V1561" s="54">
        <f t="shared" si="163"/>
        <v>46.333333333333336</v>
      </c>
    </row>
    <row r="1562" spans="1:22" x14ac:dyDescent="0.2">
      <c r="A1562" s="46" t="s">
        <v>131</v>
      </c>
      <c r="B1562" s="46" t="s">
        <v>46</v>
      </c>
      <c r="C1562" s="46" t="s">
        <v>89</v>
      </c>
      <c r="D1562" s="46" t="s">
        <v>178</v>
      </c>
      <c r="E1562" s="46">
        <v>1</v>
      </c>
      <c r="F1562" s="46" t="s">
        <v>60</v>
      </c>
      <c r="G1562" s="46">
        <v>2</v>
      </c>
      <c r="H1562" s="47">
        <v>42</v>
      </c>
      <c r="I1562" s="47" t="s">
        <v>127</v>
      </c>
      <c r="J1562" s="48">
        <v>4</v>
      </c>
      <c r="K1562" s="48">
        <v>1</v>
      </c>
      <c r="R1562" s="46">
        <f t="shared" si="160"/>
        <v>1</v>
      </c>
      <c r="S1562" s="46">
        <f t="shared" si="161"/>
        <v>0</v>
      </c>
      <c r="T1562" s="46">
        <f t="shared" si="164"/>
        <v>80</v>
      </c>
      <c r="U1562" s="46">
        <f t="shared" si="162"/>
        <v>80</v>
      </c>
      <c r="V1562" s="54">
        <f t="shared" si="163"/>
        <v>46.333333333333336</v>
      </c>
    </row>
    <row r="1563" spans="1:22" x14ac:dyDescent="0.2">
      <c r="A1563" s="46" t="s">
        <v>131</v>
      </c>
      <c r="B1563" s="46" t="s">
        <v>46</v>
      </c>
      <c r="C1563" s="46" t="s">
        <v>89</v>
      </c>
      <c r="D1563" s="46" t="s">
        <v>178</v>
      </c>
      <c r="E1563" s="46">
        <v>1</v>
      </c>
      <c r="F1563" s="46" t="s">
        <v>62</v>
      </c>
      <c r="G1563" s="46">
        <v>3</v>
      </c>
      <c r="H1563" s="47" t="s">
        <v>80</v>
      </c>
      <c r="I1563" s="47" t="s">
        <v>116</v>
      </c>
      <c r="J1563" s="48">
        <v>4</v>
      </c>
      <c r="K1563" s="48">
        <v>1</v>
      </c>
      <c r="R1563" s="46">
        <f t="shared" si="160"/>
        <v>1</v>
      </c>
      <c r="S1563" s="46">
        <f t="shared" si="161"/>
        <v>0</v>
      </c>
      <c r="T1563" s="46">
        <f t="shared" si="164"/>
        <v>80</v>
      </c>
      <c r="U1563" s="46">
        <f t="shared" si="162"/>
        <v>80</v>
      </c>
      <c r="V1563" s="54">
        <f t="shared" si="163"/>
        <v>46.333333333333336</v>
      </c>
    </row>
    <row r="1564" spans="1:22" x14ac:dyDescent="0.2">
      <c r="A1564" s="46" t="s">
        <v>131</v>
      </c>
      <c r="B1564" s="46" t="s">
        <v>46</v>
      </c>
      <c r="C1564" s="46" t="s">
        <v>89</v>
      </c>
      <c r="D1564" s="46" t="s">
        <v>178</v>
      </c>
      <c r="E1564" s="46">
        <v>1</v>
      </c>
      <c r="F1564" s="46" t="s">
        <v>62</v>
      </c>
      <c r="G1564" s="46">
        <v>3</v>
      </c>
      <c r="H1564" s="47" t="s">
        <v>84</v>
      </c>
      <c r="I1564" s="47" t="s">
        <v>116</v>
      </c>
      <c r="J1564" s="48">
        <v>4</v>
      </c>
      <c r="K1564" s="48">
        <v>1</v>
      </c>
      <c r="R1564" s="46">
        <f t="shared" si="160"/>
        <v>1</v>
      </c>
      <c r="S1564" s="46">
        <f t="shared" si="161"/>
        <v>0</v>
      </c>
      <c r="T1564" s="46">
        <f t="shared" si="164"/>
        <v>80</v>
      </c>
      <c r="U1564" s="46">
        <f t="shared" si="162"/>
        <v>80</v>
      </c>
      <c r="V1564" s="54">
        <f t="shared" si="163"/>
        <v>46.333333333333336</v>
      </c>
    </row>
    <row r="1565" spans="1:22" x14ac:dyDescent="0.2">
      <c r="A1565" s="46" t="s">
        <v>131</v>
      </c>
      <c r="B1565" s="46" t="s">
        <v>46</v>
      </c>
      <c r="C1565" s="46" t="s">
        <v>89</v>
      </c>
      <c r="D1565" s="46" t="s">
        <v>178</v>
      </c>
      <c r="E1565" s="46">
        <v>2</v>
      </c>
      <c r="F1565" s="46" t="s">
        <v>62</v>
      </c>
      <c r="G1565" s="46">
        <v>3</v>
      </c>
      <c r="H1565" s="47" t="s">
        <v>84</v>
      </c>
      <c r="I1565" s="47" t="s">
        <v>116</v>
      </c>
      <c r="J1565" s="48">
        <v>4</v>
      </c>
      <c r="K1565" s="48">
        <v>1</v>
      </c>
      <c r="O1565" s="48">
        <v>1</v>
      </c>
      <c r="R1565" s="46">
        <f t="shared" si="160"/>
        <v>1</v>
      </c>
      <c r="S1565" s="46">
        <f t="shared" si="161"/>
        <v>0</v>
      </c>
      <c r="T1565" s="46">
        <f t="shared" si="164"/>
        <v>80</v>
      </c>
      <c r="U1565" s="46">
        <f t="shared" si="162"/>
        <v>90</v>
      </c>
      <c r="V1565" s="54">
        <f t="shared" si="163"/>
        <v>46.333333333333336</v>
      </c>
    </row>
    <row r="1566" spans="1:22" x14ac:dyDescent="0.2">
      <c r="A1566" s="46" t="s">
        <v>131</v>
      </c>
      <c r="B1566" s="46" t="s">
        <v>46</v>
      </c>
      <c r="C1566" s="46" t="s">
        <v>89</v>
      </c>
      <c r="D1566" s="46" t="s">
        <v>178</v>
      </c>
      <c r="E1566" s="46">
        <v>3</v>
      </c>
      <c r="F1566" s="46" t="s">
        <v>62</v>
      </c>
      <c r="G1566" s="46">
        <v>3</v>
      </c>
      <c r="H1566" s="47" t="s">
        <v>85</v>
      </c>
      <c r="I1566" s="47" t="s">
        <v>116</v>
      </c>
      <c r="J1566" s="48">
        <v>4</v>
      </c>
      <c r="K1566" s="48">
        <v>1</v>
      </c>
      <c r="R1566" s="46">
        <f t="shared" si="160"/>
        <v>1</v>
      </c>
      <c r="S1566" s="46">
        <f t="shared" si="161"/>
        <v>0</v>
      </c>
      <c r="T1566" s="46">
        <f t="shared" si="164"/>
        <v>80</v>
      </c>
      <c r="U1566" s="46">
        <f t="shared" si="162"/>
        <v>80</v>
      </c>
      <c r="V1566" s="54">
        <f t="shared" si="163"/>
        <v>46.333333333333336</v>
      </c>
    </row>
    <row r="1567" spans="1:22" x14ac:dyDescent="0.2">
      <c r="A1567" s="46" t="s">
        <v>131</v>
      </c>
      <c r="B1567" s="46" t="s">
        <v>46</v>
      </c>
      <c r="C1567" s="46" t="s">
        <v>89</v>
      </c>
      <c r="D1567" s="46" t="s">
        <v>178</v>
      </c>
      <c r="E1567" s="46">
        <v>1</v>
      </c>
      <c r="F1567" s="46" t="s">
        <v>62</v>
      </c>
      <c r="G1567" s="46">
        <v>3</v>
      </c>
      <c r="H1567" s="47" t="s">
        <v>87</v>
      </c>
      <c r="I1567" s="47" t="s">
        <v>116</v>
      </c>
      <c r="J1567" s="48">
        <v>4</v>
      </c>
      <c r="K1567" s="48">
        <v>1</v>
      </c>
      <c r="R1567" s="46">
        <f t="shared" si="160"/>
        <v>1</v>
      </c>
      <c r="S1567" s="46">
        <f t="shared" si="161"/>
        <v>0</v>
      </c>
      <c r="T1567" s="46">
        <f t="shared" si="164"/>
        <v>80</v>
      </c>
      <c r="U1567" s="46">
        <f t="shared" si="162"/>
        <v>80</v>
      </c>
      <c r="V1567" s="54">
        <f t="shared" si="163"/>
        <v>46.333333333333336</v>
      </c>
    </row>
    <row r="1568" spans="1:22" x14ac:dyDescent="0.2">
      <c r="A1568" s="46" t="s">
        <v>131</v>
      </c>
      <c r="B1568" s="46" t="s">
        <v>46</v>
      </c>
      <c r="C1568" s="46" t="s">
        <v>89</v>
      </c>
      <c r="D1568" s="46" t="s">
        <v>178</v>
      </c>
      <c r="E1568" s="46">
        <v>3</v>
      </c>
      <c r="F1568" s="46" t="s">
        <v>60</v>
      </c>
      <c r="G1568" s="46">
        <v>2</v>
      </c>
      <c r="H1568" s="47">
        <v>2</v>
      </c>
      <c r="I1568" s="47" t="s">
        <v>127</v>
      </c>
      <c r="J1568" s="48">
        <v>4</v>
      </c>
      <c r="K1568" s="48">
        <v>0</v>
      </c>
      <c r="R1568" s="46">
        <f t="shared" si="160"/>
        <v>1</v>
      </c>
      <c r="S1568" s="46">
        <f t="shared" si="161"/>
        <v>0</v>
      </c>
      <c r="T1568" s="46">
        <f t="shared" si="164"/>
        <v>90</v>
      </c>
      <c r="U1568" s="46">
        <f t="shared" si="162"/>
        <v>90</v>
      </c>
      <c r="V1568" s="54">
        <f t="shared" si="163"/>
        <v>46.333333333333336</v>
      </c>
    </row>
    <row r="1569" spans="1:22" x14ac:dyDescent="0.2">
      <c r="A1569" s="46" t="s">
        <v>131</v>
      </c>
      <c r="B1569" s="46" t="s">
        <v>46</v>
      </c>
      <c r="C1569" s="46" t="s">
        <v>89</v>
      </c>
      <c r="D1569" s="46" t="s">
        <v>178</v>
      </c>
      <c r="E1569" s="46">
        <v>1</v>
      </c>
      <c r="F1569" s="46" t="s">
        <v>60</v>
      </c>
      <c r="G1569" s="46">
        <v>4</v>
      </c>
      <c r="H1569" s="47">
        <v>4</v>
      </c>
      <c r="I1569" s="47" t="s">
        <v>102</v>
      </c>
      <c r="J1569" s="48">
        <v>4</v>
      </c>
      <c r="K1569" s="48">
        <v>0</v>
      </c>
      <c r="R1569" s="46">
        <f t="shared" si="160"/>
        <v>1</v>
      </c>
      <c r="S1569" s="46">
        <f t="shared" si="161"/>
        <v>0</v>
      </c>
      <c r="T1569" s="46">
        <f t="shared" si="164"/>
        <v>90</v>
      </c>
      <c r="U1569" s="46">
        <f t="shared" si="162"/>
        <v>90</v>
      </c>
      <c r="V1569" s="54">
        <f t="shared" si="163"/>
        <v>46.333333333333336</v>
      </c>
    </row>
    <row r="1570" spans="1:22" x14ac:dyDescent="0.2">
      <c r="A1570" s="46" t="s">
        <v>131</v>
      </c>
      <c r="B1570" s="46" t="s">
        <v>46</v>
      </c>
      <c r="C1570" s="46" t="s">
        <v>89</v>
      </c>
      <c r="D1570" s="46" t="s">
        <v>178</v>
      </c>
      <c r="E1570" s="46">
        <v>1</v>
      </c>
      <c r="F1570" s="46" t="s">
        <v>60</v>
      </c>
      <c r="G1570" s="46">
        <v>2</v>
      </c>
      <c r="H1570" s="47">
        <v>18</v>
      </c>
      <c r="I1570" s="47" t="s">
        <v>127</v>
      </c>
      <c r="J1570" s="48">
        <v>4</v>
      </c>
      <c r="K1570" s="48">
        <v>0</v>
      </c>
      <c r="R1570" s="46">
        <f t="shared" si="160"/>
        <v>1</v>
      </c>
      <c r="S1570" s="46">
        <f t="shared" si="161"/>
        <v>0</v>
      </c>
      <c r="T1570" s="46">
        <f t="shared" si="164"/>
        <v>90</v>
      </c>
      <c r="U1570" s="46">
        <f t="shared" si="162"/>
        <v>90</v>
      </c>
      <c r="V1570" s="54">
        <f t="shared" si="163"/>
        <v>46.333333333333336</v>
      </c>
    </row>
    <row r="1571" spans="1:22" x14ac:dyDescent="0.2">
      <c r="A1571" s="46" t="s">
        <v>131</v>
      </c>
      <c r="B1571" s="46" t="s">
        <v>46</v>
      </c>
      <c r="C1571" s="46" t="s">
        <v>89</v>
      </c>
      <c r="D1571" s="46" t="s">
        <v>178</v>
      </c>
      <c r="E1571" s="46">
        <v>2</v>
      </c>
      <c r="F1571" s="46" t="s">
        <v>60</v>
      </c>
      <c r="G1571" s="46">
        <v>4</v>
      </c>
      <c r="H1571" s="47">
        <v>20</v>
      </c>
      <c r="I1571" s="47" t="s">
        <v>102</v>
      </c>
      <c r="J1571" s="48">
        <v>4</v>
      </c>
      <c r="K1571" s="48">
        <v>0</v>
      </c>
      <c r="R1571" s="46">
        <f t="shared" si="160"/>
        <v>1</v>
      </c>
      <c r="S1571" s="46">
        <f t="shared" si="161"/>
        <v>0</v>
      </c>
      <c r="T1571" s="46">
        <f t="shared" si="164"/>
        <v>90</v>
      </c>
      <c r="U1571" s="46">
        <f t="shared" si="162"/>
        <v>90</v>
      </c>
      <c r="V1571" s="54">
        <f t="shared" si="163"/>
        <v>46.333333333333336</v>
      </c>
    </row>
    <row r="1572" spans="1:22" x14ac:dyDescent="0.2">
      <c r="A1572" s="46" t="s">
        <v>131</v>
      </c>
      <c r="B1572" s="46" t="s">
        <v>46</v>
      </c>
      <c r="C1572" s="46" t="s">
        <v>89</v>
      </c>
      <c r="D1572" s="46" t="s">
        <v>178</v>
      </c>
      <c r="E1572" s="46">
        <v>2</v>
      </c>
      <c r="F1572" s="46" t="s">
        <v>60</v>
      </c>
      <c r="G1572" s="46">
        <v>1</v>
      </c>
      <c r="H1572" s="47">
        <v>25</v>
      </c>
      <c r="I1572" s="47" t="s">
        <v>101</v>
      </c>
      <c r="J1572" s="48">
        <v>4</v>
      </c>
      <c r="K1572" s="48">
        <v>0</v>
      </c>
      <c r="R1572" s="46">
        <f t="shared" si="160"/>
        <v>1</v>
      </c>
      <c r="S1572" s="46">
        <f t="shared" si="161"/>
        <v>0</v>
      </c>
      <c r="T1572" s="46">
        <f t="shared" si="164"/>
        <v>90</v>
      </c>
      <c r="U1572" s="46">
        <f t="shared" si="162"/>
        <v>90</v>
      </c>
      <c r="V1572" s="54">
        <f t="shared" si="163"/>
        <v>46.333333333333336</v>
      </c>
    </row>
    <row r="1573" spans="1:22" x14ac:dyDescent="0.2">
      <c r="A1573" s="46" t="s">
        <v>131</v>
      </c>
      <c r="B1573" s="46" t="s">
        <v>46</v>
      </c>
      <c r="C1573" s="46" t="s">
        <v>89</v>
      </c>
      <c r="D1573" s="46" t="s">
        <v>178</v>
      </c>
      <c r="E1573" s="46">
        <v>2</v>
      </c>
      <c r="F1573" s="46" t="s">
        <v>60</v>
      </c>
      <c r="G1573" s="46">
        <v>1</v>
      </c>
      <c r="H1573" s="47">
        <v>37</v>
      </c>
      <c r="I1573" s="47" t="s">
        <v>101</v>
      </c>
      <c r="J1573" s="48">
        <v>4</v>
      </c>
      <c r="K1573" s="48">
        <v>0</v>
      </c>
      <c r="R1573" s="46">
        <f t="shared" si="160"/>
        <v>1</v>
      </c>
      <c r="S1573" s="46">
        <f t="shared" si="161"/>
        <v>0</v>
      </c>
      <c r="T1573" s="46">
        <f t="shared" si="164"/>
        <v>90</v>
      </c>
      <c r="U1573" s="46">
        <f t="shared" si="162"/>
        <v>90</v>
      </c>
      <c r="V1573" s="54">
        <f t="shared" si="163"/>
        <v>46.333333333333336</v>
      </c>
    </row>
    <row r="1574" spans="1:22" x14ac:dyDescent="0.2">
      <c r="A1574" s="46" t="s">
        <v>131</v>
      </c>
      <c r="B1574" s="46" t="s">
        <v>46</v>
      </c>
      <c r="C1574" s="46" t="s">
        <v>89</v>
      </c>
      <c r="D1574" s="46" t="s">
        <v>178</v>
      </c>
      <c r="E1574" s="46">
        <v>3</v>
      </c>
      <c r="F1574" s="46" t="s">
        <v>60</v>
      </c>
      <c r="G1574" s="46">
        <v>1</v>
      </c>
      <c r="H1574" s="47">
        <v>45</v>
      </c>
      <c r="I1574" s="47" t="s">
        <v>101</v>
      </c>
      <c r="J1574" s="48">
        <v>4</v>
      </c>
      <c r="K1574" s="48">
        <v>0</v>
      </c>
      <c r="R1574" s="46">
        <f t="shared" si="160"/>
        <v>1</v>
      </c>
      <c r="S1574" s="46">
        <f t="shared" si="161"/>
        <v>0</v>
      </c>
      <c r="T1574" s="46">
        <f t="shared" si="164"/>
        <v>90</v>
      </c>
      <c r="U1574" s="46">
        <f t="shared" si="162"/>
        <v>90</v>
      </c>
      <c r="V1574" s="54">
        <f t="shared" si="163"/>
        <v>46.333333333333336</v>
      </c>
    </row>
    <row r="1575" spans="1:22" x14ac:dyDescent="0.2">
      <c r="A1575" s="46" t="s">
        <v>131</v>
      </c>
      <c r="B1575" s="46" t="s">
        <v>46</v>
      </c>
      <c r="C1575" s="46" t="s">
        <v>89</v>
      </c>
      <c r="D1575" s="46" t="s">
        <v>178</v>
      </c>
      <c r="E1575" s="46">
        <v>2</v>
      </c>
      <c r="F1575" s="46" t="s">
        <v>62</v>
      </c>
      <c r="G1575" s="46">
        <v>3</v>
      </c>
      <c r="H1575" s="47" t="s">
        <v>80</v>
      </c>
      <c r="I1575" s="47" t="s">
        <v>116</v>
      </c>
      <c r="J1575" s="48">
        <v>4</v>
      </c>
      <c r="K1575" s="48">
        <v>0</v>
      </c>
      <c r="R1575" s="46">
        <f t="shared" si="160"/>
        <v>1</v>
      </c>
      <c r="S1575" s="46">
        <f t="shared" si="161"/>
        <v>0</v>
      </c>
      <c r="T1575" s="46">
        <f t="shared" si="164"/>
        <v>90</v>
      </c>
      <c r="U1575" s="46">
        <f t="shared" si="162"/>
        <v>90</v>
      </c>
      <c r="V1575" s="54">
        <f t="shared" si="163"/>
        <v>46.333333333333336</v>
      </c>
    </row>
    <row r="1576" spans="1:22" x14ac:dyDescent="0.2">
      <c r="A1576" s="46" t="s">
        <v>131</v>
      </c>
      <c r="B1576" s="46" t="s">
        <v>46</v>
      </c>
      <c r="C1576" s="46" t="s">
        <v>89</v>
      </c>
      <c r="D1576" s="46" t="s">
        <v>178</v>
      </c>
      <c r="E1576" s="46">
        <v>3</v>
      </c>
      <c r="F1576" s="46" t="s">
        <v>62</v>
      </c>
      <c r="G1576" s="46">
        <v>3</v>
      </c>
      <c r="H1576" s="47" t="s">
        <v>87</v>
      </c>
      <c r="I1576" s="47" t="s">
        <v>116</v>
      </c>
      <c r="J1576" s="48">
        <v>4</v>
      </c>
      <c r="K1576" s="48">
        <v>0</v>
      </c>
      <c r="N1576" s="48">
        <v>1</v>
      </c>
      <c r="R1576" s="46">
        <f t="shared" si="160"/>
        <v>1</v>
      </c>
      <c r="S1576" s="46">
        <f t="shared" si="161"/>
        <v>0</v>
      </c>
      <c r="T1576" s="46">
        <f t="shared" si="164"/>
        <v>90</v>
      </c>
      <c r="U1576" s="46">
        <f t="shared" si="162"/>
        <v>85</v>
      </c>
      <c r="V1576" s="54">
        <f t="shared" si="163"/>
        <v>46.333333333333336</v>
      </c>
    </row>
    <row r="1577" spans="1:22" x14ac:dyDescent="0.2">
      <c r="A1577" s="46" t="s">
        <v>131</v>
      </c>
      <c r="B1577" s="46" t="s">
        <v>46</v>
      </c>
      <c r="C1577" s="46" t="s">
        <v>89</v>
      </c>
      <c r="D1577" s="46" t="s">
        <v>178</v>
      </c>
      <c r="E1577" s="46">
        <v>4</v>
      </c>
      <c r="F1577" s="46" t="s">
        <v>62</v>
      </c>
      <c r="G1577" s="46">
        <v>3</v>
      </c>
      <c r="H1577" s="47" t="s">
        <v>87</v>
      </c>
      <c r="I1577" s="47" t="s">
        <v>219</v>
      </c>
      <c r="J1577" s="48">
        <v>4</v>
      </c>
      <c r="K1577" s="48">
        <v>0</v>
      </c>
      <c r="R1577" s="46">
        <f t="shared" si="160"/>
        <v>1</v>
      </c>
      <c r="S1577" s="46">
        <f t="shared" si="161"/>
        <v>0</v>
      </c>
      <c r="T1577" s="46">
        <f t="shared" si="164"/>
        <v>90</v>
      </c>
      <c r="U1577" s="46">
        <f t="shared" si="162"/>
        <v>90</v>
      </c>
      <c r="V1577" s="54">
        <f t="shared" si="163"/>
        <v>46.333333333333336</v>
      </c>
    </row>
    <row r="1578" spans="1:22" x14ac:dyDescent="0.2">
      <c r="A1578" s="46" t="s">
        <v>131</v>
      </c>
      <c r="B1578" s="46" t="s">
        <v>46</v>
      </c>
      <c r="C1578" s="46" t="s">
        <v>89</v>
      </c>
      <c r="D1578" s="46" t="s">
        <v>178</v>
      </c>
      <c r="E1578" s="46">
        <v>4</v>
      </c>
      <c r="F1578" s="46" t="s">
        <v>62</v>
      </c>
      <c r="G1578" s="46">
        <v>3</v>
      </c>
      <c r="H1578" s="47" t="s">
        <v>64</v>
      </c>
      <c r="I1578" s="47" t="s">
        <v>219</v>
      </c>
      <c r="J1578" s="48">
        <v>4</v>
      </c>
      <c r="K1578" s="48">
        <v>0</v>
      </c>
      <c r="R1578" s="46">
        <f t="shared" si="160"/>
        <v>1</v>
      </c>
      <c r="S1578" s="46">
        <f t="shared" si="161"/>
        <v>0</v>
      </c>
      <c r="T1578" s="46">
        <f t="shared" si="164"/>
        <v>90</v>
      </c>
      <c r="U1578" s="46">
        <f t="shared" si="162"/>
        <v>90</v>
      </c>
      <c r="V1578" s="54">
        <f t="shared" si="163"/>
        <v>46.333333333333336</v>
      </c>
    </row>
    <row r="1579" spans="1:22" x14ac:dyDescent="0.2">
      <c r="A1579" s="46" t="s">
        <v>131</v>
      </c>
      <c r="B1579" s="46" t="s">
        <v>46</v>
      </c>
      <c r="C1579" s="46" t="s">
        <v>89</v>
      </c>
      <c r="D1579" s="46" t="s">
        <v>178</v>
      </c>
      <c r="E1579" s="46">
        <v>4</v>
      </c>
      <c r="F1579" s="46" t="s">
        <v>62</v>
      </c>
      <c r="G1579" s="46">
        <v>2</v>
      </c>
      <c r="H1579" s="47" t="s">
        <v>83</v>
      </c>
      <c r="I1579" s="47" t="s">
        <v>127</v>
      </c>
      <c r="J1579" s="48">
        <v>1</v>
      </c>
      <c r="K1579" s="48">
        <v>1</v>
      </c>
      <c r="R1579" s="46">
        <f t="shared" si="160"/>
        <v>0</v>
      </c>
      <c r="S1579" s="46">
        <f t="shared" si="161"/>
        <v>0</v>
      </c>
      <c r="T1579" s="46">
        <f t="shared" si="164"/>
        <v>20</v>
      </c>
      <c r="U1579" s="46">
        <f t="shared" si="162"/>
        <v>20</v>
      </c>
      <c r="V1579" s="54">
        <f t="shared" si="163"/>
        <v>46.333333333333336</v>
      </c>
    </row>
    <row r="1580" spans="1:22" x14ac:dyDescent="0.2">
      <c r="A1580" s="46" t="s">
        <v>131</v>
      </c>
      <c r="B1580" s="46" t="s">
        <v>46</v>
      </c>
      <c r="C1580" s="46" t="s">
        <v>89</v>
      </c>
      <c r="D1580" s="46" t="s">
        <v>178</v>
      </c>
      <c r="E1580" s="46">
        <v>5</v>
      </c>
      <c r="F1580" s="46" t="s">
        <v>60</v>
      </c>
      <c r="G1580" s="46">
        <v>3</v>
      </c>
      <c r="H1580" s="47">
        <v>3</v>
      </c>
      <c r="I1580" s="47" t="s">
        <v>159</v>
      </c>
      <c r="J1580" s="48">
        <v>0</v>
      </c>
      <c r="K1580" s="48">
        <v>1</v>
      </c>
      <c r="R1580" s="46">
        <f t="shared" si="160"/>
        <v>0</v>
      </c>
      <c r="S1580" s="46">
        <f t="shared" si="161"/>
        <v>0</v>
      </c>
      <c r="T1580" s="46">
        <f t="shared" si="164"/>
        <v>0</v>
      </c>
      <c r="U1580" s="46">
        <f t="shared" si="162"/>
        <v>0</v>
      </c>
      <c r="V1580" s="54">
        <f t="shared" si="163"/>
        <v>46.333333333333336</v>
      </c>
    </row>
    <row r="1581" spans="1:22" x14ac:dyDescent="0.2">
      <c r="A1581" s="46" t="s">
        <v>131</v>
      </c>
      <c r="B1581" s="46" t="s">
        <v>46</v>
      </c>
      <c r="C1581" s="46" t="s">
        <v>89</v>
      </c>
      <c r="D1581" s="46" t="s">
        <v>178</v>
      </c>
      <c r="E1581" s="46">
        <v>5</v>
      </c>
      <c r="F1581" s="46" t="s">
        <v>60</v>
      </c>
      <c r="G1581" s="46">
        <v>2</v>
      </c>
      <c r="H1581" s="47">
        <v>14</v>
      </c>
      <c r="I1581" s="47" t="s">
        <v>127</v>
      </c>
      <c r="J1581" s="48">
        <v>0</v>
      </c>
      <c r="K1581" s="48">
        <v>2</v>
      </c>
      <c r="R1581" s="46">
        <f t="shared" si="160"/>
        <v>0</v>
      </c>
      <c r="S1581" s="46">
        <f t="shared" si="161"/>
        <v>0</v>
      </c>
      <c r="T1581" s="46">
        <f t="shared" si="164"/>
        <v>-10</v>
      </c>
      <c r="U1581" s="46">
        <f t="shared" si="162"/>
        <v>-10</v>
      </c>
      <c r="V1581" s="54">
        <f t="shared" si="163"/>
        <v>46.333333333333336</v>
      </c>
    </row>
    <row r="1582" spans="1:22" x14ac:dyDescent="0.2">
      <c r="A1582" s="46" t="s">
        <v>131</v>
      </c>
      <c r="B1582" s="46" t="s">
        <v>46</v>
      </c>
      <c r="C1582" s="46" t="s">
        <v>89</v>
      </c>
      <c r="D1582" s="46" t="s">
        <v>178</v>
      </c>
      <c r="E1582" s="46">
        <v>5</v>
      </c>
      <c r="F1582" s="46" t="s">
        <v>60</v>
      </c>
      <c r="G1582" s="46">
        <v>4</v>
      </c>
      <c r="H1582" s="47">
        <v>24</v>
      </c>
      <c r="I1582" s="47" t="s">
        <v>102</v>
      </c>
      <c r="J1582" s="48">
        <v>2</v>
      </c>
      <c r="K1582" s="48">
        <v>2</v>
      </c>
      <c r="R1582" s="46">
        <f t="shared" si="160"/>
        <v>0</v>
      </c>
      <c r="S1582" s="46">
        <f t="shared" si="161"/>
        <v>0</v>
      </c>
      <c r="T1582" s="46">
        <f t="shared" si="164"/>
        <v>30</v>
      </c>
      <c r="U1582" s="46">
        <f t="shared" si="162"/>
        <v>30</v>
      </c>
      <c r="V1582" s="54">
        <f t="shared" si="163"/>
        <v>46.333333333333336</v>
      </c>
    </row>
    <row r="1583" spans="1:22" x14ac:dyDescent="0.2">
      <c r="A1583" s="46" t="s">
        <v>131</v>
      </c>
      <c r="B1583" s="46" t="s">
        <v>46</v>
      </c>
      <c r="C1583" s="46" t="s">
        <v>89</v>
      </c>
      <c r="D1583" s="46" t="s">
        <v>178</v>
      </c>
      <c r="E1583" s="46">
        <v>5</v>
      </c>
      <c r="F1583" s="46" t="s">
        <v>60</v>
      </c>
      <c r="G1583" s="46">
        <v>1</v>
      </c>
      <c r="H1583" s="47">
        <v>25</v>
      </c>
      <c r="I1583" s="47" t="s">
        <v>101</v>
      </c>
      <c r="J1583" s="48">
        <v>3</v>
      </c>
      <c r="K1583" s="48">
        <v>1</v>
      </c>
      <c r="R1583" s="46">
        <f t="shared" si="160"/>
        <v>0</v>
      </c>
      <c r="S1583" s="46">
        <f t="shared" si="161"/>
        <v>0</v>
      </c>
      <c r="T1583" s="46">
        <f t="shared" si="164"/>
        <v>60</v>
      </c>
      <c r="U1583" s="46">
        <f t="shared" si="162"/>
        <v>60</v>
      </c>
      <c r="V1583" s="54">
        <f t="shared" si="163"/>
        <v>46.333333333333336</v>
      </c>
    </row>
    <row r="1584" spans="1:22" x14ac:dyDescent="0.2">
      <c r="A1584" s="46" t="s">
        <v>131</v>
      </c>
      <c r="B1584" s="46" t="s">
        <v>46</v>
      </c>
      <c r="C1584" s="46" t="s">
        <v>89</v>
      </c>
      <c r="D1584" s="46" t="s">
        <v>178</v>
      </c>
      <c r="E1584" s="46">
        <v>5</v>
      </c>
      <c r="F1584" s="46" t="s">
        <v>60</v>
      </c>
      <c r="G1584" s="46">
        <v>2</v>
      </c>
      <c r="H1584" s="47">
        <v>34</v>
      </c>
      <c r="I1584" s="47" t="s">
        <v>127</v>
      </c>
      <c r="J1584" s="48">
        <v>2</v>
      </c>
      <c r="K1584" s="48">
        <v>1</v>
      </c>
      <c r="R1584" s="46">
        <f t="shared" si="160"/>
        <v>0</v>
      </c>
      <c r="S1584" s="46">
        <f t="shared" si="161"/>
        <v>0</v>
      </c>
      <c r="T1584" s="46">
        <f t="shared" si="164"/>
        <v>40</v>
      </c>
      <c r="U1584" s="46">
        <f t="shared" si="162"/>
        <v>40</v>
      </c>
      <c r="V1584" s="54">
        <f t="shared" si="163"/>
        <v>46.333333333333336</v>
      </c>
    </row>
    <row r="1585" spans="1:22" x14ac:dyDescent="0.2">
      <c r="A1585" s="46" t="s">
        <v>131</v>
      </c>
      <c r="B1585" s="46" t="s">
        <v>46</v>
      </c>
      <c r="C1585" s="46" t="s">
        <v>89</v>
      </c>
      <c r="D1585" s="46" t="s">
        <v>178</v>
      </c>
      <c r="E1585" s="46">
        <v>5</v>
      </c>
      <c r="F1585" s="46" t="s">
        <v>60</v>
      </c>
      <c r="G1585" s="46">
        <v>3</v>
      </c>
      <c r="H1585" s="47">
        <v>43</v>
      </c>
      <c r="I1585" s="47" t="s">
        <v>159</v>
      </c>
      <c r="J1585" s="48">
        <v>1</v>
      </c>
      <c r="K1585" s="48">
        <v>2</v>
      </c>
      <c r="R1585" s="46">
        <f t="shared" si="160"/>
        <v>0</v>
      </c>
      <c r="S1585" s="46">
        <f t="shared" si="161"/>
        <v>0</v>
      </c>
      <c r="T1585" s="46">
        <f t="shared" si="164"/>
        <v>10</v>
      </c>
      <c r="U1585" s="46">
        <f t="shared" si="162"/>
        <v>10</v>
      </c>
      <c r="V1585" s="54">
        <f t="shared" si="163"/>
        <v>46.333333333333336</v>
      </c>
    </row>
    <row r="1586" spans="1:22" x14ac:dyDescent="0.2">
      <c r="A1586" s="46" t="s">
        <v>131</v>
      </c>
      <c r="B1586" s="46" t="s">
        <v>46</v>
      </c>
      <c r="C1586" s="46" t="str">
        <f>VLOOKUP(B1586,$B$2:$C$3219,2,FALSE)</f>
        <v>Chapel Hill</v>
      </c>
      <c r="D1586" s="46" t="s">
        <v>178</v>
      </c>
      <c r="E1586" s="46">
        <v>5</v>
      </c>
      <c r="F1586" s="46" t="s">
        <v>63</v>
      </c>
      <c r="G1586" s="46">
        <v>4</v>
      </c>
      <c r="H1586" s="47" t="s">
        <v>146</v>
      </c>
      <c r="I1586" s="47" t="s">
        <v>102</v>
      </c>
      <c r="J1586" s="48">
        <v>3</v>
      </c>
      <c r="K1586" s="48">
        <v>0</v>
      </c>
      <c r="R1586" s="46">
        <f t="shared" si="160"/>
        <v>0</v>
      </c>
      <c r="S1586" s="46">
        <f t="shared" si="161"/>
        <v>0</v>
      </c>
      <c r="T1586" s="46">
        <f t="shared" si="164"/>
        <v>60</v>
      </c>
      <c r="U1586" s="46">
        <f t="shared" si="162"/>
        <v>60</v>
      </c>
      <c r="V1586" s="54">
        <f t="shared" si="163"/>
        <v>46.333333333333336</v>
      </c>
    </row>
    <row r="1587" spans="1:22" x14ac:dyDescent="0.2">
      <c r="A1587" s="46" t="s">
        <v>131</v>
      </c>
      <c r="B1587" s="46" t="s">
        <v>46</v>
      </c>
      <c r="C1587" s="46" t="str">
        <f>VLOOKUP(B1587,$B$2:$C$3219,2,FALSE)</f>
        <v>Chapel Hill</v>
      </c>
      <c r="D1587" s="46" t="s">
        <v>178</v>
      </c>
      <c r="E1587" s="46">
        <v>5</v>
      </c>
      <c r="F1587" s="46" t="s">
        <v>63</v>
      </c>
      <c r="G1587" s="46">
        <v>4</v>
      </c>
      <c r="H1587" s="47" t="s">
        <v>147</v>
      </c>
      <c r="I1587" s="47" t="s">
        <v>102</v>
      </c>
      <c r="J1587" s="48">
        <v>4</v>
      </c>
      <c r="K1587" s="48">
        <v>1</v>
      </c>
      <c r="R1587" s="46">
        <f t="shared" si="160"/>
        <v>1</v>
      </c>
      <c r="S1587" s="46">
        <f t="shared" si="161"/>
        <v>0</v>
      </c>
      <c r="T1587" s="46">
        <f t="shared" si="164"/>
        <v>80</v>
      </c>
      <c r="U1587" s="46">
        <f t="shared" si="162"/>
        <v>80</v>
      </c>
      <c r="V1587" s="54">
        <f t="shared" si="163"/>
        <v>46.333333333333336</v>
      </c>
    </row>
    <row r="1588" spans="1:22" x14ac:dyDescent="0.2">
      <c r="A1588" s="46" t="s">
        <v>131</v>
      </c>
      <c r="B1588" s="46" t="s">
        <v>46</v>
      </c>
      <c r="C1588" s="46" t="str">
        <f>VLOOKUP(B1588,$B$2:$C$3219,2,FALSE)</f>
        <v>Chapel Hill</v>
      </c>
      <c r="D1588" s="46" t="s">
        <v>178</v>
      </c>
      <c r="E1588" s="46">
        <v>5</v>
      </c>
      <c r="F1588" s="46" t="s">
        <v>63</v>
      </c>
      <c r="G1588" s="46">
        <v>4</v>
      </c>
      <c r="H1588" s="47" t="s">
        <v>150</v>
      </c>
      <c r="I1588" s="47" t="s">
        <v>102</v>
      </c>
      <c r="J1588" s="48">
        <v>4</v>
      </c>
      <c r="K1588" s="48">
        <v>1</v>
      </c>
      <c r="R1588" s="46">
        <f t="shared" si="160"/>
        <v>1</v>
      </c>
      <c r="S1588" s="46">
        <f t="shared" si="161"/>
        <v>0</v>
      </c>
      <c r="T1588" s="46">
        <f t="shared" si="164"/>
        <v>80</v>
      </c>
      <c r="U1588" s="46">
        <f t="shared" si="162"/>
        <v>80</v>
      </c>
      <c r="V1588" s="54">
        <f t="shared" si="163"/>
        <v>46.333333333333336</v>
      </c>
    </row>
    <row r="1589" spans="1:22" x14ac:dyDescent="0.2">
      <c r="A1589" s="46" t="s">
        <v>131</v>
      </c>
      <c r="B1589" s="46" t="s">
        <v>46</v>
      </c>
      <c r="C1589" s="46" t="str">
        <f>VLOOKUP(B1589,$B$2:$C$3219,2,FALSE)</f>
        <v>Chapel Hill</v>
      </c>
      <c r="D1589" s="46" t="s">
        <v>178</v>
      </c>
      <c r="E1589" s="46">
        <v>5</v>
      </c>
      <c r="F1589" s="46" t="s">
        <v>63</v>
      </c>
      <c r="G1589" s="46">
        <v>4</v>
      </c>
      <c r="H1589" s="47" t="s">
        <v>172</v>
      </c>
      <c r="I1589" s="47" t="s">
        <v>102</v>
      </c>
      <c r="J1589" s="48">
        <v>2</v>
      </c>
      <c r="K1589" s="48">
        <v>2</v>
      </c>
      <c r="R1589" s="46">
        <f t="shared" si="160"/>
        <v>0</v>
      </c>
      <c r="S1589" s="46">
        <f t="shared" si="161"/>
        <v>0</v>
      </c>
      <c r="U1589" s="46">
        <f t="shared" si="162"/>
        <v>0</v>
      </c>
      <c r="V1589" s="54">
        <f t="shared" si="163"/>
        <v>46.333333333333336</v>
      </c>
    </row>
    <row r="1590" spans="1:22" x14ac:dyDescent="0.2">
      <c r="A1590" s="46" t="s">
        <v>138</v>
      </c>
      <c r="B1590" s="46" t="s">
        <v>177</v>
      </c>
      <c r="C1590" s="46" t="s">
        <v>96</v>
      </c>
      <c r="D1590" s="46" t="s">
        <v>178</v>
      </c>
      <c r="E1590" s="46">
        <v>1</v>
      </c>
      <c r="F1590" s="46" t="s">
        <v>60</v>
      </c>
      <c r="G1590" s="46">
        <v>1</v>
      </c>
      <c r="H1590" s="47">
        <v>1</v>
      </c>
      <c r="I1590" s="47" t="s">
        <v>101</v>
      </c>
      <c r="J1590" s="48">
        <v>0</v>
      </c>
      <c r="K1590" s="48">
        <v>0</v>
      </c>
      <c r="R1590" s="46">
        <f t="shared" si="160"/>
        <v>0</v>
      </c>
      <c r="S1590" s="46">
        <f t="shared" si="161"/>
        <v>0</v>
      </c>
      <c r="T1590" s="46">
        <f t="shared" ref="T1590:T1631" si="165">quizscore(J1590,K1590)</f>
        <v>0</v>
      </c>
      <c r="U1590" s="46">
        <f t="shared" si="162"/>
        <v>0</v>
      </c>
      <c r="V1590" s="54">
        <f t="shared" si="163"/>
        <v>1.6666666666666667</v>
      </c>
    </row>
    <row r="1591" spans="1:22" x14ac:dyDescent="0.2">
      <c r="A1591" s="46" t="s">
        <v>138</v>
      </c>
      <c r="B1591" s="46" t="s">
        <v>177</v>
      </c>
      <c r="C1591" s="46" t="s">
        <v>96</v>
      </c>
      <c r="D1591" s="46" t="s">
        <v>178</v>
      </c>
      <c r="E1591" s="46">
        <v>2</v>
      </c>
      <c r="F1591" s="46" t="s">
        <v>60</v>
      </c>
      <c r="G1591" s="46">
        <v>1</v>
      </c>
      <c r="H1591" s="47">
        <v>1</v>
      </c>
      <c r="I1591" s="47" t="s">
        <v>101</v>
      </c>
      <c r="J1591" s="48">
        <v>0</v>
      </c>
      <c r="K1591" s="48">
        <v>0</v>
      </c>
      <c r="R1591" s="46">
        <f t="shared" si="160"/>
        <v>0</v>
      </c>
      <c r="S1591" s="46">
        <f t="shared" si="161"/>
        <v>0</v>
      </c>
      <c r="T1591" s="46">
        <f t="shared" si="165"/>
        <v>0</v>
      </c>
      <c r="U1591" s="46">
        <f t="shared" si="162"/>
        <v>0</v>
      </c>
      <c r="V1591" s="54">
        <f t="shared" si="163"/>
        <v>1.6666666666666667</v>
      </c>
    </row>
    <row r="1592" spans="1:22" x14ac:dyDescent="0.2">
      <c r="A1592" s="46" t="s">
        <v>138</v>
      </c>
      <c r="B1592" s="46" t="s">
        <v>177</v>
      </c>
      <c r="C1592" s="46" t="s">
        <v>96</v>
      </c>
      <c r="D1592" s="46" t="s">
        <v>178</v>
      </c>
      <c r="E1592" s="46">
        <v>3</v>
      </c>
      <c r="F1592" s="46" t="s">
        <v>60</v>
      </c>
      <c r="G1592" s="46">
        <v>3</v>
      </c>
      <c r="H1592" s="47">
        <v>3</v>
      </c>
      <c r="I1592" s="47" t="s">
        <v>116</v>
      </c>
      <c r="J1592" s="48">
        <v>0</v>
      </c>
      <c r="K1592" s="48">
        <v>0</v>
      </c>
      <c r="R1592" s="46">
        <f t="shared" si="160"/>
        <v>0</v>
      </c>
      <c r="S1592" s="46">
        <f t="shared" si="161"/>
        <v>0</v>
      </c>
      <c r="T1592" s="46">
        <f t="shared" si="165"/>
        <v>0</v>
      </c>
      <c r="U1592" s="46">
        <f t="shared" si="162"/>
        <v>0</v>
      </c>
      <c r="V1592" s="54">
        <f t="shared" si="163"/>
        <v>1.6666666666666667</v>
      </c>
    </row>
    <row r="1593" spans="1:22" x14ac:dyDescent="0.2">
      <c r="A1593" s="46" t="s">
        <v>138</v>
      </c>
      <c r="B1593" s="46" t="s">
        <v>177</v>
      </c>
      <c r="C1593" s="46" t="s">
        <v>96</v>
      </c>
      <c r="D1593" s="46" t="s">
        <v>178</v>
      </c>
      <c r="E1593" s="46">
        <v>3</v>
      </c>
      <c r="F1593" s="46" t="s">
        <v>60</v>
      </c>
      <c r="G1593" s="46">
        <v>2</v>
      </c>
      <c r="H1593" s="47">
        <v>10</v>
      </c>
      <c r="I1593" s="47" t="s">
        <v>127</v>
      </c>
      <c r="J1593" s="48">
        <v>0</v>
      </c>
      <c r="K1593" s="48">
        <v>0</v>
      </c>
      <c r="R1593" s="46">
        <f t="shared" si="160"/>
        <v>0</v>
      </c>
      <c r="S1593" s="46">
        <f t="shared" si="161"/>
        <v>0</v>
      </c>
      <c r="T1593" s="46">
        <f t="shared" si="165"/>
        <v>0</v>
      </c>
      <c r="U1593" s="46">
        <f t="shared" si="162"/>
        <v>0</v>
      </c>
      <c r="V1593" s="54">
        <f t="shared" si="163"/>
        <v>1.6666666666666667</v>
      </c>
    </row>
    <row r="1594" spans="1:22" x14ac:dyDescent="0.2">
      <c r="A1594" s="46" t="s">
        <v>138</v>
      </c>
      <c r="B1594" s="46" t="s">
        <v>177</v>
      </c>
      <c r="C1594" s="46" t="s">
        <v>96</v>
      </c>
      <c r="D1594" s="46" t="s">
        <v>178</v>
      </c>
      <c r="E1594" s="46">
        <v>2</v>
      </c>
      <c r="F1594" s="46" t="s">
        <v>60</v>
      </c>
      <c r="G1594" s="46">
        <v>4</v>
      </c>
      <c r="H1594" s="47">
        <v>16</v>
      </c>
      <c r="I1594" s="47" t="s">
        <v>102</v>
      </c>
      <c r="J1594" s="48">
        <v>0</v>
      </c>
      <c r="K1594" s="48">
        <v>0</v>
      </c>
      <c r="R1594" s="46">
        <f t="shared" si="160"/>
        <v>0</v>
      </c>
      <c r="S1594" s="46">
        <f t="shared" si="161"/>
        <v>0</v>
      </c>
      <c r="T1594" s="46">
        <f t="shared" si="165"/>
        <v>0</v>
      </c>
      <c r="U1594" s="46">
        <f t="shared" si="162"/>
        <v>0</v>
      </c>
      <c r="V1594" s="54">
        <f t="shared" si="163"/>
        <v>1.6666666666666667</v>
      </c>
    </row>
    <row r="1595" spans="1:22" x14ac:dyDescent="0.2">
      <c r="A1595" s="46" t="s">
        <v>138</v>
      </c>
      <c r="B1595" s="46" t="s">
        <v>177</v>
      </c>
      <c r="C1595" s="46" t="s">
        <v>96</v>
      </c>
      <c r="D1595" s="46" t="s">
        <v>178</v>
      </c>
      <c r="E1595" s="46">
        <v>3</v>
      </c>
      <c r="F1595" s="46" t="s">
        <v>60</v>
      </c>
      <c r="G1595" s="46">
        <v>4</v>
      </c>
      <c r="H1595" s="47">
        <v>16</v>
      </c>
      <c r="I1595" s="47" t="s">
        <v>102</v>
      </c>
      <c r="J1595" s="48">
        <v>0</v>
      </c>
      <c r="K1595" s="48">
        <v>0</v>
      </c>
      <c r="R1595" s="46">
        <f t="shared" si="160"/>
        <v>0</v>
      </c>
      <c r="S1595" s="46">
        <f t="shared" si="161"/>
        <v>0</v>
      </c>
      <c r="T1595" s="46">
        <f t="shared" si="165"/>
        <v>0</v>
      </c>
      <c r="U1595" s="46">
        <f t="shared" si="162"/>
        <v>0</v>
      </c>
      <c r="V1595" s="54">
        <f t="shared" si="163"/>
        <v>1.6666666666666667</v>
      </c>
    </row>
    <row r="1596" spans="1:22" x14ac:dyDescent="0.2">
      <c r="A1596" s="46" t="s">
        <v>138</v>
      </c>
      <c r="B1596" s="46" t="s">
        <v>177</v>
      </c>
      <c r="C1596" s="46" t="s">
        <v>96</v>
      </c>
      <c r="D1596" s="46" t="s">
        <v>178</v>
      </c>
      <c r="E1596" s="46">
        <v>1</v>
      </c>
      <c r="F1596" s="46" t="s">
        <v>60</v>
      </c>
      <c r="G1596" s="46">
        <v>4</v>
      </c>
      <c r="H1596" s="47">
        <v>20</v>
      </c>
      <c r="I1596" s="47" t="s">
        <v>102</v>
      </c>
      <c r="J1596" s="48">
        <v>0</v>
      </c>
      <c r="K1596" s="48">
        <v>0</v>
      </c>
      <c r="R1596" s="46">
        <f t="shared" si="160"/>
        <v>0</v>
      </c>
      <c r="S1596" s="46">
        <f t="shared" si="161"/>
        <v>0</v>
      </c>
      <c r="T1596" s="46">
        <f t="shared" si="165"/>
        <v>0</v>
      </c>
      <c r="U1596" s="46">
        <f t="shared" si="162"/>
        <v>0</v>
      </c>
      <c r="V1596" s="54">
        <f t="shared" si="163"/>
        <v>1.6666666666666667</v>
      </c>
    </row>
    <row r="1597" spans="1:22" x14ac:dyDescent="0.2">
      <c r="A1597" s="46" t="s">
        <v>138</v>
      </c>
      <c r="B1597" s="46" t="s">
        <v>177</v>
      </c>
      <c r="C1597" s="46" t="s">
        <v>96</v>
      </c>
      <c r="D1597" s="46" t="s">
        <v>178</v>
      </c>
      <c r="E1597" s="46">
        <v>2</v>
      </c>
      <c r="F1597" s="46" t="s">
        <v>60</v>
      </c>
      <c r="G1597" s="46">
        <v>3</v>
      </c>
      <c r="H1597" s="47">
        <v>23</v>
      </c>
      <c r="I1597" s="47" t="s">
        <v>116</v>
      </c>
      <c r="J1597" s="48">
        <v>0</v>
      </c>
      <c r="K1597" s="48">
        <v>0</v>
      </c>
      <c r="R1597" s="46">
        <f t="shared" si="160"/>
        <v>0</v>
      </c>
      <c r="S1597" s="46">
        <f t="shared" si="161"/>
        <v>0</v>
      </c>
      <c r="T1597" s="46">
        <f t="shared" si="165"/>
        <v>0</v>
      </c>
      <c r="U1597" s="46">
        <f t="shared" si="162"/>
        <v>0</v>
      </c>
      <c r="V1597" s="54">
        <f t="shared" si="163"/>
        <v>1.6666666666666667</v>
      </c>
    </row>
    <row r="1598" spans="1:22" x14ac:dyDescent="0.2">
      <c r="A1598" s="46" t="s">
        <v>138</v>
      </c>
      <c r="B1598" s="46" t="s">
        <v>177</v>
      </c>
      <c r="C1598" s="46" t="s">
        <v>96</v>
      </c>
      <c r="D1598" s="46" t="s">
        <v>178</v>
      </c>
      <c r="E1598" s="46">
        <v>3</v>
      </c>
      <c r="F1598" s="46" t="s">
        <v>60</v>
      </c>
      <c r="G1598" s="46">
        <v>1</v>
      </c>
      <c r="H1598" s="47">
        <v>25</v>
      </c>
      <c r="I1598" s="47" t="s">
        <v>116</v>
      </c>
      <c r="J1598" s="48">
        <v>0</v>
      </c>
      <c r="K1598" s="48">
        <v>0</v>
      </c>
      <c r="R1598" s="46">
        <f t="shared" si="160"/>
        <v>0</v>
      </c>
      <c r="S1598" s="46">
        <f t="shared" si="161"/>
        <v>0</v>
      </c>
      <c r="T1598" s="46">
        <f t="shared" si="165"/>
        <v>0</v>
      </c>
      <c r="U1598" s="46">
        <f t="shared" si="162"/>
        <v>0</v>
      </c>
      <c r="V1598" s="54">
        <f t="shared" si="163"/>
        <v>1.6666666666666667</v>
      </c>
    </row>
    <row r="1599" spans="1:22" x14ac:dyDescent="0.2">
      <c r="A1599" s="46" t="s">
        <v>138</v>
      </c>
      <c r="B1599" s="46" t="s">
        <v>177</v>
      </c>
      <c r="C1599" s="46" t="s">
        <v>96</v>
      </c>
      <c r="D1599" s="46" t="s">
        <v>178</v>
      </c>
      <c r="E1599" s="46">
        <v>1</v>
      </c>
      <c r="F1599" s="46" t="s">
        <v>60</v>
      </c>
      <c r="G1599" s="46">
        <v>4</v>
      </c>
      <c r="H1599" s="47">
        <v>28</v>
      </c>
      <c r="I1599" s="47" t="s">
        <v>102</v>
      </c>
      <c r="J1599" s="48">
        <v>0</v>
      </c>
      <c r="K1599" s="48">
        <v>0</v>
      </c>
      <c r="R1599" s="46">
        <f t="shared" si="160"/>
        <v>0</v>
      </c>
      <c r="S1599" s="46">
        <f t="shared" si="161"/>
        <v>0</v>
      </c>
      <c r="T1599" s="46">
        <f t="shared" si="165"/>
        <v>0</v>
      </c>
      <c r="U1599" s="46">
        <f t="shared" si="162"/>
        <v>0</v>
      </c>
      <c r="V1599" s="54">
        <f t="shared" si="163"/>
        <v>1.6666666666666667</v>
      </c>
    </row>
    <row r="1600" spans="1:22" x14ac:dyDescent="0.2">
      <c r="A1600" s="46" t="s">
        <v>138</v>
      </c>
      <c r="B1600" s="46" t="s">
        <v>177</v>
      </c>
      <c r="C1600" s="46" t="s">
        <v>96</v>
      </c>
      <c r="D1600" s="46" t="s">
        <v>178</v>
      </c>
      <c r="E1600" s="46">
        <v>2</v>
      </c>
      <c r="F1600" s="46" t="s">
        <v>60</v>
      </c>
      <c r="G1600" s="46">
        <v>1</v>
      </c>
      <c r="H1600" s="47">
        <v>29</v>
      </c>
      <c r="I1600" s="47" t="s">
        <v>101</v>
      </c>
      <c r="J1600" s="48">
        <v>0</v>
      </c>
      <c r="K1600" s="48">
        <v>0</v>
      </c>
      <c r="R1600" s="46">
        <f t="shared" si="160"/>
        <v>0</v>
      </c>
      <c r="S1600" s="46">
        <f t="shared" si="161"/>
        <v>0</v>
      </c>
      <c r="T1600" s="46">
        <f t="shared" si="165"/>
        <v>0</v>
      </c>
      <c r="U1600" s="46">
        <f t="shared" si="162"/>
        <v>0</v>
      </c>
      <c r="V1600" s="54">
        <f t="shared" si="163"/>
        <v>1.6666666666666667</v>
      </c>
    </row>
    <row r="1601" spans="1:22" x14ac:dyDescent="0.2">
      <c r="A1601" s="46" t="s">
        <v>138</v>
      </c>
      <c r="B1601" s="46" t="s">
        <v>177</v>
      </c>
      <c r="C1601" s="46" t="s">
        <v>96</v>
      </c>
      <c r="D1601" s="46" t="s">
        <v>178</v>
      </c>
      <c r="E1601" s="46">
        <v>3</v>
      </c>
      <c r="F1601" s="46" t="s">
        <v>60</v>
      </c>
      <c r="G1601" s="46">
        <v>1</v>
      </c>
      <c r="H1601" s="47">
        <v>33</v>
      </c>
      <c r="I1601" s="47" t="s">
        <v>101</v>
      </c>
      <c r="J1601" s="48">
        <v>0</v>
      </c>
      <c r="K1601" s="48">
        <v>0</v>
      </c>
      <c r="R1601" s="46">
        <f t="shared" si="160"/>
        <v>0</v>
      </c>
      <c r="S1601" s="46">
        <f t="shared" si="161"/>
        <v>0</v>
      </c>
      <c r="T1601" s="46">
        <f t="shared" si="165"/>
        <v>0</v>
      </c>
      <c r="U1601" s="46">
        <f t="shared" si="162"/>
        <v>0</v>
      </c>
      <c r="V1601" s="54">
        <f t="shared" si="163"/>
        <v>1.6666666666666667</v>
      </c>
    </row>
    <row r="1602" spans="1:22" x14ac:dyDescent="0.2">
      <c r="A1602" s="46" t="s">
        <v>138</v>
      </c>
      <c r="B1602" s="46" t="s">
        <v>177</v>
      </c>
      <c r="C1602" s="46" t="s">
        <v>96</v>
      </c>
      <c r="D1602" s="46" t="s">
        <v>178</v>
      </c>
      <c r="E1602" s="46">
        <v>1</v>
      </c>
      <c r="F1602" s="46" t="s">
        <v>60</v>
      </c>
      <c r="G1602" s="46">
        <v>3</v>
      </c>
      <c r="H1602" s="47">
        <v>35</v>
      </c>
      <c r="I1602" s="47" t="s">
        <v>116</v>
      </c>
      <c r="J1602" s="48">
        <v>0</v>
      </c>
      <c r="K1602" s="48">
        <v>0</v>
      </c>
      <c r="R1602" s="46">
        <f t="shared" ref="R1602:R1665" si="166">IF(J1602=4,1,0)</f>
        <v>0</v>
      </c>
      <c r="S1602" s="46">
        <f t="shared" ref="S1602:S1665" si="167">IF(K1602=3,1,0)</f>
        <v>0</v>
      </c>
      <c r="T1602" s="46">
        <f t="shared" si="165"/>
        <v>0</v>
      </c>
      <c r="U1602" s="46">
        <f t="shared" ref="U1602:U1665" si="168">T1602+M1602*(20) + (SUM(O1602:Q1602)*(10)) - L1602*(5) - N1602*(5)</f>
        <v>0</v>
      </c>
      <c r="V1602" s="54">
        <f t="shared" ref="V1602:V1665" si="169">AVERAGEIFS(U:U,A:A,A1602,F:F,"Pre")</f>
        <v>1.6666666666666667</v>
      </c>
    </row>
    <row r="1603" spans="1:22" x14ac:dyDescent="0.2">
      <c r="A1603" s="46" t="s">
        <v>138</v>
      </c>
      <c r="B1603" s="46" t="s">
        <v>177</v>
      </c>
      <c r="C1603" s="46" t="s">
        <v>96</v>
      </c>
      <c r="D1603" s="46" t="s">
        <v>178</v>
      </c>
      <c r="E1603" s="46">
        <v>2</v>
      </c>
      <c r="F1603" s="46" t="s">
        <v>60</v>
      </c>
      <c r="G1603" s="46">
        <v>2</v>
      </c>
      <c r="H1603" s="47">
        <v>38</v>
      </c>
      <c r="I1603" s="47" t="s">
        <v>127</v>
      </c>
      <c r="J1603" s="48">
        <v>0</v>
      </c>
      <c r="K1603" s="48">
        <v>0</v>
      </c>
      <c r="R1603" s="46">
        <f t="shared" si="166"/>
        <v>0</v>
      </c>
      <c r="S1603" s="46">
        <f t="shared" si="167"/>
        <v>0</v>
      </c>
      <c r="T1603" s="46">
        <f t="shared" si="165"/>
        <v>0</v>
      </c>
      <c r="U1603" s="46">
        <f t="shared" si="168"/>
        <v>0</v>
      </c>
      <c r="V1603" s="54">
        <f t="shared" si="169"/>
        <v>1.6666666666666667</v>
      </c>
    </row>
    <row r="1604" spans="1:22" x14ac:dyDescent="0.2">
      <c r="A1604" s="46" t="s">
        <v>138</v>
      </c>
      <c r="B1604" s="46" t="s">
        <v>177</v>
      </c>
      <c r="C1604" s="46" t="s">
        <v>96</v>
      </c>
      <c r="D1604" s="46" t="s">
        <v>178</v>
      </c>
      <c r="E1604" s="46">
        <v>1</v>
      </c>
      <c r="F1604" s="46" t="s">
        <v>60</v>
      </c>
      <c r="G1604" s="46">
        <v>2</v>
      </c>
      <c r="H1604" s="47">
        <v>42</v>
      </c>
      <c r="I1604" s="47" t="s">
        <v>127</v>
      </c>
      <c r="J1604" s="48">
        <v>0</v>
      </c>
      <c r="K1604" s="48">
        <v>0</v>
      </c>
      <c r="R1604" s="46">
        <f t="shared" si="166"/>
        <v>0</v>
      </c>
      <c r="S1604" s="46">
        <f t="shared" si="167"/>
        <v>0</v>
      </c>
      <c r="T1604" s="46">
        <f t="shared" si="165"/>
        <v>0</v>
      </c>
      <c r="U1604" s="46">
        <f t="shared" si="168"/>
        <v>0</v>
      </c>
      <c r="V1604" s="54">
        <f t="shared" si="169"/>
        <v>1.6666666666666667</v>
      </c>
    </row>
    <row r="1605" spans="1:22" x14ac:dyDescent="0.2">
      <c r="A1605" s="46" t="s">
        <v>138</v>
      </c>
      <c r="B1605" s="46" t="s">
        <v>177</v>
      </c>
      <c r="C1605" s="46" t="s">
        <v>96</v>
      </c>
      <c r="D1605" s="46" t="s">
        <v>178</v>
      </c>
      <c r="E1605" s="46">
        <v>3</v>
      </c>
      <c r="F1605" s="46" t="s">
        <v>60</v>
      </c>
      <c r="G1605" s="46">
        <v>2</v>
      </c>
      <c r="H1605" s="47">
        <v>42</v>
      </c>
      <c r="I1605" s="47" t="s">
        <v>127</v>
      </c>
      <c r="J1605" s="48">
        <v>0</v>
      </c>
      <c r="K1605" s="48">
        <v>0</v>
      </c>
      <c r="R1605" s="46">
        <f t="shared" si="166"/>
        <v>0</v>
      </c>
      <c r="S1605" s="46">
        <f t="shared" si="167"/>
        <v>0</v>
      </c>
      <c r="T1605" s="46">
        <f t="shared" si="165"/>
        <v>0</v>
      </c>
      <c r="U1605" s="46">
        <f t="shared" si="168"/>
        <v>0</v>
      </c>
      <c r="V1605" s="54">
        <f t="shared" si="169"/>
        <v>1.6666666666666667</v>
      </c>
    </row>
    <row r="1606" spans="1:22" x14ac:dyDescent="0.2">
      <c r="A1606" s="46" t="s">
        <v>138</v>
      </c>
      <c r="B1606" s="46" t="s">
        <v>177</v>
      </c>
      <c r="C1606" s="46" t="s">
        <v>96</v>
      </c>
      <c r="D1606" s="46" t="s">
        <v>178</v>
      </c>
      <c r="E1606" s="46">
        <v>1</v>
      </c>
      <c r="F1606" s="46" t="s">
        <v>60</v>
      </c>
      <c r="G1606" s="46">
        <v>1</v>
      </c>
      <c r="H1606" s="47">
        <v>49</v>
      </c>
      <c r="I1606" s="47" t="s">
        <v>101</v>
      </c>
      <c r="J1606" s="48">
        <v>0</v>
      </c>
      <c r="K1606" s="48">
        <v>0</v>
      </c>
      <c r="R1606" s="46">
        <f t="shared" si="166"/>
        <v>0</v>
      </c>
      <c r="S1606" s="46">
        <f t="shared" si="167"/>
        <v>0</v>
      </c>
      <c r="T1606" s="46">
        <f t="shared" si="165"/>
        <v>0</v>
      </c>
      <c r="U1606" s="46">
        <f t="shared" si="168"/>
        <v>0</v>
      </c>
      <c r="V1606" s="54">
        <f t="shared" si="169"/>
        <v>1.6666666666666667</v>
      </c>
    </row>
    <row r="1607" spans="1:22" x14ac:dyDescent="0.2">
      <c r="A1607" s="46" t="s">
        <v>138</v>
      </c>
      <c r="B1607" s="46" t="s">
        <v>177</v>
      </c>
      <c r="C1607" s="46" t="s">
        <v>96</v>
      </c>
      <c r="D1607" s="46" t="s">
        <v>178</v>
      </c>
      <c r="E1607" s="46">
        <v>2</v>
      </c>
      <c r="F1607" s="46" t="s">
        <v>61</v>
      </c>
      <c r="G1607" s="46">
        <v>1</v>
      </c>
      <c r="H1607" s="47" t="s">
        <v>70</v>
      </c>
      <c r="I1607" s="47" t="s">
        <v>101</v>
      </c>
      <c r="J1607" s="48">
        <v>0</v>
      </c>
      <c r="K1607" s="48">
        <v>0</v>
      </c>
      <c r="R1607" s="46">
        <f t="shared" si="166"/>
        <v>0</v>
      </c>
      <c r="S1607" s="46">
        <f t="shared" si="167"/>
        <v>0</v>
      </c>
      <c r="T1607" s="46">
        <f t="shared" si="165"/>
        <v>0</v>
      </c>
      <c r="U1607" s="46">
        <f t="shared" si="168"/>
        <v>0</v>
      </c>
      <c r="V1607" s="54">
        <f t="shared" si="169"/>
        <v>1.6666666666666667</v>
      </c>
    </row>
    <row r="1608" spans="1:22" x14ac:dyDescent="0.2">
      <c r="A1608" s="46" t="s">
        <v>138</v>
      </c>
      <c r="B1608" s="46" t="s">
        <v>177</v>
      </c>
      <c r="C1608" s="46" t="s">
        <v>96</v>
      </c>
      <c r="D1608" s="46" t="s">
        <v>178</v>
      </c>
      <c r="E1608" s="46">
        <v>1</v>
      </c>
      <c r="F1608" s="46" t="s">
        <v>61</v>
      </c>
      <c r="G1608" s="46">
        <v>1</v>
      </c>
      <c r="H1608" s="47" t="s">
        <v>74</v>
      </c>
      <c r="I1608" s="47" t="s">
        <v>101</v>
      </c>
      <c r="J1608" s="48">
        <v>0</v>
      </c>
      <c r="K1608" s="48">
        <v>0</v>
      </c>
      <c r="R1608" s="46">
        <f t="shared" si="166"/>
        <v>0</v>
      </c>
      <c r="S1608" s="46">
        <f t="shared" si="167"/>
        <v>0</v>
      </c>
      <c r="T1608" s="46">
        <f t="shared" si="165"/>
        <v>0</v>
      </c>
      <c r="U1608" s="46">
        <f t="shared" si="168"/>
        <v>0</v>
      </c>
      <c r="V1608" s="54">
        <f t="shared" si="169"/>
        <v>1.6666666666666667</v>
      </c>
    </row>
    <row r="1609" spans="1:22" x14ac:dyDescent="0.2">
      <c r="A1609" s="46" t="s">
        <v>138</v>
      </c>
      <c r="B1609" s="46" t="s">
        <v>177</v>
      </c>
      <c r="C1609" s="46" t="s">
        <v>96</v>
      </c>
      <c r="D1609" s="46" t="s">
        <v>178</v>
      </c>
      <c r="E1609" s="46">
        <v>3</v>
      </c>
      <c r="F1609" s="46" t="s">
        <v>61</v>
      </c>
      <c r="G1609" s="46">
        <v>1</v>
      </c>
      <c r="H1609" s="47" t="s">
        <v>74</v>
      </c>
      <c r="I1609" s="47" t="s">
        <v>101</v>
      </c>
      <c r="J1609" s="48">
        <v>0</v>
      </c>
      <c r="K1609" s="48">
        <v>0</v>
      </c>
      <c r="R1609" s="46">
        <f t="shared" si="166"/>
        <v>0</v>
      </c>
      <c r="S1609" s="46">
        <f t="shared" si="167"/>
        <v>0</v>
      </c>
      <c r="T1609" s="46">
        <f t="shared" si="165"/>
        <v>0</v>
      </c>
      <c r="U1609" s="46">
        <f t="shared" si="168"/>
        <v>0</v>
      </c>
      <c r="V1609" s="54">
        <f t="shared" si="169"/>
        <v>1.6666666666666667</v>
      </c>
    </row>
    <row r="1610" spans="1:22" x14ac:dyDescent="0.2">
      <c r="A1610" s="46" t="s">
        <v>138</v>
      </c>
      <c r="B1610" s="46" t="s">
        <v>177</v>
      </c>
      <c r="C1610" s="46" t="s">
        <v>96</v>
      </c>
      <c r="D1610" s="46" t="s">
        <v>178</v>
      </c>
      <c r="E1610" s="46">
        <v>1</v>
      </c>
      <c r="F1610" s="46" t="s">
        <v>61</v>
      </c>
      <c r="G1610" s="46">
        <v>1</v>
      </c>
      <c r="H1610" s="47" t="s">
        <v>68</v>
      </c>
      <c r="I1610" s="47" t="s">
        <v>101</v>
      </c>
      <c r="J1610" s="48">
        <v>0</v>
      </c>
      <c r="K1610" s="48">
        <v>0</v>
      </c>
      <c r="R1610" s="46">
        <f t="shared" si="166"/>
        <v>0</v>
      </c>
      <c r="S1610" s="46">
        <f t="shared" si="167"/>
        <v>0</v>
      </c>
      <c r="T1610" s="46">
        <f t="shared" si="165"/>
        <v>0</v>
      </c>
      <c r="U1610" s="46">
        <f t="shared" si="168"/>
        <v>0</v>
      </c>
      <c r="V1610" s="54">
        <f t="shared" si="169"/>
        <v>1.6666666666666667</v>
      </c>
    </row>
    <row r="1611" spans="1:22" x14ac:dyDescent="0.2">
      <c r="A1611" s="46" t="s">
        <v>138</v>
      </c>
      <c r="B1611" s="46" t="s">
        <v>177</v>
      </c>
      <c r="C1611" s="46" t="s">
        <v>96</v>
      </c>
      <c r="D1611" s="46" t="s">
        <v>178</v>
      </c>
      <c r="E1611" s="46">
        <v>2</v>
      </c>
      <c r="F1611" s="46" t="s">
        <v>61</v>
      </c>
      <c r="G1611" s="46">
        <v>1</v>
      </c>
      <c r="H1611" s="47" t="s">
        <v>68</v>
      </c>
      <c r="I1611" s="47" t="s">
        <v>101</v>
      </c>
      <c r="J1611" s="48">
        <v>0</v>
      </c>
      <c r="K1611" s="48">
        <v>0</v>
      </c>
      <c r="R1611" s="46">
        <f t="shared" si="166"/>
        <v>0</v>
      </c>
      <c r="S1611" s="46">
        <f t="shared" si="167"/>
        <v>0</v>
      </c>
      <c r="T1611" s="46">
        <f t="shared" si="165"/>
        <v>0</v>
      </c>
      <c r="U1611" s="46">
        <f t="shared" si="168"/>
        <v>0</v>
      </c>
      <c r="V1611" s="54">
        <f t="shared" si="169"/>
        <v>1.6666666666666667</v>
      </c>
    </row>
    <row r="1612" spans="1:22" x14ac:dyDescent="0.2">
      <c r="A1612" s="46" t="s">
        <v>138</v>
      </c>
      <c r="B1612" s="46" t="s">
        <v>177</v>
      </c>
      <c r="C1612" s="46" t="s">
        <v>96</v>
      </c>
      <c r="D1612" s="46" t="s">
        <v>178</v>
      </c>
      <c r="E1612" s="46">
        <v>3</v>
      </c>
      <c r="F1612" s="46" t="s">
        <v>61</v>
      </c>
      <c r="G1612" s="46">
        <v>1</v>
      </c>
      <c r="H1612" s="47" t="s">
        <v>68</v>
      </c>
      <c r="I1612" s="47" t="s">
        <v>101</v>
      </c>
      <c r="J1612" s="48">
        <v>0</v>
      </c>
      <c r="K1612" s="48">
        <v>0</v>
      </c>
      <c r="R1612" s="46">
        <f t="shared" si="166"/>
        <v>0</v>
      </c>
      <c r="S1612" s="46">
        <f t="shared" si="167"/>
        <v>0</v>
      </c>
      <c r="T1612" s="46">
        <f t="shared" si="165"/>
        <v>0</v>
      </c>
      <c r="U1612" s="46">
        <f t="shared" si="168"/>
        <v>0</v>
      </c>
      <c r="V1612" s="54">
        <f t="shared" si="169"/>
        <v>1.6666666666666667</v>
      </c>
    </row>
    <row r="1613" spans="1:22" x14ac:dyDescent="0.2">
      <c r="A1613" s="46" t="s">
        <v>138</v>
      </c>
      <c r="B1613" s="46" t="s">
        <v>177</v>
      </c>
      <c r="C1613" s="46" t="s">
        <v>96</v>
      </c>
      <c r="D1613" s="46" t="s">
        <v>178</v>
      </c>
      <c r="E1613" s="46">
        <v>1</v>
      </c>
      <c r="F1613" s="46" t="s">
        <v>61</v>
      </c>
      <c r="G1613" s="46">
        <v>1</v>
      </c>
      <c r="H1613" s="47" t="s">
        <v>69</v>
      </c>
      <c r="I1613" s="47" t="s">
        <v>101</v>
      </c>
      <c r="J1613" s="48">
        <v>0</v>
      </c>
      <c r="K1613" s="48">
        <v>0</v>
      </c>
      <c r="R1613" s="46">
        <f t="shared" si="166"/>
        <v>0</v>
      </c>
      <c r="S1613" s="46">
        <f t="shared" si="167"/>
        <v>0</v>
      </c>
      <c r="T1613" s="46">
        <f t="shared" si="165"/>
        <v>0</v>
      </c>
      <c r="U1613" s="46">
        <f t="shared" si="168"/>
        <v>0</v>
      </c>
      <c r="V1613" s="54">
        <f t="shared" si="169"/>
        <v>1.6666666666666667</v>
      </c>
    </row>
    <row r="1614" spans="1:22" x14ac:dyDescent="0.2">
      <c r="A1614" s="46" t="s">
        <v>138</v>
      </c>
      <c r="B1614" s="46" t="s">
        <v>177</v>
      </c>
      <c r="C1614" s="46" t="s">
        <v>96</v>
      </c>
      <c r="D1614" s="46" t="s">
        <v>178</v>
      </c>
      <c r="E1614" s="46">
        <v>3</v>
      </c>
      <c r="F1614" s="46" t="s">
        <v>61</v>
      </c>
      <c r="G1614" s="46">
        <v>1</v>
      </c>
      <c r="H1614" s="47" t="s">
        <v>69</v>
      </c>
      <c r="I1614" s="47" t="s">
        <v>101</v>
      </c>
      <c r="J1614" s="48">
        <v>0</v>
      </c>
      <c r="K1614" s="48">
        <v>0</v>
      </c>
      <c r="R1614" s="46">
        <f t="shared" si="166"/>
        <v>0</v>
      </c>
      <c r="S1614" s="46">
        <f t="shared" si="167"/>
        <v>0</v>
      </c>
      <c r="T1614" s="46">
        <f t="shared" si="165"/>
        <v>0</v>
      </c>
      <c r="U1614" s="46">
        <f t="shared" si="168"/>
        <v>0</v>
      </c>
      <c r="V1614" s="54">
        <f t="shared" si="169"/>
        <v>1.6666666666666667</v>
      </c>
    </row>
    <row r="1615" spans="1:22" x14ac:dyDescent="0.2">
      <c r="A1615" s="46" t="s">
        <v>138</v>
      </c>
      <c r="B1615" s="46" t="s">
        <v>177</v>
      </c>
      <c r="C1615" s="46" t="s">
        <v>96</v>
      </c>
      <c r="D1615" s="46" t="s">
        <v>178</v>
      </c>
      <c r="E1615" s="46">
        <v>2</v>
      </c>
      <c r="F1615" s="46" t="s">
        <v>61</v>
      </c>
      <c r="G1615" s="46">
        <v>2</v>
      </c>
      <c r="H1615" s="47" t="s">
        <v>66</v>
      </c>
      <c r="I1615" s="47" t="s">
        <v>127</v>
      </c>
      <c r="J1615" s="48">
        <v>0</v>
      </c>
      <c r="K1615" s="48">
        <v>0</v>
      </c>
      <c r="R1615" s="46">
        <f t="shared" si="166"/>
        <v>0</v>
      </c>
      <c r="S1615" s="46">
        <f t="shared" si="167"/>
        <v>0</v>
      </c>
      <c r="T1615" s="46">
        <f t="shared" si="165"/>
        <v>0</v>
      </c>
      <c r="U1615" s="46">
        <f t="shared" si="168"/>
        <v>0</v>
      </c>
      <c r="V1615" s="54">
        <f t="shared" si="169"/>
        <v>1.6666666666666667</v>
      </c>
    </row>
    <row r="1616" spans="1:22" x14ac:dyDescent="0.2">
      <c r="A1616" s="46" t="s">
        <v>138</v>
      </c>
      <c r="B1616" s="46" t="s">
        <v>177</v>
      </c>
      <c r="C1616" s="46" t="s">
        <v>96</v>
      </c>
      <c r="D1616" s="46" t="s">
        <v>178</v>
      </c>
      <c r="E1616" s="46">
        <v>1</v>
      </c>
      <c r="F1616" s="46" t="s">
        <v>61</v>
      </c>
      <c r="G1616" s="46">
        <v>1</v>
      </c>
      <c r="H1616" s="47" t="s">
        <v>71</v>
      </c>
      <c r="I1616" s="47" t="s">
        <v>101</v>
      </c>
      <c r="J1616" s="48">
        <v>0</v>
      </c>
      <c r="K1616" s="48">
        <v>0</v>
      </c>
      <c r="R1616" s="46">
        <f t="shared" si="166"/>
        <v>0</v>
      </c>
      <c r="S1616" s="46">
        <f t="shared" si="167"/>
        <v>0</v>
      </c>
      <c r="T1616" s="46">
        <f t="shared" si="165"/>
        <v>0</v>
      </c>
      <c r="U1616" s="46">
        <f t="shared" si="168"/>
        <v>0</v>
      </c>
      <c r="V1616" s="54">
        <f t="shared" si="169"/>
        <v>1.6666666666666667</v>
      </c>
    </row>
    <row r="1617" spans="1:22" x14ac:dyDescent="0.2">
      <c r="A1617" s="46" t="s">
        <v>138</v>
      </c>
      <c r="B1617" s="46" t="s">
        <v>177</v>
      </c>
      <c r="C1617" s="46" t="s">
        <v>96</v>
      </c>
      <c r="D1617" s="46" t="s">
        <v>178</v>
      </c>
      <c r="E1617" s="46">
        <v>2</v>
      </c>
      <c r="F1617" s="46" t="s">
        <v>61</v>
      </c>
      <c r="G1617" s="46">
        <v>1</v>
      </c>
      <c r="H1617" s="47" t="s">
        <v>71</v>
      </c>
      <c r="I1617" s="47" t="s">
        <v>101</v>
      </c>
      <c r="J1617" s="48">
        <v>0</v>
      </c>
      <c r="K1617" s="48">
        <v>0</v>
      </c>
      <c r="R1617" s="46">
        <f t="shared" si="166"/>
        <v>0</v>
      </c>
      <c r="S1617" s="46">
        <f t="shared" si="167"/>
        <v>0</v>
      </c>
      <c r="T1617" s="46">
        <f t="shared" si="165"/>
        <v>0</v>
      </c>
      <c r="U1617" s="46">
        <f t="shared" si="168"/>
        <v>0</v>
      </c>
      <c r="V1617" s="54">
        <f t="shared" si="169"/>
        <v>1.6666666666666667</v>
      </c>
    </row>
    <row r="1618" spans="1:22" x14ac:dyDescent="0.2">
      <c r="A1618" s="46" t="s">
        <v>138</v>
      </c>
      <c r="B1618" s="46" t="s">
        <v>177</v>
      </c>
      <c r="C1618" s="46" t="s">
        <v>96</v>
      </c>
      <c r="D1618" s="46" t="s">
        <v>178</v>
      </c>
      <c r="E1618" s="46">
        <v>3</v>
      </c>
      <c r="F1618" s="46" t="s">
        <v>61</v>
      </c>
      <c r="G1618" s="46">
        <v>1</v>
      </c>
      <c r="H1618" s="47" t="s">
        <v>71</v>
      </c>
      <c r="I1618" s="47" t="s">
        <v>101</v>
      </c>
      <c r="J1618" s="48">
        <v>0</v>
      </c>
      <c r="K1618" s="48">
        <v>0</v>
      </c>
      <c r="R1618" s="46">
        <f t="shared" si="166"/>
        <v>0</v>
      </c>
      <c r="S1618" s="46">
        <f t="shared" si="167"/>
        <v>0</v>
      </c>
      <c r="T1618" s="46">
        <f t="shared" si="165"/>
        <v>0</v>
      </c>
      <c r="U1618" s="46">
        <f t="shared" si="168"/>
        <v>0</v>
      </c>
      <c r="V1618" s="54">
        <f t="shared" si="169"/>
        <v>1.6666666666666667</v>
      </c>
    </row>
    <row r="1619" spans="1:22" x14ac:dyDescent="0.2">
      <c r="A1619" s="46" t="s">
        <v>138</v>
      </c>
      <c r="B1619" s="46" t="s">
        <v>177</v>
      </c>
      <c r="C1619" s="46" t="s">
        <v>96</v>
      </c>
      <c r="D1619" s="46" t="s">
        <v>178</v>
      </c>
      <c r="E1619" s="46">
        <v>1</v>
      </c>
      <c r="F1619" s="46" t="s">
        <v>61</v>
      </c>
      <c r="G1619" s="46">
        <v>1</v>
      </c>
      <c r="H1619" s="47" t="s">
        <v>78</v>
      </c>
      <c r="I1619" s="47" t="s">
        <v>101</v>
      </c>
      <c r="J1619" s="48">
        <v>0</v>
      </c>
      <c r="K1619" s="48">
        <v>0</v>
      </c>
      <c r="R1619" s="46">
        <f t="shared" si="166"/>
        <v>0</v>
      </c>
      <c r="S1619" s="46">
        <f t="shared" si="167"/>
        <v>0</v>
      </c>
      <c r="T1619" s="46">
        <f t="shared" si="165"/>
        <v>0</v>
      </c>
      <c r="U1619" s="46">
        <f t="shared" si="168"/>
        <v>0</v>
      </c>
      <c r="V1619" s="54">
        <f t="shared" si="169"/>
        <v>1.6666666666666667</v>
      </c>
    </row>
    <row r="1620" spans="1:22" x14ac:dyDescent="0.2">
      <c r="A1620" s="46" t="s">
        <v>138</v>
      </c>
      <c r="B1620" s="46" t="s">
        <v>177</v>
      </c>
      <c r="C1620" s="46" t="s">
        <v>96</v>
      </c>
      <c r="D1620" s="46" t="s">
        <v>178</v>
      </c>
      <c r="E1620" s="46">
        <v>1</v>
      </c>
      <c r="F1620" s="46" t="s">
        <v>61</v>
      </c>
      <c r="G1620" s="46">
        <v>1</v>
      </c>
      <c r="H1620" s="47" t="s">
        <v>78</v>
      </c>
      <c r="I1620" s="47" t="s">
        <v>101</v>
      </c>
      <c r="J1620" s="48">
        <v>0</v>
      </c>
      <c r="K1620" s="48">
        <v>0</v>
      </c>
      <c r="R1620" s="46">
        <f t="shared" si="166"/>
        <v>0</v>
      </c>
      <c r="S1620" s="46">
        <f t="shared" si="167"/>
        <v>0</v>
      </c>
      <c r="T1620" s="46">
        <f t="shared" si="165"/>
        <v>0</v>
      </c>
      <c r="U1620" s="46">
        <f t="shared" si="168"/>
        <v>0</v>
      </c>
      <c r="V1620" s="54">
        <f t="shared" si="169"/>
        <v>1.6666666666666667</v>
      </c>
    </row>
    <row r="1621" spans="1:22" x14ac:dyDescent="0.2">
      <c r="A1621" s="46" t="s">
        <v>138</v>
      </c>
      <c r="B1621" s="46" t="s">
        <v>177</v>
      </c>
      <c r="C1621" s="46" t="s">
        <v>96</v>
      </c>
      <c r="D1621" s="46" t="s">
        <v>178</v>
      </c>
      <c r="E1621" s="46">
        <v>1</v>
      </c>
      <c r="F1621" s="46" t="s">
        <v>61</v>
      </c>
      <c r="G1621" s="46">
        <v>1</v>
      </c>
      <c r="H1621" s="47" t="s">
        <v>78</v>
      </c>
      <c r="I1621" s="47" t="s">
        <v>101</v>
      </c>
      <c r="J1621" s="48">
        <v>0</v>
      </c>
      <c r="K1621" s="48">
        <v>0</v>
      </c>
      <c r="R1621" s="46">
        <f t="shared" si="166"/>
        <v>0</v>
      </c>
      <c r="S1621" s="46">
        <f t="shared" si="167"/>
        <v>0</v>
      </c>
      <c r="T1621" s="46">
        <f t="shared" si="165"/>
        <v>0</v>
      </c>
      <c r="U1621" s="46">
        <f t="shared" si="168"/>
        <v>0</v>
      </c>
      <c r="V1621" s="54">
        <f t="shared" si="169"/>
        <v>1.6666666666666667</v>
      </c>
    </row>
    <row r="1622" spans="1:22" x14ac:dyDescent="0.2">
      <c r="A1622" s="46" t="s">
        <v>138</v>
      </c>
      <c r="B1622" s="46" t="s">
        <v>177</v>
      </c>
      <c r="C1622" s="46" t="s">
        <v>96</v>
      </c>
      <c r="D1622" s="46" t="s">
        <v>178</v>
      </c>
      <c r="E1622" s="46">
        <v>1</v>
      </c>
      <c r="F1622" s="46" t="s">
        <v>61</v>
      </c>
      <c r="G1622" s="46">
        <v>1</v>
      </c>
      <c r="H1622" s="47" t="s">
        <v>78</v>
      </c>
      <c r="I1622" s="47" t="s">
        <v>101</v>
      </c>
      <c r="J1622" s="48">
        <v>0</v>
      </c>
      <c r="K1622" s="48">
        <v>0</v>
      </c>
      <c r="R1622" s="46">
        <f t="shared" si="166"/>
        <v>0</v>
      </c>
      <c r="S1622" s="46">
        <f t="shared" si="167"/>
        <v>0</v>
      </c>
      <c r="T1622" s="46">
        <f t="shared" si="165"/>
        <v>0</v>
      </c>
      <c r="U1622" s="46">
        <f t="shared" si="168"/>
        <v>0</v>
      </c>
      <c r="V1622" s="54">
        <f t="shared" si="169"/>
        <v>1.6666666666666667</v>
      </c>
    </row>
    <row r="1623" spans="1:22" x14ac:dyDescent="0.2">
      <c r="A1623" s="46" t="s">
        <v>138</v>
      </c>
      <c r="B1623" s="46" t="s">
        <v>177</v>
      </c>
      <c r="C1623" s="46" t="s">
        <v>96</v>
      </c>
      <c r="D1623" s="46" t="s">
        <v>178</v>
      </c>
      <c r="E1623" s="46">
        <v>2</v>
      </c>
      <c r="F1623" s="46" t="s">
        <v>60</v>
      </c>
      <c r="G1623" s="46">
        <v>4</v>
      </c>
      <c r="H1623" s="47">
        <v>12</v>
      </c>
      <c r="I1623" s="47" t="s">
        <v>102</v>
      </c>
      <c r="J1623" s="48">
        <v>1</v>
      </c>
      <c r="K1623" s="48">
        <v>0</v>
      </c>
      <c r="M1623" s="48">
        <v>1</v>
      </c>
      <c r="R1623" s="46">
        <f t="shared" si="166"/>
        <v>0</v>
      </c>
      <c r="S1623" s="46">
        <f t="shared" si="167"/>
        <v>0</v>
      </c>
      <c r="T1623" s="46">
        <f t="shared" si="165"/>
        <v>20</v>
      </c>
      <c r="U1623" s="46">
        <f t="shared" si="168"/>
        <v>40</v>
      </c>
      <c r="V1623" s="54">
        <f t="shared" si="169"/>
        <v>1.6666666666666667</v>
      </c>
    </row>
    <row r="1624" spans="1:22" x14ac:dyDescent="0.2">
      <c r="A1624" s="46" t="s">
        <v>138</v>
      </c>
      <c r="B1624" s="46" t="s">
        <v>177</v>
      </c>
      <c r="C1624" s="46" t="s">
        <v>96</v>
      </c>
      <c r="D1624" s="46" t="s">
        <v>178</v>
      </c>
      <c r="E1624" s="46">
        <v>5</v>
      </c>
      <c r="F1624" s="46" t="s">
        <v>60</v>
      </c>
      <c r="G1624" s="46">
        <v>4</v>
      </c>
      <c r="H1624" s="47">
        <v>4</v>
      </c>
      <c r="I1624" s="47" t="s">
        <v>102</v>
      </c>
      <c r="J1624" s="48">
        <v>0</v>
      </c>
      <c r="K1624" s="48">
        <v>0</v>
      </c>
      <c r="R1624" s="46">
        <f t="shared" si="166"/>
        <v>0</v>
      </c>
      <c r="S1624" s="46">
        <f t="shared" si="167"/>
        <v>0</v>
      </c>
      <c r="T1624" s="46">
        <f t="shared" si="165"/>
        <v>0</v>
      </c>
      <c r="U1624" s="46">
        <f t="shared" si="168"/>
        <v>0</v>
      </c>
      <c r="V1624" s="54">
        <f t="shared" si="169"/>
        <v>1.6666666666666667</v>
      </c>
    </row>
    <row r="1625" spans="1:22" x14ac:dyDescent="0.2">
      <c r="A1625" s="46" t="s">
        <v>138</v>
      </c>
      <c r="B1625" s="46" t="s">
        <v>177</v>
      </c>
      <c r="C1625" s="46" t="s">
        <v>96</v>
      </c>
      <c r="D1625" s="46" t="s">
        <v>178</v>
      </c>
      <c r="E1625" s="46">
        <v>5</v>
      </c>
      <c r="F1625" s="46" t="s">
        <v>60</v>
      </c>
      <c r="G1625" s="46">
        <v>2</v>
      </c>
      <c r="H1625" s="47">
        <v>10</v>
      </c>
      <c r="I1625" s="47" t="s">
        <v>127</v>
      </c>
      <c r="J1625" s="48">
        <v>0</v>
      </c>
      <c r="K1625" s="48">
        <v>0</v>
      </c>
      <c r="R1625" s="46">
        <f t="shared" si="166"/>
        <v>0</v>
      </c>
      <c r="S1625" s="46">
        <f t="shared" si="167"/>
        <v>0</v>
      </c>
      <c r="T1625" s="46">
        <f t="shared" si="165"/>
        <v>0</v>
      </c>
      <c r="U1625" s="46">
        <f t="shared" si="168"/>
        <v>0</v>
      </c>
      <c r="V1625" s="54">
        <f t="shared" si="169"/>
        <v>1.6666666666666667</v>
      </c>
    </row>
    <row r="1626" spans="1:22" x14ac:dyDescent="0.2">
      <c r="A1626" s="46" t="s">
        <v>138</v>
      </c>
      <c r="B1626" s="46" t="s">
        <v>177</v>
      </c>
      <c r="C1626" s="46" t="s">
        <v>96</v>
      </c>
      <c r="D1626" s="46" t="s">
        <v>178</v>
      </c>
      <c r="E1626" s="46">
        <v>5</v>
      </c>
      <c r="F1626" s="46" t="s">
        <v>60</v>
      </c>
      <c r="G1626" s="46">
        <v>2</v>
      </c>
      <c r="H1626" s="47">
        <v>26</v>
      </c>
      <c r="I1626" s="47" t="s">
        <v>127</v>
      </c>
      <c r="J1626" s="48">
        <v>0</v>
      </c>
      <c r="K1626" s="48">
        <v>0</v>
      </c>
      <c r="R1626" s="46">
        <f t="shared" si="166"/>
        <v>0</v>
      </c>
      <c r="S1626" s="46">
        <f t="shared" si="167"/>
        <v>0</v>
      </c>
      <c r="T1626" s="46">
        <f t="shared" si="165"/>
        <v>0</v>
      </c>
      <c r="U1626" s="46">
        <f t="shared" si="168"/>
        <v>0</v>
      </c>
      <c r="V1626" s="54">
        <f t="shared" si="169"/>
        <v>1.6666666666666667</v>
      </c>
    </row>
    <row r="1627" spans="1:22" x14ac:dyDescent="0.2">
      <c r="A1627" s="46" t="s">
        <v>138</v>
      </c>
      <c r="B1627" s="46" t="s">
        <v>177</v>
      </c>
      <c r="C1627" s="46" t="s">
        <v>96</v>
      </c>
      <c r="D1627" s="46" t="s">
        <v>178</v>
      </c>
      <c r="E1627" s="46">
        <v>5</v>
      </c>
      <c r="F1627" s="46" t="s">
        <v>60</v>
      </c>
      <c r="G1627" s="46">
        <v>3</v>
      </c>
      <c r="H1627" s="47">
        <v>35</v>
      </c>
      <c r="I1627" s="47" t="s">
        <v>159</v>
      </c>
      <c r="J1627" s="48">
        <v>0</v>
      </c>
      <c r="K1627" s="48">
        <v>0</v>
      </c>
      <c r="R1627" s="46">
        <f t="shared" si="166"/>
        <v>0</v>
      </c>
      <c r="S1627" s="46">
        <f t="shared" si="167"/>
        <v>0</v>
      </c>
      <c r="T1627" s="46">
        <f t="shared" si="165"/>
        <v>0</v>
      </c>
      <c r="U1627" s="46">
        <f t="shared" si="168"/>
        <v>0</v>
      </c>
      <c r="V1627" s="54">
        <f t="shared" si="169"/>
        <v>1.6666666666666667</v>
      </c>
    </row>
    <row r="1628" spans="1:22" x14ac:dyDescent="0.2">
      <c r="A1628" s="46" t="s">
        <v>138</v>
      </c>
      <c r="B1628" s="46" t="s">
        <v>177</v>
      </c>
      <c r="C1628" s="46" t="s">
        <v>96</v>
      </c>
      <c r="D1628" s="46" t="s">
        <v>178</v>
      </c>
      <c r="E1628" s="46">
        <v>5</v>
      </c>
      <c r="F1628" s="46" t="s">
        <v>60</v>
      </c>
      <c r="G1628" s="46">
        <v>1</v>
      </c>
      <c r="H1628" s="47">
        <v>41</v>
      </c>
      <c r="I1628" s="47" t="s">
        <v>101</v>
      </c>
      <c r="J1628" s="48">
        <v>0</v>
      </c>
      <c r="K1628" s="48">
        <v>0</v>
      </c>
      <c r="R1628" s="46">
        <f t="shared" si="166"/>
        <v>0</v>
      </c>
      <c r="S1628" s="46">
        <f t="shared" si="167"/>
        <v>0</v>
      </c>
      <c r="T1628" s="46">
        <f t="shared" si="165"/>
        <v>0</v>
      </c>
      <c r="U1628" s="46">
        <f t="shared" si="168"/>
        <v>0</v>
      </c>
      <c r="V1628" s="54">
        <f t="shared" si="169"/>
        <v>1.6666666666666667</v>
      </c>
    </row>
    <row r="1629" spans="1:22" x14ac:dyDescent="0.2">
      <c r="A1629" s="46" t="s">
        <v>138</v>
      </c>
      <c r="B1629" s="46" t="s">
        <v>177</v>
      </c>
      <c r="C1629" s="46" t="s">
        <v>96</v>
      </c>
      <c r="D1629" s="46" t="s">
        <v>178</v>
      </c>
      <c r="E1629" s="46">
        <v>5</v>
      </c>
      <c r="F1629" s="46" t="s">
        <v>60</v>
      </c>
      <c r="G1629" s="46">
        <v>1</v>
      </c>
      <c r="H1629" s="47">
        <v>45</v>
      </c>
      <c r="I1629" s="47" t="s">
        <v>101</v>
      </c>
      <c r="J1629" s="48">
        <v>0</v>
      </c>
      <c r="K1629" s="48">
        <v>0</v>
      </c>
      <c r="R1629" s="46">
        <f t="shared" si="166"/>
        <v>0</v>
      </c>
      <c r="S1629" s="46">
        <f t="shared" si="167"/>
        <v>0</v>
      </c>
      <c r="T1629" s="46">
        <f t="shared" si="165"/>
        <v>0</v>
      </c>
      <c r="U1629" s="46">
        <f t="shared" si="168"/>
        <v>0</v>
      </c>
      <c r="V1629" s="54">
        <f t="shared" si="169"/>
        <v>1.6666666666666667</v>
      </c>
    </row>
    <row r="1630" spans="1:22" x14ac:dyDescent="0.2">
      <c r="A1630" s="46" t="s">
        <v>138</v>
      </c>
      <c r="B1630" s="46" t="s">
        <v>177</v>
      </c>
      <c r="C1630" s="46" t="s">
        <v>96</v>
      </c>
      <c r="D1630" s="46" t="s">
        <v>178</v>
      </c>
      <c r="E1630" s="46">
        <v>5</v>
      </c>
      <c r="F1630" s="46" t="s">
        <v>61</v>
      </c>
      <c r="G1630" s="46">
        <v>1</v>
      </c>
      <c r="H1630" s="47" t="s">
        <v>74</v>
      </c>
      <c r="I1630" s="47" t="s">
        <v>101</v>
      </c>
      <c r="J1630" s="48">
        <v>0</v>
      </c>
      <c r="K1630" s="48">
        <v>0</v>
      </c>
      <c r="R1630" s="46">
        <f t="shared" si="166"/>
        <v>0</v>
      </c>
      <c r="S1630" s="46">
        <f t="shared" si="167"/>
        <v>0</v>
      </c>
      <c r="T1630" s="46">
        <f t="shared" si="165"/>
        <v>0</v>
      </c>
      <c r="U1630" s="46">
        <f t="shared" si="168"/>
        <v>0</v>
      </c>
      <c r="V1630" s="54">
        <f t="shared" si="169"/>
        <v>1.6666666666666667</v>
      </c>
    </row>
    <row r="1631" spans="1:22" x14ac:dyDescent="0.2">
      <c r="A1631" s="46" t="s">
        <v>138</v>
      </c>
      <c r="B1631" s="46" t="s">
        <v>177</v>
      </c>
      <c r="C1631" s="46" t="s">
        <v>96</v>
      </c>
      <c r="D1631" s="46" t="s">
        <v>178</v>
      </c>
      <c r="E1631" s="46">
        <v>5</v>
      </c>
      <c r="F1631" s="46" t="s">
        <v>61</v>
      </c>
      <c r="G1631" s="46">
        <v>1</v>
      </c>
      <c r="H1631" s="47" t="s">
        <v>75</v>
      </c>
      <c r="I1631" s="47" t="s">
        <v>101</v>
      </c>
      <c r="J1631" s="48">
        <v>0</v>
      </c>
      <c r="K1631" s="48">
        <v>0</v>
      </c>
      <c r="R1631" s="46">
        <f t="shared" si="166"/>
        <v>0</v>
      </c>
      <c r="S1631" s="46">
        <f t="shared" si="167"/>
        <v>0</v>
      </c>
      <c r="T1631" s="46">
        <f t="shared" si="165"/>
        <v>0</v>
      </c>
      <c r="U1631" s="46">
        <f t="shared" si="168"/>
        <v>0</v>
      </c>
      <c r="V1631" s="54">
        <f t="shared" si="169"/>
        <v>1.6666666666666667</v>
      </c>
    </row>
    <row r="1632" spans="1:22" x14ac:dyDescent="0.2">
      <c r="A1632" s="46" t="s">
        <v>138</v>
      </c>
      <c r="B1632" s="46" t="s">
        <v>177</v>
      </c>
      <c r="C1632" s="46" t="s">
        <v>96</v>
      </c>
      <c r="D1632" s="46" t="s">
        <v>178</v>
      </c>
      <c r="E1632" s="46">
        <v>5</v>
      </c>
      <c r="F1632" s="46" t="s">
        <v>61</v>
      </c>
      <c r="G1632" s="46">
        <v>1</v>
      </c>
      <c r="H1632" s="47" t="s">
        <v>78</v>
      </c>
      <c r="I1632" s="47" t="s">
        <v>101</v>
      </c>
      <c r="J1632" s="48">
        <v>0</v>
      </c>
      <c r="K1632" s="48">
        <v>0</v>
      </c>
      <c r="R1632" s="46">
        <f t="shared" si="166"/>
        <v>0</v>
      </c>
      <c r="S1632" s="46">
        <f t="shared" si="167"/>
        <v>0</v>
      </c>
      <c r="U1632" s="46">
        <f t="shared" si="168"/>
        <v>0</v>
      </c>
      <c r="V1632" s="54">
        <f t="shared" si="169"/>
        <v>1.6666666666666667</v>
      </c>
    </row>
    <row r="1633" spans="1:22" x14ac:dyDescent="0.2">
      <c r="A1633" s="46" t="s">
        <v>138</v>
      </c>
      <c r="B1633" s="46" t="s">
        <v>177</v>
      </c>
      <c r="C1633" s="46" t="s">
        <v>96</v>
      </c>
      <c r="D1633" s="46" t="s">
        <v>178</v>
      </c>
      <c r="E1633" s="46">
        <v>5</v>
      </c>
      <c r="F1633" s="46" t="s">
        <v>61</v>
      </c>
      <c r="G1633" s="46">
        <v>1</v>
      </c>
      <c r="H1633" s="47" t="s">
        <v>78</v>
      </c>
      <c r="I1633" s="47" t="s">
        <v>101</v>
      </c>
      <c r="J1633" s="48">
        <v>0</v>
      </c>
      <c r="K1633" s="48">
        <v>0</v>
      </c>
      <c r="R1633" s="46">
        <f t="shared" si="166"/>
        <v>0</v>
      </c>
      <c r="S1633" s="46">
        <f t="shared" si="167"/>
        <v>0</v>
      </c>
      <c r="U1633" s="46">
        <f t="shared" si="168"/>
        <v>0</v>
      </c>
      <c r="V1633" s="54">
        <f t="shared" si="169"/>
        <v>1.6666666666666667</v>
      </c>
    </row>
    <row r="1634" spans="1:22" x14ac:dyDescent="0.2">
      <c r="A1634" s="46" t="s">
        <v>184</v>
      </c>
      <c r="B1634" s="46" t="s">
        <v>208</v>
      </c>
      <c r="C1634" s="46" t="s">
        <v>88</v>
      </c>
      <c r="D1634" s="46" t="s">
        <v>178</v>
      </c>
      <c r="E1634" s="46">
        <v>2</v>
      </c>
      <c r="F1634" s="46" t="s">
        <v>60</v>
      </c>
      <c r="G1634" s="46">
        <v>2</v>
      </c>
      <c r="H1634" s="47">
        <v>26</v>
      </c>
      <c r="I1634" s="47" t="s">
        <v>127</v>
      </c>
      <c r="J1634" s="48">
        <v>0</v>
      </c>
      <c r="K1634" s="48">
        <v>3</v>
      </c>
      <c r="R1634" s="46">
        <f t="shared" si="166"/>
        <v>0</v>
      </c>
      <c r="S1634" s="46">
        <f t="shared" si="167"/>
        <v>1</v>
      </c>
      <c r="T1634" s="46">
        <f t="shared" ref="T1634:T1665" si="170">quizscore(J1634,K1634)</f>
        <v>-20</v>
      </c>
      <c r="U1634" s="46">
        <f t="shared" si="168"/>
        <v>-20</v>
      </c>
      <c r="V1634" s="54">
        <f t="shared" si="169"/>
        <v>8.8333333333333339</v>
      </c>
    </row>
    <row r="1635" spans="1:22" x14ac:dyDescent="0.2">
      <c r="A1635" s="46" t="s">
        <v>184</v>
      </c>
      <c r="B1635" s="46" t="s">
        <v>208</v>
      </c>
      <c r="C1635" s="46" t="s">
        <v>88</v>
      </c>
      <c r="D1635" s="46" t="s">
        <v>178</v>
      </c>
      <c r="E1635" s="46">
        <v>4</v>
      </c>
      <c r="F1635" s="46" t="s">
        <v>60</v>
      </c>
      <c r="G1635" s="46">
        <v>3</v>
      </c>
      <c r="H1635" s="47">
        <v>47</v>
      </c>
      <c r="I1635" s="47" t="s">
        <v>159</v>
      </c>
      <c r="J1635" s="48">
        <v>0</v>
      </c>
      <c r="K1635" s="48">
        <v>3</v>
      </c>
      <c r="M1635" s="48">
        <v>1</v>
      </c>
      <c r="R1635" s="46">
        <f t="shared" si="166"/>
        <v>0</v>
      </c>
      <c r="S1635" s="46">
        <f t="shared" si="167"/>
        <v>1</v>
      </c>
      <c r="T1635" s="46">
        <f t="shared" si="170"/>
        <v>-20</v>
      </c>
      <c r="U1635" s="46">
        <f t="shared" si="168"/>
        <v>0</v>
      </c>
      <c r="V1635" s="54">
        <f t="shared" si="169"/>
        <v>8.8333333333333339</v>
      </c>
    </row>
    <row r="1636" spans="1:22" x14ac:dyDescent="0.2">
      <c r="A1636" s="46" t="s">
        <v>184</v>
      </c>
      <c r="B1636" s="46" t="s">
        <v>208</v>
      </c>
      <c r="C1636" s="46" t="s">
        <v>88</v>
      </c>
      <c r="D1636" s="46" t="s">
        <v>178</v>
      </c>
      <c r="E1636" s="46">
        <v>4</v>
      </c>
      <c r="F1636" s="46" t="s">
        <v>60</v>
      </c>
      <c r="G1636" s="46">
        <v>3</v>
      </c>
      <c r="H1636" s="47">
        <v>3</v>
      </c>
      <c r="I1636" s="47" t="s">
        <v>159</v>
      </c>
      <c r="J1636" s="48">
        <v>0</v>
      </c>
      <c r="K1636" s="48">
        <v>2</v>
      </c>
      <c r="R1636" s="46">
        <f t="shared" si="166"/>
        <v>0</v>
      </c>
      <c r="S1636" s="46">
        <f t="shared" si="167"/>
        <v>0</v>
      </c>
      <c r="T1636" s="46">
        <f t="shared" si="170"/>
        <v>-10</v>
      </c>
      <c r="U1636" s="46">
        <f t="shared" si="168"/>
        <v>-10</v>
      </c>
      <c r="V1636" s="54">
        <f t="shared" si="169"/>
        <v>8.8333333333333339</v>
      </c>
    </row>
    <row r="1637" spans="1:22" x14ac:dyDescent="0.2">
      <c r="A1637" s="46" t="s">
        <v>184</v>
      </c>
      <c r="B1637" s="46" t="s">
        <v>208</v>
      </c>
      <c r="C1637" s="46" t="s">
        <v>88</v>
      </c>
      <c r="D1637" s="46" t="s">
        <v>178</v>
      </c>
      <c r="E1637" s="46">
        <v>1</v>
      </c>
      <c r="F1637" s="46" t="s">
        <v>60</v>
      </c>
      <c r="G1637" s="46">
        <v>2</v>
      </c>
      <c r="H1637" s="47">
        <v>6</v>
      </c>
      <c r="I1637" s="47" t="s">
        <v>127</v>
      </c>
      <c r="J1637" s="48">
        <v>0</v>
      </c>
      <c r="K1637" s="48">
        <v>2</v>
      </c>
      <c r="R1637" s="46">
        <f t="shared" si="166"/>
        <v>0</v>
      </c>
      <c r="S1637" s="46">
        <f t="shared" si="167"/>
        <v>0</v>
      </c>
      <c r="T1637" s="46">
        <f t="shared" si="170"/>
        <v>-10</v>
      </c>
      <c r="U1637" s="46">
        <f t="shared" si="168"/>
        <v>-10</v>
      </c>
      <c r="V1637" s="54">
        <f t="shared" si="169"/>
        <v>8.8333333333333339</v>
      </c>
    </row>
    <row r="1638" spans="1:22" x14ac:dyDescent="0.2">
      <c r="A1638" s="46" t="s">
        <v>184</v>
      </c>
      <c r="B1638" s="46" t="s">
        <v>208</v>
      </c>
      <c r="C1638" s="46" t="s">
        <v>88</v>
      </c>
      <c r="D1638" s="46" t="s">
        <v>178</v>
      </c>
      <c r="E1638" s="46">
        <v>2</v>
      </c>
      <c r="F1638" s="46" t="s">
        <v>60</v>
      </c>
      <c r="G1638" s="46">
        <v>3</v>
      </c>
      <c r="H1638" s="47">
        <v>43</v>
      </c>
      <c r="I1638" s="47" t="s">
        <v>116</v>
      </c>
      <c r="J1638" s="48">
        <v>0</v>
      </c>
      <c r="K1638" s="48">
        <v>2</v>
      </c>
      <c r="R1638" s="46">
        <f t="shared" si="166"/>
        <v>0</v>
      </c>
      <c r="S1638" s="46">
        <f t="shared" si="167"/>
        <v>0</v>
      </c>
      <c r="T1638" s="46">
        <f t="shared" si="170"/>
        <v>-10</v>
      </c>
      <c r="U1638" s="46">
        <f t="shared" si="168"/>
        <v>-10</v>
      </c>
      <c r="V1638" s="54">
        <f t="shared" si="169"/>
        <v>8.8333333333333339</v>
      </c>
    </row>
    <row r="1639" spans="1:22" x14ac:dyDescent="0.2">
      <c r="A1639" s="46" t="s">
        <v>184</v>
      </c>
      <c r="B1639" s="46" t="s">
        <v>208</v>
      </c>
      <c r="C1639" s="46" t="s">
        <v>88</v>
      </c>
      <c r="D1639" s="46" t="s">
        <v>178</v>
      </c>
      <c r="E1639" s="46">
        <v>3</v>
      </c>
      <c r="F1639" s="46" t="s">
        <v>62</v>
      </c>
      <c r="G1639" s="46">
        <v>2</v>
      </c>
      <c r="H1639" s="47" t="s">
        <v>83</v>
      </c>
      <c r="I1639" s="47" t="s">
        <v>127</v>
      </c>
      <c r="J1639" s="48">
        <v>0</v>
      </c>
      <c r="K1639" s="48">
        <v>2</v>
      </c>
      <c r="R1639" s="46">
        <f t="shared" si="166"/>
        <v>0</v>
      </c>
      <c r="S1639" s="46">
        <f t="shared" si="167"/>
        <v>0</v>
      </c>
      <c r="T1639" s="46">
        <f t="shared" si="170"/>
        <v>-10</v>
      </c>
      <c r="U1639" s="46">
        <f t="shared" si="168"/>
        <v>-10</v>
      </c>
      <c r="V1639" s="54">
        <f t="shared" si="169"/>
        <v>8.8333333333333339</v>
      </c>
    </row>
    <row r="1640" spans="1:22" x14ac:dyDescent="0.2">
      <c r="A1640" s="46" t="s">
        <v>184</v>
      </c>
      <c r="B1640" s="46" t="s">
        <v>208</v>
      </c>
      <c r="C1640" s="46" t="s">
        <v>88</v>
      </c>
      <c r="D1640" s="46" t="s">
        <v>178</v>
      </c>
      <c r="E1640" s="46">
        <v>2</v>
      </c>
      <c r="F1640" s="46" t="s">
        <v>60</v>
      </c>
      <c r="G1640" s="46">
        <v>4</v>
      </c>
      <c r="H1640" s="47">
        <v>4</v>
      </c>
      <c r="I1640" s="47" t="s">
        <v>102</v>
      </c>
      <c r="J1640" s="48">
        <v>0</v>
      </c>
      <c r="K1640" s="48">
        <v>0</v>
      </c>
      <c r="M1640" s="48">
        <v>1</v>
      </c>
      <c r="R1640" s="46">
        <f t="shared" si="166"/>
        <v>0</v>
      </c>
      <c r="S1640" s="46">
        <f t="shared" si="167"/>
        <v>0</v>
      </c>
      <c r="T1640" s="46">
        <f t="shared" si="170"/>
        <v>0</v>
      </c>
      <c r="U1640" s="46">
        <f t="shared" si="168"/>
        <v>20</v>
      </c>
      <c r="V1640" s="54">
        <f t="shared" si="169"/>
        <v>8.8333333333333339</v>
      </c>
    </row>
    <row r="1641" spans="1:22" x14ac:dyDescent="0.2">
      <c r="A1641" s="46" t="s">
        <v>184</v>
      </c>
      <c r="B1641" s="46" t="s">
        <v>208</v>
      </c>
      <c r="C1641" s="46" t="s">
        <v>88</v>
      </c>
      <c r="D1641" s="46" t="s">
        <v>178</v>
      </c>
      <c r="E1641" s="46">
        <v>3</v>
      </c>
      <c r="F1641" s="46" t="s">
        <v>60</v>
      </c>
      <c r="G1641" s="46">
        <v>1</v>
      </c>
      <c r="H1641" s="47">
        <v>5</v>
      </c>
      <c r="I1641" s="47" t="s">
        <v>101</v>
      </c>
      <c r="J1641" s="48">
        <v>0</v>
      </c>
      <c r="K1641" s="48">
        <v>0</v>
      </c>
      <c r="M1641" s="48">
        <v>1</v>
      </c>
      <c r="N1641" s="48">
        <v>1</v>
      </c>
      <c r="R1641" s="46">
        <f t="shared" si="166"/>
        <v>0</v>
      </c>
      <c r="S1641" s="46">
        <f t="shared" si="167"/>
        <v>0</v>
      </c>
      <c r="T1641" s="46">
        <f t="shared" si="170"/>
        <v>0</v>
      </c>
      <c r="U1641" s="46">
        <f t="shared" si="168"/>
        <v>15</v>
      </c>
      <c r="V1641" s="54">
        <f t="shared" si="169"/>
        <v>8.8333333333333339</v>
      </c>
    </row>
    <row r="1642" spans="1:22" x14ac:dyDescent="0.2">
      <c r="A1642" s="46" t="s">
        <v>184</v>
      </c>
      <c r="B1642" s="46" t="s">
        <v>208</v>
      </c>
      <c r="C1642" s="46" t="s">
        <v>88</v>
      </c>
      <c r="D1642" s="46" t="s">
        <v>178</v>
      </c>
      <c r="E1642" s="46">
        <v>2</v>
      </c>
      <c r="F1642" s="46" t="s">
        <v>60</v>
      </c>
      <c r="G1642" s="46">
        <v>2</v>
      </c>
      <c r="H1642" s="47">
        <v>10</v>
      </c>
      <c r="I1642" s="47" t="s">
        <v>127</v>
      </c>
      <c r="J1642" s="48">
        <v>0</v>
      </c>
      <c r="K1642" s="48">
        <v>1</v>
      </c>
      <c r="R1642" s="46">
        <f t="shared" si="166"/>
        <v>0</v>
      </c>
      <c r="S1642" s="46">
        <f t="shared" si="167"/>
        <v>0</v>
      </c>
      <c r="T1642" s="46">
        <f t="shared" si="170"/>
        <v>0</v>
      </c>
      <c r="U1642" s="46">
        <f t="shared" si="168"/>
        <v>0</v>
      </c>
      <c r="V1642" s="54">
        <f t="shared" si="169"/>
        <v>8.8333333333333339</v>
      </c>
    </row>
    <row r="1643" spans="1:22" x14ac:dyDescent="0.2">
      <c r="A1643" s="46" t="s">
        <v>184</v>
      </c>
      <c r="B1643" s="46" t="s">
        <v>208</v>
      </c>
      <c r="C1643" s="46" t="s">
        <v>88</v>
      </c>
      <c r="D1643" s="46" t="s">
        <v>178</v>
      </c>
      <c r="E1643" s="46">
        <v>1</v>
      </c>
      <c r="F1643" s="46" t="s">
        <v>60</v>
      </c>
      <c r="G1643" s="46">
        <v>1</v>
      </c>
      <c r="H1643" s="47">
        <v>13</v>
      </c>
      <c r="I1643" s="47" t="s">
        <v>101</v>
      </c>
      <c r="J1643" s="48">
        <v>0</v>
      </c>
      <c r="K1643" s="48">
        <v>0</v>
      </c>
      <c r="R1643" s="46">
        <f t="shared" si="166"/>
        <v>0</v>
      </c>
      <c r="S1643" s="46">
        <f t="shared" si="167"/>
        <v>0</v>
      </c>
      <c r="T1643" s="46">
        <f t="shared" si="170"/>
        <v>0</v>
      </c>
      <c r="U1643" s="46">
        <f t="shared" si="168"/>
        <v>0</v>
      </c>
      <c r="V1643" s="54">
        <f t="shared" si="169"/>
        <v>8.8333333333333339</v>
      </c>
    </row>
    <row r="1644" spans="1:22" x14ac:dyDescent="0.2">
      <c r="A1644" s="46" t="s">
        <v>184</v>
      </c>
      <c r="B1644" s="46" t="s">
        <v>208</v>
      </c>
      <c r="C1644" s="46" t="s">
        <v>88</v>
      </c>
      <c r="D1644" s="46" t="s">
        <v>178</v>
      </c>
      <c r="E1644" s="46">
        <v>2</v>
      </c>
      <c r="F1644" s="46" t="s">
        <v>60</v>
      </c>
      <c r="G1644" s="46">
        <v>1</v>
      </c>
      <c r="H1644" s="47">
        <v>13</v>
      </c>
      <c r="I1644" s="47" t="s">
        <v>101</v>
      </c>
      <c r="J1644" s="48">
        <v>0</v>
      </c>
      <c r="K1644" s="48">
        <v>0</v>
      </c>
      <c r="R1644" s="46">
        <f t="shared" si="166"/>
        <v>0</v>
      </c>
      <c r="S1644" s="46">
        <f t="shared" si="167"/>
        <v>0</v>
      </c>
      <c r="T1644" s="46">
        <f t="shared" si="170"/>
        <v>0</v>
      </c>
      <c r="U1644" s="46">
        <f t="shared" si="168"/>
        <v>0</v>
      </c>
      <c r="V1644" s="54">
        <f t="shared" si="169"/>
        <v>8.8333333333333339</v>
      </c>
    </row>
    <row r="1645" spans="1:22" x14ac:dyDescent="0.2">
      <c r="A1645" s="46" t="s">
        <v>184</v>
      </c>
      <c r="B1645" s="46" t="s">
        <v>208</v>
      </c>
      <c r="C1645" s="46" t="s">
        <v>88</v>
      </c>
      <c r="D1645" s="46" t="s">
        <v>178</v>
      </c>
      <c r="E1645" s="46">
        <v>1</v>
      </c>
      <c r="F1645" s="46" t="s">
        <v>60</v>
      </c>
      <c r="G1645" s="46">
        <v>1</v>
      </c>
      <c r="H1645" s="47">
        <v>17</v>
      </c>
      <c r="I1645" s="47" t="s">
        <v>101</v>
      </c>
      <c r="J1645" s="48">
        <v>0</v>
      </c>
      <c r="K1645" s="48">
        <v>0</v>
      </c>
      <c r="R1645" s="46">
        <f t="shared" si="166"/>
        <v>0</v>
      </c>
      <c r="S1645" s="46">
        <f t="shared" si="167"/>
        <v>0</v>
      </c>
      <c r="T1645" s="46">
        <f t="shared" si="170"/>
        <v>0</v>
      </c>
      <c r="U1645" s="46">
        <f t="shared" si="168"/>
        <v>0</v>
      </c>
      <c r="V1645" s="54">
        <f t="shared" si="169"/>
        <v>8.8333333333333339</v>
      </c>
    </row>
    <row r="1646" spans="1:22" x14ac:dyDescent="0.2">
      <c r="A1646" s="46" t="s">
        <v>184</v>
      </c>
      <c r="B1646" s="46" t="s">
        <v>208</v>
      </c>
      <c r="C1646" s="46" t="s">
        <v>88</v>
      </c>
      <c r="D1646" s="46" t="s">
        <v>178</v>
      </c>
      <c r="E1646" s="46">
        <v>1</v>
      </c>
      <c r="F1646" s="46" t="s">
        <v>60</v>
      </c>
      <c r="G1646" s="46">
        <v>4</v>
      </c>
      <c r="H1646" s="47">
        <v>32</v>
      </c>
      <c r="I1646" s="47" t="s">
        <v>102</v>
      </c>
      <c r="J1646" s="48">
        <v>0</v>
      </c>
      <c r="K1646" s="48">
        <v>0</v>
      </c>
      <c r="R1646" s="46">
        <f t="shared" si="166"/>
        <v>0</v>
      </c>
      <c r="S1646" s="46">
        <f t="shared" si="167"/>
        <v>0</v>
      </c>
      <c r="T1646" s="46">
        <f t="shared" si="170"/>
        <v>0</v>
      </c>
      <c r="U1646" s="46">
        <f t="shared" si="168"/>
        <v>0</v>
      </c>
      <c r="V1646" s="54">
        <f t="shared" si="169"/>
        <v>8.8333333333333339</v>
      </c>
    </row>
    <row r="1647" spans="1:22" x14ac:dyDescent="0.2">
      <c r="A1647" s="46" t="s">
        <v>184</v>
      </c>
      <c r="B1647" s="46" t="s">
        <v>208</v>
      </c>
      <c r="C1647" s="46" t="s">
        <v>88</v>
      </c>
      <c r="D1647" s="46" t="s">
        <v>178</v>
      </c>
      <c r="E1647" s="46">
        <v>2</v>
      </c>
      <c r="F1647" s="46" t="s">
        <v>60</v>
      </c>
      <c r="G1647" s="46">
        <v>3</v>
      </c>
      <c r="H1647" s="47">
        <v>35</v>
      </c>
      <c r="I1647" s="47" t="s">
        <v>116</v>
      </c>
      <c r="J1647" s="48">
        <v>0</v>
      </c>
      <c r="K1647" s="48">
        <v>0</v>
      </c>
      <c r="M1647" s="48">
        <v>1</v>
      </c>
      <c r="R1647" s="46">
        <f t="shared" si="166"/>
        <v>0</v>
      </c>
      <c r="S1647" s="46">
        <f t="shared" si="167"/>
        <v>0</v>
      </c>
      <c r="T1647" s="46">
        <f t="shared" si="170"/>
        <v>0</v>
      </c>
      <c r="U1647" s="46">
        <f t="shared" si="168"/>
        <v>20</v>
      </c>
      <c r="V1647" s="54">
        <f t="shared" si="169"/>
        <v>8.8333333333333339</v>
      </c>
    </row>
    <row r="1648" spans="1:22" x14ac:dyDescent="0.2">
      <c r="A1648" s="46" t="s">
        <v>184</v>
      </c>
      <c r="B1648" s="46" t="s">
        <v>208</v>
      </c>
      <c r="C1648" s="46" t="s">
        <v>88</v>
      </c>
      <c r="D1648" s="46" t="s">
        <v>178</v>
      </c>
      <c r="E1648" s="46">
        <v>3</v>
      </c>
      <c r="F1648" s="46" t="s">
        <v>60</v>
      </c>
      <c r="G1648" s="46">
        <v>4</v>
      </c>
      <c r="H1648" s="47">
        <v>36</v>
      </c>
      <c r="I1648" s="47" t="s">
        <v>102</v>
      </c>
      <c r="J1648" s="48">
        <v>0</v>
      </c>
      <c r="K1648" s="48">
        <v>0</v>
      </c>
      <c r="R1648" s="46">
        <f t="shared" si="166"/>
        <v>0</v>
      </c>
      <c r="S1648" s="46">
        <f t="shared" si="167"/>
        <v>0</v>
      </c>
      <c r="T1648" s="46">
        <f t="shared" si="170"/>
        <v>0</v>
      </c>
      <c r="U1648" s="46">
        <f t="shared" si="168"/>
        <v>0</v>
      </c>
      <c r="V1648" s="54">
        <f t="shared" si="169"/>
        <v>8.8333333333333339</v>
      </c>
    </row>
    <row r="1649" spans="1:22" x14ac:dyDescent="0.2">
      <c r="A1649" s="46" t="s">
        <v>184</v>
      </c>
      <c r="B1649" s="46" t="s">
        <v>208</v>
      </c>
      <c r="C1649" s="46" t="s">
        <v>88</v>
      </c>
      <c r="D1649" s="46" t="s">
        <v>178</v>
      </c>
      <c r="E1649" s="46">
        <v>1</v>
      </c>
      <c r="F1649" s="46" t="s">
        <v>60</v>
      </c>
      <c r="G1649" s="46">
        <v>3</v>
      </c>
      <c r="H1649" s="47">
        <v>47</v>
      </c>
      <c r="I1649" s="47" t="s">
        <v>116</v>
      </c>
      <c r="J1649" s="48">
        <v>0</v>
      </c>
      <c r="K1649" s="48">
        <v>1</v>
      </c>
      <c r="R1649" s="46">
        <f t="shared" si="166"/>
        <v>0</v>
      </c>
      <c r="S1649" s="46">
        <f t="shared" si="167"/>
        <v>0</v>
      </c>
      <c r="T1649" s="46">
        <f t="shared" si="170"/>
        <v>0</v>
      </c>
      <c r="U1649" s="46">
        <f t="shared" si="168"/>
        <v>0</v>
      </c>
      <c r="V1649" s="54">
        <f t="shared" si="169"/>
        <v>8.8333333333333339</v>
      </c>
    </row>
    <row r="1650" spans="1:22" x14ac:dyDescent="0.2">
      <c r="A1650" s="46" t="s">
        <v>184</v>
      </c>
      <c r="B1650" s="46" t="s">
        <v>208</v>
      </c>
      <c r="C1650" s="46" t="s">
        <v>88</v>
      </c>
      <c r="D1650" s="46" t="s">
        <v>178</v>
      </c>
      <c r="E1650" s="46">
        <v>4</v>
      </c>
      <c r="F1650" s="46" t="s">
        <v>62</v>
      </c>
      <c r="G1650" s="46">
        <v>3</v>
      </c>
      <c r="H1650" s="47" t="s">
        <v>84</v>
      </c>
      <c r="I1650" s="47" t="s">
        <v>219</v>
      </c>
      <c r="J1650" s="48">
        <v>1</v>
      </c>
      <c r="K1650" s="48">
        <v>3</v>
      </c>
      <c r="R1650" s="46">
        <f t="shared" si="166"/>
        <v>0</v>
      </c>
      <c r="S1650" s="46">
        <f t="shared" si="167"/>
        <v>1</v>
      </c>
      <c r="T1650" s="46">
        <f t="shared" si="170"/>
        <v>0</v>
      </c>
      <c r="U1650" s="46">
        <f t="shared" si="168"/>
        <v>0</v>
      </c>
      <c r="V1650" s="54">
        <f t="shared" si="169"/>
        <v>8.8333333333333339</v>
      </c>
    </row>
    <row r="1651" spans="1:22" x14ac:dyDescent="0.2">
      <c r="A1651" s="46" t="s">
        <v>184</v>
      </c>
      <c r="B1651" s="46" t="s">
        <v>208</v>
      </c>
      <c r="C1651" s="46" t="s">
        <v>88</v>
      </c>
      <c r="D1651" s="46" t="s">
        <v>178</v>
      </c>
      <c r="E1651" s="46">
        <v>1</v>
      </c>
      <c r="F1651" s="46" t="s">
        <v>63</v>
      </c>
      <c r="G1651" s="46">
        <v>4</v>
      </c>
      <c r="H1651" s="47" t="s">
        <v>147</v>
      </c>
      <c r="I1651" s="47" t="s">
        <v>102</v>
      </c>
      <c r="J1651" s="48">
        <v>0</v>
      </c>
      <c r="K1651" s="48">
        <v>0</v>
      </c>
      <c r="R1651" s="46">
        <f t="shared" si="166"/>
        <v>0</v>
      </c>
      <c r="S1651" s="46">
        <f t="shared" si="167"/>
        <v>0</v>
      </c>
      <c r="T1651" s="46">
        <f t="shared" si="170"/>
        <v>0</v>
      </c>
      <c r="U1651" s="46">
        <f t="shared" si="168"/>
        <v>0</v>
      </c>
      <c r="V1651" s="54">
        <f t="shared" si="169"/>
        <v>8.8333333333333339</v>
      </c>
    </row>
    <row r="1652" spans="1:22" x14ac:dyDescent="0.2">
      <c r="A1652" s="46" t="s">
        <v>184</v>
      </c>
      <c r="B1652" s="46" t="s">
        <v>208</v>
      </c>
      <c r="C1652" s="46" t="s">
        <v>88</v>
      </c>
      <c r="D1652" s="46" t="s">
        <v>178</v>
      </c>
      <c r="E1652" s="46">
        <v>1</v>
      </c>
      <c r="F1652" s="46" t="s">
        <v>63</v>
      </c>
      <c r="G1652" s="46">
        <v>4</v>
      </c>
      <c r="H1652" s="47" t="s">
        <v>152</v>
      </c>
      <c r="I1652" s="47" t="s">
        <v>102</v>
      </c>
      <c r="J1652" s="48">
        <v>0</v>
      </c>
      <c r="K1652" s="48">
        <v>1</v>
      </c>
      <c r="R1652" s="46">
        <f t="shared" si="166"/>
        <v>0</v>
      </c>
      <c r="S1652" s="46">
        <f t="shared" si="167"/>
        <v>0</v>
      </c>
      <c r="T1652" s="46">
        <f t="shared" si="170"/>
        <v>0</v>
      </c>
      <c r="U1652" s="46">
        <f t="shared" si="168"/>
        <v>0</v>
      </c>
      <c r="V1652" s="54">
        <f t="shared" si="169"/>
        <v>8.8333333333333339</v>
      </c>
    </row>
    <row r="1653" spans="1:22" x14ac:dyDescent="0.2">
      <c r="A1653" s="46" t="s">
        <v>184</v>
      </c>
      <c r="B1653" s="46" t="s">
        <v>208</v>
      </c>
      <c r="C1653" s="46" t="s">
        <v>88</v>
      </c>
      <c r="D1653" s="46" t="s">
        <v>178</v>
      </c>
      <c r="E1653" s="46">
        <v>4</v>
      </c>
      <c r="F1653" s="46" t="s">
        <v>60</v>
      </c>
      <c r="G1653" s="46">
        <v>2</v>
      </c>
      <c r="H1653" s="47">
        <v>22</v>
      </c>
      <c r="I1653" s="47" t="s">
        <v>127</v>
      </c>
      <c r="J1653" s="48">
        <v>1</v>
      </c>
      <c r="K1653" s="48">
        <v>2</v>
      </c>
      <c r="L1653" s="48">
        <v>1</v>
      </c>
      <c r="R1653" s="46">
        <f t="shared" si="166"/>
        <v>0</v>
      </c>
      <c r="S1653" s="46">
        <f t="shared" si="167"/>
        <v>0</v>
      </c>
      <c r="T1653" s="46">
        <f t="shared" si="170"/>
        <v>10</v>
      </c>
      <c r="U1653" s="46">
        <f t="shared" si="168"/>
        <v>5</v>
      </c>
      <c r="V1653" s="54">
        <f t="shared" si="169"/>
        <v>8.8333333333333339</v>
      </c>
    </row>
    <row r="1654" spans="1:22" x14ac:dyDescent="0.2">
      <c r="A1654" s="46" t="s">
        <v>184</v>
      </c>
      <c r="B1654" s="46" t="s">
        <v>208</v>
      </c>
      <c r="C1654" s="46" t="s">
        <v>88</v>
      </c>
      <c r="D1654" s="46" t="s">
        <v>178</v>
      </c>
      <c r="E1654" s="46">
        <v>1</v>
      </c>
      <c r="F1654" s="46" t="s">
        <v>63</v>
      </c>
      <c r="G1654" s="46">
        <v>4</v>
      </c>
      <c r="H1654" s="47" t="s">
        <v>151</v>
      </c>
      <c r="I1654" s="47" t="s">
        <v>102</v>
      </c>
      <c r="J1654" s="48">
        <v>1</v>
      </c>
      <c r="K1654" s="48">
        <v>2</v>
      </c>
      <c r="R1654" s="46">
        <f t="shared" si="166"/>
        <v>0</v>
      </c>
      <c r="S1654" s="46">
        <f t="shared" si="167"/>
        <v>0</v>
      </c>
      <c r="T1654" s="46">
        <f t="shared" si="170"/>
        <v>10</v>
      </c>
      <c r="U1654" s="46">
        <f t="shared" si="168"/>
        <v>10</v>
      </c>
      <c r="V1654" s="54">
        <f t="shared" si="169"/>
        <v>8.8333333333333339</v>
      </c>
    </row>
    <row r="1655" spans="1:22" x14ac:dyDescent="0.2">
      <c r="A1655" s="46" t="s">
        <v>184</v>
      </c>
      <c r="B1655" s="46" t="s">
        <v>208</v>
      </c>
      <c r="C1655" s="46" t="s">
        <v>88</v>
      </c>
      <c r="D1655" s="46" t="s">
        <v>178</v>
      </c>
      <c r="E1655" s="46">
        <v>3</v>
      </c>
      <c r="F1655" s="46" t="s">
        <v>60</v>
      </c>
      <c r="G1655" s="46">
        <v>2</v>
      </c>
      <c r="H1655" s="47">
        <v>14</v>
      </c>
      <c r="I1655" s="47" t="s">
        <v>127</v>
      </c>
      <c r="J1655" s="48">
        <v>1</v>
      </c>
      <c r="K1655" s="48">
        <v>1</v>
      </c>
      <c r="M1655" s="48">
        <v>1</v>
      </c>
      <c r="R1655" s="46">
        <f t="shared" si="166"/>
        <v>0</v>
      </c>
      <c r="S1655" s="46">
        <f t="shared" si="167"/>
        <v>0</v>
      </c>
      <c r="T1655" s="46">
        <f t="shared" si="170"/>
        <v>20</v>
      </c>
      <c r="U1655" s="46">
        <f t="shared" si="168"/>
        <v>40</v>
      </c>
      <c r="V1655" s="54">
        <f t="shared" si="169"/>
        <v>8.8333333333333339</v>
      </c>
    </row>
    <row r="1656" spans="1:22" x14ac:dyDescent="0.2">
      <c r="A1656" s="46" t="s">
        <v>184</v>
      </c>
      <c r="B1656" s="46" t="s">
        <v>208</v>
      </c>
      <c r="C1656" s="46" t="s">
        <v>88</v>
      </c>
      <c r="D1656" s="46" t="s">
        <v>178</v>
      </c>
      <c r="E1656" s="46">
        <v>4</v>
      </c>
      <c r="F1656" s="46" t="s">
        <v>60</v>
      </c>
      <c r="G1656" s="46">
        <v>2</v>
      </c>
      <c r="H1656" s="47">
        <v>14</v>
      </c>
      <c r="I1656" s="47" t="s">
        <v>127</v>
      </c>
      <c r="J1656" s="48">
        <v>1</v>
      </c>
      <c r="K1656" s="48">
        <v>0</v>
      </c>
      <c r="M1656" s="48">
        <v>1</v>
      </c>
      <c r="R1656" s="46">
        <f t="shared" si="166"/>
        <v>0</v>
      </c>
      <c r="S1656" s="46">
        <f t="shared" si="167"/>
        <v>0</v>
      </c>
      <c r="T1656" s="46">
        <f t="shared" si="170"/>
        <v>20</v>
      </c>
      <c r="U1656" s="46">
        <f t="shared" si="168"/>
        <v>40</v>
      </c>
      <c r="V1656" s="54">
        <f t="shared" si="169"/>
        <v>8.8333333333333339</v>
      </c>
    </row>
    <row r="1657" spans="1:22" x14ac:dyDescent="0.2">
      <c r="A1657" s="46" t="s">
        <v>184</v>
      </c>
      <c r="B1657" s="46" t="s">
        <v>208</v>
      </c>
      <c r="C1657" s="46" t="s">
        <v>88</v>
      </c>
      <c r="D1657" s="46" t="s">
        <v>178</v>
      </c>
      <c r="E1657" s="46">
        <v>3</v>
      </c>
      <c r="F1657" s="46" t="s">
        <v>60</v>
      </c>
      <c r="G1657" s="46">
        <v>4</v>
      </c>
      <c r="H1657" s="47">
        <v>32</v>
      </c>
      <c r="I1657" s="47" t="s">
        <v>102</v>
      </c>
      <c r="J1657" s="48">
        <v>1</v>
      </c>
      <c r="K1657" s="48">
        <v>0</v>
      </c>
      <c r="O1657" s="48">
        <v>1</v>
      </c>
      <c r="R1657" s="46">
        <f t="shared" si="166"/>
        <v>0</v>
      </c>
      <c r="S1657" s="46">
        <f t="shared" si="167"/>
        <v>0</v>
      </c>
      <c r="T1657" s="46">
        <f t="shared" si="170"/>
        <v>20</v>
      </c>
      <c r="U1657" s="46">
        <f t="shared" si="168"/>
        <v>30</v>
      </c>
      <c r="V1657" s="54">
        <f t="shared" si="169"/>
        <v>8.8333333333333339</v>
      </c>
    </row>
    <row r="1658" spans="1:22" x14ac:dyDescent="0.2">
      <c r="A1658" s="46" t="s">
        <v>184</v>
      </c>
      <c r="B1658" s="46" t="s">
        <v>208</v>
      </c>
      <c r="C1658" s="46" t="s">
        <v>88</v>
      </c>
      <c r="D1658" s="46" t="s">
        <v>178</v>
      </c>
      <c r="E1658" s="46">
        <v>3</v>
      </c>
      <c r="F1658" s="46" t="s">
        <v>62</v>
      </c>
      <c r="G1658" s="46">
        <v>3</v>
      </c>
      <c r="H1658" s="47" t="s">
        <v>80</v>
      </c>
      <c r="I1658" s="47" t="s">
        <v>116</v>
      </c>
      <c r="J1658" s="48">
        <v>1</v>
      </c>
      <c r="K1658" s="48">
        <v>1</v>
      </c>
      <c r="R1658" s="46">
        <f t="shared" si="166"/>
        <v>0</v>
      </c>
      <c r="S1658" s="46">
        <f t="shared" si="167"/>
        <v>0</v>
      </c>
      <c r="T1658" s="46">
        <f t="shared" si="170"/>
        <v>20</v>
      </c>
      <c r="U1658" s="46">
        <f t="shared" si="168"/>
        <v>20</v>
      </c>
      <c r="V1658" s="54">
        <f t="shared" si="169"/>
        <v>8.8333333333333339</v>
      </c>
    </row>
    <row r="1659" spans="1:22" x14ac:dyDescent="0.2">
      <c r="A1659" s="46" t="s">
        <v>184</v>
      </c>
      <c r="B1659" s="46" t="s">
        <v>208</v>
      </c>
      <c r="C1659" s="46" t="s">
        <v>88</v>
      </c>
      <c r="D1659" s="46" t="s">
        <v>178</v>
      </c>
      <c r="E1659" s="46">
        <v>3</v>
      </c>
      <c r="F1659" s="46" t="s">
        <v>62</v>
      </c>
      <c r="G1659" s="46">
        <v>2</v>
      </c>
      <c r="H1659" s="47" t="s">
        <v>82</v>
      </c>
      <c r="I1659" s="47" t="s">
        <v>127</v>
      </c>
      <c r="J1659" s="48">
        <v>1</v>
      </c>
      <c r="K1659" s="48">
        <v>1</v>
      </c>
      <c r="R1659" s="46">
        <f t="shared" si="166"/>
        <v>0</v>
      </c>
      <c r="S1659" s="46">
        <f t="shared" si="167"/>
        <v>0</v>
      </c>
      <c r="T1659" s="46">
        <f t="shared" si="170"/>
        <v>20</v>
      </c>
      <c r="U1659" s="46">
        <f t="shared" si="168"/>
        <v>20</v>
      </c>
      <c r="V1659" s="54">
        <f t="shared" si="169"/>
        <v>8.8333333333333339</v>
      </c>
    </row>
    <row r="1660" spans="1:22" x14ac:dyDescent="0.2">
      <c r="A1660" s="46" t="s">
        <v>184</v>
      </c>
      <c r="B1660" s="46" t="s">
        <v>208</v>
      </c>
      <c r="C1660" s="46" t="s">
        <v>88</v>
      </c>
      <c r="D1660" s="46" t="s">
        <v>178</v>
      </c>
      <c r="E1660" s="46">
        <v>3</v>
      </c>
      <c r="F1660" s="46" t="s">
        <v>62</v>
      </c>
      <c r="G1660" s="46">
        <v>2</v>
      </c>
      <c r="H1660" s="47" t="s">
        <v>86</v>
      </c>
      <c r="I1660" s="47" t="s">
        <v>127</v>
      </c>
      <c r="J1660" s="48">
        <v>2</v>
      </c>
      <c r="K1660" s="48">
        <v>3</v>
      </c>
      <c r="O1660" s="48">
        <v>1</v>
      </c>
      <c r="R1660" s="46">
        <f t="shared" si="166"/>
        <v>0</v>
      </c>
      <c r="S1660" s="46">
        <f t="shared" si="167"/>
        <v>1</v>
      </c>
      <c r="T1660" s="46">
        <f t="shared" si="170"/>
        <v>20</v>
      </c>
      <c r="U1660" s="46">
        <f t="shared" si="168"/>
        <v>30</v>
      </c>
      <c r="V1660" s="54">
        <f t="shared" si="169"/>
        <v>8.8333333333333339</v>
      </c>
    </row>
    <row r="1661" spans="1:22" x14ac:dyDescent="0.2">
      <c r="A1661" s="46" t="s">
        <v>184</v>
      </c>
      <c r="B1661" s="46" t="s">
        <v>208</v>
      </c>
      <c r="C1661" s="46" t="s">
        <v>88</v>
      </c>
      <c r="D1661" s="46" t="s">
        <v>178</v>
      </c>
      <c r="E1661" s="46">
        <v>4</v>
      </c>
      <c r="F1661" s="46" t="s">
        <v>62</v>
      </c>
      <c r="G1661" s="46">
        <v>3</v>
      </c>
      <c r="H1661" s="47" t="s">
        <v>87</v>
      </c>
      <c r="I1661" s="47" t="s">
        <v>219</v>
      </c>
      <c r="J1661" s="48">
        <v>2</v>
      </c>
      <c r="K1661" s="48">
        <v>3</v>
      </c>
      <c r="R1661" s="46">
        <f t="shared" si="166"/>
        <v>0</v>
      </c>
      <c r="S1661" s="46">
        <f t="shared" si="167"/>
        <v>1</v>
      </c>
      <c r="T1661" s="46">
        <f t="shared" si="170"/>
        <v>20</v>
      </c>
      <c r="U1661" s="46">
        <f t="shared" si="168"/>
        <v>20</v>
      </c>
      <c r="V1661" s="54">
        <f t="shared" si="169"/>
        <v>8.8333333333333339</v>
      </c>
    </row>
    <row r="1662" spans="1:22" x14ac:dyDescent="0.2">
      <c r="A1662" s="46" t="s">
        <v>184</v>
      </c>
      <c r="B1662" s="46" t="s">
        <v>208</v>
      </c>
      <c r="C1662" s="46" t="s">
        <v>88</v>
      </c>
      <c r="D1662" s="46" t="s">
        <v>178</v>
      </c>
      <c r="E1662" s="46">
        <v>2</v>
      </c>
      <c r="F1662" s="46" t="s">
        <v>63</v>
      </c>
      <c r="G1662" s="46">
        <v>4</v>
      </c>
      <c r="H1662" s="47" t="s">
        <v>148</v>
      </c>
      <c r="I1662" s="47" t="s">
        <v>102</v>
      </c>
      <c r="J1662" s="48">
        <v>1</v>
      </c>
      <c r="K1662" s="48">
        <v>0</v>
      </c>
      <c r="R1662" s="46">
        <f t="shared" si="166"/>
        <v>0</v>
      </c>
      <c r="S1662" s="46">
        <f t="shared" si="167"/>
        <v>0</v>
      </c>
      <c r="T1662" s="46">
        <f t="shared" si="170"/>
        <v>20</v>
      </c>
      <c r="U1662" s="46">
        <f t="shared" si="168"/>
        <v>20</v>
      </c>
      <c r="V1662" s="54">
        <f t="shared" si="169"/>
        <v>8.8333333333333339</v>
      </c>
    </row>
    <row r="1663" spans="1:22" x14ac:dyDescent="0.2">
      <c r="A1663" s="46" t="s">
        <v>184</v>
      </c>
      <c r="B1663" s="46" t="s">
        <v>208</v>
      </c>
      <c r="C1663" s="46" t="s">
        <v>88</v>
      </c>
      <c r="D1663" s="46" t="s">
        <v>178</v>
      </c>
      <c r="E1663" s="46">
        <v>2</v>
      </c>
      <c r="F1663" s="46" t="s">
        <v>63</v>
      </c>
      <c r="G1663" s="46">
        <v>4</v>
      </c>
      <c r="H1663" s="47" t="s">
        <v>151</v>
      </c>
      <c r="I1663" s="47" t="s">
        <v>102</v>
      </c>
      <c r="J1663" s="48">
        <v>1</v>
      </c>
      <c r="K1663" s="48">
        <v>0</v>
      </c>
      <c r="R1663" s="46">
        <f t="shared" si="166"/>
        <v>0</v>
      </c>
      <c r="S1663" s="46">
        <f t="shared" si="167"/>
        <v>0</v>
      </c>
      <c r="T1663" s="46">
        <f t="shared" si="170"/>
        <v>20</v>
      </c>
      <c r="U1663" s="46">
        <f t="shared" si="168"/>
        <v>20</v>
      </c>
      <c r="V1663" s="54">
        <f t="shared" si="169"/>
        <v>8.8333333333333339</v>
      </c>
    </row>
    <row r="1664" spans="1:22" x14ac:dyDescent="0.2">
      <c r="A1664" s="46" t="s">
        <v>184</v>
      </c>
      <c r="B1664" s="46" t="s">
        <v>208</v>
      </c>
      <c r="C1664" s="46" t="s">
        <v>88</v>
      </c>
      <c r="D1664" s="46" t="s">
        <v>178</v>
      </c>
      <c r="E1664" s="46">
        <v>4</v>
      </c>
      <c r="F1664" s="46" t="s">
        <v>60</v>
      </c>
      <c r="G1664" s="46">
        <v>1</v>
      </c>
      <c r="H1664" s="47">
        <v>37</v>
      </c>
      <c r="I1664" s="47" t="s">
        <v>101</v>
      </c>
      <c r="J1664" s="48">
        <v>2</v>
      </c>
      <c r="K1664" s="48">
        <v>2</v>
      </c>
      <c r="R1664" s="46">
        <f t="shared" si="166"/>
        <v>0</v>
      </c>
      <c r="S1664" s="46">
        <f t="shared" si="167"/>
        <v>0</v>
      </c>
      <c r="T1664" s="46">
        <f t="shared" si="170"/>
        <v>30</v>
      </c>
      <c r="U1664" s="46">
        <f t="shared" si="168"/>
        <v>30</v>
      </c>
      <c r="V1664" s="54">
        <f t="shared" si="169"/>
        <v>8.8333333333333339</v>
      </c>
    </row>
    <row r="1665" spans="1:22" x14ac:dyDescent="0.2">
      <c r="A1665" s="46" t="s">
        <v>184</v>
      </c>
      <c r="B1665" s="46" t="s">
        <v>208</v>
      </c>
      <c r="C1665" s="46" t="s">
        <v>88</v>
      </c>
      <c r="D1665" s="46" t="s">
        <v>178</v>
      </c>
      <c r="E1665" s="46">
        <v>3</v>
      </c>
      <c r="F1665" s="46" t="s">
        <v>60</v>
      </c>
      <c r="G1665" s="46">
        <v>3</v>
      </c>
      <c r="H1665" s="47">
        <v>43</v>
      </c>
      <c r="I1665" s="47" t="s">
        <v>116</v>
      </c>
      <c r="J1665" s="48">
        <v>2</v>
      </c>
      <c r="K1665" s="48">
        <v>2</v>
      </c>
      <c r="R1665" s="46">
        <f t="shared" si="166"/>
        <v>0</v>
      </c>
      <c r="S1665" s="46">
        <f t="shared" si="167"/>
        <v>0</v>
      </c>
      <c r="T1665" s="46">
        <f t="shared" si="170"/>
        <v>30</v>
      </c>
      <c r="U1665" s="46">
        <f t="shared" si="168"/>
        <v>30</v>
      </c>
      <c r="V1665" s="54">
        <f t="shared" si="169"/>
        <v>8.8333333333333339</v>
      </c>
    </row>
    <row r="1666" spans="1:22" x14ac:dyDescent="0.2">
      <c r="A1666" s="46" t="s">
        <v>184</v>
      </c>
      <c r="B1666" s="46" t="s">
        <v>208</v>
      </c>
      <c r="C1666" s="46" t="s">
        <v>88</v>
      </c>
      <c r="D1666" s="46" t="s">
        <v>178</v>
      </c>
      <c r="E1666" s="46">
        <v>2</v>
      </c>
      <c r="F1666" s="46" t="s">
        <v>63</v>
      </c>
      <c r="G1666" s="46">
        <v>4</v>
      </c>
      <c r="H1666" s="47" t="s">
        <v>172</v>
      </c>
      <c r="I1666" s="47" t="s">
        <v>102</v>
      </c>
      <c r="J1666" s="48">
        <v>2</v>
      </c>
      <c r="K1666" s="48">
        <v>2</v>
      </c>
      <c r="R1666" s="46">
        <f t="shared" ref="R1666:R1729" si="171">IF(J1666=4,1,0)</f>
        <v>0</v>
      </c>
      <c r="S1666" s="46">
        <f t="shared" ref="S1666:S1729" si="172">IF(K1666=3,1,0)</f>
        <v>0</v>
      </c>
      <c r="T1666" s="46">
        <f t="shared" ref="T1666:T1697" si="173">quizscore(J1666,K1666)</f>
        <v>30</v>
      </c>
      <c r="U1666" s="46">
        <f t="shared" ref="U1666:U1729" si="174">T1666+M1666*(20) + (SUM(O1666:Q1666)*(10)) - L1666*(5) - N1666*(5)</f>
        <v>30</v>
      </c>
      <c r="V1666" s="54">
        <f t="shared" ref="V1666:V1729" si="175">AVERAGEIFS(U:U,A:A,A1666,F:F,"Pre")</f>
        <v>8.8333333333333339</v>
      </c>
    </row>
    <row r="1667" spans="1:22" x14ac:dyDescent="0.2">
      <c r="A1667" s="46" t="s">
        <v>184</v>
      </c>
      <c r="B1667" s="46" t="s">
        <v>208</v>
      </c>
      <c r="C1667" s="46" t="s">
        <v>88</v>
      </c>
      <c r="D1667" s="46" t="s">
        <v>178</v>
      </c>
      <c r="E1667" s="46">
        <v>3</v>
      </c>
      <c r="F1667" s="46" t="s">
        <v>60</v>
      </c>
      <c r="G1667" s="46">
        <v>3</v>
      </c>
      <c r="H1667" s="47">
        <v>23</v>
      </c>
      <c r="I1667" s="47" t="s">
        <v>116</v>
      </c>
      <c r="J1667" s="48">
        <v>2</v>
      </c>
      <c r="K1667" s="48">
        <v>1</v>
      </c>
      <c r="R1667" s="46">
        <f t="shared" si="171"/>
        <v>0</v>
      </c>
      <c r="S1667" s="46">
        <f t="shared" si="172"/>
        <v>0</v>
      </c>
      <c r="T1667" s="46">
        <f t="shared" si="173"/>
        <v>40</v>
      </c>
      <c r="U1667" s="46">
        <f t="shared" si="174"/>
        <v>40</v>
      </c>
      <c r="V1667" s="54">
        <f t="shared" si="175"/>
        <v>8.8333333333333339</v>
      </c>
    </row>
    <row r="1668" spans="1:22" x14ac:dyDescent="0.2">
      <c r="A1668" s="46" t="s">
        <v>184</v>
      </c>
      <c r="B1668" s="46" t="s">
        <v>208</v>
      </c>
      <c r="C1668" s="46" t="s">
        <v>88</v>
      </c>
      <c r="D1668" s="46" t="s">
        <v>178</v>
      </c>
      <c r="E1668" s="46">
        <v>4</v>
      </c>
      <c r="F1668" s="46" t="s">
        <v>60</v>
      </c>
      <c r="G1668" s="46">
        <v>4</v>
      </c>
      <c r="H1668" s="47">
        <v>32</v>
      </c>
      <c r="I1668" s="47" t="s">
        <v>102</v>
      </c>
      <c r="J1668" s="48">
        <v>2</v>
      </c>
      <c r="K1668" s="48">
        <v>1</v>
      </c>
      <c r="O1668" s="48">
        <v>1</v>
      </c>
      <c r="R1668" s="46">
        <f t="shared" si="171"/>
        <v>0</v>
      </c>
      <c r="S1668" s="46">
        <f t="shared" si="172"/>
        <v>0</v>
      </c>
      <c r="T1668" s="46">
        <f t="shared" si="173"/>
        <v>40</v>
      </c>
      <c r="U1668" s="46">
        <f t="shared" si="174"/>
        <v>50</v>
      </c>
      <c r="V1668" s="54">
        <f t="shared" si="175"/>
        <v>8.8333333333333339</v>
      </c>
    </row>
    <row r="1669" spans="1:22" x14ac:dyDescent="0.2">
      <c r="A1669" s="46" t="s">
        <v>184</v>
      </c>
      <c r="B1669" s="46" t="s">
        <v>208</v>
      </c>
      <c r="C1669" s="46" t="s">
        <v>88</v>
      </c>
      <c r="D1669" s="46" t="s">
        <v>178</v>
      </c>
      <c r="E1669" s="46">
        <v>1</v>
      </c>
      <c r="F1669" s="46" t="s">
        <v>60</v>
      </c>
      <c r="G1669" s="46">
        <v>2</v>
      </c>
      <c r="H1669" s="47">
        <v>38</v>
      </c>
      <c r="I1669" s="47" t="s">
        <v>127</v>
      </c>
      <c r="J1669" s="48">
        <v>2</v>
      </c>
      <c r="K1669" s="48">
        <v>1</v>
      </c>
      <c r="R1669" s="46">
        <f t="shared" si="171"/>
        <v>0</v>
      </c>
      <c r="S1669" s="46">
        <f t="shared" si="172"/>
        <v>0</v>
      </c>
      <c r="T1669" s="46">
        <f t="shared" si="173"/>
        <v>40</v>
      </c>
      <c r="U1669" s="46">
        <f t="shared" si="174"/>
        <v>40</v>
      </c>
      <c r="V1669" s="54">
        <f t="shared" si="175"/>
        <v>8.8333333333333339</v>
      </c>
    </row>
    <row r="1670" spans="1:22" x14ac:dyDescent="0.2">
      <c r="A1670" s="46" t="s">
        <v>184</v>
      </c>
      <c r="B1670" s="46" t="s">
        <v>208</v>
      </c>
      <c r="C1670" s="46" t="s">
        <v>88</v>
      </c>
      <c r="D1670" s="46" t="s">
        <v>178</v>
      </c>
      <c r="E1670" s="46">
        <v>4</v>
      </c>
      <c r="F1670" s="46" t="s">
        <v>62</v>
      </c>
      <c r="G1670" s="46">
        <v>2</v>
      </c>
      <c r="H1670" s="47" t="s">
        <v>79</v>
      </c>
      <c r="I1670" s="47" t="s">
        <v>127</v>
      </c>
      <c r="J1670" s="48">
        <v>2</v>
      </c>
      <c r="K1670" s="48">
        <v>1</v>
      </c>
      <c r="R1670" s="46">
        <f t="shared" si="171"/>
        <v>0</v>
      </c>
      <c r="S1670" s="46">
        <f t="shared" si="172"/>
        <v>0</v>
      </c>
      <c r="T1670" s="46">
        <f t="shared" si="173"/>
        <v>40</v>
      </c>
      <c r="U1670" s="46">
        <f t="shared" si="174"/>
        <v>40</v>
      </c>
      <c r="V1670" s="54">
        <f t="shared" si="175"/>
        <v>8.8333333333333339</v>
      </c>
    </row>
    <row r="1671" spans="1:22" x14ac:dyDescent="0.2">
      <c r="A1671" s="46" t="s">
        <v>184</v>
      </c>
      <c r="B1671" s="46" t="s">
        <v>208</v>
      </c>
      <c r="C1671" s="46" t="s">
        <v>88</v>
      </c>
      <c r="D1671" s="46" t="s">
        <v>178</v>
      </c>
      <c r="E1671" s="46">
        <v>3</v>
      </c>
      <c r="F1671" s="46" t="s">
        <v>62</v>
      </c>
      <c r="G1671" s="46">
        <v>3</v>
      </c>
      <c r="H1671" s="47" t="s">
        <v>64</v>
      </c>
      <c r="I1671" s="47" t="s">
        <v>116</v>
      </c>
      <c r="J1671" s="48">
        <v>2</v>
      </c>
      <c r="K1671" s="48">
        <v>0</v>
      </c>
      <c r="R1671" s="46">
        <f t="shared" si="171"/>
        <v>0</v>
      </c>
      <c r="S1671" s="46">
        <f t="shared" si="172"/>
        <v>0</v>
      </c>
      <c r="T1671" s="46">
        <f t="shared" si="173"/>
        <v>40</v>
      </c>
      <c r="U1671" s="46">
        <f t="shared" si="174"/>
        <v>40</v>
      </c>
      <c r="V1671" s="54">
        <f t="shared" si="175"/>
        <v>8.8333333333333339</v>
      </c>
    </row>
    <row r="1672" spans="1:22" x14ac:dyDescent="0.2">
      <c r="A1672" s="46" t="s">
        <v>184</v>
      </c>
      <c r="B1672" s="46" t="s">
        <v>208</v>
      </c>
      <c r="C1672" s="46" t="s">
        <v>88</v>
      </c>
      <c r="D1672" s="46" t="s">
        <v>178</v>
      </c>
      <c r="E1672" s="46">
        <v>2</v>
      </c>
      <c r="F1672" s="46" t="s">
        <v>63</v>
      </c>
      <c r="G1672" s="46">
        <v>4</v>
      </c>
      <c r="H1672" s="47" t="s">
        <v>146</v>
      </c>
      <c r="I1672" s="47" t="s">
        <v>102</v>
      </c>
      <c r="J1672" s="48">
        <v>3</v>
      </c>
      <c r="K1672" s="48">
        <v>0</v>
      </c>
      <c r="M1672" s="48">
        <v>1</v>
      </c>
      <c r="R1672" s="46">
        <f t="shared" si="171"/>
        <v>0</v>
      </c>
      <c r="S1672" s="46">
        <f t="shared" si="172"/>
        <v>0</v>
      </c>
      <c r="T1672" s="46">
        <f t="shared" si="173"/>
        <v>60</v>
      </c>
      <c r="U1672" s="46">
        <f t="shared" si="174"/>
        <v>80</v>
      </c>
      <c r="V1672" s="54">
        <f t="shared" si="175"/>
        <v>8.8333333333333339</v>
      </c>
    </row>
    <row r="1673" spans="1:22" x14ac:dyDescent="0.2">
      <c r="A1673" s="46" t="s">
        <v>184</v>
      </c>
      <c r="B1673" s="46" t="s">
        <v>208</v>
      </c>
      <c r="C1673" s="46" t="s">
        <v>88</v>
      </c>
      <c r="D1673" s="46" t="s">
        <v>178</v>
      </c>
      <c r="E1673" s="46">
        <v>5</v>
      </c>
      <c r="F1673" s="46" t="s">
        <v>60</v>
      </c>
      <c r="G1673" s="46">
        <v>2</v>
      </c>
      <c r="H1673" s="47">
        <v>2</v>
      </c>
      <c r="I1673" s="47" t="s">
        <v>127</v>
      </c>
      <c r="J1673" s="48">
        <v>0</v>
      </c>
      <c r="K1673" s="48">
        <v>1</v>
      </c>
      <c r="N1673" s="48">
        <v>1</v>
      </c>
      <c r="R1673" s="46">
        <f t="shared" si="171"/>
        <v>0</v>
      </c>
      <c r="S1673" s="46">
        <f t="shared" si="172"/>
        <v>0</v>
      </c>
      <c r="T1673" s="46">
        <f t="shared" si="173"/>
        <v>0</v>
      </c>
      <c r="U1673" s="46">
        <f t="shared" si="174"/>
        <v>-5</v>
      </c>
      <c r="V1673" s="54">
        <f t="shared" si="175"/>
        <v>8.8333333333333339</v>
      </c>
    </row>
    <row r="1674" spans="1:22" x14ac:dyDescent="0.2">
      <c r="A1674" s="46" t="s">
        <v>184</v>
      </c>
      <c r="B1674" s="46" t="s">
        <v>208</v>
      </c>
      <c r="C1674" s="46" t="s">
        <v>88</v>
      </c>
      <c r="D1674" s="46" t="s">
        <v>178</v>
      </c>
      <c r="E1674" s="46">
        <v>5</v>
      </c>
      <c r="F1674" s="46" t="s">
        <v>60</v>
      </c>
      <c r="G1674" s="46">
        <v>1</v>
      </c>
      <c r="H1674" s="47">
        <v>5</v>
      </c>
      <c r="I1674" s="47" t="s">
        <v>101</v>
      </c>
      <c r="J1674" s="48">
        <v>0</v>
      </c>
      <c r="K1674" s="48">
        <v>3</v>
      </c>
      <c r="R1674" s="46">
        <f t="shared" si="171"/>
        <v>0</v>
      </c>
      <c r="S1674" s="46">
        <f t="shared" si="172"/>
        <v>1</v>
      </c>
      <c r="T1674" s="46">
        <f t="shared" si="173"/>
        <v>-20</v>
      </c>
      <c r="U1674" s="46">
        <f t="shared" si="174"/>
        <v>-20</v>
      </c>
      <c r="V1674" s="54">
        <f t="shared" si="175"/>
        <v>8.8333333333333339</v>
      </c>
    </row>
    <row r="1675" spans="1:22" x14ac:dyDescent="0.2">
      <c r="A1675" s="46" t="s">
        <v>184</v>
      </c>
      <c r="B1675" s="46" t="s">
        <v>208</v>
      </c>
      <c r="C1675" s="46" t="s">
        <v>88</v>
      </c>
      <c r="D1675" s="46" t="s">
        <v>178</v>
      </c>
      <c r="E1675" s="46">
        <v>5</v>
      </c>
      <c r="F1675" s="46" t="s">
        <v>60</v>
      </c>
      <c r="G1675" s="46">
        <v>1</v>
      </c>
      <c r="H1675" s="47">
        <v>13</v>
      </c>
      <c r="I1675" s="47" t="s">
        <v>101</v>
      </c>
      <c r="J1675" s="48">
        <v>0</v>
      </c>
      <c r="K1675" s="48">
        <v>1</v>
      </c>
      <c r="N1675" s="48">
        <v>1</v>
      </c>
      <c r="R1675" s="46">
        <f t="shared" si="171"/>
        <v>0</v>
      </c>
      <c r="S1675" s="46">
        <f t="shared" si="172"/>
        <v>0</v>
      </c>
      <c r="T1675" s="46">
        <f t="shared" si="173"/>
        <v>0</v>
      </c>
      <c r="U1675" s="46">
        <f t="shared" si="174"/>
        <v>-5</v>
      </c>
      <c r="V1675" s="54">
        <f t="shared" si="175"/>
        <v>8.8333333333333339</v>
      </c>
    </row>
    <row r="1676" spans="1:22" x14ac:dyDescent="0.2">
      <c r="A1676" s="46" t="s">
        <v>184</v>
      </c>
      <c r="B1676" s="46" t="s">
        <v>208</v>
      </c>
      <c r="C1676" s="46" t="s">
        <v>88</v>
      </c>
      <c r="D1676" s="46" t="s">
        <v>178</v>
      </c>
      <c r="E1676" s="46">
        <v>5</v>
      </c>
      <c r="F1676" s="46" t="s">
        <v>60</v>
      </c>
      <c r="G1676" s="46">
        <v>3</v>
      </c>
      <c r="H1676" s="47">
        <v>23</v>
      </c>
      <c r="I1676" s="47" t="s">
        <v>159</v>
      </c>
      <c r="J1676" s="48">
        <v>0</v>
      </c>
      <c r="K1676" s="48">
        <v>2</v>
      </c>
      <c r="R1676" s="46">
        <f t="shared" si="171"/>
        <v>0</v>
      </c>
      <c r="S1676" s="46">
        <f t="shared" si="172"/>
        <v>0</v>
      </c>
      <c r="T1676" s="46">
        <f t="shared" si="173"/>
        <v>-10</v>
      </c>
      <c r="U1676" s="46">
        <f t="shared" si="174"/>
        <v>-10</v>
      </c>
      <c r="V1676" s="54">
        <f t="shared" si="175"/>
        <v>8.8333333333333339</v>
      </c>
    </row>
    <row r="1677" spans="1:22" x14ac:dyDescent="0.2">
      <c r="A1677" s="46" t="s">
        <v>184</v>
      </c>
      <c r="B1677" s="46" t="s">
        <v>208</v>
      </c>
      <c r="C1677" s="46" t="s">
        <v>88</v>
      </c>
      <c r="D1677" s="46" t="s">
        <v>178</v>
      </c>
      <c r="E1677" s="46">
        <v>5</v>
      </c>
      <c r="F1677" s="46" t="s">
        <v>60</v>
      </c>
      <c r="G1677" s="46">
        <v>4</v>
      </c>
      <c r="H1677" s="47">
        <v>32</v>
      </c>
      <c r="I1677" s="47" t="s">
        <v>102</v>
      </c>
      <c r="J1677" s="48">
        <v>0</v>
      </c>
      <c r="K1677" s="48">
        <v>0</v>
      </c>
      <c r="R1677" s="46">
        <f t="shared" si="171"/>
        <v>0</v>
      </c>
      <c r="S1677" s="46">
        <f t="shared" si="172"/>
        <v>0</v>
      </c>
      <c r="T1677" s="46">
        <f t="shared" si="173"/>
        <v>0</v>
      </c>
      <c r="U1677" s="46">
        <f t="shared" si="174"/>
        <v>0</v>
      </c>
      <c r="V1677" s="54">
        <f t="shared" si="175"/>
        <v>8.8333333333333339</v>
      </c>
    </row>
    <row r="1678" spans="1:22" x14ac:dyDescent="0.2">
      <c r="A1678" s="46" t="s">
        <v>184</v>
      </c>
      <c r="B1678" s="46" t="s">
        <v>208</v>
      </c>
      <c r="C1678" s="46" t="s">
        <v>88</v>
      </c>
      <c r="D1678" s="46" t="s">
        <v>178</v>
      </c>
      <c r="E1678" s="46">
        <v>5</v>
      </c>
      <c r="F1678" s="46" t="s">
        <v>60</v>
      </c>
      <c r="G1678" s="46">
        <v>3</v>
      </c>
      <c r="H1678" s="47">
        <v>43</v>
      </c>
      <c r="I1678" s="47" t="s">
        <v>159</v>
      </c>
      <c r="J1678" s="48">
        <v>0</v>
      </c>
      <c r="K1678" s="48">
        <v>1</v>
      </c>
      <c r="N1678" s="48">
        <v>1</v>
      </c>
      <c r="R1678" s="46">
        <f t="shared" si="171"/>
        <v>0</v>
      </c>
      <c r="S1678" s="46">
        <f t="shared" si="172"/>
        <v>0</v>
      </c>
      <c r="T1678" s="46">
        <f t="shared" si="173"/>
        <v>0</v>
      </c>
      <c r="U1678" s="46">
        <f t="shared" si="174"/>
        <v>-5</v>
      </c>
      <c r="V1678" s="54">
        <f t="shared" si="175"/>
        <v>8.8333333333333339</v>
      </c>
    </row>
    <row r="1679" spans="1:22" x14ac:dyDescent="0.2">
      <c r="A1679" s="46" t="s">
        <v>184</v>
      </c>
      <c r="B1679" s="46" t="s">
        <v>208</v>
      </c>
      <c r="C1679" s="46" t="str">
        <f>VLOOKUP(B1679,$B$2:$C$3219,2,FALSE)</f>
        <v>ABC</v>
      </c>
      <c r="D1679" s="46" t="s">
        <v>178</v>
      </c>
      <c r="E1679" s="46">
        <v>5</v>
      </c>
      <c r="F1679" s="46" t="s">
        <v>63</v>
      </c>
      <c r="G1679" s="46">
        <v>4</v>
      </c>
      <c r="H1679" s="47" t="s">
        <v>148</v>
      </c>
      <c r="I1679" s="47" t="s">
        <v>102</v>
      </c>
      <c r="J1679" s="48">
        <v>1</v>
      </c>
      <c r="K1679" s="48">
        <v>1</v>
      </c>
      <c r="R1679" s="46">
        <f t="shared" si="171"/>
        <v>0</v>
      </c>
      <c r="S1679" s="46">
        <f t="shared" si="172"/>
        <v>0</v>
      </c>
      <c r="T1679" s="46">
        <f t="shared" si="173"/>
        <v>20</v>
      </c>
      <c r="U1679" s="46">
        <f t="shared" si="174"/>
        <v>20</v>
      </c>
      <c r="V1679" s="54">
        <f t="shared" si="175"/>
        <v>8.8333333333333339</v>
      </c>
    </row>
    <row r="1680" spans="1:22" x14ac:dyDescent="0.2">
      <c r="A1680" s="46" t="s">
        <v>184</v>
      </c>
      <c r="B1680" s="46" t="s">
        <v>208</v>
      </c>
      <c r="C1680" s="46" t="str">
        <f>VLOOKUP(B1680,$B$2:$C$3219,2,FALSE)</f>
        <v>ABC</v>
      </c>
      <c r="D1680" s="46" t="s">
        <v>178</v>
      </c>
      <c r="E1680" s="46">
        <v>5</v>
      </c>
      <c r="F1680" s="46" t="s">
        <v>63</v>
      </c>
      <c r="G1680" s="46">
        <v>4</v>
      </c>
      <c r="H1680" s="47" t="s">
        <v>150</v>
      </c>
      <c r="I1680" s="47" t="s">
        <v>102</v>
      </c>
      <c r="J1680" s="48">
        <v>0</v>
      </c>
      <c r="K1680" s="48">
        <v>1</v>
      </c>
      <c r="R1680" s="46">
        <f t="shared" si="171"/>
        <v>0</v>
      </c>
      <c r="S1680" s="46">
        <f t="shared" si="172"/>
        <v>0</v>
      </c>
      <c r="T1680" s="46">
        <f t="shared" si="173"/>
        <v>0</v>
      </c>
      <c r="U1680" s="46">
        <f t="shared" si="174"/>
        <v>0</v>
      </c>
      <c r="V1680" s="54">
        <f t="shared" si="175"/>
        <v>8.8333333333333339</v>
      </c>
    </row>
    <row r="1681" spans="1:22" x14ac:dyDescent="0.2">
      <c r="A1681" s="46" t="s">
        <v>184</v>
      </c>
      <c r="B1681" s="46" t="s">
        <v>208</v>
      </c>
      <c r="C1681" s="46" t="str">
        <f>VLOOKUP(B1681,$B$2:$C$3219,2,FALSE)</f>
        <v>ABC</v>
      </c>
      <c r="D1681" s="46" t="s">
        <v>178</v>
      </c>
      <c r="E1681" s="46">
        <v>5</v>
      </c>
      <c r="F1681" s="46" t="s">
        <v>63</v>
      </c>
      <c r="G1681" s="46">
        <v>4</v>
      </c>
      <c r="H1681" s="47" t="s">
        <v>152</v>
      </c>
      <c r="I1681" s="47" t="s">
        <v>102</v>
      </c>
      <c r="J1681" s="48">
        <v>0</v>
      </c>
      <c r="K1681" s="48">
        <v>1</v>
      </c>
      <c r="R1681" s="46">
        <f t="shared" si="171"/>
        <v>0</v>
      </c>
      <c r="S1681" s="46">
        <f t="shared" si="172"/>
        <v>0</v>
      </c>
      <c r="T1681" s="46">
        <f t="shared" si="173"/>
        <v>0</v>
      </c>
      <c r="U1681" s="46">
        <f t="shared" si="174"/>
        <v>0</v>
      </c>
      <c r="V1681" s="54">
        <f t="shared" si="175"/>
        <v>8.8333333333333339</v>
      </c>
    </row>
    <row r="1682" spans="1:22" x14ac:dyDescent="0.2">
      <c r="A1682" s="46" t="s">
        <v>154</v>
      </c>
      <c r="B1682" s="46" t="s">
        <v>208</v>
      </c>
      <c r="C1682" s="46" t="s">
        <v>88</v>
      </c>
      <c r="D1682" s="46" t="s">
        <v>178</v>
      </c>
      <c r="E1682" s="46">
        <v>4</v>
      </c>
      <c r="F1682" s="46" t="s">
        <v>60</v>
      </c>
      <c r="G1682" s="46">
        <v>3</v>
      </c>
      <c r="H1682" s="47">
        <v>3</v>
      </c>
      <c r="I1682" s="47" t="s">
        <v>159</v>
      </c>
      <c r="J1682" s="48">
        <v>0</v>
      </c>
      <c r="K1682" s="48">
        <v>0</v>
      </c>
      <c r="R1682" s="46">
        <f t="shared" si="171"/>
        <v>0</v>
      </c>
      <c r="S1682" s="46">
        <f t="shared" si="172"/>
        <v>0</v>
      </c>
      <c r="T1682" s="46">
        <f t="shared" si="173"/>
        <v>0</v>
      </c>
      <c r="U1682" s="46">
        <f t="shared" si="174"/>
        <v>0</v>
      </c>
      <c r="V1682" s="54">
        <f t="shared" si="175"/>
        <v>3.1666666666666665</v>
      </c>
    </row>
    <row r="1683" spans="1:22" x14ac:dyDescent="0.2">
      <c r="A1683" s="46" t="s">
        <v>154</v>
      </c>
      <c r="B1683" s="46" t="s">
        <v>208</v>
      </c>
      <c r="C1683" s="46" t="s">
        <v>88</v>
      </c>
      <c r="D1683" s="46" t="s">
        <v>178</v>
      </c>
      <c r="E1683" s="46">
        <v>2</v>
      </c>
      <c r="F1683" s="46" t="s">
        <v>60</v>
      </c>
      <c r="G1683" s="46">
        <v>4</v>
      </c>
      <c r="H1683" s="47">
        <v>4</v>
      </c>
      <c r="I1683" s="47" t="s">
        <v>102</v>
      </c>
      <c r="J1683" s="48">
        <v>0</v>
      </c>
      <c r="K1683" s="48">
        <v>0</v>
      </c>
      <c r="N1683" s="48">
        <v>1</v>
      </c>
      <c r="R1683" s="46">
        <f t="shared" si="171"/>
        <v>0</v>
      </c>
      <c r="S1683" s="46">
        <f t="shared" si="172"/>
        <v>0</v>
      </c>
      <c r="T1683" s="46">
        <f t="shared" si="173"/>
        <v>0</v>
      </c>
      <c r="U1683" s="46">
        <f t="shared" si="174"/>
        <v>-5</v>
      </c>
      <c r="V1683" s="54">
        <f t="shared" si="175"/>
        <v>3.1666666666666665</v>
      </c>
    </row>
    <row r="1684" spans="1:22" x14ac:dyDescent="0.2">
      <c r="A1684" s="46" t="s">
        <v>154</v>
      </c>
      <c r="B1684" s="46" t="s">
        <v>208</v>
      </c>
      <c r="C1684" s="46" t="s">
        <v>88</v>
      </c>
      <c r="D1684" s="46" t="s">
        <v>178</v>
      </c>
      <c r="E1684" s="46">
        <v>3</v>
      </c>
      <c r="F1684" s="46" t="s">
        <v>60</v>
      </c>
      <c r="G1684" s="46">
        <v>1</v>
      </c>
      <c r="H1684" s="47">
        <v>5</v>
      </c>
      <c r="I1684" s="47" t="s">
        <v>101</v>
      </c>
      <c r="J1684" s="48">
        <v>0</v>
      </c>
      <c r="K1684" s="48">
        <v>0</v>
      </c>
      <c r="R1684" s="46">
        <f t="shared" si="171"/>
        <v>0</v>
      </c>
      <c r="S1684" s="46">
        <f t="shared" si="172"/>
        <v>0</v>
      </c>
      <c r="T1684" s="46">
        <f t="shared" si="173"/>
        <v>0</v>
      </c>
      <c r="U1684" s="46">
        <f t="shared" si="174"/>
        <v>0</v>
      </c>
      <c r="V1684" s="54">
        <f t="shared" si="175"/>
        <v>3.1666666666666665</v>
      </c>
    </row>
    <row r="1685" spans="1:22" x14ac:dyDescent="0.2">
      <c r="A1685" s="46" t="s">
        <v>154</v>
      </c>
      <c r="B1685" s="46" t="s">
        <v>208</v>
      </c>
      <c r="C1685" s="46" t="s">
        <v>88</v>
      </c>
      <c r="D1685" s="46" t="s">
        <v>178</v>
      </c>
      <c r="E1685" s="46">
        <v>1</v>
      </c>
      <c r="F1685" s="46" t="s">
        <v>60</v>
      </c>
      <c r="G1685" s="46">
        <v>2</v>
      </c>
      <c r="H1685" s="47">
        <v>6</v>
      </c>
      <c r="I1685" s="47" t="s">
        <v>127</v>
      </c>
      <c r="J1685" s="48">
        <v>0</v>
      </c>
      <c r="K1685" s="48">
        <v>1</v>
      </c>
      <c r="R1685" s="46">
        <f t="shared" si="171"/>
        <v>0</v>
      </c>
      <c r="S1685" s="46">
        <f t="shared" si="172"/>
        <v>0</v>
      </c>
      <c r="T1685" s="46">
        <f t="shared" si="173"/>
        <v>0</v>
      </c>
      <c r="U1685" s="46">
        <f t="shared" si="174"/>
        <v>0</v>
      </c>
      <c r="V1685" s="54">
        <f t="shared" si="175"/>
        <v>3.1666666666666665</v>
      </c>
    </row>
    <row r="1686" spans="1:22" x14ac:dyDescent="0.2">
      <c r="A1686" s="46" t="s">
        <v>154</v>
      </c>
      <c r="B1686" s="46" t="s">
        <v>208</v>
      </c>
      <c r="C1686" s="46" t="s">
        <v>88</v>
      </c>
      <c r="D1686" s="46" t="s">
        <v>178</v>
      </c>
      <c r="E1686" s="46">
        <v>2</v>
      </c>
      <c r="F1686" s="46" t="s">
        <v>60</v>
      </c>
      <c r="G1686" s="46">
        <v>2</v>
      </c>
      <c r="H1686" s="47">
        <v>10</v>
      </c>
      <c r="I1686" s="47" t="s">
        <v>127</v>
      </c>
      <c r="J1686" s="48">
        <v>0</v>
      </c>
      <c r="K1686" s="48">
        <v>0</v>
      </c>
      <c r="R1686" s="46">
        <f t="shared" si="171"/>
        <v>0</v>
      </c>
      <c r="S1686" s="46">
        <f t="shared" si="172"/>
        <v>0</v>
      </c>
      <c r="T1686" s="46">
        <f t="shared" si="173"/>
        <v>0</v>
      </c>
      <c r="U1686" s="46">
        <f t="shared" si="174"/>
        <v>0</v>
      </c>
      <c r="V1686" s="54">
        <f t="shared" si="175"/>
        <v>3.1666666666666665</v>
      </c>
    </row>
    <row r="1687" spans="1:22" x14ac:dyDescent="0.2">
      <c r="A1687" s="46" t="s">
        <v>154</v>
      </c>
      <c r="B1687" s="46" t="s">
        <v>208</v>
      </c>
      <c r="C1687" s="46" t="s">
        <v>88</v>
      </c>
      <c r="D1687" s="46" t="s">
        <v>178</v>
      </c>
      <c r="E1687" s="46">
        <v>1</v>
      </c>
      <c r="F1687" s="46" t="s">
        <v>60</v>
      </c>
      <c r="G1687" s="46">
        <v>1</v>
      </c>
      <c r="H1687" s="47">
        <v>13</v>
      </c>
      <c r="I1687" s="47" t="s">
        <v>101</v>
      </c>
      <c r="J1687" s="48">
        <v>0</v>
      </c>
      <c r="K1687" s="48">
        <v>0</v>
      </c>
      <c r="N1687" s="48">
        <v>1</v>
      </c>
      <c r="R1687" s="46">
        <f t="shared" si="171"/>
        <v>0</v>
      </c>
      <c r="S1687" s="46">
        <f t="shared" si="172"/>
        <v>0</v>
      </c>
      <c r="T1687" s="46">
        <f t="shared" si="173"/>
        <v>0</v>
      </c>
      <c r="U1687" s="46">
        <f t="shared" si="174"/>
        <v>-5</v>
      </c>
      <c r="V1687" s="54">
        <f t="shared" si="175"/>
        <v>3.1666666666666665</v>
      </c>
    </row>
    <row r="1688" spans="1:22" x14ac:dyDescent="0.2">
      <c r="A1688" s="46" t="s">
        <v>154</v>
      </c>
      <c r="B1688" s="46" t="s">
        <v>208</v>
      </c>
      <c r="C1688" s="46" t="s">
        <v>88</v>
      </c>
      <c r="D1688" s="46" t="s">
        <v>178</v>
      </c>
      <c r="E1688" s="46">
        <v>2</v>
      </c>
      <c r="F1688" s="46" t="s">
        <v>60</v>
      </c>
      <c r="G1688" s="46">
        <v>1</v>
      </c>
      <c r="H1688" s="47">
        <v>13</v>
      </c>
      <c r="I1688" s="47" t="s">
        <v>101</v>
      </c>
      <c r="J1688" s="48">
        <v>0</v>
      </c>
      <c r="K1688" s="48">
        <v>1</v>
      </c>
      <c r="R1688" s="46">
        <f t="shared" si="171"/>
        <v>0</v>
      </c>
      <c r="S1688" s="46">
        <f t="shared" si="172"/>
        <v>0</v>
      </c>
      <c r="T1688" s="46">
        <f t="shared" si="173"/>
        <v>0</v>
      </c>
      <c r="U1688" s="46">
        <f t="shared" si="174"/>
        <v>0</v>
      </c>
      <c r="V1688" s="54">
        <f t="shared" si="175"/>
        <v>3.1666666666666665</v>
      </c>
    </row>
    <row r="1689" spans="1:22" x14ac:dyDescent="0.2">
      <c r="A1689" s="46" t="s">
        <v>154</v>
      </c>
      <c r="B1689" s="46" t="s">
        <v>208</v>
      </c>
      <c r="C1689" s="46" t="s">
        <v>88</v>
      </c>
      <c r="D1689" s="46" t="s">
        <v>178</v>
      </c>
      <c r="E1689" s="46">
        <v>3</v>
      </c>
      <c r="F1689" s="46" t="s">
        <v>60</v>
      </c>
      <c r="G1689" s="46">
        <v>2</v>
      </c>
      <c r="H1689" s="47">
        <v>14</v>
      </c>
      <c r="I1689" s="47" t="s">
        <v>127</v>
      </c>
      <c r="J1689" s="48">
        <v>0</v>
      </c>
      <c r="K1689" s="48">
        <v>0</v>
      </c>
      <c r="R1689" s="46">
        <f t="shared" si="171"/>
        <v>0</v>
      </c>
      <c r="S1689" s="46">
        <f t="shared" si="172"/>
        <v>0</v>
      </c>
      <c r="T1689" s="46">
        <f t="shared" si="173"/>
        <v>0</v>
      </c>
      <c r="U1689" s="46">
        <f t="shared" si="174"/>
        <v>0</v>
      </c>
      <c r="V1689" s="54">
        <f t="shared" si="175"/>
        <v>3.1666666666666665</v>
      </c>
    </row>
    <row r="1690" spans="1:22" x14ac:dyDescent="0.2">
      <c r="A1690" s="46" t="s">
        <v>154</v>
      </c>
      <c r="B1690" s="46" t="s">
        <v>208</v>
      </c>
      <c r="C1690" s="46" t="s">
        <v>88</v>
      </c>
      <c r="D1690" s="46" t="s">
        <v>178</v>
      </c>
      <c r="E1690" s="46">
        <v>4</v>
      </c>
      <c r="F1690" s="46" t="s">
        <v>60</v>
      </c>
      <c r="G1690" s="46">
        <v>2</v>
      </c>
      <c r="H1690" s="47">
        <v>14</v>
      </c>
      <c r="I1690" s="47" t="s">
        <v>127</v>
      </c>
      <c r="J1690" s="48">
        <v>0</v>
      </c>
      <c r="K1690" s="48">
        <v>0</v>
      </c>
      <c r="R1690" s="46">
        <f t="shared" si="171"/>
        <v>0</v>
      </c>
      <c r="S1690" s="46">
        <f t="shared" si="172"/>
        <v>0</v>
      </c>
      <c r="T1690" s="46">
        <f t="shared" si="173"/>
        <v>0</v>
      </c>
      <c r="U1690" s="46">
        <f t="shared" si="174"/>
        <v>0</v>
      </c>
      <c r="V1690" s="54">
        <f t="shared" si="175"/>
        <v>3.1666666666666665</v>
      </c>
    </row>
    <row r="1691" spans="1:22" x14ac:dyDescent="0.2">
      <c r="A1691" s="46" t="s">
        <v>154</v>
      </c>
      <c r="B1691" s="46" t="s">
        <v>208</v>
      </c>
      <c r="C1691" s="46" t="s">
        <v>88</v>
      </c>
      <c r="D1691" s="46" t="s">
        <v>178</v>
      </c>
      <c r="E1691" s="46">
        <v>1</v>
      </c>
      <c r="F1691" s="46" t="s">
        <v>60</v>
      </c>
      <c r="G1691" s="46">
        <v>1</v>
      </c>
      <c r="H1691" s="47">
        <v>17</v>
      </c>
      <c r="I1691" s="47" t="s">
        <v>101</v>
      </c>
      <c r="J1691" s="48">
        <v>0</v>
      </c>
      <c r="K1691" s="48">
        <v>0</v>
      </c>
      <c r="R1691" s="46">
        <f t="shared" si="171"/>
        <v>0</v>
      </c>
      <c r="S1691" s="46">
        <f t="shared" si="172"/>
        <v>0</v>
      </c>
      <c r="T1691" s="46">
        <f t="shared" si="173"/>
        <v>0</v>
      </c>
      <c r="U1691" s="46">
        <f t="shared" si="174"/>
        <v>0</v>
      </c>
      <c r="V1691" s="54">
        <f t="shared" si="175"/>
        <v>3.1666666666666665</v>
      </c>
    </row>
    <row r="1692" spans="1:22" x14ac:dyDescent="0.2">
      <c r="A1692" s="46" t="s">
        <v>154</v>
      </c>
      <c r="B1692" s="46" t="s">
        <v>208</v>
      </c>
      <c r="C1692" s="46" t="s">
        <v>88</v>
      </c>
      <c r="D1692" s="46" t="s">
        <v>178</v>
      </c>
      <c r="E1692" s="46">
        <v>4</v>
      </c>
      <c r="F1692" s="46" t="s">
        <v>60</v>
      </c>
      <c r="G1692" s="46">
        <v>2</v>
      </c>
      <c r="H1692" s="47">
        <v>22</v>
      </c>
      <c r="I1692" s="47" t="s">
        <v>127</v>
      </c>
      <c r="J1692" s="48">
        <v>0</v>
      </c>
      <c r="K1692" s="48">
        <v>0</v>
      </c>
      <c r="R1692" s="46">
        <f t="shared" si="171"/>
        <v>0</v>
      </c>
      <c r="S1692" s="46">
        <f t="shared" si="172"/>
        <v>0</v>
      </c>
      <c r="T1692" s="46">
        <f t="shared" si="173"/>
        <v>0</v>
      </c>
      <c r="U1692" s="46">
        <f t="shared" si="174"/>
        <v>0</v>
      </c>
      <c r="V1692" s="54">
        <f t="shared" si="175"/>
        <v>3.1666666666666665</v>
      </c>
    </row>
    <row r="1693" spans="1:22" x14ac:dyDescent="0.2">
      <c r="A1693" s="46" t="s">
        <v>154</v>
      </c>
      <c r="B1693" s="46" t="s">
        <v>208</v>
      </c>
      <c r="C1693" s="46" t="s">
        <v>88</v>
      </c>
      <c r="D1693" s="46" t="s">
        <v>178</v>
      </c>
      <c r="E1693" s="46">
        <v>3</v>
      </c>
      <c r="F1693" s="46" t="s">
        <v>60</v>
      </c>
      <c r="G1693" s="46">
        <v>3</v>
      </c>
      <c r="H1693" s="47">
        <v>23</v>
      </c>
      <c r="I1693" s="47" t="s">
        <v>116</v>
      </c>
      <c r="J1693" s="48">
        <v>0</v>
      </c>
      <c r="K1693" s="48">
        <v>0</v>
      </c>
      <c r="R1693" s="46">
        <f t="shared" si="171"/>
        <v>0</v>
      </c>
      <c r="S1693" s="46">
        <f t="shared" si="172"/>
        <v>0</v>
      </c>
      <c r="T1693" s="46">
        <f t="shared" si="173"/>
        <v>0</v>
      </c>
      <c r="U1693" s="46">
        <f t="shared" si="174"/>
        <v>0</v>
      </c>
      <c r="V1693" s="54">
        <f t="shared" si="175"/>
        <v>3.1666666666666665</v>
      </c>
    </row>
    <row r="1694" spans="1:22" x14ac:dyDescent="0.2">
      <c r="A1694" s="46" t="s">
        <v>154</v>
      </c>
      <c r="B1694" s="46" t="s">
        <v>208</v>
      </c>
      <c r="C1694" s="46" t="s">
        <v>88</v>
      </c>
      <c r="D1694" s="46" t="s">
        <v>178</v>
      </c>
      <c r="E1694" s="46">
        <v>3</v>
      </c>
      <c r="F1694" s="46" t="s">
        <v>60</v>
      </c>
      <c r="G1694" s="46">
        <v>4</v>
      </c>
      <c r="H1694" s="47">
        <v>32</v>
      </c>
      <c r="I1694" s="47" t="s">
        <v>102</v>
      </c>
      <c r="J1694" s="48">
        <v>0</v>
      </c>
      <c r="K1694" s="48">
        <v>0</v>
      </c>
      <c r="R1694" s="46">
        <f t="shared" si="171"/>
        <v>0</v>
      </c>
      <c r="S1694" s="46">
        <f t="shared" si="172"/>
        <v>0</v>
      </c>
      <c r="T1694" s="46">
        <f t="shared" si="173"/>
        <v>0</v>
      </c>
      <c r="U1694" s="46">
        <f t="shared" si="174"/>
        <v>0</v>
      </c>
      <c r="V1694" s="54">
        <f t="shared" si="175"/>
        <v>3.1666666666666665</v>
      </c>
    </row>
    <row r="1695" spans="1:22" x14ac:dyDescent="0.2">
      <c r="A1695" s="46" t="s">
        <v>154</v>
      </c>
      <c r="B1695" s="46" t="s">
        <v>208</v>
      </c>
      <c r="C1695" s="46" t="s">
        <v>88</v>
      </c>
      <c r="D1695" s="46" t="s">
        <v>178</v>
      </c>
      <c r="E1695" s="46">
        <v>4</v>
      </c>
      <c r="F1695" s="46" t="s">
        <v>60</v>
      </c>
      <c r="G1695" s="46">
        <v>4</v>
      </c>
      <c r="H1695" s="47">
        <v>32</v>
      </c>
      <c r="I1695" s="47" t="s">
        <v>102</v>
      </c>
      <c r="J1695" s="48">
        <v>0</v>
      </c>
      <c r="K1695" s="48">
        <v>0</v>
      </c>
      <c r="R1695" s="46">
        <f t="shared" si="171"/>
        <v>0</v>
      </c>
      <c r="S1695" s="46">
        <f t="shared" si="172"/>
        <v>0</v>
      </c>
      <c r="T1695" s="46">
        <f t="shared" si="173"/>
        <v>0</v>
      </c>
      <c r="U1695" s="46">
        <f t="shared" si="174"/>
        <v>0</v>
      </c>
      <c r="V1695" s="54">
        <f t="shared" si="175"/>
        <v>3.1666666666666665</v>
      </c>
    </row>
    <row r="1696" spans="1:22" x14ac:dyDescent="0.2">
      <c r="A1696" s="46" t="s">
        <v>154</v>
      </c>
      <c r="B1696" s="46" t="s">
        <v>208</v>
      </c>
      <c r="C1696" s="46" t="s">
        <v>88</v>
      </c>
      <c r="D1696" s="46" t="s">
        <v>178</v>
      </c>
      <c r="E1696" s="46">
        <v>2</v>
      </c>
      <c r="F1696" s="46" t="s">
        <v>60</v>
      </c>
      <c r="G1696" s="46">
        <v>3</v>
      </c>
      <c r="H1696" s="47">
        <v>35</v>
      </c>
      <c r="I1696" s="47" t="s">
        <v>116</v>
      </c>
      <c r="J1696" s="48">
        <v>0</v>
      </c>
      <c r="K1696" s="48">
        <v>0</v>
      </c>
      <c r="R1696" s="46">
        <f t="shared" si="171"/>
        <v>0</v>
      </c>
      <c r="S1696" s="46">
        <f t="shared" si="172"/>
        <v>0</v>
      </c>
      <c r="T1696" s="46">
        <f t="shared" si="173"/>
        <v>0</v>
      </c>
      <c r="U1696" s="46">
        <f t="shared" si="174"/>
        <v>0</v>
      </c>
      <c r="V1696" s="54">
        <f t="shared" si="175"/>
        <v>3.1666666666666665</v>
      </c>
    </row>
    <row r="1697" spans="1:22" x14ac:dyDescent="0.2">
      <c r="A1697" s="46" t="s">
        <v>154</v>
      </c>
      <c r="B1697" s="46" t="s">
        <v>208</v>
      </c>
      <c r="C1697" s="46" t="s">
        <v>88</v>
      </c>
      <c r="D1697" s="46" t="s">
        <v>178</v>
      </c>
      <c r="E1697" s="46">
        <v>3</v>
      </c>
      <c r="F1697" s="46" t="s">
        <v>60</v>
      </c>
      <c r="G1697" s="46">
        <v>4</v>
      </c>
      <c r="H1697" s="47">
        <v>36</v>
      </c>
      <c r="I1697" s="47" t="s">
        <v>102</v>
      </c>
      <c r="J1697" s="48">
        <v>0</v>
      </c>
      <c r="K1697" s="48">
        <v>0</v>
      </c>
      <c r="R1697" s="46">
        <f t="shared" si="171"/>
        <v>0</v>
      </c>
      <c r="S1697" s="46">
        <f t="shared" si="172"/>
        <v>0</v>
      </c>
      <c r="T1697" s="46">
        <f t="shared" si="173"/>
        <v>0</v>
      </c>
      <c r="U1697" s="46">
        <f t="shared" si="174"/>
        <v>0</v>
      </c>
      <c r="V1697" s="54">
        <f t="shared" si="175"/>
        <v>3.1666666666666665</v>
      </c>
    </row>
    <row r="1698" spans="1:22" x14ac:dyDescent="0.2">
      <c r="A1698" s="46" t="s">
        <v>154</v>
      </c>
      <c r="B1698" s="46" t="s">
        <v>208</v>
      </c>
      <c r="C1698" s="46" t="s">
        <v>88</v>
      </c>
      <c r="D1698" s="46" t="s">
        <v>178</v>
      </c>
      <c r="E1698" s="46">
        <v>4</v>
      </c>
      <c r="F1698" s="46" t="s">
        <v>60</v>
      </c>
      <c r="G1698" s="46">
        <v>1</v>
      </c>
      <c r="H1698" s="47">
        <v>37</v>
      </c>
      <c r="I1698" s="47" t="s">
        <v>101</v>
      </c>
      <c r="J1698" s="48">
        <v>0</v>
      </c>
      <c r="K1698" s="48">
        <v>0</v>
      </c>
      <c r="R1698" s="46">
        <f t="shared" si="171"/>
        <v>0</v>
      </c>
      <c r="S1698" s="46">
        <f t="shared" si="172"/>
        <v>0</v>
      </c>
      <c r="T1698" s="46">
        <f t="shared" ref="T1698:T1729" si="176">quizscore(J1698,K1698)</f>
        <v>0</v>
      </c>
      <c r="U1698" s="46">
        <f t="shared" si="174"/>
        <v>0</v>
      </c>
      <c r="V1698" s="54">
        <f t="shared" si="175"/>
        <v>3.1666666666666665</v>
      </c>
    </row>
    <row r="1699" spans="1:22" x14ac:dyDescent="0.2">
      <c r="A1699" s="46" t="s">
        <v>154</v>
      </c>
      <c r="B1699" s="46" t="s">
        <v>208</v>
      </c>
      <c r="C1699" s="46" t="s">
        <v>88</v>
      </c>
      <c r="D1699" s="46" t="s">
        <v>178</v>
      </c>
      <c r="E1699" s="46">
        <v>2</v>
      </c>
      <c r="F1699" s="46" t="s">
        <v>60</v>
      </c>
      <c r="G1699" s="46">
        <v>3</v>
      </c>
      <c r="H1699" s="47">
        <v>43</v>
      </c>
      <c r="I1699" s="47" t="s">
        <v>116</v>
      </c>
      <c r="J1699" s="48">
        <v>0</v>
      </c>
      <c r="K1699" s="48">
        <v>0</v>
      </c>
      <c r="R1699" s="46">
        <f t="shared" si="171"/>
        <v>0</v>
      </c>
      <c r="S1699" s="46">
        <f t="shared" si="172"/>
        <v>0</v>
      </c>
      <c r="T1699" s="46">
        <f t="shared" si="176"/>
        <v>0</v>
      </c>
      <c r="U1699" s="46">
        <f t="shared" si="174"/>
        <v>0</v>
      </c>
      <c r="V1699" s="54">
        <f t="shared" si="175"/>
        <v>3.1666666666666665</v>
      </c>
    </row>
    <row r="1700" spans="1:22" x14ac:dyDescent="0.2">
      <c r="A1700" s="46" t="s">
        <v>154</v>
      </c>
      <c r="B1700" s="46" t="s">
        <v>208</v>
      </c>
      <c r="C1700" s="46" t="s">
        <v>88</v>
      </c>
      <c r="D1700" s="46" t="s">
        <v>178</v>
      </c>
      <c r="E1700" s="46">
        <v>4</v>
      </c>
      <c r="F1700" s="46" t="s">
        <v>60</v>
      </c>
      <c r="G1700" s="46">
        <v>3</v>
      </c>
      <c r="H1700" s="47">
        <v>47</v>
      </c>
      <c r="I1700" s="47" t="s">
        <v>159</v>
      </c>
      <c r="J1700" s="48">
        <v>0</v>
      </c>
      <c r="K1700" s="48">
        <v>0</v>
      </c>
      <c r="R1700" s="46">
        <f t="shared" si="171"/>
        <v>0</v>
      </c>
      <c r="S1700" s="46">
        <f t="shared" si="172"/>
        <v>0</v>
      </c>
      <c r="T1700" s="46">
        <f t="shared" si="176"/>
        <v>0</v>
      </c>
      <c r="U1700" s="46">
        <f t="shared" si="174"/>
        <v>0</v>
      </c>
      <c r="V1700" s="54">
        <f t="shared" si="175"/>
        <v>3.1666666666666665</v>
      </c>
    </row>
    <row r="1701" spans="1:22" x14ac:dyDescent="0.2">
      <c r="A1701" s="46" t="s">
        <v>154</v>
      </c>
      <c r="B1701" s="46" t="s">
        <v>208</v>
      </c>
      <c r="C1701" s="46" t="s">
        <v>88</v>
      </c>
      <c r="D1701" s="46" t="s">
        <v>178</v>
      </c>
      <c r="E1701" s="46">
        <v>4</v>
      </c>
      <c r="F1701" s="46" t="s">
        <v>62</v>
      </c>
      <c r="G1701" s="46">
        <v>2</v>
      </c>
      <c r="H1701" s="47" t="s">
        <v>79</v>
      </c>
      <c r="I1701" s="47" t="s">
        <v>127</v>
      </c>
      <c r="J1701" s="48">
        <v>0</v>
      </c>
      <c r="K1701" s="48">
        <v>0</v>
      </c>
      <c r="R1701" s="46">
        <f t="shared" si="171"/>
        <v>0</v>
      </c>
      <c r="S1701" s="46">
        <f t="shared" si="172"/>
        <v>0</v>
      </c>
      <c r="T1701" s="46">
        <f t="shared" si="176"/>
        <v>0</v>
      </c>
      <c r="U1701" s="46">
        <f t="shared" si="174"/>
        <v>0</v>
      </c>
      <c r="V1701" s="54">
        <f t="shared" si="175"/>
        <v>3.1666666666666665</v>
      </c>
    </row>
    <row r="1702" spans="1:22" x14ac:dyDescent="0.2">
      <c r="A1702" s="46" t="s">
        <v>154</v>
      </c>
      <c r="B1702" s="46" t="s">
        <v>208</v>
      </c>
      <c r="C1702" s="46" t="s">
        <v>88</v>
      </c>
      <c r="D1702" s="46" t="s">
        <v>178</v>
      </c>
      <c r="E1702" s="46">
        <v>3</v>
      </c>
      <c r="F1702" s="46" t="s">
        <v>62</v>
      </c>
      <c r="G1702" s="46">
        <v>3</v>
      </c>
      <c r="H1702" s="47" t="s">
        <v>80</v>
      </c>
      <c r="I1702" s="47" t="s">
        <v>116</v>
      </c>
      <c r="J1702" s="48">
        <v>0</v>
      </c>
      <c r="K1702" s="48">
        <v>0</v>
      </c>
      <c r="R1702" s="46">
        <f t="shared" si="171"/>
        <v>0</v>
      </c>
      <c r="S1702" s="46">
        <f t="shared" si="172"/>
        <v>0</v>
      </c>
      <c r="T1702" s="46">
        <f t="shared" si="176"/>
        <v>0</v>
      </c>
      <c r="U1702" s="46">
        <f t="shared" si="174"/>
        <v>0</v>
      </c>
      <c r="V1702" s="54">
        <f t="shared" si="175"/>
        <v>3.1666666666666665</v>
      </c>
    </row>
    <row r="1703" spans="1:22" x14ac:dyDescent="0.2">
      <c r="A1703" s="46" t="s">
        <v>154</v>
      </c>
      <c r="B1703" s="46" t="s">
        <v>208</v>
      </c>
      <c r="C1703" s="46" t="s">
        <v>88</v>
      </c>
      <c r="D1703" s="46" t="s">
        <v>178</v>
      </c>
      <c r="E1703" s="46">
        <v>3</v>
      </c>
      <c r="F1703" s="46" t="s">
        <v>62</v>
      </c>
      <c r="G1703" s="46">
        <v>2</v>
      </c>
      <c r="H1703" s="47" t="s">
        <v>82</v>
      </c>
      <c r="I1703" s="47" t="s">
        <v>127</v>
      </c>
      <c r="J1703" s="48">
        <v>0</v>
      </c>
      <c r="K1703" s="48">
        <v>1</v>
      </c>
      <c r="R1703" s="46">
        <f t="shared" si="171"/>
        <v>0</v>
      </c>
      <c r="S1703" s="46">
        <f t="shared" si="172"/>
        <v>0</v>
      </c>
      <c r="T1703" s="46">
        <f t="shared" si="176"/>
        <v>0</v>
      </c>
      <c r="U1703" s="46">
        <f t="shared" si="174"/>
        <v>0</v>
      </c>
      <c r="V1703" s="54">
        <f t="shared" si="175"/>
        <v>3.1666666666666665</v>
      </c>
    </row>
    <row r="1704" spans="1:22" x14ac:dyDescent="0.2">
      <c r="A1704" s="46" t="s">
        <v>154</v>
      </c>
      <c r="B1704" s="46" t="s">
        <v>208</v>
      </c>
      <c r="C1704" s="46" t="s">
        <v>88</v>
      </c>
      <c r="D1704" s="46" t="s">
        <v>178</v>
      </c>
      <c r="E1704" s="46">
        <v>4</v>
      </c>
      <c r="F1704" s="46" t="s">
        <v>62</v>
      </c>
      <c r="G1704" s="46">
        <v>3</v>
      </c>
      <c r="H1704" s="47" t="s">
        <v>84</v>
      </c>
      <c r="I1704" s="47" t="s">
        <v>219</v>
      </c>
      <c r="J1704" s="48">
        <v>0</v>
      </c>
      <c r="K1704" s="48">
        <v>0</v>
      </c>
      <c r="R1704" s="46">
        <f t="shared" si="171"/>
        <v>0</v>
      </c>
      <c r="S1704" s="46">
        <f t="shared" si="172"/>
        <v>0</v>
      </c>
      <c r="T1704" s="46">
        <f t="shared" si="176"/>
        <v>0</v>
      </c>
      <c r="U1704" s="46">
        <f t="shared" si="174"/>
        <v>0</v>
      </c>
      <c r="V1704" s="54">
        <f t="shared" si="175"/>
        <v>3.1666666666666665</v>
      </c>
    </row>
    <row r="1705" spans="1:22" x14ac:dyDescent="0.2">
      <c r="A1705" s="46" t="s">
        <v>154</v>
      </c>
      <c r="B1705" s="46" t="s">
        <v>208</v>
      </c>
      <c r="C1705" s="46" t="s">
        <v>88</v>
      </c>
      <c r="D1705" s="46" t="s">
        <v>178</v>
      </c>
      <c r="E1705" s="46">
        <v>3</v>
      </c>
      <c r="F1705" s="46" t="s">
        <v>62</v>
      </c>
      <c r="G1705" s="46">
        <v>2</v>
      </c>
      <c r="H1705" s="47" t="s">
        <v>86</v>
      </c>
      <c r="I1705" s="47" t="s">
        <v>127</v>
      </c>
      <c r="J1705" s="48">
        <v>0</v>
      </c>
      <c r="K1705" s="48">
        <v>0</v>
      </c>
      <c r="R1705" s="46">
        <f t="shared" si="171"/>
        <v>0</v>
      </c>
      <c r="S1705" s="46">
        <f t="shared" si="172"/>
        <v>0</v>
      </c>
      <c r="T1705" s="46">
        <f t="shared" si="176"/>
        <v>0</v>
      </c>
      <c r="U1705" s="46">
        <f t="shared" si="174"/>
        <v>0</v>
      </c>
      <c r="V1705" s="54">
        <f t="shared" si="175"/>
        <v>3.1666666666666665</v>
      </c>
    </row>
    <row r="1706" spans="1:22" x14ac:dyDescent="0.2">
      <c r="A1706" s="46" t="s">
        <v>154</v>
      </c>
      <c r="B1706" s="46" t="s">
        <v>208</v>
      </c>
      <c r="C1706" s="46" t="s">
        <v>88</v>
      </c>
      <c r="D1706" s="46" t="s">
        <v>178</v>
      </c>
      <c r="E1706" s="46">
        <v>4</v>
      </c>
      <c r="F1706" s="46" t="s">
        <v>62</v>
      </c>
      <c r="G1706" s="46">
        <v>3</v>
      </c>
      <c r="H1706" s="47" t="s">
        <v>87</v>
      </c>
      <c r="I1706" s="47" t="s">
        <v>219</v>
      </c>
      <c r="J1706" s="48">
        <v>0</v>
      </c>
      <c r="K1706" s="48">
        <v>1</v>
      </c>
      <c r="R1706" s="46">
        <f t="shared" si="171"/>
        <v>0</v>
      </c>
      <c r="S1706" s="46">
        <f t="shared" si="172"/>
        <v>0</v>
      </c>
      <c r="T1706" s="46">
        <f t="shared" si="176"/>
        <v>0</v>
      </c>
      <c r="U1706" s="46">
        <f t="shared" si="174"/>
        <v>0</v>
      </c>
      <c r="V1706" s="54">
        <f t="shared" si="175"/>
        <v>3.1666666666666665</v>
      </c>
    </row>
    <row r="1707" spans="1:22" x14ac:dyDescent="0.2">
      <c r="A1707" s="46" t="s">
        <v>154</v>
      </c>
      <c r="B1707" s="46" t="s">
        <v>208</v>
      </c>
      <c r="C1707" s="46" t="s">
        <v>88</v>
      </c>
      <c r="D1707" s="46" t="s">
        <v>178</v>
      </c>
      <c r="E1707" s="46">
        <v>3</v>
      </c>
      <c r="F1707" s="46" t="s">
        <v>62</v>
      </c>
      <c r="G1707" s="46">
        <v>3</v>
      </c>
      <c r="H1707" s="47" t="s">
        <v>64</v>
      </c>
      <c r="I1707" s="47" t="s">
        <v>116</v>
      </c>
      <c r="J1707" s="48">
        <v>0</v>
      </c>
      <c r="K1707" s="48">
        <v>0</v>
      </c>
      <c r="R1707" s="46">
        <f t="shared" si="171"/>
        <v>0</v>
      </c>
      <c r="S1707" s="46">
        <f t="shared" si="172"/>
        <v>0</v>
      </c>
      <c r="T1707" s="46">
        <f t="shared" si="176"/>
        <v>0</v>
      </c>
      <c r="U1707" s="46">
        <f t="shared" si="174"/>
        <v>0</v>
      </c>
      <c r="V1707" s="54">
        <f t="shared" si="175"/>
        <v>3.1666666666666665</v>
      </c>
    </row>
    <row r="1708" spans="1:22" x14ac:dyDescent="0.2">
      <c r="A1708" s="46" t="s">
        <v>154</v>
      </c>
      <c r="B1708" s="46" t="s">
        <v>208</v>
      </c>
      <c r="C1708" s="46" t="s">
        <v>88</v>
      </c>
      <c r="D1708" s="46" t="s">
        <v>178</v>
      </c>
      <c r="E1708" s="46">
        <v>3</v>
      </c>
      <c r="F1708" s="46" t="s">
        <v>62</v>
      </c>
      <c r="G1708" s="46">
        <v>2</v>
      </c>
      <c r="H1708" s="47" t="s">
        <v>83</v>
      </c>
      <c r="I1708" s="47" t="s">
        <v>127</v>
      </c>
      <c r="J1708" s="48">
        <v>0</v>
      </c>
      <c r="K1708" s="48">
        <v>0</v>
      </c>
      <c r="R1708" s="46">
        <f t="shared" si="171"/>
        <v>0</v>
      </c>
      <c r="S1708" s="46">
        <f t="shared" si="172"/>
        <v>0</v>
      </c>
      <c r="T1708" s="46">
        <f t="shared" si="176"/>
        <v>0</v>
      </c>
      <c r="U1708" s="46">
        <f t="shared" si="174"/>
        <v>0</v>
      </c>
      <c r="V1708" s="54">
        <f t="shared" si="175"/>
        <v>3.1666666666666665</v>
      </c>
    </row>
    <row r="1709" spans="1:22" x14ac:dyDescent="0.2">
      <c r="A1709" s="46" t="s">
        <v>154</v>
      </c>
      <c r="B1709" s="46" t="s">
        <v>208</v>
      </c>
      <c r="C1709" s="46" t="s">
        <v>88</v>
      </c>
      <c r="D1709" s="46" t="s">
        <v>178</v>
      </c>
      <c r="E1709" s="46">
        <v>2</v>
      </c>
      <c r="F1709" s="46" t="s">
        <v>63</v>
      </c>
      <c r="G1709" s="46">
        <v>4</v>
      </c>
      <c r="H1709" s="47" t="s">
        <v>146</v>
      </c>
      <c r="I1709" s="47" t="s">
        <v>102</v>
      </c>
      <c r="J1709" s="48">
        <v>0</v>
      </c>
      <c r="K1709" s="48">
        <v>0</v>
      </c>
      <c r="R1709" s="46">
        <f t="shared" si="171"/>
        <v>0</v>
      </c>
      <c r="S1709" s="46">
        <f t="shared" si="172"/>
        <v>0</v>
      </c>
      <c r="T1709" s="46">
        <f t="shared" si="176"/>
        <v>0</v>
      </c>
      <c r="U1709" s="46">
        <f t="shared" si="174"/>
        <v>0</v>
      </c>
      <c r="V1709" s="54">
        <f t="shared" si="175"/>
        <v>3.1666666666666665</v>
      </c>
    </row>
    <row r="1710" spans="1:22" x14ac:dyDescent="0.2">
      <c r="A1710" s="46" t="s">
        <v>154</v>
      </c>
      <c r="B1710" s="46" t="s">
        <v>208</v>
      </c>
      <c r="C1710" s="46" t="s">
        <v>88</v>
      </c>
      <c r="D1710" s="46" t="s">
        <v>178</v>
      </c>
      <c r="E1710" s="46">
        <v>1</v>
      </c>
      <c r="F1710" s="46" t="s">
        <v>63</v>
      </c>
      <c r="G1710" s="46">
        <v>4</v>
      </c>
      <c r="H1710" s="47" t="s">
        <v>151</v>
      </c>
      <c r="I1710" s="47" t="s">
        <v>102</v>
      </c>
      <c r="J1710" s="48">
        <v>0</v>
      </c>
      <c r="K1710" s="48">
        <v>0</v>
      </c>
      <c r="R1710" s="46">
        <f t="shared" si="171"/>
        <v>0</v>
      </c>
      <c r="S1710" s="46">
        <f t="shared" si="172"/>
        <v>0</v>
      </c>
      <c r="T1710" s="46">
        <f t="shared" si="176"/>
        <v>0</v>
      </c>
      <c r="U1710" s="46">
        <f t="shared" si="174"/>
        <v>0</v>
      </c>
      <c r="V1710" s="54">
        <f t="shared" si="175"/>
        <v>3.1666666666666665</v>
      </c>
    </row>
    <row r="1711" spans="1:22" x14ac:dyDescent="0.2">
      <c r="A1711" s="46" t="s">
        <v>154</v>
      </c>
      <c r="B1711" s="46" t="s">
        <v>208</v>
      </c>
      <c r="C1711" s="46" t="s">
        <v>88</v>
      </c>
      <c r="D1711" s="46" t="s">
        <v>178</v>
      </c>
      <c r="E1711" s="46">
        <v>2</v>
      </c>
      <c r="F1711" s="46" t="s">
        <v>63</v>
      </c>
      <c r="G1711" s="46">
        <v>4</v>
      </c>
      <c r="H1711" s="47" t="s">
        <v>151</v>
      </c>
      <c r="I1711" s="47" t="s">
        <v>102</v>
      </c>
      <c r="J1711" s="48">
        <v>0</v>
      </c>
      <c r="K1711" s="48">
        <v>0</v>
      </c>
      <c r="R1711" s="46">
        <f t="shared" si="171"/>
        <v>0</v>
      </c>
      <c r="S1711" s="46">
        <f t="shared" si="172"/>
        <v>0</v>
      </c>
      <c r="T1711" s="46">
        <f t="shared" si="176"/>
        <v>0</v>
      </c>
      <c r="U1711" s="46">
        <f t="shared" si="174"/>
        <v>0</v>
      </c>
      <c r="V1711" s="54">
        <f t="shared" si="175"/>
        <v>3.1666666666666665</v>
      </c>
    </row>
    <row r="1712" spans="1:22" x14ac:dyDescent="0.2">
      <c r="A1712" s="46" t="s">
        <v>154</v>
      </c>
      <c r="B1712" s="46" t="s">
        <v>208</v>
      </c>
      <c r="C1712" s="46" t="s">
        <v>88</v>
      </c>
      <c r="D1712" s="46" t="s">
        <v>178</v>
      </c>
      <c r="E1712" s="46">
        <v>1</v>
      </c>
      <c r="F1712" s="46" t="s">
        <v>63</v>
      </c>
      <c r="G1712" s="46">
        <v>4</v>
      </c>
      <c r="H1712" s="47" t="s">
        <v>152</v>
      </c>
      <c r="I1712" s="47" t="s">
        <v>102</v>
      </c>
      <c r="J1712" s="48">
        <v>0</v>
      </c>
      <c r="K1712" s="48">
        <v>0</v>
      </c>
      <c r="R1712" s="46">
        <f t="shared" si="171"/>
        <v>0</v>
      </c>
      <c r="S1712" s="46">
        <f t="shared" si="172"/>
        <v>0</v>
      </c>
      <c r="T1712" s="46">
        <f t="shared" si="176"/>
        <v>0</v>
      </c>
      <c r="U1712" s="46">
        <f t="shared" si="174"/>
        <v>0</v>
      </c>
      <c r="V1712" s="54">
        <f t="shared" si="175"/>
        <v>3.1666666666666665</v>
      </c>
    </row>
    <row r="1713" spans="1:22" x14ac:dyDescent="0.2">
      <c r="A1713" s="46" t="s">
        <v>154</v>
      </c>
      <c r="B1713" s="46" t="s">
        <v>208</v>
      </c>
      <c r="C1713" s="46" t="s">
        <v>88</v>
      </c>
      <c r="D1713" s="46" t="s">
        <v>178</v>
      </c>
      <c r="E1713" s="46">
        <v>2</v>
      </c>
      <c r="F1713" s="46" t="s">
        <v>63</v>
      </c>
      <c r="G1713" s="46">
        <v>4</v>
      </c>
      <c r="H1713" s="47" t="s">
        <v>172</v>
      </c>
      <c r="I1713" s="47" t="s">
        <v>102</v>
      </c>
      <c r="J1713" s="48">
        <v>0</v>
      </c>
      <c r="K1713" s="48">
        <v>0</v>
      </c>
      <c r="R1713" s="46">
        <f t="shared" si="171"/>
        <v>0</v>
      </c>
      <c r="S1713" s="46">
        <f t="shared" si="172"/>
        <v>0</v>
      </c>
      <c r="T1713" s="46">
        <f t="shared" si="176"/>
        <v>0</v>
      </c>
      <c r="U1713" s="46">
        <f t="shared" si="174"/>
        <v>0</v>
      </c>
      <c r="V1713" s="54">
        <f t="shared" si="175"/>
        <v>3.1666666666666665</v>
      </c>
    </row>
    <row r="1714" spans="1:22" x14ac:dyDescent="0.2">
      <c r="A1714" s="46" t="s">
        <v>154</v>
      </c>
      <c r="B1714" s="46" t="s">
        <v>208</v>
      </c>
      <c r="C1714" s="46" t="s">
        <v>88</v>
      </c>
      <c r="D1714" s="46" t="s">
        <v>178</v>
      </c>
      <c r="E1714" s="46">
        <v>2</v>
      </c>
      <c r="F1714" s="46" t="s">
        <v>60</v>
      </c>
      <c r="G1714" s="46">
        <v>2</v>
      </c>
      <c r="H1714" s="47">
        <v>26</v>
      </c>
      <c r="I1714" s="47" t="s">
        <v>127</v>
      </c>
      <c r="J1714" s="48">
        <v>1</v>
      </c>
      <c r="K1714" s="48">
        <v>0</v>
      </c>
      <c r="R1714" s="46">
        <f t="shared" si="171"/>
        <v>0</v>
      </c>
      <c r="S1714" s="46">
        <f t="shared" si="172"/>
        <v>0</v>
      </c>
      <c r="T1714" s="46">
        <f t="shared" si="176"/>
        <v>20</v>
      </c>
      <c r="U1714" s="46">
        <f t="shared" si="174"/>
        <v>20</v>
      </c>
      <c r="V1714" s="54">
        <f t="shared" si="175"/>
        <v>3.1666666666666665</v>
      </c>
    </row>
    <row r="1715" spans="1:22" x14ac:dyDescent="0.2">
      <c r="A1715" s="46" t="s">
        <v>154</v>
      </c>
      <c r="B1715" s="46" t="s">
        <v>208</v>
      </c>
      <c r="C1715" s="46" t="s">
        <v>88</v>
      </c>
      <c r="D1715" s="46" t="s">
        <v>178</v>
      </c>
      <c r="E1715" s="46">
        <v>1</v>
      </c>
      <c r="F1715" s="46" t="s">
        <v>60</v>
      </c>
      <c r="G1715" s="46">
        <v>4</v>
      </c>
      <c r="H1715" s="47">
        <v>32</v>
      </c>
      <c r="I1715" s="47" t="s">
        <v>102</v>
      </c>
      <c r="J1715" s="48">
        <v>1</v>
      </c>
      <c r="K1715" s="48">
        <v>0</v>
      </c>
      <c r="R1715" s="46">
        <f t="shared" si="171"/>
        <v>0</v>
      </c>
      <c r="S1715" s="46">
        <f t="shared" si="172"/>
        <v>0</v>
      </c>
      <c r="T1715" s="46">
        <f t="shared" si="176"/>
        <v>20</v>
      </c>
      <c r="U1715" s="46">
        <f t="shared" si="174"/>
        <v>20</v>
      </c>
      <c r="V1715" s="54">
        <f t="shared" si="175"/>
        <v>3.1666666666666665</v>
      </c>
    </row>
    <row r="1716" spans="1:22" x14ac:dyDescent="0.2">
      <c r="A1716" s="46" t="s">
        <v>154</v>
      </c>
      <c r="B1716" s="46" t="s">
        <v>208</v>
      </c>
      <c r="C1716" s="46" t="s">
        <v>88</v>
      </c>
      <c r="D1716" s="46" t="s">
        <v>178</v>
      </c>
      <c r="E1716" s="46">
        <v>1</v>
      </c>
      <c r="F1716" s="46" t="s">
        <v>60</v>
      </c>
      <c r="G1716" s="46">
        <v>2</v>
      </c>
      <c r="H1716" s="47">
        <v>38</v>
      </c>
      <c r="I1716" s="47" t="s">
        <v>127</v>
      </c>
      <c r="J1716" s="48">
        <v>1</v>
      </c>
      <c r="K1716" s="48">
        <v>0</v>
      </c>
      <c r="N1716" s="48">
        <v>1</v>
      </c>
      <c r="O1716" s="48">
        <v>1</v>
      </c>
      <c r="R1716" s="46">
        <f t="shared" si="171"/>
        <v>0</v>
      </c>
      <c r="S1716" s="46">
        <f t="shared" si="172"/>
        <v>0</v>
      </c>
      <c r="T1716" s="46">
        <f t="shared" si="176"/>
        <v>20</v>
      </c>
      <c r="U1716" s="46">
        <f t="shared" si="174"/>
        <v>25</v>
      </c>
      <c r="V1716" s="54">
        <f t="shared" si="175"/>
        <v>3.1666666666666665</v>
      </c>
    </row>
    <row r="1717" spans="1:22" x14ac:dyDescent="0.2">
      <c r="A1717" s="46" t="s">
        <v>154</v>
      </c>
      <c r="B1717" s="46" t="s">
        <v>208</v>
      </c>
      <c r="C1717" s="46" t="s">
        <v>88</v>
      </c>
      <c r="D1717" s="46" t="s">
        <v>178</v>
      </c>
      <c r="E1717" s="46">
        <v>3</v>
      </c>
      <c r="F1717" s="46" t="s">
        <v>60</v>
      </c>
      <c r="G1717" s="46">
        <v>3</v>
      </c>
      <c r="H1717" s="47">
        <v>43</v>
      </c>
      <c r="I1717" s="47" t="s">
        <v>116</v>
      </c>
      <c r="J1717" s="48">
        <v>1</v>
      </c>
      <c r="K1717" s="48">
        <v>0</v>
      </c>
      <c r="R1717" s="46">
        <f t="shared" si="171"/>
        <v>0</v>
      </c>
      <c r="S1717" s="46">
        <f t="shared" si="172"/>
        <v>0</v>
      </c>
      <c r="T1717" s="46">
        <f t="shared" si="176"/>
        <v>20</v>
      </c>
      <c r="U1717" s="46">
        <f t="shared" si="174"/>
        <v>20</v>
      </c>
      <c r="V1717" s="54">
        <f t="shared" si="175"/>
        <v>3.1666666666666665</v>
      </c>
    </row>
    <row r="1718" spans="1:22" x14ac:dyDescent="0.2">
      <c r="A1718" s="46" t="s">
        <v>154</v>
      </c>
      <c r="B1718" s="46" t="s">
        <v>208</v>
      </c>
      <c r="C1718" s="46" t="s">
        <v>88</v>
      </c>
      <c r="D1718" s="46" t="s">
        <v>178</v>
      </c>
      <c r="E1718" s="46">
        <v>1</v>
      </c>
      <c r="F1718" s="46" t="s">
        <v>60</v>
      </c>
      <c r="G1718" s="46">
        <v>3</v>
      </c>
      <c r="H1718" s="47">
        <v>47</v>
      </c>
      <c r="I1718" s="47" t="s">
        <v>116</v>
      </c>
      <c r="J1718" s="48">
        <v>1</v>
      </c>
      <c r="K1718" s="48">
        <v>0</v>
      </c>
      <c r="R1718" s="46">
        <f t="shared" si="171"/>
        <v>0</v>
      </c>
      <c r="S1718" s="46">
        <f t="shared" si="172"/>
        <v>0</v>
      </c>
      <c r="T1718" s="46">
        <f t="shared" si="176"/>
        <v>20</v>
      </c>
      <c r="U1718" s="46">
        <f t="shared" si="174"/>
        <v>20</v>
      </c>
      <c r="V1718" s="54">
        <f t="shared" si="175"/>
        <v>3.1666666666666665</v>
      </c>
    </row>
    <row r="1719" spans="1:22" x14ac:dyDescent="0.2">
      <c r="A1719" s="46" t="s">
        <v>154</v>
      </c>
      <c r="B1719" s="46" t="s">
        <v>208</v>
      </c>
      <c r="C1719" s="46" t="s">
        <v>88</v>
      </c>
      <c r="D1719" s="46" t="s">
        <v>178</v>
      </c>
      <c r="E1719" s="46">
        <v>1</v>
      </c>
      <c r="F1719" s="46" t="s">
        <v>63</v>
      </c>
      <c r="G1719" s="46">
        <v>4</v>
      </c>
      <c r="H1719" s="47" t="s">
        <v>147</v>
      </c>
      <c r="I1719" s="47" t="s">
        <v>102</v>
      </c>
      <c r="J1719" s="48">
        <v>1</v>
      </c>
      <c r="K1719" s="48">
        <v>0</v>
      </c>
      <c r="R1719" s="46">
        <f t="shared" si="171"/>
        <v>0</v>
      </c>
      <c r="S1719" s="46">
        <f t="shared" si="172"/>
        <v>0</v>
      </c>
      <c r="T1719" s="46">
        <f t="shared" si="176"/>
        <v>20</v>
      </c>
      <c r="U1719" s="46">
        <f t="shared" si="174"/>
        <v>20</v>
      </c>
      <c r="V1719" s="54">
        <f t="shared" si="175"/>
        <v>3.1666666666666665</v>
      </c>
    </row>
    <row r="1720" spans="1:22" x14ac:dyDescent="0.2">
      <c r="A1720" s="46" t="s">
        <v>154</v>
      </c>
      <c r="B1720" s="46" t="s">
        <v>208</v>
      </c>
      <c r="C1720" s="46" t="s">
        <v>88</v>
      </c>
      <c r="D1720" s="46" t="s">
        <v>178</v>
      </c>
      <c r="E1720" s="46">
        <v>2</v>
      </c>
      <c r="F1720" s="46" t="s">
        <v>63</v>
      </c>
      <c r="G1720" s="46">
        <v>4</v>
      </c>
      <c r="H1720" s="47" t="s">
        <v>148</v>
      </c>
      <c r="I1720" s="47" t="s">
        <v>102</v>
      </c>
      <c r="J1720" s="48">
        <v>1</v>
      </c>
      <c r="K1720" s="48">
        <v>0</v>
      </c>
      <c r="O1720" s="48">
        <v>1</v>
      </c>
      <c r="R1720" s="46">
        <f t="shared" si="171"/>
        <v>0</v>
      </c>
      <c r="S1720" s="46">
        <f t="shared" si="172"/>
        <v>0</v>
      </c>
      <c r="T1720" s="46">
        <f t="shared" si="176"/>
        <v>20</v>
      </c>
      <c r="U1720" s="46">
        <f t="shared" si="174"/>
        <v>30</v>
      </c>
      <c r="V1720" s="54">
        <f t="shared" si="175"/>
        <v>3.1666666666666665</v>
      </c>
    </row>
    <row r="1721" spans="1:22" x14ac:dyDescent="0.2">
      <c r="A1721" s="46" t="s">
        <v>154</v>
      </c>
      <c r="B1721" s="46" t="s">
        <v>208</v>
      </c>
      <c r="C1721" s="46" t="s">
        <v>88</v>
      </c>
      <c r="D1721" s="46" t="s">
        <v>178</v>
      </c>
      <c r="E1721" s="46">
        <v>5</v>
      </c>
      <c r="F1721" s="46" t="s">
        <v>60</v>
      </c>
      <c r="G1721" s="46">
        <v>2</v>
      </c>
      <c r="H1721" s="47">
        <v>2</v>
      </c>
      <c r="I1721" s="47" t="s">
        <v>127</v>
      </c>
      <c r="J1721" s="48">
        <v>0</v>
      </c>
      <c r="K1721" s="48">
        <v>0</v>
      </c>
      <c r="R1721" s="46">
        <f t="shared" si="171"/>
        <v>0</v>
      </c>
      <c r="S1721" s="46">
        <f t="shared" si="172"/>
        <v>0</v>
      </c>
      <c r="T1721" s="46">
        <f t="shared" si="176"/>
        <v>0</v>
      </c>
      <c r="U1721" s="46">
        <f t="shared" si="174"/>
        <v>0</v>
      </c>
      <c r="V1721" s="54">
        <f t="shared" si="175"/>
        <v>3.1666666666666665</v>
      </c>
    </row>
    <row r="1722" spans="1:22" x14ac:dyDescent="0.2">
      <c r="A1722" s="46" t="s">
        <v>154</v>
      </c>
      <c r="B1722" s="46" t="s">
        <v>208</v>
      </c>
      <c r="C1722" s="46" t="s">
        <v>88</v>
      </c>
      <c r="D1722" s="46" t="s">
        <v>178</v>
      </c>
      <c r="E1722" s="46">
        <v>5</v>
      </c>
      <c r="F1722" s="46" t="s">
        <v>60</v>
      </c>
      <c r="G1722" s="46">
        <v>1</v>
      </c>
      <c r="H1722" s="47">
        <v>5</v>
      </c>
      <c r="I1722" s="47" t="s">
        <v>101</v>
      </c>
      <c r="J1722" s="48">
        <v>0</v>
      </c>
      <c r="K1722" s="48">
        <v>0</v>
      </c>
      <c r="R1722" s="46">
        <f t="shared" si="171"/>
        <v>0</v>
      </c>
      <c r="S1722" s="46">
        <f t="shared" si="172"/>
        <v>0</v>
      </c>
      <c r="T1722" s="46">
        <f t="shared" si="176"/>
        <v>0</v>
      </c>
      <c r="U1722" s="46">
        <f t="shared" si="174"/>
        <v>0</v>
      </c>
      <c r="V1722" s="54">
        <f t="shared" si="175"/>
        <v>3.1666666666666665</v>
      </c>
    </row>
    <row r="1723" spans="1:22" x14ac:dyDescent="0.2">
      <c r="A1723" s="46" t="s">
        <v>154</v>
      </c>
      <c r="B1723" s="46" t="s">
        <v>208</v>
      </c>
      <c r="C1723" s="46" t="s">
        <v>88</v>
      </c>
      <c r="D1723" s="46" t="s">
        <v>178</v>
      </c>
      <c r="E1723" s="46">
        <v>5</v>
      </c>
      <c r="F1723" s="46" t="s">
        <v>60</v>
      </c>
      <c r="G1723" s="46">
        <v>1</v>
      </c>
      <c r="H1723" s="47">
        <v>13</v>
      </c>
      <c r="I1723" s="47" t="s">
        <v>101</v>
      </c>
      <c r="J1723" s="48">
        <v>0</v>
      </c>
      <c r="K1723" s="48">
        <v>0</v>
      </c>
      <c r="R1723" s="46">
        <f t="shared" si="171"/>
        <v>0</v>
      </c>
      <c r="S1723" s="46">
        <f t="shared" si="172"/>
        <v>0</v>
      </c>
      <c r="T1723" s="46">
        <f t="shared" si="176"/>
        <v>0</v>
      </c>
      <c r="U1723" s="46">
        <f t="shared" si="174"/>
        <v>0</v>
      </c>
      <c r="V1723" s="54">
        <f t="shared" si="175"/>
        <v>3.1666666666666665</v>
      </c>
    </row>
    <row r="1724" spans="1:22" x14ac:dyDescent="0.2">
      <c r="A1724" s="46" t="s">
        <v>154</v>
      </c>
      <c r="B1724" s="46" t="s">
        <v>208</v>
      </c>
      <c r="C1724" s="46" t="s">
        <v>88</v>
      </c>
      <c r="D1724" s="46" t="s">
        <v>178</v>
      </c>
      <c r="E1724" s="46">
        <v>5</v>
      </c>
      <c r="F1724" s="46" t="s">
        <v>60</v>
      </c>
      <c r="G1724" s="46">
        <v>3</v>
      </c>
      <c r="H1724" s="47">
        <v>23</v>
      </c>
      <c r="I1724" s="47" t="s">
        <v>159</v>
      </c>
      <c r="J1724" s="48">
        <v>0</v>
      </c>
      <c r="K1724" s="48">
        <v>0</v>
      </c>
      <c r="R1724" s="46">
        <f t="shared" si="171"/>
        <v>0</v>
      </c>
      <c r="S1724" s="46">
        <f t="shared" si="172"/>
        <v>0</v>
      </c>
      <c r="T1724" s="46">
        <f t="shared" si="176"/>
        <v>0</v>
      </c>
      <c r="U1724" s="46">
        <f t="shared" si="174"/>
        <v>0</v>
      </c>
      <c r="V1724" s="54">
        <f t="shared" si="175"/>
        <v>3.1666666666666665</v>
      </c>
    </row>
    <row r="1725" spans="1:22" x14ac:dyDescent="0.2">
      <c r="A1725" s="46" t="s">
        <v>154</v>
      </c>
      <c r="B1725" s="46" t="s">
        <v>208</v>
      </c>
      <c r="C1725" s="46" t="s">
        <v>88</v>
      </c>
      <c r="D1725" s="46" t="s">
        <v>178</v>
      </c>
      <c r="E1725" s="46">
        <v>5</v>
      </c>
      <c r="F1725" s="46" t="s">
        <v>60</v>
      </c>
      <c r="G1725" s="46">
        <v>4</v>
      </c>
      <c r="H1725" s="47">
        <v>32</v>
      </c>
      <c r="I1725" s="47" t="s">
        <v>102</v>
      </c>
      <c r="J1725" s="48">
        <v>0</v>
      </c>
      <c r="K1725" s="48">
        <v>0</v>
      </c>
      <c r="R1725" s="46">
        <f t="shared" si="171"/>
        <v>0</v>
      </c>
      <c r="S1725" s="46">
        <f t="shared" si="172"/>
        <v>0</v>
      </c>
      <c r="T1725" s="46">
        <f t="shared" si="176"/>
        <v>0</v>
      </c>
      <c r="U1725" s="46">
        <f t="shared" si="174"/>
        <v>0</v>
      </c>
      <c r="V1725" s="54">
        <f t="shared" si="175"/>
        <v>3.1666666666666665</v>
      </c>
    </row>
    <row r="1726" spans="1:22" x14ac:dyDescent="0.2">
      <c r="A1726" s="46" t="s">
        <v>154</v>
      </c>
      <c r="B1726" s="46" t="s">
        <v>208</v>
      </c>
      <c r="C1726" s="46" t="s">
        <v>88</v>
      </c>
      <c r="D1726" s="46" t="s">
        <v>178</v>
      </c>
      <c r="E1726" s="46">
        <v>5</v>
      </c>
      <c r="F1726" s="46" t="s">
        <v>60</v>
      </c>
      <c r="G1726" s="46">
        <v>3</v>
      </c>
      <c r="H1726" s="47">
        <v>43</v>
      </c>
      <c r="I1726" s="47" t="s">
        <v>159</v>
      </c>
      <c r="J1726" s="48">
        <v>0</v>
      </c>
      <c r="K1726" s="48">
        <v>0</v>
      </c>
      <c r="R1726" s="46">
        <f t="shared" si="171"/>
        <v>0</v>
      </c>
      <c r="S1726" s="46">
        <f t="shared" si="172"/>
        <v>0</v>
      </c>
      <c r="T1726" s="46">
        <f t="shared" si="176"/>
        <v>0</v>
      </c>
      <c r="U1726" s="46">
        <f t="shared" si="174"/>
        <v>0</v>
      </c>
      <c r="V1726" s="54">
        <f t="shared" si="175"/>
        <v>3.1666666666666665</v>
      </c>
    </row>
    <row r="1727" spans="1:22" x14ac:dyDescent="0.2">
      <c r="A1727" s="46" t="s">
        <v>154</v>
      </c>
      <c r="B1727" s="46" t="s">
        <v>208</v>
      </c>
      <c r="C1727" s="46" t="str">
        <f>VLOOKUP(B1727,$B$2:$C$3219,2,FALSE)</f>
        <v>ABC</v>
      </c>
      <c r="D1727" s="46" t="s">
        <v>178</v>
      </c>
      <c r="E1727" s="46">
        <v>5</v>
      </c>
      <c r="F1727" s="46" t="s">
        <v>63</v>
      </c>
      <c r="G1727" s="46">
        <v>4</v>
      </c>
      <c r="H1727" s="47" t="s">
        <v>148</v>
      </c>
      <c r="I1727" s="47" t="s">
        <v>102</v>
      </c>
      <c r="J1727" s="48">
        <v>0</v>
      </c>
      <c r="K1727" s="48">
        <v>0</v>
      </c>
      <c r="R1727" s="46">
        <f t="shared" si="171"/>
        <v>0</v>
      </c>
      <c r="S1727" s="46">
        <f t="shared" si="172"/>
        <v>0</v>
      </c>
      <c r="T1727" s="46">
        <f t="shared" si="176"/>
        <v>0</v>
      </c>
      <c r="U1727" s="46">
        <f t="shared" si="174"/>
        <v>0</v>
      </c>
      <c r="V1727" s="54">
        <f t="shared" si="175"/>
        <v>3.1666666666666665</v>
      </c>
    </row>
    <row r="1728" spans="1:22" x14ac:dyDescent="0.2">
      <c r="A1728" s="46" t="s">
        <v>154</v>
      </c>
      <c r="B1728" s="46" t="s">
        <v>208</v>
      </c>
      <c r="C1728" s="46" t="str">
        <f>VLOOKUP(B1728,$B$2:$C$3219,2,FALSE)</f>
        <v>ABC</v>
      </c>
      <c r="D1728" s="46" t="s">
        <v>178</v>
      </c>
      <c r="E1728" s="46">
        <v>5</v>
      </c>
      <c r="F1728" s="46" t="s">
        <v>63</v>
      </c>
      <c r="G1728" s="46">
        <v>4</v>
      </c>
      <c r="H1728" s="47" t="s">
        <v>150</v>
      </c>
      <c r="I1728" s="47" t="s">
        <v>102</v>
      </c>
      <c r="J1728" s="48">
        <v>0</v>
      </c>
      <c r="K1728" s="48">
        <v>1</v>
      </c>
      <c r="R1728" s="46">
        <f t="shared" si="171"/>
        <v>0</v>
      </c>
      <c r="S1728" s="46">
        <f t="shared" si="172"/>
        <v>0</v>
      </c>
      <c r="T1728" s="46">
        <f t="shared" si="176"/>
        <v>0</v>
      </c>
      <c r="U1728" s="46">
        <f t="shared" si="174"/>
        <v>0</v>
      </c>
      <c r="V1728" s="54">
        <f t="shared" si="175"/>
        <v>3.1666666666666665</v>
      </c>
    </row>
    <row r="1729" spans="1:22" x14ac:dyDescent="0.2">
      <c r="A1729" s="46" t="s">
        <v>154</v>
      </c>
      <c r="B1729" s="46" t="s">
        <v>208</v>
      </c>
      <c r="C1729" s="46" t="str">
        <f>VLOOKUP(B1729,$B$2:$C$3219,2,FALSE)</f>
        <v>ABC</v>
      </c>
      <c r="D1729" s="46" t="s">
        <v>178</v>
      </c>
      <c r="E1729" s="46">
        <v>5</v>
      </c>
      <c r="F1729" s="46" t="s">
        <v>63</v>
      </c>
      <c r="G1729" s="46">
        <v>4</v>
      </c>
      <c r="H1729" s="47" t="s">
        <v>152</v>
      </c>
      <c r="I1729" s="47" t="s">
        <v>102</v>
      </c>
      <c r="J1729" s="48">
        <v>0</v>
      </c>
      <c r="K1729" s="48">
        <v>0</v>
      </c>
      <c r="R1729" s="46">
        <f t="shared" si="171"/>
        <v>0</v>
      </c>
      <c r="S1729" s="46">
        <f t="shared" si="172"/>
        <v>0</v>
      </c>
      <c r="T1729" s="46">
        <f t="shared" si="176"/>
        <v>0</v>
      </c>
      <c r="U1729" s="46">
        <f t="shared" si="174"/>
        <v>0</v>
      </c>
      <c r="V1729" s="54">
        <f t="shared" si="175"/>
        <v>3.1666666666666665</v>
      </c>
    </row>
    <row r="1730" spans="1:22" x14ac:dyDescent="0.2">
      <c r="A1730" s="46" t="s">
        <v>42</v>
      </c>
      <c r="B1730" s="46" t="s">
        <v>118</v>
      </c>
      <c r="C1730" s="46" t="s">
        <v>95</v>
      </c>
      <c r="D1730" s="46" t="s">
        <v>178</v>
      </c>
      <c r="E1730" s="46">
        <v>3</v>
      </c>
      <c r="F1730" s="46" t="s">
        <v>60</v>
      </c>
      <c r="G1730" s="46">
        <v>3</v>
      </c>
      <c r="H1730" s="47">
        <v>7</v>
      </c>
      <c r="I1730" s="47" t="s">
        <v>116</v>
      </c>
      <c r="J1730" s="48">
        <v>0</v>
      </c>
      <c r="K1730" s="48">
        <v>1</v>
      </c>
      <c r="R1730" s="46">
        <f t="shared" ref="R1730:R1793" si="177">IF(J1730=4,1,0)</f>
        <v>0</v>
      </c>
      <c r="S1730" s="46">
        <f t="shared" ref="S1730:S1793" si="178">IF(K1730=3,1,0)</f>
        <v>0</v>
      </c>
      <c r="T1730" s="46">
        <f t="shared" ref="T1730:T1761" si="179">quizscore(J1730,K1730)</f>
        <v>0</v>
      </c>
      <c r="U1730" s="46">
        <f t="shared" ref="U1730:U1793" si="180">T1730+M1730*(20) + (SUM(O1730:Q1730)*(10)) - L1730*(5) - N1730*(5)</f>
        <v>0</v>
      </c>
      <c r="V1730" s="54">
        <f t="shared" ref="V1730:V1793" si="181">AVERAGEIFS(U:U,A:A,A1730,F:F,"Pre")</f>
        <v>43.5</v>
      </c>
    </row>
    <row r="1731" spans="1:22" x14ac:dyDescent="0.2">
      <c r="A1731" s="46" t="s">
        <v>42</v>
      </c>
      <c r="B1731" s="46" t="s">
        <v>118</v>
      </c>
      <c r="C1731" s="46" t="s">
        <v>95</v>
      </c>
      <c r="D1731" s="46" t="s">
        <v>178</v>
      </c>
      <c r="E1731" s="46">
        <v>4</v>
      </c>
      <c r="F1731" s="46" t="s">
        <v>60</v>
      </c>
      <c r="G1731" s="46">
        <v>2</v>
      </c>
      <c r="H1731" s="47">
        <v>26</v>
      </c>
      <c r="I1731" s="47" t="s">
        <v>127</v>
      </c>
      <c r="J1731" s="48">
        <v>0</v>
      </c>
      <c r="K1731" s="48">
        <v>1</v>
      </c>
      <c r="R1731" s="46">
        <f t="shared" si="177"/>
        <v>0</v>
      </c>
      <c r="S1731" s="46">
        <f t="shared" si="178"/>
        <v>0</v>
      </c>
      <c r="T1731" s="46">
        <f t="shared" si="179"/>
        <v>0</v>
      </c>
      <c r="U1731" s="46">
        <f t="shared" si="180"/>
        <v>0</v>
      </c>
      <c r="V1731" s="54">
        <f t="shared" si="181"/>
        <v>43.5</v>
      </c>
    </row>
    <row r="1732" spans="1:22" x14ac:dyDescent="0.2">
      <c r="A1732" s="46" t="s">
        <v>42</v>
      </c>
      <c r="B1732" s="46" t="s">
        <v>118</v>
      </c>
      <c r="C1732" s="46" t="s">
        <v>95</v>
      </c>
      <c r="D1732" s="46" t="s">
        <v>178</v>
      </c>
      <c r="E1732" s="46">
        <v>3</v>
      </c>
      <c r="F1732" s="46" t="s">
        <v>63</v>
      </c>
      <c r="G1732" s="46">
        <v>4</v>
      </c>
      <c r="H1732" s="47" t="s">
        <v>172</v>
      </c>
      <c r="I1732" s="47" t="s">
        <v>102</v>
      </c>
      <c r="J1732" s="48">
        <v>0</v>
      </c>
      <c r="K1732" s="48">
        <v>1</v>
      </c>
      <c r="R1732" s="46">
        <f t="shared" si="177"/>
        <v>0</v>
      </c>
      <c r="S1732" s="46">
        <f t="shared" si="178"/>
        <v>0</v>
      </c>
      <c r="T1732" s="46">
        <f t="shared" si="179"/>
        <v>0</v>
      </c>
      <c r="U1732" s="46">
        <f t="shared" si="180"/>
        <v>0</v>
      </c>
      <c r="V1732" s="54">
        <f t="shared" si="181"/>
        <v>43.5</v>
      </c>
    </row>
    <row r="1733" spans="1:22" x14ac:dyDescent="0.2">
      <c r="A1733" s="46" t="s">
        <v>42</v>
      </c>
      <c r="B1733" s="46" t="s">
        <v>118</v>
      </c>
      <c r="C1733" s="46" t="s">
        <v>95</v>
      </c>
      <c r="D1733" s="46" t="s">
        <v>178</v>
      </c>
      <c r="E1733" s="46">
        <v>1</v>
      </c>
      <c r="F1733" s="46" t="s">
        <v>60</v>
      </c>
      <c r="G1733" s="46">
        <v>3</v>
      </c>
      <c r="H1733" s="47">
        <v>23</v>
      </c>
      <c r="I1733" s="47" t="s">
        <v>116</v>
      </c>
      <c r="J1733" s="48">
        <v>1</v>
      </c>
      <c r="K1733" s="48">
        <v>2</v>
      </c>
      <c r="R1733" s="46">
        <f t="shared" si="177"/>
        <v>0</v>
      </c>
      <c r="S1733" s="46">
        <f t="shared" si="178"/>
        <v>0</v>
      </c>
      <c r="T1733" s="46">
        <f t="shared" si="179"/>
        <v>10</v>
      </c>
      <c r="U1733" s="46">
        <f t="shared" si="180"/>
        <v>10</v>
      </c>
      <c r="V1733" s="54">
        <f t="shared" si="181"/>
        <v>43.5</v>
      </c>
    </row>
    <row r="1734" spans="1:22" x14ac:dyDescent="0.2">
      <c r="A1734" s="46" t="s">
        <v>42</v>
      </c>
      <c r="B1734" s="46" t="s">
        <v>118</v>
      </c>
      <c r="C1734" s="46" t="s">
        <v>95</v>
      </c>
      <c r="D1734" s="46" t="s">
        <v>178</v>
      </c>
      <c r="E1734" s="46">
        <v>3</v>
      </c>
      <c r="F1734" s="46" t="s">
        <v>60</v>
      </c>
      <c r="G1734" s="46">
        <v>2</v>
      </c>
      <c r="H1734" s="47">
        <v>26</v>
      </c>
      <c r="I1734" s="47" t="s">
        <v>127</v>
      </c>
      <c r="J1734" s="48">
        <v>1</v>
      </c>
      <c r="K1734" s="48">
        <v>2</v>
      </c>
      <c r="R1734" s="46">
        <f t="shared" si="177"/>
        <v>0</v>
      </c>
      <c r="S1734" s="46">
        <f t="shared" si="178"/>
        <v>0</v>
      </c>
      <c r="T1734" s="46">
        <f t="shared" si="179"/>
        <v>10</v>
      </c>
      <c r="U1734" s="46">
        <f t="shared" si="180"/>
        <v>10</v>
      </c>
      <c r="V1734" s="54">
        <f t="shared" si="181"/>
        <v>43.5</v>
      </c>
    </row>
    <row r="1735" spans="1:22" x14ac:dyDescent="0.2">
      <c r="A1735" s="46" t="s">
        <v>42</v>
      </c>
      <c r="B1735" s="46" t="s">
        <v>118</v>
      </c>
      <c r="C1735" s="46" t="s">
        <v>95</v>
      </c>
      <c r="D1735" s="46" t="s">
        <v>178</v>
      </c>
      <c r="E1735" s="46">
        <v>4</v>
      </c>
      <c r="F1735" s="46" t="s">
        <v>60</v>
      </c>
      <c r="G1735" s="46">
        <v>4</v>
      </c>
      <c r="H1735" s="47">
        <v>8</v>
      </c>
      <c r="I1735" s="47" t="s">
        <v>102</v>
      </c>
      <c r="J1735" s="48">
        <v>1</v>
      </c>
      <c r="K1735" s="48">
        <v>0</v>
      </c>
      <c r="R1735" s="46">
        <f t="shared" si="177"/>
        <v>0</v>
      </c>
      <c r="S1735" s="46">
        <f t="shared" si="178"/>
        <v>0</v>
      </c>
      <c r="T1735" s="46">
        <f t="shared" si="179"/>
        <v>20</v>
      </c>
      <c r="U1735" s="46">
        <f t="shared" si="180"/>
        <v>20</v>
      </c>
      <c r="V1735" s="54">
        <f t="shared" si="181"/>
        <v>43.5</v>
      </c>
    </row>
    <row r="1736" spans="1:22" x14ac:dyDescent="0.2">
      <c r="A1736" s="46" t="s">
        <v>42</v>
      </c>
      <c r="B1736" s="46" t="s">
        <v>118</v>
      </c>
      <c r="C1736" s="46" t="s">
        <v>95</v>
      </c>
      <c r="D1736" s="46" t="s">
        <v>178</v>
      </c>
      <c r="E1736" s="46">
        <v>4</v>
      </c>
      <c r="F1736" s="46" t="s">
        <v>60</v>
      </c>
      <c r="G1736" s="46">
        <v>1</v>
      </c>
      <c r="H1736" s="47">
        <v>17</v>
      </c>
      <c r="I1736" s="47" t="s">
        <v>101</v>
      </c>
      <c r="J1736" s="48">
        <v>1</v>
      </c>
      <c r="K1736" s="48">
        <v>1</v>
      </c>
      <c r="R1736" s="46">
        <f t="shared" si="177"/>
        <v>0</v>
      </c>
      <c r="S1736" s="46">
        <f t="shared" si="178"/>
        <v>0</v>
      </c>
      <c r="T1736" s="46">
        <f t="shared" si="179"/>
        <v>20</v>
      </c>
      <c r="U1736" s="46">
        <f t="shared" si="180"/>
        <v>20</v>
      </c>
      <c r="V1736" s="54">
        <f t="shared" si="181"/>
        <v>43.5</v>
      </c>
    </row>
    <row r="1737" spans="1:22" x14ac:dyDescent="0.2">
      <c r="A1737" s="46" t="s">
        <v>42</v>
      </c>
      <c r="B1737" s="46" t="s">
        <v>118</v>
      </c>
      <c r="C1737" s="46" t="s">
        <v>95</v>
      </c>
      <c r="D1737" s="46" t="s">
        <v>178</v>
      </c>
      <c r="E1737" s="46">
        <v>3</v>
      </c>
      <c r="F1737" s="46" t="s">
        <v>60</v>
      </c>
      <c r="G1737" s="46">
        <v>4</v>
      </c>
      <c r="H1737" s="47">
        <v>40</v>
      </c>
      <c r="I1737" s="47" t="s">
        <v>102</v>
      </c>
      <c r="J1737" s="48">
        <v>1</v>
      </c>
      <c r="K1737" s="48">
        <v>0</v>
      </c>
      <c r="R1737" s="46">
        <f t="shared" si="177"/>
        <v>0</v>
      </c>
      <c r="S1737" s="46">
        <f t="shared" si="178"/>
        <v>0</v>
      </c>
      <c r="T1737" s="46">
        <f t="shared" si="179"/>
        <v>20</v>
      </c>
      <c r="U1737" s="46">
        <f t="shared" si="180"/>
        <v>20</v>
      </c>
      <c r="V1737" s="54">
        <f t="shared" si="181"/>
        <v>43.5</v>
      </c>
    </row>
    <row r="1738" spans="1:22" x14ac:dyDescent="0.2">
      <c r="A1738" s="46" t="s">
        <v>42</v>
      </c>
      <c r="B1738" s="46" t="s">
        <v>118</v>
      </c>
      <c r="C1738" s="46" t="s">
        <v>95</v>
      </c>
      <c r="D1738" s="46" t="s">
        <v>178</v>
      </c>
      <c r="E1738" s="46">
        <v>2</v>
      </c>
      <c r="F1738" s="46" t="s">
        <v>62</v>
      </c>
      <c r="G1738" s="46">
        <v>3</v>
      </c>
      <c r="H1738" s="47" t="s">
        <v>84</v>
      </c>
      <c r="I1738" s="47" t="s">
        <v>116</v>
      </c>
      <c r="J1738" s="48">
        <v>2</v>
      </c>
      <c r="K1738" s="48">
        <v>3</v>
      </c>
      <c r="R1738" s="46">
        <f t="shared" si="177"/>
        <v>0</v>
      </c>
      <c r="S1738" s="46">
        <f t="shared" si="178"/>
        <v>1</v>
      </c>
      <c r="T1738" s="46">
        <f t="shared" si="179"/>
        <v>20</v>
      </c>
      <c r="U1738" s="46">
        <f t="shared" si="180"/>
        <v>20</v>
      </c>
      <c r="V1738" s="54">
        <f t="shared" si="181"/>
        <v>43.5</v>
      </c>
    </row>
    <row r="1739" spans="1:22" x14ac:dyDescent="0.2">
      <c r="A1739" s="46" t="s">
        <v>42</v>
      </c>
      <c r="B1739" s="46" t="s">
        <v>118</v>
      </c>
      <c r="C1739" s="46" t="s">
        <v>95</v>
      </c>
      <c r="D1739" s="46" t="s">
        <v>178</v>
      </c>
      <c r="E1739" s="46">
        <v>3</v>
      </c>
      <c r="F1739" s="46" t="s">
        <v>63</v>
      </c>
      <c r="G1739" s="46">
        <v>4</v>
      </c>
      <c r="H1739" s="47" t="s">
        <v>149</v>
      </c>
      <c r="I1739" s="47" t="s">
        <v>102</v>
      </c>
      <c r="J1739" s="48">
        <v>1</v>
      </c>
      <c r="K1739" s="48">
        <v>0</v>
      </c>
      <c r="R1739" s="46">
        <f t="shared" si="177"/>
        <v>0</v>
      </c>
      <c r="S1739" s="46">
        <f t="shared" si="178"/>
        <v>0</v>
      </c>
      <c r="T1739" s="46">
        <f t="shared" si="179"/>
        <v>20</v>
      </c>
      <c r="U1739" s="46">
        <f t="shared" si="180"/>
        <v>20</v>
      </c>
      <c r="V1739" s="54">
        <f t="shared" si="181"/>
        <v>43.5</v>
      </c>
    </row>
    <row r="1740" spans="1:22" x14ac:dyDescent="0.2">
      <c r="A1740" s="46" t="s">
        <v>42</v>
      </c>
      <c r="B1740" s="46" t="s">
        <v>118</v>
      </c>
      <c r="C1740" s="46" t="s">
        <v>95</v>
      </c>
      <c r="D1740" s="46" t="s">
        <v>178</v>
      </c>
      <c r="E1740" s="46">
        <v>4</v>
      </c>
      <c r="F1740" s="46" t="s">
        <v>63</v>
      </c>
      <c r="G1740" s="46">
        <v>4</v>
      </c>
      <c r="H1740" s="47" t="s">
        <v>149</v>
      </c>
      <c r="I1740" s="47" t="s">
        <v>102</v>
      </c>
      <c r="J1740" s="48">
        <v>1</v>
      </c>
      <c r="K1740" s="48">
        <v>1</v>
      </c>
      <c r="R1740" s="46">
        <f t="shared" si="177"/>
        <v>0</v>
      </c>
      <c r="S1740" s="46">
        <f t="shared" si="178"/>
        <v>0</v>
      </c>
      <c r="T1740" s="46">
        <f t="shared" si="179"/>
        <v>20</v>
      </c>
      <c r="U1740" s="46">
        <f t="shared" si="180"/>
        <v>20</v>
      </c>
      <c r="V1740" s="54">
        <f t="shared" si="181"/>
        <v>43.5</v>
      </c>
    </row>
    <row r="1741" spans="1:22" x14ac:dyDescent="0.2">
      <c r="A1741" s="46" t="s">
        <v>42</v>
      </c>
      <c r="B1741" s="46" t="s">
        <v>118</v>
      </c>
      <c r="C1741" s="46" t="s">
        <v>95</v>
      </c>
      <c r="D1741" s="46" t="s">
        <v>178</v>
      </c>
      <c r="E1741" s="46">
        <v>3</v>
      </c>
      <c r="F1741" s="46" t="s">
        <v>63</v>
      </c>
      <c r="G1741" s="46">
        <v>4</v>
      </c>
      <c r="H1741" s="47" t="s">
        <v>152</v>
      </c>
      <c r="I1741" s="47" t="s">
        <v>102</v>
      </c>
      <c r="J1741" s="48">
        <v>1</v>
      </c>
      <c r="K1741" s="48">
        <v>1</v>
      </c>
      <c r="R1741" s="46">
        <f t="shared" si="177"/>
        <v>0</v>
      </c>
      <c r="S1741" s="46">
        <f t="shared" si="178"/>
        <v>0</v>
      </c>
      <c r="T1741" s="46">
        <f t="shared" si="179"/>
        <v>20</v>
      </c>
      <c r="U1741" s="46">
        <f t="shared" si="180"/>
        <v>20</v>
      </c>
      <c r="V1741" s="54">
        <f t="shared" si="181"/>
        <v>43.5</v>
      </c>
    </row>
    <row r="1742" spans="1:22" x14ac:dyDescent="0.2">
      <c r="A1742" s="46" t="s">
        <v>42</v>
      </c>
      <c r="B1742" s="46" t="s">
        <v>118</v>
      </c>
      <c r="C1742" s="46" t="s">
        <v>95</v>
      </c>
      <c r="D1742" s="46" t="s">
        <v>178</v>
      </c>
      <c r="E1742" s="46">
        <v>2</v>
      </c>
      <c r="F1742" s="46" t="s">
        <v>62</v>
      </c>
      <c r="G1742" s="46">
        <v>2</v>
      </c>
      <c r="H1742" s="47" t="s">
        <v>81</v>
      </c>
      <c r="I1742" s="47" t="s">
        <v>127</v>
      </c>
      <c r="J1742" s="48">
        <v>2</v>
      </c>
      <c r="K1742" s="48">
        <v>2</v>
      </c>
      <c r="R1742" s="46">
        <f t="shared" si="177"/>
        <v>0</v>
      </c>
      <c r="S1742" s="46">
        <f t="shared" si="178"/>
        <v>0</v>
      </c>
      <c r="T1742" s="46">
        <f t="shared" si="179"/>
        <v>30</v>
      </c>
      <c r="U1742" s="46">
        <f t="shared" si="180"/>
        <v>30</v>
      </c>
      <c r="V1742" s="54">
        <f t="shared" si="181"/>
        <v>43.5</v>
      </c>
    </row>
    <row r="1743" spans="1:22" x14ac:dyDescent="0.2">
      <c r="A1743" s="46" t="s">
        <v>42</v>
      </c>
      <c r="B1743" s="46" t="s">
        <v>118</v>
      </c>
      <c r="C1743" s="46" t="s">
        <v>95</v>
      </c>
      <c r="D1743" s="46" t="s">
        <v>178</v>
      </c>
      <c r="E1743" s="46">
        <v>1</v>
      </c>
      <c r="F1743" s="46" t="s">
        <v>62</v>
      </c>
      <c r="G1743" s="46">
        <v>3</v>
      </c>
      <c r="H1743" s="47" t="s">
        <v>64</v>
      </c>
      <c r="I1743" s="47" t="s">
        <v>116</v>
      </c>
      <c r="J1743" s="48">
        <v>2</v>
      </c>
      <c r="K1743" s="48">
        <v>2</v>
      </c>
      <c r="R1743" s="46">
        <f t="shared" si="177"/>
        <v>0</v>
      </c>
      <c r="S1743" s="46">
        <f t="shared" si="178"/>
        <v>0</v>
      </c>
      <c r="T1743" s="46">
        <f t="shared" si="179"/>
        <v>30</v>
      </c>
      <c r="U1743" s="46">
        <f t="shared" si="180"/>
        <v>30</v>
      </c>
      <c r="V1743" s="54">
        <f t="shared" si="181"/>
        <v>43.5</v>
      </c>
    </row>
    <row r="1744" spans="1:22" x14ac:dyDescent="0.2">
      <c r="A1744" s="46" t="s">
        <v>42</v>
      </c>
      <c r="B1744" s="46" t="s">
        <v>118</v>
      </c>
      <c r="C1744" s="46" t="s">
        <v>95</v>
      </c>
      <c r="D1744" s="46" t="s">
        <v>178</v>
      </c>
      <c r="E1744" s="46">
        <v>1</v>
      </c>
      <c r="F1744" s="46" t="s">
        <v>60</v>
      </c>
      <c r="G1744" s="46">
        <v>1</v>
      </c>
      <c r="H1744" s="47">
        <v>5</v>
      </c>
      <c r="I1744" s="47" t="s">
        <v>101</v>
      </c>
      <c r="J1744" s="48">
        <v>2</v>
      </c>
      <c r="K1744" s="48">
        <v>1</v>
      </c>
      <c r="R1744" s="46">
        <f t="shared" si="177"/>
        <v>0</v>
      </c>
      <c r="S1744" s="46">
        <f t="shared" si="178"/>
        <v>0</v>
      </c>
      <c r="T1744" s="46">
        <f t="shared" si="179"/>
        <v>40</v>
      </c>
      <c r="U1744" s="46">
        <f t="shared" si="180"/>
        <v>40</v>
      </c>
      <c r="V1744" s="54">
        <f t="shared" si="181"/>
        <v>43.5</v>
      </c>
    </row>
    <row r="1745" spans="1:22" x14ac:dyDescent="0.2">
      <c r="A1745" s="46" t="s">
        <v>42</v>
      </c>
      <c r="B1745" s="46" t="s">
        <v>118</v>
      </c>
      <c r="C1745" s="46" t="s">
        <v>95</v>
      </c>
      <c r="D1745" s="46" t="s">
        <v>178</v>
      </c>
      <c r="E1745" s="46">
        <v>2</v>
      </c>
      <c r="F1745" s="46" t="s">
        <v>60</v>
      </c>
      <c r="G1745" s="46">
        <v>2</v>
      </c>
      <c r="H1745" s="47">
        <v>14</v>
      </c>
      <c r="I1745" s="47" t="s">
        <v>127</v>
      </c>
      <c r="J1745" s="48">
        <v>2</v>
      </c>
      <c r="K1745" s="48">
        <v>0</v>
      </c>
      <c r="R1745" s="46">
        <f t="shared" si="177"/>
        <v>0</v>
      </c>
      <c r="S1745" s="46">
        <f t="shared" si="178"/>
        <v>0</v>
      </c>
      <c r="T1745" s="46">
        <f t="shared" si="179"/>
        <v>40</v>
      </c>
      <c r="U1745" s="46">
        <f t="shared" si="180"/>
        <v>40</v>
      </c>
      <c r="V1745" s="54">
        <f t="shared" si="181"/>
        <v>43.5</v>
      </c>
    </row>
    <row r="1746" spans="1:22" x14ac:dyDescent="0.2">
      <c r="A1746" s="46" t="s">
        <v>42</v>
      </c>
      <c r="B1746" s="46" t="s">
        <v>118</v>
      </c>
      <c r="C1746" s="46" t="s">
        <v>95</v>
      </c>
      <c r="D1746" s="46" t="s">
        <v>178</v>
      </c>
      <c r="E1746" s="46">
        <v>4</v>
      </c>
      <c r="F1746" s="46" t="s">
        <v>60</v>
      </c>
      <c r="G1746" s="46">
        <v>3</v>
      </c>
      <c r="H1746" s="47">
        <v>15</v>
      </c>
      <c r="I1746" s="47" t="s">
        <v>159</v>
      </c>
      <c r="J1746" s="48">
        <v>2</v>
      </c>
      <c r="K1746" s="48">
        <v>0</v>
      </c>
      <c r="R1746" s="46">
        <f t="shared" si="177"/>
        <v>0</v>
      </c>
      <c r="S1746" s="46">
        <f t="shared" si="178"/>
        <v>0</v>
      </c>
      <c r="T1746" s="46">
        <f t="shared" si="179"/>
        <v>40</v>
      </c>
      <c r="U1746" s="46">
        <f t="shared" si="180"/>
        <v>40</v>
      </c>
      <c r="V1746" s="54">
        <f t="shared" si="181"/>
        <v>43.5</v>
      </c>
    </row>
    <row r="1747" spans="1:22" x14ac:dyDescent="0.2">
      <c r="A1747" s="46" t="s">
        <v>42</v>
      </c>
      <c r="B1747" s="46" t="s">
        <v>118</v>
      </c>
      <c r="C1747" s="46" t="s">
        <v>95</v>
      </c>
      <c r="D1747" s="46" t="s">
        <v>178</v>
      </c>
      <c r="E1747" s="46">
        <v>2</v>
      </c>
      <c r="F1747" s="46" t="s">
        <v>60</v>
      </c>
      <c r="G1747" s="46">
        <v>1</v>
      </c>
      <c r="H1747" s="47">
        <v>25</v>
      </c>
      <c r="I1747" s="47" t="s">
        <v>101</v>
      </c>
      <c r="J1747" s="48">
        <v>2</v>
      </c>
      <c r="K1747" s="48">
        <v>0</v>
      </c>
      <c r="R1747" s="46">
        <f t="shared" si="177"/>
        <v>0</v>
      </c>
      <c r="S1747" s="46">
        <f t="shared" si="178"/>
        <v>0</v>
      </c>
      <c r="T1747" s="46">
        <f t="shared" si="179"/>
        <v>40</v>
      </c>
      <c r="U1747" s="46">
        <f t="shared" si="180"/>
        <v>40</v>
      </c>
      <c r="V1747" s="54">
        <f t="shared" si="181"/>
        <v>43.5</v>
      </c>
    </row>
    <row r="1748" spans="1:22" x14ac:dyDescent="0.2">
      <c r="A1748" s="46" t="s">
        <v>42</v>
      </c>
      <c r="B1748" s="46" t="s">
        <v>118</v>
      </c>
      <c r="C1748" s="46" t="s">
        <v>95</v>
      </c>
      <c r="D1748" s="46" t="s">
        <v>178</v>
      </c>
      <c r="E1748" s="46">
        <v>1</v>
      </c>
      <c r="F1748" s="46" t="s">
        <v>60</v>
      </c>
      <c r="G1748" s="46">
        <v>2</v>
      </c>
      <c r="H1748" s="47">
        <v>38</v>
      </c>
      <c r="I1748" s="47" t="s">
        <v>127</v>
      </c>
      <c r="J1748" s="48">
        <v>3</v>
      </c>
      <c r="K1748" s="48">
        <v>3</v>
      </c>
      <c r="R1748" s="46">
        <f t="shared" si="177"/>
        <v>0</v>
      </c>
      <c r="S1748" s="46">
        <f t="shared" si="178"/>
        <v>1</v>
      </c>
      <c r="T1748" s="46">
        <f t="shared" si="179"/>
        <v>40</v>
      </c>
      <c r="U1748" s="46">
        <f t="shared" si="180"/>
        <v>40</v>
      </c>
      <c r="V1748" s="54">
        <f t="shared" si="181"/>
        <v>43.5</v>
      </c>
    </row>
    <row r="1749" spans="1:22" x14ac:dyDescent="0.2">
      <c r="A1749" s="46" t="s">
        <v>42</v>
      </c>
      <c r="B1749" s="46" t="s">
        <v>118</v>
      </c>
      <c r="C1749" s="46" t="s">
        <v>95</v>
      </c>
      <c r="D1749" s="46" t="s">
        <v>178</v>
      </c>
      <c r="E1749" s="46">
        <v>3</v>
      </c>
      <c r="F1749" s="46" t="s">
        <v>60</v>
      </c>
      <c r="G1749" s="46">
        <v>1</v>
      </c>
      <c r="H1749" s="47">
        <v>45</v>
      </c>
      <c r="I1749" s="47" t="s">
        <v>101</v>
      </c>
      <c r="J1749" s="48">
        <v>2</v>
      </c>
      <c r="K1749" s="48">
        <v>0</v>
      </c>
      <c r="R1749" s="46">
        <f t="shared" si="177"/>
        <v>0</v>
      </c>
      <c r="S1749" s="46">
        <f t="shared" si="178"/>
        <v>0</v>
      </c>
      <c r="T1749" s="46">
        <f t="shared" si="179"/>
        <v>40</v>
      </c>
      <c r="U1749" s="46">
        <f t="shared" si="180"/>
        <v>40</v>
      </c>
      <c r="V1749" s="54">
        <f t="shared" si="181"/>
        <v>43.5</v>
      </c>
    </row>
    <row r="1750" spans="1:22" x14ac:dyDescent="0.2">
      <c r="A1750" s="46" t="s">
        <v>42</v>
      </c>
      <c r="B1750" s="46" t="s">
        <v>118</v>
      </c>
      <c r="C1750" s="46" t="s">
        <v>95</v>
      </c>
      <c r="D1750" s="46" t="s">
        <v>178</v>
      </c>
      <c r="E1750" s="46">
        <v>4</v>
      </c>
      <c r="F1750" s="46" t="s">
        <v>60</v>
      </c>
      <c r="G1750" s="46">
        <v>1</v>
      </c>
      <c r="H1750" s="47">
        <v>49</v>
      </c>
      <c r="I1750" s="47" t="s">
        <v>101</v>
      </c>
      <c r="J1750" s="48">
        <v>2</v>
      </c>
      <c r="K1750" s="48">
        <v>1</v>
      </c>
      <c r="N1750" s="48">
        <v>1</v>
      </c>
      <c r="R1750" s="46">
        <f t="shared" si="177"/>
        <v>0</v>
      </c>
      <c r="S1750" s="46">
        <f t="shared" si="178"/>
        <v>0</v>
      </c>
      <c r="T1750" s="46">
        <f t="shared" si="179"/>
        <v>40</v>
      </c>
      <c r="U1750" s="46">
        <f t="shared" si="180"/>
        <v>35</v>
      </c>
      <c r="V1750" s="54">
        <f t="shared" si="181"/>
        <v>43.5</v>
      </c>
    </row>
    <row r="1751" spans="1:22" x14ac:dyDescent="0.2">
      <c r="A1751" s="46" t="s">
        <v>42</v>
      </c>
      <c r="B1751" s="46" t="s">
        <v>118</v>
      </c>
      <c r="C1751" s="46" t="s">
        <v>95</v>
      </c>
      <c r="D1751" s="46" t="s">
        <v>178</v>
      </c>
      <c r="E1751" s="46">
        <v>1</v>
      </c>
      <c r="F1751" s="46" t="s">
        <v>62</v>
      </c>
      <c r="G1751" s="46">
        <v>2</v>
      </c>
      <c r="H1751" s="47" t="s">
        <v>79</v>
      </c>
      <c r="I1751" s="47" t="s">
        <v>127</v>
      </c>
      <c r="J1751" s="48">
        <v>2</v>
      </c>
      <c r="K1751" s="48">
        <v>0</v>
      </c>
      <c r="R1751" s="46">
        <f t="shared" si="177"/>
        <v>0</v>
      </c>
      <c r="S1751" s="46">
        <f t="shared" si="178"/>
        <v>0</v>
      </c>
      <c r="T1751" s="46">
        <f t="shared" si="179"/>
        <v>40</v>
      </c>
      <c r="U1751" s="46">
        <f t="shared" si="180"/>
        <v>40</v>
      </c>
      <c r="V1751" s="54">
        <f t="shared" si="181"/>
        <v>43.5</v>
      </c>
    </row>
    <row r="1752" spans="1:22" x14ac:dyDescent="0.2">
      <c r="A1752" s="46" t="s">
        <v>42</v>
      </c>
      <c r="B1752" s="46" t="s">
        <v>118</v>
      </c>
      <c r="C1752" s="46" t="s">
        <v>95</v>
      </c>
      <c r="D1752" s="46" t="s">
        <v>178</v>
      </c>
      <c r="E1752" s="46">
        <v>2</v>
      </c>
      <c r="F1752" s="46" t="s">
        <v>62</v>
      </c>
      <c r="G1752" s="46">
        <v>2</v>
      </c>
      <c r="H1752" s="47" t="s">
        <v>83</v>
      </c>
      <c r="I1752" s="47" t="s">
        <v>127</v>
      </c>
      <c r="J1752" s="48">
        <v>2</v>
      </c>
      <c r="K1752" s="48">
        <v>0</v>
      </c>
      <c r="N1752" s="48">
        <v>1</v>
      </c>
      <c r="R1752" s="46">
        <f t="shared" si="177"/>
        <v>0</v>
      </c>
      <c r="S1752" s="46">
        <f t="shared" si="178"/>
        <v>0</v>
      </c>
      <c r="T1752" s="46">
        <f t="shared" si="179"/>
        <v>40</v>
      </c>
      <c r="U1752" s="46">
        <f t="shared" si="180"/>
        <v>35</v>
      </c>
      <c r="V1752" s="54">
        <f t="shared" si="181"/>
        <v>43.5</v>
      </c>
    </row>
    <row r="1753" spans="1:22" x14ac:dyDescent="0.2">
      <c r="A1753" s="46" t="s">
        <v>42</v>
      </c>
      <c r="B1753" s="46" t="s">
        <v>118</v>
      </c>
      <c r="C1753" s="46" t="s">
        <v>95</v>
      </c>
      <c r="D1753" s="46" t="s">
        <v>178</v>
      </c>
      <c r="E1753" s="46">
        <v>4</v>
      </c>
      <c r="F1753" s="46" t="s">
        <v>63</v>
      </c>
      <c r="G1753" s="46">
        <v>4</v>
      </c>
      <c r="H1753" s="47" t="s">
        <v>146</v>
      </c>
      <c r="I1753" s="47" t="s">
        <v>102</v>
      </c>
      <c r="J1753" s="48">
        <v>2</v>
      </c>
      <c r="K1753" s="48">
        <v>1</v>
      </c>
      <c r="R1753" s="46">
        <f t="shared" si="177"/>
        <v>0</v>
      </c>
      <c r="S1753" s="46">
        <f t="shared" si="178"/>
        <v>0</v>
      </c>
      <c r="T1753" s="46">
        <f t="shared" si="179"/>
        <v>40</v>
      </c>
      <c r="U1753" s="46">
        <f t="shared" si="180"/>
        <v>40</v>
      </c>
      <c r="V1753" s="54">
        <f t="shared" si="181"/>
        <v>43.5</v>
      </c>
    </row>
    <row r="1754" spans="1:22" x14ac:dyDescent="0.2">
      <c r="A1754" s="46" t="s">
        <v>42</v>
      </c>
      <c r="B1754" s="46" t="s">
        <v>118</v>
      </c>
      <c r="C1754" s="46" t="s">
        <v>95</v>
      </c>
      <c r="D1754" s="46" t="s">
        <v>178</v>
      </c>
      <c r="E1754" s="46">
        <v>2</v>
      </c>
      <c r="F1754" s="46" t="s">
        <v>60</v>
      </c>
      <c r="G1754" s="46">
        <v>2</v>
      </c>
      <c r="H1754" s="47">
        <v>18</v>
      </c>
      <c r="I1754" s="47" t="s">
        <v>127</v>
      </c>
      <c r="J1754" s="48">
        <v>3</v>
      </c>
      <c r="K1754" s="48">
        <v>2</v>
      </c>
      <c r="R1754" s="46">
        <f t="shared" si="177"/>
        <v>0</v>
      </c>
      <c r="S1754" s="46">
        <f t="shared" si="178"/>
        <v>0</v>
      </c>
      <c r="T1754" s="46">
        <f t="shared" si="179"/>
        <v>50</v>
      </c>
      <c r="U1754" s="46">
        <f t="shared" si="180"/>
        <v>50</v>
      </c>
      <c r="V1754" s="54">
        <f t="shared" si="181"/>
        <v>43.5</v>
      </c>
    </row>
    <row r="1755" spans="1:22" x14ac:dyDescent="0.2">
      <c r="A1755" s="46" t="s">
        <v>42</v>
      </c>
      <c r="B1755" s="46" t="s">
        <v>118</v>
      </c>
      <c r="C1755" s="46" t="s">
        <v>95</v>
      </c>
      <c r="D1755" s="46" t="s">
        <v>178</v>
      </c>
      <c r="E1755" s="46">
        <v>4</v>
      </c>
      <c r="F1755" s="46" t="s">
        <v>63</v>
      </c>
      <c r="G1755" s="46">
        <v>4</v>
      </c>
      <c r="H1755" s="47" t="s">
        <v>152</v>
      </c>
      <c r="I1755" s="47" t="s">
        <v>102</v>
      </c>
      <c r="J1755" s="48">
        <v>3</v>
      </c>
      <c r="K1755" s="48">
        <v>2</v>
      </c>
      <c r="R1755" s="46">
        <f t="shared" si="177"/>
        <v>0</v>
      </c>
      <c r="S1755" s="46">
        <f t="shared" si="178"/>
        <v>0</v>
      </c>
      <c r="T1755" s="46">
        <f t="shared" si="179"/>
        <v>50</v>
      </c>
      <c r="U1755" s="46">
        <f t="shared" si="180"/>
        <v>50</v>
      </c>
      <c r="V1755" s="54">
        <f t="shared" si="181"/>
        <v>43.5</v>
      </c>
    </row>
    <row r="1756" spans="1:22" x14ac:dyDescent="0.2">
      <c r="A1756" s="46" t="s">
        <v>42</v>
      </c>
      <c r="B1756" s="46" t="s">
        <v>118</v>
      </c>
      <c r="C1756" s="46" t="s">
        <v>95</v>
      </c>
      <c r="D1756" s="46" t="s">
        <v>178</v>
      </c>
      <c r="E1756" s="46">
        <v>2</v>
      </c>
      <c r="F1756" s="46" t="s">
        <v>60</v>
      </c>
      <c r="G1756" s="46">
        <v>1</v>
      </c>
      <c r="H1756" s="47">
        <v>5</v>
      </c>
      <c r="I1756" s="47" t="s">
        <v>101</v>
      </c>
      <c r="J1756" s="48">
        <v>3</v>
      </c>
      <c r="K1756" s="48">
        <v>1</v>
      </c>
      <c r="R1756" s="46">
        <f t="shared" si="177"/>
        <v>0</v>
      </c>
      <c r="S1756" s="46">
        <f t="shared" si="178"/>
        <v>0</v>
      </c>
      <c r="T1756" s="46">
        <f t="shared" si="179"/>
        <v>60</v>
      </c>
      <c r="U1756" s="46">
        <f t="shared" si="180"/>
        <v>60</v>
      </c>
      <c r="V1756" s="54">
        <f t="shared" si="181"/>
        <v>43.5</v>
      </c>
    </row>
    <row r="1757" spans="1:22" x14ac:dyDescent="0.2">
      <c r="A1757" s="46" t="s">
        <v>42</v>
      </c>
      <c r="B1757" s="46" t="s">
        <v>118</v>
      </c>
      <c r="C1757" s="46" t="s">
        <v>95</v>
      </c>
      <c r="D1757" s="46" t="s">
        <v>178</v>
      </c>
      <c r="E1757" s="46">
        <v>3</v>
      </c>
      <c r="F1757" s="46" t="s">
        <v>60</v>
      </c>
      <c r="G1757" s="46">
        <v>4</v>
      </c>
      <c r="H1757" s="47">
        <v>12</v>
      </c>
      <c r="I1757" s="47" t="s">
        <v>102</v>
      </c>
      <c r="J1757" s="48">
        <v>3</v>
      </c>
      <c r="K1757" s="48">
        <v>1</v>
      </c>
      <c r="R1757" s="46">
        <f t="shared" si="177"/>
        <v>0</v>
      </c>
      <c r="S1757" s="46">
        <f t="shared" si="178"/>
        <v>0</v>
      </c>
      <c r="T1757" s="46">
        <f t="shared" si="179"/>
        <v>60</v>
      </c>
      <c r="U1757" s="46">
        <f t="shared" si="180"/>
        <v>60</v>
      </c>
      <c r="V1757" s="54">
        <f t="shared" si="181"/>
        <v>43.5</v>
      </c>
    </row>
    <row r="1758" spans="1:22" x14ac:dyDescent="0.2">
      <c r="A1758" s="46" t="s">
        <v>42</v>
      </c>
      <c r="B1758" s="46" t="s">
        <v>118</v>
      </c>
      <c r="C1758" s="46" t="s">
        <v>95</v>
      </c>
      <c r="D1758" s="46" t="s">
        <v>178</v>
      </c>
      <c r="E1758" s="46">
        <v>3</v>
      </c>
      <c r="F1758" s="46" t="s">
        <v>60</v>
      </c>
      <c r="G1758" s="46">
        <v>1</v>
      </c>
      <c r="H1758" s="47">
        <v>17</v>
      </c>
      <c r="I1758" s="47" t="s">
        <v>101</v>
      </c>
      <c r="J1758" s="48">
        <v>3</v>
      </c>
      <c r="K1758" s="48">
        <v>0</v>
      </c>
      <c r="R1758" s="46">
        <f t="shared" si="177"/>
        <v>0</v>
      </c>
      <c r="S1758" s="46">
        <f t="shared" si="178"/>
        <v>0</v>
      </c>
      <c r="T1758" s="46">
        <f t="shared" si="179"/>
        <v>60</v>
      </c>
      <c r="U1758" s="46">
        <f t="shared" si="180"/>
        <v>60</v>
      </c>
      <c r="V1758" s="54">
        <f t="shared" si="181"/>
        <v>43.5</v>
      </c>
    </row>
    <row r="1759" spans="1:22" x14ac:dyDescent="0.2">
      <c r="A1759" s="46" t="s">
        <v>42</v>
      </c>
      <c r="B1759" s="46" t="s">
        <v>118</v>
      </c>
      <c r="C1759" s="46" t="s">
        <v>95</v>
      </c>
      <c r="D1759" s="46" t="s">
        <v>178</v>
      </c>
      <c r="E1759" s="46">
        <v>1</v>
      </c>
      <c r="F1759" s="46" t="s">
        <v>60</v>
      </c>
      <c r="G1759" s="46">
        <v>3</v>
      </c>
      <c r="H1759" s="47">
        <v>31</v>
      </c>
      <c r="I1759" s="47" t="s">
        <v>116</v>
      </c>
      <c r="J1759" s="48">
        <v>3</v>
      </c>
      <c r="K1759" s="48">
        <v>0</v>
      </c>
      <c r="M1759" s="48">
        <v>1</v>
      </c>
      <c r="R1759" s="46">
        <f t="shared" si="177"/>
        <v>0</v>
      </c>
      <c r="S1759" s="46">
        <f t="shared" si="178"/>
        <v>0</v>
      </c>
      <c r="T1759" s="46">
        <f t="shared" si="179"/>
        <v>60</v>
      </c>
      <c r="U1759" s="46">
        <f t="shared" si="180"/>
        <v>80</v>
      </c>
      <c r="V1759" s="54">
        <f t="shared" si="181"/>
        <v>43.5</v>
      </c>
    </row>
    <row r="1760" spans="1:22" x14ac:dyDescent="0.2">
      <c r="A1760" s="46" t="s">
        <v>42</v>
      </c>
      <c r="B1760" s="46" t="s">
        <v>118</v>
      </c>
      <c r="C1760" s="46" t="s">
        <v>95</v>
      </c>
      <c r="D1760" s="46" t="s">
        <v>178</v>
      </c>
      <c r="E1760" s="46">
        <v>2</v>
      </c>
      <c r="F1760" s="46" t="s">
        <v>60</v>
      </c>
      <c r="G1760" s="46">
        <v>4</v>
      </c>
      <c r="H1760" s="47">
        <v>44</v>
      </c>
      <c r="I1760" s="47" t="s">
        <v>102</v>
      </c>
      <c r="J1760" s="48">
        <v>3</v>
      </c>
      <c r="K1760" s="48">
        <v>0</v>
      </c>
      <c r="R1760" s="46">
        <f t="shared" si="177"/>
        <v>0</v>
      </c>
      <c r="S1760" s="46">
        <f t="shared" si="178"/>
        <v>0</v>
      </c>
      <c r="T1760" s="46">
        <f t="shared" si="179"/>
        <v>60</v>
      </c>
      <c r="U1760" s="46">
        <f t="shared" si="180"/>
        <v>60</v>
      </c>
      <c r="V1760" s="54">
        <f t="shared" si="181"/>
        <v>43.5</v>
      </c>
    </row>
    <row r="1761" spans="1:22" x14ac:dyDescent="0.2">
      <c r="A1761" s="46" t="s">
        <v>42</v>
      </c>
      <c r="B1761" s="46" t="s">
        <v>118</v>
      </c>
      <c r="C1761" s="46" t="s">
        <v>95</v>
      </c>
      <c r="D1761" s="46" t="s">
        <v>178</v>
      </c>
      <c r="E1761" s="46">
        <v>3</v>
      </c>
      <c r="F1761" s="46" t="s">
        <v>63</v>
      </c>
      <c r="G1761" s="46">
        <v>4</v>
      </c>
      <c r="H1761" s="47" t="s">
        <v>146</v>
      </c>
      <c r="I1761" s="47" t="s">
        <v>102</v>
      </c>
      <c r="J1761" s="48">
        <v>3</v>
      </c>
      <c r="K1761" s="48">
        <v>1</v>
      </c>
      <c r="R1761" s="46">
        <f t="shared" si="177"/>
        <v>0</v>
      </c>
      <c r="S1761" s="46">
        <f t="shared" si="178"/>
        <v>0</v>
      </c>
      <c r="T1761" s="46">
        <f t="shared" si="179"/>
        <v>60</v>
      </c>
      <c r="U1761" s="46">
        <f t="shared" si="180"/>
        <v>60</v>
      </c>
      <c r="V1761" s="54">
        <f t="shared" si="181"/>
        <v>43.5</v>
      </c>
    </row>
    <row r="1762" spans="1:22" x14ac:dyDescent="0.2">
      <c r="A1762" s="46" t="s">
        <v>42</v>
      </c>
      <c r="B1762" s="46" t="s">
        <v>118</v>
      </c>
      <c r="C1762" s="46" t="s">
        <v>95</v>
      </c>
      <c r="D1762" s="46" t="s">
        <v>178</v>
      </c>
      <c r="E1762" s="46">
        <v>1</v>
      </c>
      <c r="F1762" s="46" t="s">
        <v>60</v>
      </c>
      <c r="G1762" s="46">
        <v>4</v>
      </c>
      <c r="H1762" s="47">
        <v>12</v>
      </c>
      <c r="I1762" s="47" t="s">
        <v>102</v>
      </c>
      <c r="J1762" s="48">
        <v>4</v>
      </c>
      <c r="K1762" s="48">
        <v>2</v>
      </c>
      <c r="R1762" s="46">
        <f t="shared" si="177"/>
        <v>1</v>
      </c>
      <c r="S1762" s="46">
        <f t="shared" si="178"/>
        <v>0</v>
      </c>
      <c r="T1762" s="46">
        <f t="shared" ref="T1762:T1793" si="182">quizscore(J1762,K1762)</f>
        <v>70</v>
      </c>
      <c r="U1762" s="46">
        <f t="shared" si="180"/>
        <v>70</v>
      </c>
      <c r="V1762" s="54">
        <f t="shared" si="181"/>
        <v>43.5</v>
      </c>
    </row>
    <row r="1763" spans="1:22" x14ac:dyDescent="0.2">
      <c r="A1763" s="46" t="s">
        <v>42</v>
      </c>
      <c r="B1763" s="46" t="s">
        <v>118</v>
      </c>
      <c r="C1763" s="46" t="s">
        <v>95</v>
      </c>
      <c r="D1763" s="46" t="s">
        <v>178</v>
      </c>
      <c r="E1763" s="46">
        <v>1</v>
      </c>
      <c r="F1763" s="46" t="s">
        <v>62</v>
      </c>
      <c r="G1763" s="46">
        <v>3</v>
      </c>
      <c r="H1763" s="47" t="s">
        <v>87</v>
      </c>
      <c r="I1763" s="47" t="s">
        <v>116</v>
      </c>
      <c r="J1763" s="48">
        <v>4</v>
      </c>
      <c r="K1763" s="48">
        <v>1</v>
      </c>
      <c r="M1763" s="48">
        <v>1</v>
      </c>
      <c r="R1763" s="46">
        <f t="shared" si="177"/>
        <v>1</v>
      </c>
      <c r="S1763" s="46">
        <f t="shared" si="178"/>
        <v>0</v>
      </c>
      <c r="T1763" s="46">
        <f t="shared" si="182"/>
        <v>80</v>
      </c>
      <c r="U1763" s="46">
        <f t="shared" si="180"/>
        <v>100</v>
      </c>
      <c r="V1763" s="54">
        <f t="shared" si="181"/>
        <v>43.5</v>
      </c>
    </row>
    <row r="1764" spans="1:22" x14ac:dyDescent="0.2">
      <c r="A1764" s="46" t="s">
        <v>42</v>
      </c>
      <c r="B1764" s="46" t="s">
        <v>118</v>
      </c>
      <c r="C1764" s="46" t="s">
        <v>95</v>
      </c>
      <c r="D1764" s="46" t="s">
        <v>178</v>
      </c>
      <c r="E1764" s="46">
        <v>2</v>
      </c>
      <c r="F1764" s="46" t="s">
        <v>60</v>
      </c>
      <c r="G1764" s="46">
        <v>3</v>
      </c>
      <c r="H1764" s="47">
        <v>35</v>
      </c>
      <c r="I1764" s="47" t="s">
        <v>116</v>
      </c>
      <c r="J1764" s="48">
        <v>4</v>
      </c>
      <c r="K1764" s="48">
        <v>0</v>
      </c>
      <c r="R1764" s="46">
        <f t="shared" si="177"/>
        <v>1</v>
      </c>
      <c r="S1764" s="46">
        <f t="shared" si="178"/>
        <v>0</v>
      </c>
      <c r="T1764" s="46">
        <f t="shared" si="182"/>
        <v>90</v>
      </c>
      <c r="U1764" s="46">
        <f t="shared" si="180"/>
        <v>90</v>
      </c>
      <c r="V1764" s="54">
        <f t="shared" si="181"/>
        <v>43.5</v>
      </c>
    </row>
    <row r="1765" spans="1:22" x14ac:dyDescent="0.2">
      <c r="A1765" s="46" t="s">
        <v>42</v>
      </c>
      <c r="B1765" s="46" t="s">
        <v>118</v>
      </c>
      <c r="C1765" s="46" t="s">
        <v>95</v>
      </c>
      <c r="D1765" s="46" t="s">
        <v>178</v>
      </c>
      <c r="E1765" s="46">
        <v>4</v>
      </c>
      <c r="F1765" s="46" t="s">
        <v>60</v>
      </c>
      <c r="G1765" s="46">
        <v>2</v>
      </c>
      <c r="H1765" s="47">
        <v>38</v>
      </c>
      <c r="I1765" s="47" t="s">
        <v>127</v>
      </c>
      <c r="J1765" s="48">
        <v>4</v>
      </c>
      <c r="K1765" s="48">
        <v>0</v>
      </c>
      <c r="R1765" s="46">
        <f t="shared" si="177"/>
        <v>1</v>
      </c>
      <c r="S1765" s="46">
        <f t="shared" si="178"/>
        <v>0</v>
      </c>
      <c r="T1765" s="46">
        <f t="shared" si="182"/>
        <v>90</v>
      </c>
      <c r="U1765" s="46">
        <f t="shared" si="180"/>
        <v>90</v>
      </c>
      <c r="V1765" s="54">
        <f t="shared" si="181"/>
        <v>43.5</v>
      </c>
    </row>
    <row r="1766" spans="1:22" x14ac:dyDescent="0.2">
      <c r="A1766" s="46" t="s">
        <v>42</v>
      </c>
      <c r="B1766" s="46" t="s">
        <v>118</v>
      </c>
      <c r="C1766" s="46" t="s">
        <v>95</v>
      </c>
      <c r="D1766" s="46" t="s">
        <v>178</v>
      </c>
      <c r="E1766" s="46">
        <v>1</v>
      </c>
      <c r="F1766" s="46" t="s">
        <v>60</v>
      </c>
      <c r="G1766" s="46">
        <v>4</v>
      </c>
      <c r="H1766" s="47">
        <v>48</v>
      </c>
      <c r="I1766" s="47" t="s">
        <v>102</v>
      </c>
      <c r="J1766" s="48">
        <v>4</v>
      </c>
      <c r="K1766" s="48">
        <v>0</v>
      </c>
      <c r="R1766" s="46">
        <f t="shared" si="177"/>
        <v>1</v>
      </c>
      <c r="S1766" s="46">
        <f t="shared" si="178"/>
        <v>0</v>
      </c>
      <c r="T1766" s="46">
        <f t="shared" si="182"/>
        <v>90</v>
      </c>
      <c r="U1766" s="46">
        <f t="shared" si="180"/>
        <v>90</v>
      </c>
      <c r="V1766" s="54">
        <f t="shared" si="181"/>
        <v>43.5</v>
      </c>
    </row>
    <row r="1767" spans="1:22" x14ac:dyDescent="0.2">
      <c r="A1767" s="46" t="s">
        <v>42</v>
      </c>
      <c r="B1767" s="46" t="s">
        <v>118</v>
      </c>
      <c r="C1767" s="46" t="s">
        <v>95</v>
      </c>
      <c r="D1767" s="46" t="s">
        <v>178</v>
      </c>
      <c r="E1767" s="46">
        <v>1</v>
      </c>
      <c r="F1767" s="46" t="s">
        <v>62</v>
      </c>
      <c r="G1767" s="46">
        <v>3</v>
      </c>
      <c r="H1767" s="47" t="s">
        <v>85</v>
      </c>
      <c r="I1767" s="47" t="s">
        <v>116</v>
      </c>
      <c r="J1767" s="48">
        <v>4</v>
      </c>
      <c r="K1767" s="48">
        <v>0</v>
      </c>
      <c r="R1767" s="46">
        <f t="shared" si="177"/>
        <v>1</v>
      </c>
      <c r="S1767" s="46">
        <f t="shared" si="178"/>
        <v>0</v>
      </c>
      <c r="T1767" s="46">
        <f t="shared" si="182"/>
        <v>90</v>
      </c>
      <c r="U1767" s="46">
        <f t="shared" si="180"/>
        <v>90</v>
      </c>
      <c r="V1767" s="54">
        <f t="shared" si="181"/>
        <v>43.5</v>
      </c>
    </row>
    <row r="1768" spans="1:22" x14ac:dyDescent="0.2">
      <c r="A1768" s="46" t="s">
        <v>42</v>
      </c>
      <c r="B1768" s="46" t="s">
        <v>118</v>
      </c>
      <c r="C1768" s="46" t="s">
        <v>95</v>
      </c>
      <c r="D1768" s="46" t="s">
        <v>178</v>
      </c>
      <c r="E1768" s="46">
        <v>2</v>
      </c>
      <c r="F1768" s="46" t="s">
        <v>62</v>
      </c>
      <c r="G1768" s="46">
        <v>3</v>
      </c>
      <c r="H1768" s="47" t="s">
        <v>87</v>
      </c>
      <c r="I1768" s="47" t="s">
        <v>116</v>
      </c>
      <c r="J1768" s="48">
        <v>4</v>
      </c>
      <c r="K1768" s="48">
        <v>0</v>
      </c>
      <c r="R1768" s="46">
        <f t="shared" si="177"/>
        <v>1</v>
      </c>
      <c r="S1768" s="46">
        <f t="shared" si="178"/>
        <v>0</v>
      </c>
      <c r="T1768" s="46">
        <f t="shared" si="182"/>
        <v>90</v>
      </c>
      <c r="U1768" s="46">
        <f t="shared" si="180"/>
        <v>90</v>
      </c>
      <c r="V1768" s="54">
        <f t="shared" si="181"/>
        <v>43.5</v>
      </c>
    </row>
    <row r="1769" spans="1:22" x14ac:dyDescent="0.2">
      <c r="A1769" s="46" t="s">
        <v>42</v>
      </c>
      <c r="B1769" s="46" t="s">
        <v>118</v>
      </c>
      <c r="C1769" s="46" t="s">
        <v>95</v>
      </c>
      <c r="D1769" s="46" t="s">
        <v>178</v>
      </c>
      <c r="E1769" s="46">
        <v>2</v>
      </c>
      <c r="F1769" s="46" t="s">
        <v>62</v>
      </c>
      <c r="G1769" s="46">
        <v>3</v>
      </c>
      <c r="H1769" s="47" t="s">
        <v>64</v>
      </c>
      <c r="I1769" s="47" t="s">
        <v>116</v>
      </c>
      <c r="J1769" s="48">
        <v>4</v>
      </c>
      <c r="K1769" s="48">
        <v>0</v>
      </c>
      <c r="M1769" s="48">
        <v>1</v>
      </c>
      <c r="R1769" s="46">
        <f t="shared" si="177"/>
        <v>1</v>
      </c>
      <c r="S1769" s="46">
        <f t="shared" si="178"/>
        <v>0</v>
      </c>
      <c r="T1769" s="46">
        <f t="shared" si="182"/>
        <v>90</v>
      </c>
      <c r="U1769" s="46">
        <f t="shared" si="180"/>
        <v>110</v>
      </c>
      <c r="V1769" s="54">
        <f t="shared" si="181"/>
        <v>43.5</v>
      </c>
    </row>
    <row r="1770" spans="1:22" x14ac:dyDescent="0.2">
      <c r="A1770" s="46" t="s">
        <v>42</v>
      </c>
      <c r="B1770" s="46" t="s">
        <v>118</v>
      </c>
      <c r="C1770" s="46" t="s">
        <v>95</v>
      </c>
      <c r="D1770" s="46" t="s">
        <v>178</v>
      </c>
      <c r="E1770" s="46">
        <v>5</v>
      </c>
      <c r="F1770" s="46" t="s">
        <v>60</v>
      </c>
      <c r="G1770" s="46">
        <v>2</v>
      </c>
      <c r="H1770" s="47">
        <v>6</v>
      </c>
      <c r="I1770" s="47" t="s">
        <v>127</v>
      </c>
      <c r="J1770" s="48">
        <v>1</v>
      </c>
      <c r="K1770" s="48">
        <v>0</v>
      </c>
      <c r="R1770" s="46">
        <f t="shared" si="177"/>
        <v>0</v>
      </c>
      <c r="S1770" s="46">
        <f t="shared" si="178"/>
        <v>0</v>
      </c>
      <c r="T1770" s="46">
        <f t="shared" si="182"/>
        <v>20</v>
      </c>
      <c r="U1770" s="46">
        <f t="shared" si="180"/>
        <v>20</v>
      </c>
      <c r="V1770" s="54">
        <f t="shared" si="181"/>
        <v>43.5</v>
      </c>
    </row>
    <row r="1771" spans="1:22" x14ac:dyDescent="0.2">
      <c r="A1771" s="46" t="s">
        <v>42</v>
      </c>
      <c r="B1771" s="46" t="s">
        <v>118</v>
      </c>
      <c r="C1771" s="46" t="s">
        <v>95</v>
      </c>
      <c r="D1771" s="46" t="s">
        <v>178</v>
      </c>
      <c r="E1771" s="46">
        <v>5</v>
      </c>
      <c r="F1771" s="46" t="s">
        <v>60</v>
      </c>
      <c r="G1771" s="46">
        <v>1</v>
      </c>
      <c r="H1771" s="47">
        <v>13</v>
      </c>
      <c r="I1771" s="47" t="s">
        <v>101</v>
      </c>
      <c r="J1771" s="48">
        <v>1</v>
      </c>
      <c r="K1771" s="48">
        <v>1</v>
      </c>
      <c r="M1771" s="48">
        <v>1</v>
      </c>
      <c r="R1771" s="46">
        <f t="shared" si="177"/>
        <v>0</v>
      </c>
      <c r="S1771" s="46">
        <f t="shared" si="178"/>
        <v>0</v>
      </c>
      <c r="T1771" s="46">
        <f t="shared" si="182"/>
        <v>20</v>
      </c>
      <c r="U1771" s="46">
        <f t="shared" si="180"/>
        <v>40</v>
      </c>
      <c r="V1771" s="54">
        <f t="shared" si="181"/>
        <v>43.5</v>
      </c>
    </row>
    <row r="1772" spans="1:22" x14ac:dyDescent="0.2">
      <c r="A1772" s="46" t="s">
        <v>42</v>
      </c>
      <c r="B1772" s="46" t="s">
        <v>118</v>
      </c>
      <c r="C1772" s="46" t="s">
        <v>95</v>
      </c>
      <c r="D1772" s="46" t="s">
        <v>178</v>
      </c>
      <c r="E1772" s="46">
        <v>5</v>
      </c>
      <c r="F1772" s="46" t="s">
        <v>60</v>
      </c>
      <c r="G1772" s="46">
        <v>4</v>
      </c>
      <c r="H1772" s="47">
        <v>24</v>
      </c>
      <c r="I1772" s="47" t="s">
        <v>102</v>
      </c>
      <c r="J1772" s="48">
        <v>2</v>
      </c>
      <c r="K1772" s="48">
        <v>0</v>
      </c>
      <c r="R1772" s="46">
        <f t="shared" si="177"/>
        <v>0</v>
      </c>
      <c r="S1772" s="46">
        <f t="shared" si="178"/>
        <v>0</v>
      </c>
      <c r="T1772" s="46">
        <f t="shared" si="182"/>
        <v>40</v>
      </c>
      <c r="U1772" s="46">
        <f t="shared" si="180"/>
        <v>40</v>
      </c>
      <c r="V1772" s="54">
        <f t="shared" si="181"/>
        <v>43.5</v>
      </c>
    </row>
    <row r="1773" spans="1:22" x14ac:dyDescent="0.2">
      <c r="A1773" s="46" t="s">
        <v>42</v>
      </c>
      <c r="B1773" s="46" t="s">
        <v>118</v>
      </c>
      <c r="C1773" s="46" t="s">
        <v>95</v>
      </c>
      <c r="D1773" s="46" t="s">
        <v>178</v>
      </c>
      <c r="E1773" s="46">
        <v>5</v>
      </c>
      <c r="F1773" s="46" t="s">
        <v>60</v>
      </c>
      <c r="G1773" s="46">
        <v>2</v>
      </c>
      <c r="H1773" s="47">
        <v>26</v>
      </c>
      <c r="I1773" s="47" t="s">
        <v>127</v>
      </c>
      <c r="J1773" s="48">
        <v>1</v>
      </c>
      <c r="K1773" s="48">
        <v>0</v>
      </c>
      <c r="R1773" s="46">
        <f t="shared" si="177"/>
        <v>0</v>
      </c>
      <c r="S1773" s="46">
        <f t="shared" si="178"/>
        <v>0</v>
      </c>
      <c r="T1773" s="46">
        <f t="shared" si="182"/>
        <v>20</v>
      </c>
      <c r="U1773" s="46">
        <f t="shared" si="180"/>
        <v>20</v>
      </c>
      <c r="V1773" s="54">
        <f t="shared" si="181"/>
        <v>43.5</v>
      </c>
    </row>
    <row r="1774" spans="1:22" x14ac:dyDescent="0.2">
      <c r="A1774" s="46" t="s">
        <v>42</v>
      </c>
      <c r="B1774" s="46" t="s">
        <v>118</v>
      </c>
      <c r="C1774" s="46" t="s">
        <v>95</v>
      </c>
      <c r="D1774" s="46" t="s">
        <v>178</v>
      </c>
      <c r="E1774" s="46">
        <v>5</v>
      </c>
      <c r="F1774" s="46" t="s">
        <v>60</v>
      </c>
      <c r="G1774" s="46">
        <v>1</v>
      </c>
      <c r="H1774" s="47">
        <v>37</v>
      </c>
      <c r="I1774" s="47" t="s">
        <v>101</v>
      </c>
      <c r="J1774" s="48">
        <v>3</v>
      </c>
      <c r="K1774" s="48">
        <v>0</v>
      </c>
      <c r="R1774" s="46">
        <f t="shared" si="177"/>
        <v>0</v>
      </c>
      <c r="S1774" s="46">
        <f t="shared" si="178"/>
        <v>0</v>
      </c>
      <c r="T1774" s="46">
        <f t="shared" si="182"/>
        <v>60</v>
      </c>
      <c r="U1774" s="46">
        <f t="shared" si="180"/>
        <v>60</v>
      </c>
      <c r="V1774" s="54">
        <f t="shared" si="181"/>
        <v>43.5</v>
      </c>
    </row>
    <row r="1775" spans="1:22" x14ac:dyDescent="0.2">
      <c r="A1775" s="46" t="s">
        <v>42</v>
      </c>
      <c r="B1775" s="46" t="s">
        <v>118</v>
      </c>
      <c r="C1775" s="46" t="s">
        <v>95</v>
      </c>
      <c r="D1775" s="46" t="s">
        <v>178</v>
      </c>
      <c r="E1775" s="46">
        <v>5</v>
      </c>
      <c r="F1775" s="46" t="s">
        <v>60</v>
      </c>
      <c r="G1775" s="46">
        <v>3</v>
      </c>
      <c r="H1775" s="47">
        <v>47</v>
      </c>
      <c r="I1775" s="47" t="s">
        <v>159</v>
      </c>
      <c r="J1775" s="48">
        <v>3</v>
      </c>
      <c r="K1775" s="48">
        <v>0</v>
      </c>
      <c r="R1775" s="46">
        <f t="shared" si="177"/>
        <v>0</v>
      </c>
      <c r="S1775" s="46">
        <f t="shared" si="178"/>
        <v>0</v>
      </c>
      <c r="T1775" s="46">
        <f t="shared" si="182"/>
        <v>60</v>
      </c>
      <c r="U1775" s="46">
        <f t="shared" si="180"/>
        <v>60</v>
      </c>
      <c r="V1775" s="54">
        <f t="shared" si="181"/>
        <v>43.5</v>
      </c>
    </row>
    <row r="1776" spans="1:22" x14ac:dyDescent="0.2">
      <c r="A1776" s="46" t="s">
        <v>42</v>
      </c>
      <c r="B1776" s="46" t="s">
        <v>118</v>
      </c>
      <c r="C1776" s="46" t="str">
        <f>VLOOKUP(B1776,$B$2:$C$3219,2,FALSE)</f>
        <v>Tacoma</v>
      </c>
      <c r="D1776" s="46" t="s">
        <v>178</v>
      </c>
      <c r="E1776" s="46">
        <v>5</v>
      </c>
      <c r="F1776" s="46" t="s">
        <v>63</v>
      </c>
      <c r="G1776" s="46">
        <v>4</v>
      </c>
      <c r="H1776" s="47" t="s">
        <v>146</v>
      </c>
      <c r="I1776" s="47" t="s">
        <v>102</v>
      </c>
      <c r="J1776" s="48">
        <v>4</v>
      </c>
      <c r="K1776" s="48">
        <v>0</v>
      </c>
      <c r="R1776" s="46">
        <f t="shared" si="177"/>
        <v>1</v>
      </c>
      <c r="S1776" s="46">
        <f t="shared" si="178"/>
        <v>0</v>
      </c>
      <c r="T1776" s="46">
        <f t="shared" si="182"/>
        <v>90</v>
      </c>
      <c r="U1776" s="46">
        <f t="shared" si="180"/>
        <v>90</v>
      </c>
      <c r="V1776" s="54">
        <f t="shared" si="181"/>
        <v>43.5</v>
      </c>
    </row>
    <row r="1777" spans="1:22" x14ac:dyDescent="0.2">
      <c r="A1777" s="46" t="s">
        <v>42</v>
      </c>
      <c r="B1777" s="46" t="s">
        <v>118</v>
      </c>
      <c r="C1777" s="46" t="str">
        <f>VLOOKUP(B1777,$B$2:$C$3219,2,FALSE)</f>
        <v>Tacoma</v>
      </c>
      <c r="D1777" s="46" t="s">
        <v>178</v>
      </c>
      <c r="E1777" s="46">
        <v>5</v>
      </c>
      <c r="F1777" s="46" t="s">
        <v>63</v>
      </c>
      <c r="G1777" s="46">
        <v>4</v>
      </c>
      <c r="H1777" s="47" t="s">
        <v>149</v>
      </c>
      <c r="I1777" s="47" t="s">
        <v>102</v>
      </c>
      <c r="J1777" s="48">
        <v>2</v>
      </c>
      <c r="K1777" s="48">
        <v>0</v>
      </c>
      <c r="R1777" s="46">
        <f t="shared" si="177"/>
        <v>0</v>
      </c>
      <c r="S1777" s="46">
        <f t="shared" si="178"/>
        <v>0</v>
      </c>
      <c r="T1777" s="46">
        <f t="shared" si="182"/>
        <v>40</v>
      </c>
      <c r="U1777" s="46">
        <f t="shared" si="180"/>
        <v>40</v>
      </c>
      <c r="V1777" s="54">
        <f t="shared" si="181"/>
        <v>43.5</v>
      </c>
    </row>
    <row r="1778" spans="1:22" x14ac:dyDescent="0.2">
      <c r="A1778" s="46" t="s">
        <v>42</v>
      </c>
      <c r="B1778" s="46" t="s">
        <v>118</v>
      </c>
      <c r="C1778" s="46" t="str">
        <f>VLOOKUP(B1778,$B$2:$C$3219,2,FALSE)</f>
        <v>Tacoma</v>
      </c>
      <c r="D1778" s="46" t="s">
        <v>178</v>
      </c>
      <c r="E1778" s="46">
        <v>5</v>
      </c>
      <c r="F1778" s="46" t="s">
        <v>63</v>
      </c>
      <c r="G1778" s="46">
        <v>4</v>
      </c>
      <c r="H1778" s="47" t="s">
        <v>152</v>
      </c>
      <c r="I1778" s="47" t="s">
        <v>102</v>
      </c>
      <c r="J1778" s="48">
        <v>3</v>
      </c>
      <c r="K1778" s="48">
        <v>2</v>
      </c>
      <c r="R1778" s="46">
        <f t="shared" si="177"/>
        <v>0</v>
      </c>
      <c r="S1778" s="46">
        <f t="shared" si="178"/>
        <v>0</v>
      </c>
      <c r="T1778" s="46">
        <f t="shared" si="182"/>
        <v>50</v>
      </c>
      <c r="U1778" s="46">
        <f t="shared" si="180"/>
        <v>50</v>
      </c>
      <c r="V1778" s="54">
        <f t="shared" si="181"/>
        <v>43.5</v>
      </c>
    </row>
    <row r="1779" spans="1:22" x14ac:dyDescent="0.2">
      <c r="A1779" s="46" t="s">
        <v>36</v>
      </c>
      <c r="B1779" s="46" t="s">
        <v>47</v>
      </c>
      <c r="C1779" s="46" t="s">
        <v>88</v>
      </c>
      <c r="D1779" s="46" t="s">
        <v>178</v>
      </c>
      <c r="E1779" s="46">
        <v>3</v>
      </c>
      <c r="F1779" s="46" t="s">
        <v>60</v>
      </c>
      <c r="G1779" s="46">
        <v>4</v>
      </c>
      <c r="H1779" s="47">
        <v>44</v>
      </c>
      <c r="I1779" s="47" t="s">
        <v>102</v>
      </c>
      <c r="J1779" s="48">
        <v>0</v>
      </c>
      <c r="K1779" s="48">
        <v>3</v>
      </c>
      <c r="R1779" s="46">
        <f t="shared" si="177"/>
        <v>0</v>
      </c>
      <c r="S1779" s="46">
        <f t="shared" si="178"/>
        <v>1</v>
      </c>
      <c r="T1779" s="46">
        <f t="shared" si="182"/>
        <v>-20</v>
      </c>
      <c r="U1779" s="46">
        <f t="shared" si="180"/>
        <v>-20</v>
      </c>
      <c r="V1779" s="54">
        <f t="shared" si="181"/>
        <v>42.5</v>
      </c>
    </row>
    <row r="1780" spans="1:22" x14ac:dyDescent="0.2">
      <c r="A1780" s="46" t="s">
        <v>36</v>
      </c>
      <c r="B1780" s="46" t="s">
        <v>47</v>
      </c>
      <c r="C1780" s="46" t="s">
        <v>88</v>
      </c>
      <c r="D1780" s="46" t="s">
        <v>178</v>
      </c>
      <c r="E1780" s="46">
        <v>2</v>
      </c>
      <c r="F1780" s="46" t="s">
        <v>60</v>
      </c>
      <c r="G1780" s="46">
        <v>1</v>
      </c>
      <c r="H1780" s="47">
        <v>17</v>
      </c>
      <c r="I1780" s="47" t="s">
        <v>101</v>
      </c>
      <c r="J1780" s="48">
        <v>0</v>
      </c>
      <c r="K1780" s="48">
        <v>2</v>
      </c>
      <c r="R1780" s="46">
        <f t="shared" si="177"/>
        <v>0</v>
      </c>
      <c r="S1780" s="46">
        <f t="shared" si="178"/>
        <v>0</v>
      </c>
      <c r="T1780" s="46">
        <f t="shared" si="182"/>
        <v>-10</v>
      </c>
      <c r="U1780" s="46">
        <f t="shared" si="180"/>
        <v>-10</v>
      </c>
      <c r="V1780" s="54">
        <f t="shared" si="181"/>
        <v>42.5</v>
      </c>
    </row>
    <row r="1781" spans="1:22" x14ac:dyDescent="0.2">
      <c r="A1781" s="46" t="s">
        <v>36</v>
      </c>
      <c r="B1781" s="46" t="s">
        <v>47</v>
      </c>
      <c r="C1781" s="46" t="s">
        <v>88</v>
      </c>
      <c r="D1781" s="46" t="s">
        <v>178</v>
      </c>
      <c r="E1781" s="46">
        <v>4</v>
      </c>
      <c r="F1781" s="46" t="s">
        <v>60</v>
      </c>
      <c r="G1781" s="46">
        <v>2</v>
      </c>
      <c r="H1781" s="47">
        <v>18</v>
      </c>
      <c r="I1781" s="47" t="s">
        <v>127</v>
      </c>
      <c r="J1781" s="48">
        <v>0</v>
      </c>
      <c r="K1781" s="48">
        <v>2</v>
      </c>
      <c r="R1781" s="46">
        <f t="shared" si="177"/>
        <v>0</v>
      </c>
      <c r="S1781" s="46">
        <f t="shared" si="178"/>
        <v>0</v>
      </c>
      <c r="T1781" s="46">
        <f t="shared" si="182"/>
        <v>-10</v>
      </c>
      <c r="U1781" s="46">
        <f t="shared" si="180"/>
        <v>-10</v>
      </c>
      <c r="V1781" s="54">
        <f t="shared" si="181"/>
        <v>42.5</v>
      </c>
    </row>
    <row r="1782" spans="1:22" x14ac:dyDescent="0.2">
      <c r="A1782" s="46" t="s">
        <v>36</v>
      </c>
      <c r="B1782" s="46" t="s">
        <v>47</v>
      </c>
      <c r="C1782" s="46" t="s">
        <v>88</v>
      </c>
      <c r="D1782" s="46" t="s">
        <v>178</v>
      </c>
      <c r="E1782" s="46">
        <v>1</v>
      </c>
      <c r="F1782" s="46" t="s">
        <v>61</v>
      </c>
      <c r="G1782" s="46">
        <v>1</v>
      </c>
      <c r="H1782" s="47" t="s">
        <v>75</v>
      </c>
      <c r="I1782" s="47" t="s">
        <v>101</v>
      </c>
      <c r="J1782" s="48">
        <v>0</v>
      </c>
      <c r="K1782" s="48">
        <v>2</v>
      </c>
      <c r="R1782" s="46">
        <f t="shared" si="177"/>
        <v>0</v>
      </c>
      <c r="S1782" s="46">
        <f t="shared" si="178"/>
        <v>0</v>
      </c>
      <c r="T1782" s="46">
        <f t="shared" si="182"/>
        <v>-10</v>
      </c>
      <c r="U1782" s="46">
        <f t="shared" si="180"/>
        <v>-10</v>
      </c>
      <c r="V1782" s="54">
        <f t="shared" si="181"/>
        <v>42.5</v>
      </c>
    </row>
    <row r="1783" spans="1:22" x14ac:dyDescent="0.2">
      <c r="A1783" s="46" t="s">
        <v>36</v>
      </c>
      <c r="B1783" s="46" t="s">
        <v>47</v>
      </c>
      <c r="C1783" s="46" t="s">
        <v>88</v>
      </c>
      <c r="D1783" s="46" t="s">
        <v>178</v>
      </c>
      <c r="E1783" s="46">
        <v>3</v>
      </c>
      <c r="F1783" s="46" t="s">
        <v>61</v>
      </c>
      <c r="G1783" s="46">
        <v>1</v>
      </c>
      <c r="H1783" s="47" t="s">
        <v>78</v>
      </c>
      <c r="I1783" s="47" t="s">
        <v>101</v>
      </c>
      <c r="J1783" s="48">
        <v>0</v>
      </c>
      <c r="K1783" s="48">
        <v>2</v>
      </c>
      <c r="R1783" s="46">
        <f t="shared" si="177"/>
        <v>0</v>
      </c>
      <c r="S1783" s="46">
        <f t="shared" si="178"/>
        <v>0</v>
      </c>
      <c r="T1783" s="46">
        <f t="shared" si="182"/>
        <v>-10</v>
      </c>
      <c r="U1783" s="46">
        <f t="shared" si="180"/>
        <v>-10</v>
      </c>
      <c r="V1783" s="54">
        <f t="shared" si="181"/>
        <v>42.5</v>
      </c>
    </row>
    <row r="1784" spans="1:22" x14ac:dyDescent="0.2">
      <c r="A1784" s="46" t="s">
        <v>36</v>
      </c>
      <c r="B1784" s="46" t="s">
        <v>47</v>
      </c>
      <c r="C1784" s="46" t="s">
        <v>88</v>
      </c>
      <c r="D1784" s="46" t="s">
        <v>178</v>
      </c>
      <c r="E1784" s="46">
        <v>1</v>
      </c>
      <c r="F1784" s="46" t="s">
        <v>61</v>
      </c>
      <c r="G1784" s="46">
        <v>1</v>
      </c>
      <c r="H1784" s="47" t="s">
        <v>69</v>
      </c>
      <c r="I1784" s="47" t="s">
        <v>101</v>
      </c>
      <c r="J1784" s="48">
        <v>0</v>
      </c>
      <c r="K1784" s="48">
        <v>1</v>
      </c>
      <c r="R1784" s="46">
        <f t="shared" si="177"/>
        <v>0</v>
      </c>
      <c r="S1784" s="46">
        <f t="shared" si="178"/>
        <v>0</v>
      </c>
      <c r="T1784" s="46">
        <f t="shared" si="182"/>
        <v>0</v>
      </c>
      <c r="U1784" s="46">
        <f t="shared" si="180"/>
        <v>0</v>
      </c>
      <c r="V1784" s="54">
        <f t="shared" si="181"/>
        <v>42.5</v>
      </c>
    </row>
    <row r="1785" spans="1:22" x14ac:dyDescent="0.2">
      <c r="A1785" s="46" t="s">
        <v>36</v>
      </c>
      <c r="B1785" s="46" t="s">
        <v>47</v>
      </c>
      <c r="C1785" s="46" t="s">
        <v>88</v>
      </c>
      <c r="D1785" s="46" t="s">
        <v>178</v>
      </c>
      <c r="E1785" s="46">
        <v>4</v>
      </c>
      <c r="F1785" s="46" t="s">
        <v>60</v>
      </c>
      <c r="G1785" s="46">
        <v>1</v>
      </c>
      <c r="H1785" s="47">
        <v>1</v>
      </c>
      <c r="I1785" s="47" t="s">
        <v>101</v>
      </c>
      <c r="J1785" s="48">
        <v>1</v>
      </c>
      <c r="K1785" s="48">
        <v>2</v>
      </c>
      <c r="R1785" s="46">
        <f t="shared" si="177"/>
        <v>0</v>
      </c>
      <c r="S1785" s="46">
        <f t="shared" si="178"/>
        <v>0</v>
      </c>
      <c r="T1785" s="46">
        <f t="shared" si="182"/>
        <v>10</v>
      </c>
      <c r="U1785" s="46">
        <f t="shared" si="180"/>
        <v>10</v>
      </c>
      <c r="V1785" s="54">
        <f t="shared" si="181"/>
        <v>42.5</v>
      </c>
    </row>
    <row r="1786" spans="1:22" x14ac:dyDescent="0.2">
      <c r="A1786" s="46" t="s">
        <v>36</v>
      </c>
      <c r="B1786" s="46" t="s">
        <v>47</v>
      </c>
      <c r="C1786" s="46" t="s">
        <v>88</v>
      </c>
      <c r="D1786" s="46" t="s">
        <v>178</v>
      </c>
      <c r="E1786" s="46">
        <v>4</v>
      </c>
      <c r="F1786" s="46" t="s">
        <v>60</v>
      </c>
      <c r="G1786" s="46">
        <v>4</v>
      </c>
      <c r="H1786" s="47">
        <v>36</v>
      </c>
      <c r="I1786" s="47" t="s">
        <v>102</v>
      </c>
      <c r="J1786" s="48">
        <v>1</v>
      </c>
      <c r="K1786" s="48">
        <v>2</v>
      </c>
      <c r="O1786" s="48">
        <v>1</v>
      </c>
      <c r="R1786" s="46">
        <f t="shared" si="177"/>
        <v>0</v>
      </c>
      <c r="S1786" s="46">
        <f t="shared" si="178"/>
        <v>0</v>
      </c>
      <c r="T1786" s="46">
        <f t="shared" si="182"/>
        <v>10</v>
      </c>
      <c r="U1786" s="46">
        <f t="shared" si="180"/>
        <v>20</v>
      </c>
      <c r="V1786" s="54">
        <f t="shared" si="181"/>
        <v>42.5</v>
      </c>
    </row>
    <row r="1787" spans="1:22" x14ac:dyDescent="0.2">
      <c r="A1787" s="46" t="s">
        <v>36</v>
      </c>
      <c r="B1787" s="46" t="s">
        <v>47</v>
      </c>
      <c r="C1787" s="46" t="s">
        <v>88</v>
      </c>
      <c r="D1787" s="46" t="s">
        <v>178</v>
      </c>
      <c r="E1787" s="46">
        <v>1</v>
      </c>
      <c r="F1787" s="46" t="s">
        <v>61</v>
      </c>
      <c r="G1787" s="46">
        <v>1</v>
      </c>
      <c r="H1787" s="47" t="s">
        <v>78</v>
      </c>
      <c r="I1787" s="47" t="s">
        <v>101</v>
      </c>
      <c r="J1787" s="48">
        <v>1</v>
      </c>
      <c r="K1787" s="48">
        <v>2</v>
      </c>
      <c r="O1787" s="48">
        <v>1</v>
      </c>
      <c r="R1787" s="46">
        <f t="shared" si="177"/>
        <v>0</v>
      </c>
      <c r="S1787" s="46">
        <f t="shared" si="178"/>
        <v>0</v>
      </c>
      <c r="T1787" s="46">
        <f t="shared" si="182"/>
        <v>10</v>
      </c>
      <c r="U1787" s="46">
        <f t="shared" si="180"/>
        <v>20</v>
      </c>
      <c r="V1787" s="54">
        <f t="shared" si="181"/>
        <v>42.5</v>
      </c>
    </row>
    <row r="1788" spans="1:22" x14ac:dyDescent="0.2">
      <c r="A1788" s="46" t="s">
        <v>36</v>
      </c>
      <c r="B1788" s="46" t="s">
        <v>47</v>
      </c>
      <c r="C1788" s="46" t="s">
        <v>88</v>
      </c>
      <c r="D1788" s="46" t="s">
        <v>178</v>
      </c>
      <c r="E1788" s="46">
        <v>1</v>
      </c>
      <c r="F1788" s="46" t="s">
        <v>61</v>
      </c>
      <c r="G1788" s="46">
        <v>1</v>
      </c>
      <c r="H1788" s="47" t="s">
        <v>78</v>
      </c>
      <c r="I1788" s="47" t="s">
        <v>101</v>
      </c>
      <c r="J1788" s="48">
        <v>1</v>
      </c>
      <c r="K1788" s="48">
        <v>2</v>
      </c>
      <c r="R1788" s="46">
        <f t="shared" si="177"/>
        <v>0</v>
      </c>
      <c r="S1788" s="46">
        <f t="shared" si="178"/>
        <v>0</v>
      </c>
      <c r="T1788" s="46">
        <f t="shared" si="182"/>
        <v>10</v>
      </c>
      <c r="U1788" s="46">
        <f t="shared" si="180"/>
        <v>10</v>
      </c>
      <c r="V1788" s="54">
        <f t="shared" si="181"/>
        <v>42.5</v>
      </c>
    </row>
    <row r="1789" spans="1:22" x14ac:dyDescent="0.2">
      <c r="A1789" s="46" t="s">
        <v>36</v>
      </c>
      <c r="B1789" s="46" t="s">
        <v>47</v>
      </c>
      <c r="C1789" s="46" t="s">
        <v>88</v>
      </c>
      <c r="D1789" s="46" t="s">
        <v>178</v>
      </c>
      <c r="E1789" s="46">
        <v>1</v>
      </c>
      <c r="F1789" s="46" t="s">
        <v>60</v>
      </c>
      <c r="G1789" s="46">
        <v>3</v>
      </c>
      <c r="H1789" s="47">
        <v>23</v>
      </c>
      <c r="I1789" s="47" t="s">
        <v>116</v>
      </c>
      <c r="J1789" s="48">
        <v>2</v>
      </c>
      <c r="K1789" s="48">
        <v>3</v>
      </c>
      <c r="R1789" s="46">
        <f t="shared" si="177"/>
        <v>0</v>
      </c>
      <c r="S1789" s="46">
        <f t="shared" si="178"/>
        <v>1</v>
      </c>
      <c r="T1789" s="46">
        <f t="shared" si="182"/>
        <v>20</v>
      </c>
      <c r="U1789" s="46">
        <f t="shared" si="180"/>
        <v>20</v>
      </c>
      <c r="V1789" s="54">
        <f t="shared" si="181"/>
        <v>42.5</v>
      </c>
    </row>
    <row r="1790" spans="1:22" x14ac:dyDescent="0.2">
      <c r="A1790" s="46" t="s">
        <v>36</v>
      </c>
      <c r="B1790" s="46" t="s">
        <v>47</v>
      </c>
      <c r="C1790" s="46" t="s">
        <v>88</v>
      </c>
      <c r="D1790" s="46" t="s">
        <v>178</v>
      </c>
      <c r="E1790" s="46">
        <v>2</v>
      </c>
      <c r="F1790" s="46" t="s">
        <v>60</v>
      </c>
      <c r="G1790" s="46">
        <v>2</v>
      </c>
      <c r="H1790" s="47">
        <v>30</v>
      </c>
      <c r="I1790" s="47" t="s">
        <v>127</v>
      </c>
      <c r="J1790" s="48">
        <v>2</v>
      </c>
      <c r="K1790" s="48">
        <v>3</v>
      </c>
      <c r="O1790" s="48">
        <v>1</v>
      </c>
      <c r="R1790" s="46">
        <f t="shared" si="177"/>
        <v>0</v>
      </c>
      <c r="S1790" s="46">
        <f t="shared" si="178"/>
        <v>1</v>
      </c>
      <c r="T1790" s="46">
        <f t="shared" si="182"/>
        <v>20</v>
      </c>
      <c r="U1790" s="46">
        <f t="shared" si="180"/>
        <v>30</v>
      </c>
      <c r="V1790" s="54">
        <f t="shared" si="181"/>
        <v>42.5</v>
      </c>
    </row>
    <row r="1791" spans="1:22" x14ac:dyDescent="0.2">
      <c r="A1791" s="46" t="s">
        <v>36</v>
      </c>
      <c r="B1791" s="46" t="s">
        <v>47</v>
      </c>
      <c r="C1791" s="46" t="s">
        <v>88</v>
      </c>
      <c r="D1791" s="46" t="s">
        <v>178</v>
      </c>
      <c r="E1791" s="46">
        <v>4</v>
      </c>
      <c r="F1791" s="46" t="s">
        <v>60</v>
      </c>
      <c r="G1791" s="46">
        <v>4</v>
      </c>
      <c r="H1791" s="47">
        <v>40</v>
      </c>
      <c r="I1791" s="47" t="s">
        <v>102</v>
      </c>
      <c r="J1791" s="48">
        <v>1</v>
      </c>
      <c r="K1791" s="48">
        <v>1</v>
      </c>
      <c r="O1791" s="48">
        <v>1</v>
      </c>
      <c r="R1791" s="46">
        <f t="shared" si="177"/>
        <v>0</v>
      </c>
      <c r="S1791" s="46">
        <f t="shared" si="178"/>
        <v>0</v>
      </c>
      <c r="T1791" s="46">
        <f t="shared" si="182"/>
        <v>20</v>
      </c>
      <c r="U1791" s="46">
        <f t="shared" si="180"/>
        <v>30</v>
      </c>
      <c r="V1791" s="54">
        <f t="shared" si="181"/>
        <v>42.5</v>
      </c>
    </row>
    <row r="1792" spans="1:22" x14ac:dyDescent="0.2">
      <c r="A1792" s="46" t="s">
        <v>36</v>
      </c>
      <c r="B1792" s="46" t="s">
        <v>47</v>
      </c>
      <c r="C1792" s="46" t="s">
        <v>88</v>
      </c>
      <c r="D1792" s="46" t="s">
        <v>178</v>
      </c>
      <c r="E1792" s="46">
        <v>1</v>
      </c>
      <c r="F1792" s="46" t="s">
        <v>61</v>
      </c>
      <c r="G1792" s="46">
        <v>1</v>
      </c>
      <c r="H1792" s="47" t="s">
        <v>78</v>
      </c>
      <c r="I1792" s="47" t="s">
        <v>101</v>
      </c>
      <c r="J1792" s="48">
        <v>1</v>
      </c>
      <c r="K1792" s="48">
        <v>1</v>
      </c>
      <c r="O1792" s="48">
        <v>1</v>
      </c>
      <c r="R1792" s="46">
        <f t="shared" si="177"/>
        <v>0</v>
      </c>
      <c r="S1792" s="46">
        <f t="shared" si="178"/>
        <v>0</v>
      </c>
      <c r="T1792" s="46">
        <f t="shared" si="182"/>
        <v>20</v>
      </c>
      <c r="U1792" s="46">
        <f t="shared" si="180"/>
        <v>30</v>
      </c>
      <c r="V1792" s="54">
        <f t="shared" si="181"/>
        <v>42.5</v>
      </c>
    </row>
    <row r="1793" spans="1:22" x14ac:dyDescent="0.2">
      <c r="A1793" s="46" t="s">
        <v>36</v>
      </c>
      <c r="B1793" s="46" t="s">
        <v>47</v>
      </c>
      <c r="C1793" s="46" t="s">
        <v>88</v>
      </c>
      <c r="D1793" s="46" t="s">
        <v>178</v>
      </c>
      <c r="E1793" s="46">
        <v>1</v>
      </c>
      <c r="F1793" s="46" t="s">
        <v>60</v>
      </c>
      <c r="G1793" s="46">
        <v>1</v>
      </c>
      <c r="H1793" s="47">
        <v>13</v>
      </c>
      <c r="I1793" s="47" t="s">
        <v>101</v>
      </c>
      <c r="J1793" s="48">
        <v>2</v>
      </c>
      <c r="K1793" s="48">
        <v>2</v>
      </c>
      <c r="O1793" s="48">
        <v>1</v>
      </c>
      <c r="R1793" s="46">
        <f t="shared" si="177"/>
        <v>0</v>
      </c>
      <c r="S1793" s="46">
        <f t="shared" si="178"/>
        <v>0</v>
      </c>
      <c r="T1793" s="46">
        <f t="shared" si="182"/>
        <v>30</v>
      </c>
      <c r="U1793" s="46">
        <f t="shared" si="180"/>
        <v>40</v>
      </c>
      <c r="V1793" s="54">
        <f t="shared" si="181"/>
        <v>42.5</v>
      </c>
    </row>
    <row r="1794" spans="1:22" x14ac:dyDescent="0.2">
      <c r="A1794" s="46" t="s">
        <v>36</v>
      </c>
      <c r="B1794" s="46" t="s">
        <v>47</v>
      </c>
      <c r="C1794" s="46" t="s">
        <v>88</v>
      </c>
      <c r="D1794" s="46" t="s">
        <v>178</v>
      </c>
      <c r="E1794" s="46">
        <v>3</v>
      </c>
      <c r="F1794" s="46" t="s">
        <v>60</v>
      </c>
      <c r="G1794" s="46">
        <v>2</v>
      </c>
      <c r="H1794" s="47">
        <v>34</v>
      </c>
      <c r="I1794" s="47" t="s">
        <v>127</v>
      </c>
      <c r="J1794" s="48">
        <v>2</v>
      </c>
      <c r="K1794" s="48">
        <v>2</v>
      </c>
      <c r="O1794" s="48">
        <v>1</v>
      </c>
      <c r="R1794" s="46">
        <f t="shared" ref="R1794:R1857" si="183">IF(J1794=4,1,0)</f>
        <v>0</v>
      </c>
      <c r="S1794" s="46">
        <f t="shared" ref="S1794:S1857" si="184">IF(K1794=3,1,0)</f>
        <v>0</v>
      </c>
      <c r="T1794" s="46">
        <f t="shared" ref="T1794:T1825" si="185">quizscore(J1794,K1794)</f>
        <v>30</v>
      </c>
      <c r="U1794" s="46">
        <f t="shared" ref="U1794:U1857" si="186">T1794+M1794*(20) + (SUM(O1794:Q1794)*(10)) - L1794*(5) - N1794*(5)</f>
        <v>40</v>
      </c>
      <c r="V1794" s="54">
        <f t="shared" ref="V1794:V1857" si="187">AVERAGEIFS(U:U,A:A,A1794,F:F,"Pre")</f>
        <v>42.5</v>
      </c>
    </row>
    <row r="1795" spans="1:22" x14ac:dyDescent="0.2">
      <c r="A1795" s="46" t="s">
        <v>36</v>
      </c>
      <c r="B1795" s="46" t="s">
        <v>47</v>
      </c>
      <c r="C1795" s="46" t="s">
        <v>88</v>
      </c>
      <c r="D1795" s="46" t="s">
        <v>178</v>
      </c>
      <c r="E1795" s="46">
        <v>4</v>
      </c>
      <c r="F1795" s="46" t="s">
        <v>60</v>
      </c>
      <c r="G1795" s="46">
        <v>3</v>
      </c>
      <c r="H1795" s="47">
        <v>47</v>
      </c>
      <c r="I1795" s="47" t="s">
        <v>159</v>
      </c>
      <c r="J1795" s="48">
        <v>2</v>
      </c>
      <c r="K1795" s="48">
        <v>2</v>
      </c>
      <c r="O1795" s="48">
        <v>1</v>
      </c>
      <c r="R1795" s="46">
        <f t="shared" si="183"/>
        <v>0</v>
      </c>
      <c r="S1795" s="46">
        <f t="shared" si="184"/>
        <v>0</v>
      </c>
      <c r="T1795" s="46">
        <f t="shared" si="185"/>
        <v>30</v>
      </c>
      <c r="U1795" s="46">
        <f t="shared" si="186"/>
        <v>40</v>
      </c>
      <c r="V1795" s="54">
        <f t="shared" si="187"/>
        <v>42.5</v>
      </c>
    </row>
    <row r="1796" spans="1:22" x14ac:dyDescent="0.2">
      <c r="A1796" s="46" t="s">
        <v>36</v>
      </c>
      <c r="B1796" s="46" t="s">
        <v>47</v>
      </c>
      <c r="C1796" s="46" t="s">
        <v>88</v>
      </c>
      <c r="D1796" s="46" t="s">
        <v>178</v>
      </c>
      <c r="E1796" s="46">
        <v>2</v>
      </c>
      <c r="F1796" s="46" t="s">
        <v>61</v>
      </c>
      <c r="G1796" s="46">
        <v>1</v>
      </c>
      <c r="H1796" s="47" t="s">
        <v>75</v>
      </c>
      <c r="I1796" s="47" t="s">
        <v>101</v>
      </c>
      <c r="J1796" s="48">
        <v>2</v>
      </c>
      <c r="K1796" s="48">
        <v>2</v>
      </c>
      <c r="R1796" s="46">
        <f t="shared" si="183"/>
        <v>0</v>
      </c>
      <c r="S1796" s="46">
        <f t="shared" si="184"/>
        <v>0</v>
      </c>
      <c r="T1796" s="46">
        <f t="shared" si="185"/>
        <v>30</v>
      </c>
      <c r="U1796" s="46">
        <f t="shared" si="186"/>
        <v>30</v>
      </c>
      <c r="V1796" s="54">
        <f t="shared" si="187"/>
        <v>42.5</v>
      </c>
    </row>
    <row r="1797" spans="1:22" x14ac:dyDescent="0.2">
      <c r="A1797" s="46" t="s">
        <v>36</v>
      </c>
      <c r="B1797" s="46" t="s">
        <v>47</v>
      </c>
      <c r="C1797" s="46" t="s">
        <v>88</v>
      </c>
      <c r="D1797" s="46" t="s">
        <v>178</v>
      </c>
      <c r="E1797" s="46">
        <v>3</v>
      </c>
      <c r="F1797" s="46" t="s">
        <v>61</v>
      </c>
      <c r="G1797" s="46">
        <v>1</v>
      </c>
      <c r="H1797" s="47" t="s">
        <v>75</v>
      </c>
      <c r="I1797" s="47" t="s">
        <v>101</v>
      </c>
      <c r="J1797" s="48">
        <v>2</v>
      </c>
      <c r="K1797" s="48">
        <v>2</v>
      </c>
      <c r="R1797" s="46">
        <f t="shared" si="183"/>
        <v>0</v>
      </c>
      <c r="S1797" s="46">
        <f t="shared" si="184"/>
        <v>0</v>
      </c>
      <c r="T1797" s="46">
        <f t="shared" si="185"/>
        <v>30</v>
      </c>
      <c r="U1797" s="46">
        <f t="shared" si="186"/>
        <v>30</v>
      </c>
      <c r="V1797" s="54">
        <f t="shared" si="187"/>
        <v>42.5</v>
      </c>
    </row>
    <row r="1798" spans="1:22" x14ac:dyDescent="0.2">
      <c r="A1798" s="46" t="s">
        <v>36</v>
      </c>
      <c r="B1798" s="46" t="s">
        <v>47</v>
      </c>
      <c r="C1798" s="46" t="s">
        <v>88</v>
      </c>
      <c r="D1798" s="46" t="s">
        <v>178</v>
      </c>
      <c r="E1798" s="46">
        <v>1</v>
      </c>
      <c r="F1798" s="46" t="s">
        <v>60</v>
      </c>
      <c r="G1798" s="46">
        <v>3</v>
      </c>
      <c r="H1798" s="47">
        <v>3</v>
      </c>
      <c r="I1798" s="47" t="s">
        <v>116</v>
      </c>
      <c r="J1798" s="48">
        <v>2</v>
      </c>
      <c r="K1798" s="48">
        <v>1</v>
      </c>
      <c r="L1798" s="48">
        <v>1</v>
      </c>
      <c r="R1798" s="46">
        <f t="shared" si="183"/>
        <v>0</v>
      </c>
      <c r="S1798" s="46">
        <f t="shared" si="184"/>
        <v>0</v>
      </c>
      <c r="T1798" s="46">
        <f t="shared" si="185"/>
        <v>40</v>
      </c>
      <c r="U1798" s="46">
        <f t="shared" si="186"/>
        <v>35</v>
      </c>
      <c r="V1798" s="54">
        <f t="shared" si="187"/>
        <v>42.5</v>
      </c>
    </row>
    <row r="1799" spans="1:22" x14ac:dyDescent="0.2">
      <c r="A1799" s="46" t="s">
        <v>36</v>
      </c>
      <c r="B1799" s="46" t="s">
        <v>47</v>
      </c>
      <c r="C1799" s="46" t="s">
        <v>88</v>
      </c>
      <c r="D1799" s="46" t="s">
        <v>178</v>
      </c>
      <c r="E1799" s="46">
        <v>3</v>
      </c>
      <c r="F1799" s="46" t="s">
        <v>60</v>
      </c>
      <c r="G1799" s="46">
        <v>1</v>
      </c>
      <c r="H1799" s="47">
        <v>9</v>
      </c>
      <c r="I1799" s="47" t="s">
        <v>101</v>
      </c>
      <c r="J1799" s="48">
        <v>3</v>
      </c>
      <c r="K1799" s="48">
        <v>3</v>
      </c>
      <c r="R1799" s="46">
        <f t="shared" si="183"/>
        <v>0</v>
      </c>
      <c r="S1799" s="46">
        <f t="shared" si="184"/>
        <v>1</v>
      </c>
      <c r="T1799" s="46">
        <f t="shared" si="185"/>
        <v>40</v>
      </c>
      <c r="U1799" s="46">
        <f t="shared" si="186"/>
        <v>40</v>
      </c>
      <c r="V1799" s="54">
        <f t="shared" si="187"/>
        <v>42.5</v>
      </c>
    </row>
    <row r="1800" spans="1:22" x14ac:dyDescent="0.2">
      <c r="A1800" s="46" t="s">
        <v>36</v>
      </c>
      <c r="B1800" s="46" t="s">
        <v>47</v>
      </c>
      <c r="C1800" s="46" t="s">
        <v>88</v>
      </c>
      <c r="D1800" s="46" t="s">
        <v>178</v>
      </c>
      <c r="E1800" s="46">
        <v>3</v>
      </c>
      <c r="F1800" s="46" t="s">
        <v>60</v>
      </c>
      <c r="G1800" s="46">
        <v>4</v>
      </c>
      <c r="H1800" s="47">
        <v>24</v>
      </c>
      <c r="I1800" s="47" t="s">
        <v>102</v>
      </c>
      <c r="J1800" s="48">
        <v>3</v>
      </c>
      <c r="K1800" s="48">
        <v>3</v>
      </c>
      <c r="R1800" s="46">
        <f t="shared" si="183"/>
        <v>0</v>
      </c>
      <c r="S1800" s="46">
        <f t="shared" si="184"/>
        <v>1</v>
      </c>
      <c r="T1800" s="46">
        <f t="shared" si="185"/>
        <v>40</v>
      </c>
      <c r="U1800" s="46">
        <f t="shared" si="186"/>
        <v>40</v>
      </c>
      <c r="V1800" s="54">
        <f t="shared" si="187"/>
        <v>42.5</v>
      </c>
    </row>
    <row r="1801" spans="1:22" x14ac:dyDescent="0.2">
      <c r="A1801" s="46" t="s">
        <v>36</v>
      </c>
      <c r="B1801" s="46" t="s">
        <v>47</v>
      </c>
      <c r="C1801" s="46" t="s">
        <v>88</v>
      </c>
      <c r="D1801" s="46" t="s">
        <v>178</v>
      </c>
      <c r="E1801" s="46">
        <v>1</v>
      </c>
      <c r="F1801" s="46" t="s">
        <v>60</v>
      </c>
      <c r="G1801" s="46">
        <v>2</v>
      </c>
      <c r="H1801" s="47">
        <v>42</v>
      </c>
      <c r="I1801" s="47" t="s">
        <v>127</v>
      </c>
      <c r="J1801" s="48">
        <v>2</v>
      </c>
      <c r="K1801" s="48">
        <v>0</v>
      </c>
      <c r="R1801" s="46">
        <f t="shared" si="183"/>
        <v>0</v>
      </c>
      <c r="S1801" s="46">
        <f t="shared" si="184"/>
        <v>0</v>
      </c>
      <c r="T1801" s="46">
        <f t="shared" si="185"/>
        <v>40</v>
      </c>
      <c r="U1801" s="46">
        <f t="shared" si="186"/>
        <v>40</v>
      </c>
      <c r="V1801" s="54">
        <f t="shared" si="187"/>
        <v>42.5</v>
      </c>
    </row>
    <row r="1802" spans="1:22" x14ac:dyDescent="0.2">
      <c r="A1802" s="46" t="s">
        <v>36</v>
      </c>
      <c r="B1802" s="46" t="s">
        <v>47</v>
      </c>
      <c r="C1802" s="46" t="s">
        <v>88</v>
      </c>
      <c r="D1802" s="46" t="s">
        <v>178</v>
      </c>
      <c r="E1802" s="46">
        <v>4</v>
      </c>
      <c r="F1802" s="46" t="s">
        <v>61</v>
      </c>
      <c r="G1802" s="46">
        <v>1</v>
      </c>
      <c r="H1802" s="47" t="s">
        <v>75</v>
      </c>
      <c r="I1802" s="47" t="s">
        <v>101</v>
      </c>
      <c r="J1802" s="48">
        <v>2</v>
      </c>
      <c r="K1802" s="48">
        <v>1</v>
      </c>
      <c r="O1802" s="48">
        <v>1</v>
      </c>
      <c r="R1802" s="46">
        <f t="shared" si="183"/>
        <v>0</v>
      </c>
      <c r="S1802" s="46">
        <f t="shared" si="184"/>
        <v>0</v>
      </c>
      <c r="T1802" s="46">
        <f t="shared" si="185"/>
        <v>40</v>
      </c>
      <c r="U1802" s="46">
        <f t="shared" si="186"/>
        <v>50</v>
      </c>
      <c r="V1802" s="54">
        <f t="shared" si="187"/>
        <v>42.5</v>
      </c>
    </row>
    <row r="1803" spans="1:22" x14ac:dyDescent="0.2">
      <c r="A1803" s="46" t="s">
        <v>36</v>
      </c>
      <c r="B1803" s="46" t="s">
        <v>47</v>
      </c>
      <c r="C1803" s="46" t="s">
        <v>88</v>
      </c>
      <c r="D1803" s="46" t="s">
        <v>178</v>
      </c>
      <c r="E1803" s="46">
        <v>2</v>
      </c>
      <c r="F1803" s="46" t="s">
        <v>61</v>
      </c>
      <c r="G1803" s="46">
        <v>1</v>
      </c>
      <c r="H1803" s="47" t="s">
        <v>78</v>
      </c>
      <c r="I1803" s="47" t="s">
        <v>101</v>
      </c>
      <c r="J1803" s="48">
        <v>2</v>
      </c>
      <c r="K1803" s="48">
        <v>1</v>
      </c>
      <c r="N1803" s="48">
        <v>1</v>
      </c>
      <c r="O1803" s="48">
        <v>1</v>
      </c>
      <c r="R1803" s="46">
        <f t="shared" si="183"/>
        <v>0</v>
      </c>
      <c r="S1803" s="46">
        <f t="shared" si="184"/>
        <v>0</v>
      </c>
      <c r="T1803" s="46">
        <f t="shared" si="185"/>
        <v>40</v>
      </c>
      <c r="U1803" s="46">
        <f t="shared" si="186"/>
        <v>45</v>
      </c>
      <c r="V1803" s="54">
        <f t="shared" si="187"/>
        <v>42.5</v>
      </c>
    </row>
    <row r="1804" spans="1:22" x14ac:dyDescent="0.2">
      <c r="A1804" s="46" t="s">
        <v>36</v>
      </c>
      <c r="B1804" s="46" t="s">
        <v>47</v>
      </c>
      <c r="C1804" s="46" t="s">
        <v>88</v>
      </c>
      <c r="D1804" s="46" t="s">
        <v>178</v>
      </c>
      <c r="E1804" s="46">
        <v>2</v>
      </c>
      <c r="F1804" s="46" t="s">
        <v>61</v>
      </c>
      <c r="G1804" s="46">
        <v>1</v>
      </c>
      <c r="H1804" s="47" t="s">
        <v>78</v>
      </c>
      <c r="I1804" s="47" t="s">
        <v>101</v>
      </c>
      <c r="J1804" s="48">
        <v>2</v>
      </c>
      <c r="K1804" s="48">
        <v>1</v>
      </c>
      <c r="R1804" s="46">
        <f t="shared" si="183"/>
        <v>0</v>
      </c>
      <c r="S1804" s="46">
        <f t="shared" si="184"/>
        <v>0</v>
      </c>
      <c r="T1804" s="46">
        <f t="shared" si="185"/>
        <v>40</v>
      </c>
      <c r="U1804" s="46">
        <f t="shared" si="186"/>
        <v>40</v>
      </c>
      <c r="V1804" s="54">
        <f t="shared" si="187"/>
        <v>42.5</v>
      </c>
    </row>
    <row r="1805" spans="1:22" x14ac:dyDescent="0.2">
      <c r="A1805" s="46" t="s">
        <v>36</v>
      </c>
      <c r="B1805" s="46" t="s">
        <v>47</v>
      </c>
      <c r="C1805" s="46" t="s">
        <v>88</v>
      </c>
      <c r="D1805" s="46" t="s">
        <v>178</v>
      </c>
      <c r="E1805" s="46">
        <v>3</v>
      </c>
      <c r="F1805" s="46" t="s">
        <v>61</v>
      </c>
      <c r="G1805" s="46">
        <v>1</v>
      </c>
      <c r="H1805" s="47" t="s">
        <v>78</v>
      </c>
      <c r="I1805" s="47" t="s">
        <v>101</v>
      </c>
      <c r="J1805" s="48">
        <v>3</v>
      </c>
      <c r="K1805" s="48">
        <v>2</v>
      </c>
      <c r="R1805" s="46">
        <f t="shared" si="183"/>
        <v>0</v>
      </c>
      <c r="S1805" s="46">
        <f t="shared" si="184"/>
        <v>0</v>
      </c>
      <c r="T1805" s="46">
        <f t="shared" si="185"/>
        <v>50</v>
      </c>
      <c r="U1805" s="46">
        <f t="shared" si="186"/>
        <v>50</v>
      </c>
      <c r="V1805" s="54">
        <f t="shared" si="187"/>
        <v>42.5</v>
      </c>
    </row>
    <row r="1806" spans="1:22" x14ac:dyDescent="0.2">
      <c r="A1806" s="46" t="s">
        <v>36</v>
      </c>
      <c r="B1806" s="46" t="s">
        <v>47</v>
      </c>
      <c r="C1806" s="46" t="s">
        <v>88</v>
      </c>
      <c r="D1806" s="46" t="s">
        <v>178</v>
      </c>
      <c r="E1806" s="46">
        <v>4</v>
      </c>
      <c r="F1806" s="46" t="s">
        <v>60</v>
      </c>
      <c r="G1806" s="46">
        <v>2</v>
      </c>
      <c r="H1806" s="47">
        <v>26</v>
      </c>
      <c r="I1806" s="47" t="s">
        <v>127</v>
      </c>
      <c r="J1806" s="48">
        <v>3</v>
      </c>
      <c r="K1806" s="48">
        <v>1</v>
      </c>
      <c r="O1806" s="48">
        <v>1</v>
      </c>
      <c r="R1806" s="46">
        <f t="shared" si="183"/>
        <v>0</v>
      </c>
      <c r="S1806" s="46">
        <f t="shared" si="184"/>
        <v>0</v>
      </c>
      <c r="T1806" s="46">
        <f t="shared" si="185"/>
        <v>60</v>
      </c>
      <c r="U1806" s="46">
        <f t="shared" si="186"/>
        <v>70</v>
      </c>
      <c r="V1806" s="54">
        <f t="shared" si="187"/>
        <v>42.5</v>
      </c>
    </row>
    <row r="1807" spans="1:22" x14ac:dyDescent="0.2">
      <c r="A1807" s="46" t="s">
        <v>36</v>
      </c>
      <c r="B1807" s="46" t="s">
        <v>47</v>
      </c>
      <c r="C1807" s="46" t="s">
        <v>88</v>
      </c>
      <c r="D1807" s="46" t="s">
        <v>178</v>
      </c>
      <c r="E1807" s="46">
        <v>2</v>
      </c>
      <c r="F1807" s="46" t="s">
        <v>60</v>
      </c>
      <c r="G1807" s="46">
        <v>2</v>
      </c>
      <c r="H1807" s="47">
        <v>42</v>
      </c>
      <c r="I1807" s="47" t="s">
        <v>127</v>
      </c>
      <c r="J1807" s="48">
        <v>3</v>
      </c>
      <c r="K1807" s="48">
        <v>0</v>
      </c>
      <c r="R1807" s="46">
        <f t="shared" si="183"/>
        <v>0</v>
      </c>
      <c r="S1807" s="46">
        <f t="shared" si="184"/>
        <v>0</v>
      </c>
      <c r="T1807" s="46">
        <f t="shared" si="185"/>
        <v>60</v>
      </c>
      <c r="U1807" s="46">
        <f t="shared" si="186"/>
        <v>60</v>
      </c>
      <c r="V1807" s="54">
        <f t="shared" si="187"/>
        <v>42.5</v>
      </c>
    </row>
    <row r="1808" spans="1:22" x14ac:dyDescent="0.2">
      <c r="A1808" s="46" t="s">
        <v>36</v>
      </c>
      <c r="B1808" s="46" t="s">
        <v>47</v>
      </c>
      <c r="C1808" s="46" t="s">
        <v>88</v>
      </c>
      <c r="D1808" s="46" t="s">
        <v>178</v>
      </c>
      <c r="E1808" s="46">
        <v>4</v>
      </c>
      <c r="F1808" s="46" t="s">
        <v>61</v>
      </c>
      <c r="G1808" s="46">
        <v>1</v>
      </c>
      <c r="H1808" s="47" t="s">
        <v>67</v>
      </c>
      <c r="I1808" s="47" t="s">
        <v>101</v>
      </c>
      <c r="J1808" s="48">
        <v>3</v>
      </c>
      <c r="K1808" s="48">
        <v>1</v>
      </c>
      <c r="O1808" s="48">
        <v>1</v>
      </c>
      <c r="R1808" s="46">
        <f t="shared" si="183"/>
        <v>0</v>
      </c>
      <c r="S1808" s="46">
        <f t="shared" si="184"/>
        <v>0</v>
      </c>
      <c r="T1808" s="46">
        <f t="shared" si="185"/>
        <v>60</v>
      </c>
      <c r="U1808" s="46">
        <f t="shared" si="186"/>
        <v>70</v>
      </c>
      <c r="V1808" s="54">
        <f t="shared" si="187"/>
        <v>42.5</v>
      </c>
    </row>
    <row r="1809" spans="1:22" x14ac:dyDescent="0.2">
      <c r="A1809" s="46" t="s">
        <v>36</v>
      </c>
      <c r="B1809" s="46" t="s">
        <v>47</v>
      </c>
      <c r="C1809" s="46" t="s">
        <v>88</v>
      </c>
      <c r="D1809" s="46" t="s">
        <v>178</v>
      </c>
      <c r="E1809" s="46">
        <v>1</v>
      </c>
      <c r="F1809" s="46" t="s">
        <v>61</v>
      </c>
      <c r="G1809" s="46">
        <v>1</v>
      </c>
      <c r="H1809" s="47" t="s">
        <v>74</v>
      </c>
      <c r="I1809" s="47" t="s">
        <v>101</v>
      </c>
      <c r="J1809" s="48">
        <v>3</v>
      </c>
      <c r="K1809" s="48">
        <v>1</v>
      </c>
      <c r="O1809" s="48">
        <v>1</v>
      </c>
      <c r="R1809" s="46">
        <f t="shared" si="183"/>
        <v>0</v>
      </c>
      <c r="S1809" s="46">
        <f t="shared" si="184"/>
        <v>0</v>
      </c>
      <c r="T1809" s="46">
        <f t="shared" si="185"/>
        <v>60</v>
      </c>
      <c r="U1809" s="46">
        <f t="shared" si="186"/>
        <v>70</v>
      </c>
      <c r="V1809" s="54">
        <f t="shared" si="187"/>
        <v>42.5</v>
      </c>
    </row>
    <row r="1810" spans="1:22" x14ac:dyDescent="0.2">
      <c r="A1810" s="46" t="s">
        <v>36</v>
      </c>
      <c r="B1810" s="46" t="s">
        <v>47</v>
      </c>
      <c r="C1810" s="46" t="s">
        <v>88</v>
      </c>
      <c r="D1810" s="46" t="s">
        <v>178</v>
      </c>
      <c r="E1810" s="46">
        <v>1</v>
      </c>
      <c r="F1810" s="46" t="s">
        <v>61</v>
      </c>
      <c r="G1810" s="46">
        <v>1</v>
      </c>
      <c r="H1810" s="47" t="s">
        <v>78</v>
      </c>
      <c r="I1810" s="47" t="s">
        <v>101</v>
      </c>
      <c r="J1810" s="48">
        <v>3</v>
      </c>
      <c r="K1810" s="48">
        <v>0</v>
      </c>
      <c r="R1810" s="46">
        <f t="shared" si="183"/>
        <v>0</v>
      </c>
      <c r="S1810" s="46">
        <f t="shared" si="184"/>
        <v>0</v>
      </c>
      <c r="T1810" s="46">
        <f t="shared" si="185"/>
        <v>60</v>
      </c>
      <c r="U1810" s="46">
        <f t="shared" si="186"/>
        <v>60</v>
      </c>
      <c r="V1810" s="54">
        <f t="shared" si="187"/>
        <v>42.5</v>
      </c>
    </row>
    <row r="1811" spans="1:22" x14ac:dyDescent="0.2">
      <c r="A1811" s="46" t="s">
        <v>36</v>
      </c>
      <c r="B1811" s="46" t="s">
        <v>47</v>
      </c>
      <c r="C1811" s="46" t="s">
        <v>88</v>
      </c>
      <c r="D1811" s="46" t="s">
        <v>178</v>
      </c>
      <c r="E1811" s="46">
        <v>2</v>
      </c>
      <c r="F1811" s="46" t="s">
        <v>60</v>
      </c>
      <c r="G1811" s="46">
        <v>1</v>
      </c>
      <c r="H1811" s="47">
        <v>9</v>
      </c>
      <c r="I1811" s="47" t="s">
        <v>101</v>
      </c>
      <c r="J1811" s="48">
        <v>4</v>
      </c>
      <c r="K1811" s="48">
        <v>2</v>
      </c>
      <c r="R1811" s="46">
        <f t="shared" si="183"/>
        <v>1</v>
      </c>
      <c r="S1811" s="46">
        <f t="shared" si="184"/>
        <v>0</v>
      </c>
      <c r="T1811" s="46">
        <f t="shared" si="185"/>
        <v>70</v>
      </c>
      <c r="U1811" s="46">
        <f t="shared" si="186"/>
        <v>70</v>
      </c>
      <c r="V1811" s="54">
        <f t="shared" si="187"/>
        <v>42.5</v>
      </c>
    </row>
    <row r="1812" spans="1:22" x14ac:dyDescent="0.2">
      <c r="A1812" s="46" t="s">
        <v>36</v>
      </c>
      <c r="B1812" s="46" t="s">
        <v>47</v>
      </c>
      <c r="C1812" s="46" t="s">
        <v>88</v>
      </c>
      <c r="D1812" s="46" t="s">
        <v>178</v>
      </c>
      <c r="E1812" s="46">
        <v>2</v>
      </c>
      <c r="F1812" s="46" t="s">
        <v>60</v>
      </c>
      <c r="G1812" s="46">
        <v>4</v>
      </c>
      <c r="H1812" s="47">
        <v>40</v>
      </c>
      <c r="I1812" s="47" t="s">
        <v>102</v>
      </c>
      <c r="J1812" s="48">
        <v>4</v>
      </c>
      <c r="K1812" s="48">
        <v>2</v>
      </c>
      <c r="O1812" s="48">
        <v>1</v>
      </c>
      <c r="R1812" s="46">
        <f t="shared" si="183"/>
        <v>1</v>
      </c>
      <c r="S1812" s="46">
        <f t="shared" si="184"/>
        <v>0</v>
      </c>
      <c r="T1812" s="46">
        <f t="shared" si="185"/>
        <v>70</v>
      </c>
      <c r="U1812" s="46">
        <f t="shared" si="186"/>
        <v>80</v>
      </c>
      <c r="V1812" s="54">
        <f t="shared" si="187"/>
        <v>42.5</v>
      </c>
    </row>
    <row r="1813" spans="1:22" x14ac:dyDescent="0.2">
      <c r="A1813" s="46" t="s">
        <v>36</v>
      </c>
      <c r="B1813" s="46" t="s">
        <v>47</v>
      </c>
      <c r="C1813" s="46" t="s">
        <v>88</v>
      </c>
      <c r="D1813" s="46" t="s">
        <v>178</v>
      </c>
      <c r="E1813" s="46">
        <v>3</v>
      </c>
      <c r="F1813" s="46" t="s">
        <v>61</v>
      </c>
      <c r="G1813" s="46">
        <v>1</v>
      </c>
      <c r="H1813" s="47" t="s">
        <v>74</v>
      </c>
      <c r="I1813" s="47" t="s">
        <v>101</v>
      </c>
      <c r="J1813" s="48">
        <v>4</v>
      </c>
      <c r="K1813" s="48">
        <v>2</v>
      </c>
      <c r="R1813" s="46">
        <f t="shared" si="183"/>
        <v>1</v>
      </c>
      <c r="S1813" s="46">
        <f t="shared" si="184"/>
        <v>0</v>
      </c>
      <c r="T1813" s="46">
        <f t="shared" si="185"/>
        <v>70</v>
      </c>
      <c r="U1813" s="46">
        <f t="shared" si="186"/>
        <v>70</v>
      </c>
      <c r="V1813" s="54">
        <f t="shared" si="187"/>
        <v>42.5</v>
      </c>
    </row>
    <row r="1814" spans="1:22" x14ac:dyDescent="0.2">
      <c r="A1814" s="46" t="s">
        <v>36</v>
      </c>
      <c r="B1814" s="46" t="s">
        <v>47</v>
      </c>
      <c r="C1814" s="46" t="s">
        <v>88</v>
      </c>
      <c r="D1814" s="46" t="s">
        <v>178</v>
      </c>
      <c r="E1814" s="46">
        <v>1</v>
      </c>
      <c r="F1814" s="46" t="s">
        <v>60</v>
      </c>
      <c r="G1814" s="46">
        <v>4</v>
      </c>
      <c r="H1814" s="47">
        <v>8</v>
      </c>
      <c r="I1814" s="47" t="s">
        <v>102</v>
      </c>
      <c r="J1814" s="48">
        <v>4</v>
      </c>
      <c r="K1814" s="48">
        <v>1</v>
      </c>
      <c r="R1814" s="46">
        <f t="shared" si="183"/>
        <v>1</v>
      </c>
      <c r="S1814" s="46">
        <f t="shared" si="184"/>
        <v>0</v>
      </c>
      <c r="T1814" s="46">
        <f t="shared" si="185"/>
        <v>80</v>
      </c>
      <c r="U1814" s="46">
        <f t="shared" si="186"/>
        <v>80</v>
      </c>
      <c r="V1814" s="54">
        <f t="shared" si="187"/>
        <v>42.5</v>
      </c>
    </row>
    <row r="1815" spans="1:22" x14ac:dyDescent="0.2">
      <c r="A1815" s="46" t="s">
        <v>36</v>
      </c>
      <c r="B1815" s="46" t="s">
        <v>47</v>
      </c>
      <c r="C1815" s="46" t="s">
        <v>88</v>
      </c>
      <c r="D1815" s="46" t="s">
        <v>178</v>
      </c>
      <c r="E1815" s="46">
        <v>3</v>
      </c>
      <c r="F1815" s="46" t="s">
        <v>60</v>
      </c>
      <c r="G1815" s="46">
        <v>1</v>
      </c>
      <c r="H1815" s="47">
        <v>17</v>
      </c>
      <c r="I1815" s="47" t="s">
        <v>101</v>
      </c>
      <c r="J1815" s="48">
        <v>4</v>
      </c>
      <c r="K1815" s="48">
        <v>1</v>
      </c>
      <c r="R1815" s="46">
        <f t="shared" si="183"/>
        <v>1</v>
      </c>
      <c r="S1815" s="46">
        <f t="shared" si="184"/>
        <v>0</v>
      </c>
      <c r="T1815" s="46">
        <f t="shared" si="185"/>
        <v>80</v>
      </c>
      <c r="U1815" s="46">
        <f t="shared" si="186"/>
        <v>80</v>
      </c>
      <c r="V1815" s="54">
        <f t="shared" si="187"/>
        <v>42.5</v>
      </c>
    </row>
    <row r="1816" spans="1:22" x14ac:dyDescent="0.2">
      <c r="A1816" s="46" t="s">
        <v>36</v>
      </c>
      <c r="B1816" s="46" t="s">
        <v>47</v>
      </c>
      <c r="C1816" s="46" t="s">
        <v>88</v>
      </c>
      <c r="D1816" s="46" t="s">
        <v>178</v>
      </c>
      <c r="E1816" s="46">
        <v>2</v>
      </c>
      <c r="F1816" s="46" t="s">
        <v>61</v>
      </c>
      <c r="G1816" s="46">
        <v>1</v>
      </c>
      <c r="H1816" s="47" t="s">
        <v>69</v>
      </c>
      <c r="I1816" s="47" t="s">
        <v>101</v>
      </c>
      <c r="J1816" s="48">
        <v>4</v>
      </c>
      <c r="K1816" s="48">
        <v>1</v>
      </c>
      <c r="O1816" s="48">
        <v>1</v>
      </c>
      <c r="R1816" s="46">
        <f t="shared" si="183"/>
        <v>1</v>
      </c>
      <c r="S1816" s="46">
        <f t="shared" si="184"/>
        <v>0</v>
      </c>
      <c r="T1816" s="46">
        <f t="shared" si="185"/>
        <v>80</v>
      </c>
      <c r="U1816" s="46">
        <f t="shared" si="186"/>
        <v>90</v>
      </c>
      <c r="V1816" s="54">
        <f t="shared" si="187"/>
        <v>42.5</v>
      </c>
    </row>
    <row r="1817" spans="1:22" x14ac:dyDescent="0.2">
      <c r="A1817" s="46" t="s">
        <v>36</v>
      </c>
      <c r="B1817" s="46" t="s">
        <v>47</v>
      </c>
      <c r="C1817" s="46" t="s">
        <v>88</v>
      </c>
      <c r="D1817" s="46" t="s">
        <v>178</v>
      </c>
      <c r="E1817" s="46">
        <v>3</v>
      </c>
      <c r="F1817" s="46" t="s">
        <v>60</v>
      </c>
      <c r="G1817" s="46">
        <v>3</v>
      </c>
      <c r="H1817" s="47">
        <v>3</v>
      </c>
      <c r="I1817" s="47" t="s">
        <v>116</v>
      </c>
      <c r="J1817" s="48">
        <v>4</v>
      </c>
      <c r="K1817" s="48">
        <v>0</v>
      </c>
      <c r="R1817" s="46">
        <f t="shared" si="183"/>
        <v>1</v>
      </c>
      <c r="S1817" s="46">
        <f t="shared" si="184"/>
        <v>0</v>
      </c>
      <c r="T1817" s="46">
        <f t="shared" si="185"/>
        <v>90</v>
      </c>
      <c r="U1817" s="46">
        <f t="shared" si="186"/>
        <v>90</v>
      </c>
      <c r="V1817" s="54">
        <f t="shared" si="187"/>
        <v>42.5</v>
      </c>
    </row>
    <row r="1818" spans="1:22" x14ac:dyDescent="0.2">
      <c r="A1818" s="46" t="s">
        <v>36</v>
      </c>
      <c r="B1818" s="46" t="s">
        <v>47</v>
      </c>
      <c r="C1818" s="46" t="s">
        <v>88</v>
      </c>
      <c r="D1818" s="46" t="s">
        <v>178</v>
      </c>
      <c r="E1818" s="46">
        <v>2</v>
      </c>
      <c r="F1818" s="46" t="s">
        <v>60</v>
      </c>
      <c r="G1818" s="46">
        <v>3</v>
      </c>
      <c r="H1818" s="47">
        <v>7</v>
      </c>
      <c r="I1818" s="47" t="s">
        <v>116</v>
      </c>
      <c r="J1818" s="48">
        <v>4</v>
      </c>
      <c r="K1818" s="48">
        <v>0</v>
      </c>
      <c r="L1818" s="48">
        <v>1</v>
      </c>
      <c r="R1818" s="46">
        <f t="shared" si="183"/>
        <v>1</v>
      </c>
      <c r="S1818" s="46">
        <f t="shared" si="184"/>
        <v>0</v>
      </c>
      <c r="T1818" s="46">
        <f t="shared" si="185"/>
        <v>90</v>
      </c>
      <c r="U1818" s="46">
        <f t="shared" si="186"/>
        <v>85</v>
      </c>
      <c r="V1818" s="54">
        <f t="shared" si="187"/>
        <v>42.5</v>
      </c>
    </row>
    <row r="1819" spans="1:22" x14ac:dyDescent="0.2">
      <c r="A1819" s="46" t="s">
        <v>36</v>
      </c>
      <c r="B1819" s="46" t="s">
        <v>47</v>
      </c>
      <c r="C1819" s="46" t="s">
        <v>88</v>
      </c>
      <c r="D1819" s="46" t="s">
        <v>178</v>
      </c>
      <c r="E1819" s="46">
        <v>1</v>
      </c>
      <c r="F1819" s="46" t="s">
        <v>60</v>
      </c>
      <c r="G1819" s="46">
        <v>2</v>
      </c>
      <c r="H1819" s="47">
        <v>34</v>
      </c>
      <c r="I1819" s="47" t="s">
        <v>127</v>
      </c>
      <c r="J1819" s="48">
        <v>4</v>
      </c>
      <c r="K1819" s="48">
        <v>0</v>
      </c>
      <c r="R1819" s="46">
        <f t="shared" si="183"/>
        <v>1</v>
      </c>
      <c r="S1819" s="46">
        <f t="shared" si="184"/>
        <v>0</v>
      </c>
      <c r="T1819" s="46">
        <f t="shared" si="185"/>
        <v>90</v>
      </c>
      <c r="U1819" s="46">
        <f t="shared" si="186"/>
        <v>90</v>
      </c>
      <c r="V1819" s="54">
        <f t="shared" si="187"/>
        <v>42.5</v>
      </c>
    </row>
    <row r="1820" spans="1:22" x14ac:dyDescent="0.2">
      <c r="A1820" s="46" t="s">
        <v>36</v>
      </c>
      <c r="B1820" s="46" t="s">
        <v>47</v>
      </c>
      <c r="C1820" s="46" t="s">
        <v>88</v>
      </c>
      <c r="D1820" s="46" t="s">
        <v>178</v>
      </c>
      <c r="E1820" s="46">
        <v>2</v>
      </c>
      <c r="F1820" s="46" t="s">
        <v>61</v>
      </c>
      <c r="G1820" s="46">
        <v>1</v>
      </c>
      <c r="H1820" s="47" t="s">
        <v>70</v>
      </c>
      <c r="I1820" s="47" t="s">
        <v>101</v>
      </c>
      <c r="J1820" s="48">
        <v>4</v>
      </c>
      <c r="K1820" s="48">
        <v>0</v>
      </c>
      <c r="R1820" s="46">
        <f t="shared" si="183"/>
        <v>1</v>
      </c>
      <c r="S1820" s="46">
        <f t="shared" si="184"/>
        <v>0</v>
      </c>
      <c r="T1820" s="46">
        <f t="shared" si="185"/>
        <v>90</v>
      </c>
      <c r="U1820" s="46">
        <f t="shared" si="186"/>
        <v>90</v>
      </c>
      <c r="V1820" s="54">
        <f t="shared" si="187"/>
        <v>42.5</v>
      </c>
    </row>
    <row r="1821" spans="1:22" x14ac:dyDescent="0.2">
      <c r="A1821" s="46" t="s">
        <v>36</v>
      </c>
      <c r="B1821" s="46" t="s">
        <v>47</v>
      </c>
      <c r="C1821" s="46" t="s">
        <v>88</v>
      </c>
      <c r="D1821" s="46" t="s">
        <v>178</v>
      </c>
      <c r="E1821" s="46">
        <v>4</v>
      </c>
      <c r="F1821" s="46" t="s">
        <v>61</v>
      </c>
      <c r="G1821" s="46">
        <v>1</v>
      </c>
      <c r="H1821" s="47" t="s">
        <v>78</v>
      </c>
      <c r="I1821" s="47" t="s">
        <v>101</v>
      </c>
      <c r="J1821" s="48">
        <v>1</v>
      </c>
      <c r="K1821" s="48">
        <v>2</v>
      </c>
      <c r="O1821" s="48">
        <v>1</v>
      </c>
      <c r="R1821" s="46">
        <f t="shared" si="183"/>
        <v>0</v>
      </c>
      <c r="S1821" s="46">
        <f t="shared" si="184"/>
        <v>0</v>
      </c>
      <c r="T1821" s="46">
        <f t="shared" si="185"/>
        <v>10</v>
      </c>
      <c r="U1821" s="46">
        <f t="shared" si="186"/>
        <v>20</v>
      </c>
      <c r="V1821" s="54">
        <f t="shared" si="187"/>
        <v>42.5</v>
      </c>
    </row>
    <row r="1822" spans="1:22" x14ac:dyDescent="0.2">
      <c r="A1822" s="46" t="s">
        <v>36</v>
      </c>
      <c r="B1822" s="46" t="s">
        <v>47</v>
      </c>
      <c r="C1822" s="46" t="s">
        <v>88</v>
      </c>
      <c r="D1822" s="46" t="s">
        <v>178</v>
      </c>
      <c r="E1822" s="46">
        <v>4</v>
      </c>
      <c r="F1822" s="46" t="s">
        <v>61</v>
      </c>
      <c r="G1822" s="46">
        <v>1</v>
      </c>
      <c r="H1822" s="47" t="s">
        <v>78</v>
      </c>
      <c r="I1822" s="47" t="s">
        <v>101</v>
      </c>
      <c r="J1822" s="48">
        <v>0</v>
      </c>
      <c r="K1822" s="48">
        <v>3</v>
      </c>
      <c r="R1822" s="46">
        <f t="shared" si="183"/>
        <v>0</v>
      </c>
      <c r="S1822" s="46">
        <f t="shared" si="184"/>
        <v>1</v>
      </c>
      <c r="T1822" s="46">
        <f t="shared" si="185"/>
        <v>-20</v>
      </c>
      <c r="U1822" s="46">
        <f t="shared" si="186"/>
        <v>-20</v>
      </c>
      <c r="V1822" s="54">
        <f t="shared" si="187"/>
        <v>42.5</v>
      </c>
    </row>
    <row r="1823" spans="1:22" x14ac:dyDescent="0.2">
      <c r="A1823" s="46" t="s">
        <v>36</v>
      </c>
      <c r="B1823" s="46" t="s">
        <v>47</v>
      </c>
      <c r="C1823" s="46" t="s">
        <v>88</v>
      </c>
      <c r="D1823" s="46" t="s">
        <v>178</v>
      </c>
      <c r="E1823" s="46">
        <v>4</v>
      </c>
      <c r="F1823" s="46" t="s">
        <v>61</v>
      </c>
      <c r="G1823" s="46">
        <v>1</v>
      </c>
      <c r="H1823" s="47" t="s">
        <v>78</v>
      </c>
      <c r="I1823" s="47" t="s">
        <v>101</v>
      </c>
      <c r="J1823" s="48">
        <v>0</v>
      </c>
      <c r="K1823" s="48">
        <v>2</v>
      </c>
      <c r="R1823" s="46">
        <f t="shared" si="183"/>
        <v>0</v>
      </c>
      <c r="S1823" s="46">
        <f t="shared" si="184"/>
        <v>0</v>
      </c>
      <c r="T1823" s="46">
        <f t="shared" si="185"/>
        <v>-10</v>
      </c>
      <c r="U1823" s="46">
        <f t="shared" si="186"/>
        <v>-10</v>
      </c>
      <c r="V1823" s="54">
        <f t="shared" si="187"/>
        <v>42.5</v>
      </c>
    </row>
    <row r="1824" spans="1:22" x14ac:dyDescent="0.2">
      <c r="A1824" s="46" t="s">
        <v>36</v>
      </c>
      <c r="B1824" s="46" t="s">
        <v>47</v>
      </c>
      <c r="C1824" s="46" t="s">
        <v>88</v>
      </c>
      <c r="D1824" s="46" t="s">
        <v>178</v>
      </c>
      <c r="E1824" s="46">
        <v>5</v>
      </c>
      <c r="F1824" s="46" t="s">
        <v>60</v>
      </c>
      <c r="G1824" s="46">
        <v>1</v>
      </c>
      <c r="H1824" s="47">
        <v>1</v>
      </c>
      <c r="I1824" s="47" t="s">
        <v>101</v>
      </c>
      <c r="J1824" s="48">
        <v>2</v>
      </c>
      <c r="K1824" s="48">
        <v>0</v>
      </c>
      <c r="R1824" s="46">
        <f t="shared" si="183"/>
        <v>0</v>
      </c>
      <c r="S1824" s="46">
        <f t="shared" si="184"/>
        <v>0</v>
      </c>
      <c r="T1824" s="46">
        <f t="shared" si="185"/>
        <v>40</v>
      </c>
      <c r="U1824" s="46">
        <f t="shared" si="186"/>
        <v>40</v>
      </c>
      <c r="V1824" s="54">
        <f t="shared" si="187"/>
        <v>42.5</v>
      </c>
    </row>
    <row r="1825" spans="1:22" x14ac:dyDescent="0.2">
      <c r="A1825" s="46" t="s">
        <v>36</v>
      </c>
      <c r="B1825" s="46" t="s">
        <v>47</v>
      </c>
      <c r="C1825" s="46" t="s">
        <v>88</v>
      </c>
      <c r="D1825" s="46" t="s">
        <v>178</v>
      </c>
      <c r="E1825" s="46">
        <v>5</v>
      </c>
      <c r="F1825" s="46" t="s">
        <v>60</v>
      </c>
      <c r="G1825" s="46">
        <v>4</v>
      </c>
      <c r="H1825" s="47">
        <v>12</v>
      </c>
      <c r="I1825" s="47" t="s">
        <v>102</v>
      </c>
      <c r="J1825" s="48">
        <v>2</v>
      </c>
      <c r="K1825" s="48">
        <v>2</v>
      </c>
      <c r="O1825" s="48">
        <v>1</v>
      </c>
      <c r="R1825" s="46">
        <f t="shared" si="183"/>
        <v>0</v>
      </c>
      <c r="S1825" s="46">
        <f t="shared" si="184"/>
        <v>0</v>
      </c>
      <c r="T1825" s="46">
        <f t="shared" si="185"/>
        <v>30</v>
      </c>
      <c r="U1825" s="46">
        <f t="shared" si="186"/>
        <v>40</v>
      </c>
      <c r="V1825" s="54">
        <f t="shared" si="187"/>
        <v>42.5</v>
      </c>
    </row>
    <row r="1826" spans="1:22" x14ac:dyDescent="0.2">
      <c r="A1826" s="46" t="s">
        <v>36</v>
      </c>
      <c r="B1826" s="46" t="s">
        <v>47</v>
      </c>
      <c r="C1826" s="46" t="s">
        <v>88</v>
      </c>
      <c r="D1826" s="46" t="s">
        <v>178</v>
      </c>
      <c r="E1826" s="46">
        <v>5</v>
      </c>
      <c r="F1826" s="46" t="s">
        <v>60</v>
      </c>
      <c r="G1826" s="46">
        <v>1</v>
      </c>
      <c r="H1826" s="47">
        <v>13</v>
      </c>
      <c r="I1826" s="47" t="s">
        <v>101</v>
      </c>
      <c r="J1826" s="48">
        <v>3</v>
      </c>
      <c r="K1826" s="48">
        <v>1</v>
      </c>
      <c r="R1826" s="46">
        <f t="shared" si="183"/>
        <v>0</v>
      </c>
      <c r="S1826" s="46">
        <f t="shared" si="184"/>
        <v>0</v>
      </c>
      <c r="T1826" s="46">
        <f t="shared" ref="T1826:T1832" si="188">quizscore(J1826,K1826)</f>
        <v>60</v>
      </c>
      <c r="U1826" s="46">
        <f t="shared" si="186"/>
        <v>60</v>
      </c>
      <c r="V1826" s="54">
        <f t="shared" si="187"/>
        <v>42.5</v>
      </c>
    </row>
    <row r="1827" spans="1:22" x14ac:dyDescent="0.2">
      <c r="A1827" s="46" t="s">
        <v>36</v>
      </c>
      <c r="B1827" s="46" t="s">
        <v>47</v>
      </c>
      <c r="C1827" s="46" t="s">
        <v>88</v>
      </c>
      <c r="D1827" s="46" t="s">
        <v>178</v>
      </c>
      <c r="E1827" s="46">
        <v>5</v>
      </c>
      <c r="F1827" s="46" t="s">
        <v>60</v>
      </c>
      <c r="G1827" s="46">
        <v>2</v>
      </c>
      <c r="H1827" s="47">
        <v>22</v>
      </c>
      <c r="I1827" s="47" t="s">
        <v>127</v>
      </c>
      <c r="J1827" s="48">
        <v>0</v>
      </c>
      <c r="K1827" s="48">
        <v>1</v>
      </c>
      <c r="R1827" s="46">
        <f t="shared" si="183"/>
        <v>0</v>
      </c>
      <c r="S1827" s="46">
        <f t="shared" si="184"/>
        <v>0</v>
      </c>
      <c r="T1827" s="46">
        <f t="shared" si="188"/>
        <v>0</v>
      </c>
      <c r="U1827" s="46">
        <f t="shared" si="186"/>
        <v>0</v>
      </c>
      <c r="V1827" s="54">
        <f t="shared" si="187"/>
        <v>42.5</v>
      </c>
    </row>
    <row r="1828" spans="1:22" x14ac:dyDescent="0.2">
      <c r="A1828" s="46" t="s">
        <v>36</v>
      </c>
      <c r="B1828" s="46" t="s">
        <v>47</v>
      </c>
      <c r="C1828" s="46" t="s">
        <v>88</v>
      </c>
      <c r="D1828" s="46" t="s">
        <v>178</v>
      </c>
      <c r="E1828" s="46">
        <v>5</v>
      </c>
      <c r="F1828" s="46" t="s">
        <v>60</v>
      </c>
      <c r="G1828" s="46">
        <v>3</v>
      </c>
      <c r="H1828" s="47">
        <v>35</v>
      </c>
      <c r="I1828" s="47" t="s">
        <v>159</v>
      </c>
      <c r="J1828" s="48">
        <v>2</v>
      </c>
      <c r="K1828" s="48">
        <v>1</v>
      </c>
      <c r="L1828" s="48">
        <v>1</v>
      </c>
      <c r="O1828" s="48">
        <v>1</v>
      </c>
      <c r="R1828" s="46">
        <f t="shared" si="183"/>
        <v>0</v>
      </c>
      <c r="S1828" s="46">
        <f t="shared" si="184"/>
        <v>0</v>
      </c>
      <c r="T1828" s="46">
        <f t="shared" si="188"/>
        <v>40</v>
      </c>
      <c r="U1828" s="46">
        <f t="shared" si="186"/>
        <v>45</v>
      </c>
      <c r="V1828" s="54">
        <f t="shared" si="187"/>
        <v>42.5</v>
      </c>
    </row>
    <row r="1829" spans="1:22" x14ac:dyDescent="0.2">
      <c r="A1829" s="46" t="s">
        <v>36</v>
      </c>
      <c r="B1829" s="46" t="s">
        <v>47</v>
      </c>
      <c r="C1829" s="46" t="s">
        <v>88</v>
      </c>
      <c r="D1829" s="46" t="s">
        <v>178</v>
      </c>
      <c r="E1829" s="46">
        <v>5</v>
      </c>
      <c r="F1829" s="46" t="s">
        <v>60</v>
      </c>
      <c r="G1829" s="46">
        <v>2</v>
      </c>
      <c r="H1829" s="47">
        <v>42</v>
      </c>
      <c r="I1829" s="47" t="s">
        <v>127</v>
      </c>
      <c r="J1829" s="48">
        <v>2</v>
      </c>
      <c r="K1829" s="48">
        <v>1</v>
      </c>
      <c r="R1829" s="46">
        <f t="shared" si="183"/>
        <v>0</v>
      </c>
      <c r="S1829" s="46">
        <f t="shared" si="184"/>
        <v>0</v>
      </c>
      <c r="T1829" s="46">
        <f t="shared" si="188"/>
        <v>40</v>
      </c>
      <c r="U1829" s="46">
        <f t="shared" si="186"/>
        <v>40</v>
      </c>
      <c r="V1829" s="54">
        <f t="shared" si="187"/>
        <v>42.5</v>
      </c>
    </row>
    <row r="1830" spans="1:22" x14ac:dyDescent="0.2">
      <c r="A1830" s="46" t="s">
        <v>36</v>
      </c>
      <c r="B1830" s="46" t="s">
        <v>47</v>
      </c>
      <c r="C1830" s="46" t="s">
        <v>88</v>
      </c>
      <c r="D1830" s="46" t="s">
        <v>178</v>
      </c>
      <c r="E1830" s="46">
        <v>5</v>
      </c>
      <c r="F1830" s="46" t="s">
        <v>61</v>
      </c>
      <c r="G1830" s="46">
        <v>1</v>
      </c>
      <c r="H1830" s="47" t="s">
        <v>67</v>
      </c>
      <c r="I1830" s="47" t="s">
        <v>101</v>
      </c>
      <c r="J1830" s="48">
        <v>0</v>
      </c>
      <c r="K1830" s="48">
        <v>2</v>
      </c>
      <c r="R1830" s="46">
        <f t="shared" si="183"/>
        <v>0</v>
      </c>
      <c r="S1830" s="46">
        <f t="shared" si="184"/>
        <v>0</v>
      </c>
      <c r="T1830" s="46">
        <f t="shared" si="188"/>
        <v>-10</v>
      </c>
      <c r="U1830" s="46">
        <f t="shared" si="186"/>
        <v>-10</v>
      </c>
      <c r="V1830" s="54">
        <f t="shared" si="187"/>
        <v>42.5</v>
      </c>
    </row>
    <row r="1831" spans="1:22" x14ac:dyDescent="0.2">
      <c r="A1831" s="46" t="s">
        <v>36</v>
      </c>
      <c r="B1831" s="46" t="s">
        <v>47</v>
      </c>
      <c r="C1831" s="46" t="s">
        <v>88</v>
      </c>
      <c r="D1831" s="46" t="s">
        <v>178</v>
      </c>
      <c r="E1831" s="46">
        <v>5</v>
      </c>
      <c r="F1831" s="46" t="s">
        <v>61</v>
      </c>
      <c r="G1831" s="46">
        <v>1</v>
      </c>
      <c r="H1831" s="47" t="s">
        <v>75</v>
      </c>
      <c r="I1831" s="47" t="s">
        <v>101</v>
      </c>
      <c r="J1831" s="48">
        <v>0</v>
      </c>
      <c r="K1831" s="48">
        <v>1</v>
      </c>
      <c r="R1831" s="46">
        <f t="shared" si="183"/>
        <v>0</v>
      </c>
      <c r="S1831" s="46">
        <f t="shared" si="184"/>
        <v>0</v>
      </c>
      <c r="T1831" s="46">
        <f t="shared" si="188"/>
        <v>0</v>
      </c>
      <c r="U1831" s="46">
        <f t="shared" si="186"/>
        <v>0</v>
      </c>
      <c r="V1831" s="54">
        <f t="shared" si="187"/>
        <v>42.5</v>
      </c>
    </row>
    <row r="1832" spans="1:22" x14ac:dyDescent="0.2">
      <c r="A1832" s="46" t="s">
        <v>36</v>
      </c>
      <c r="B1832" s="46" t="s">
        <v>47</v>
      </c>
      <c r="C1832" s="46" t="s">
        <v>88</v>
      </c>
      <c r="D1832" s="46" t="s">
        <v>178</v>
      </c>
      <c r="E1832" s="46">
        <v>5</v>
      </c>
      <c r="F1832" s="46" t="s">
        <v>61</v>
      </c>
      <c r="G1832" s="46">
        <v>1</v>
      </c>
      <c r="H1832" s="47" t="s">
        <v>69</v>
      </c>
      <c r="I1832" s="47" t="s">
        <v>101</v>
      </c>
      <c r="J1832" s="48">
        <v>2</v>
      </c>
      <c r="K1832" s="48">
        <v>0</v>
      </c>
      <c r="R1832" s="46">
        <f t="shared" si="183"/>
        <v>0</v>
      </c>
      <c r="S1832" s="46">
        <f t="shared" si="184"/>
        <v>0</v>
      </c>
      <c r="T1832" s="46">
        <f t="shared" si="188"/>
        <v>40</v>
      </c>
      <c r="U1832" s="46">
        <f t="shared" si="186"/>
        <v>40</v>
      </c>
      <c r="V1832" s="54">
        <f t="shared" si="187"/>
        <v>42.5</v>
      </c>
    </row>
    <row r="1833" spans="1:22" x14ac:dyDescent="0.2">
      <c r="A1833" s="46" t="s">
        <v>36</v>
      </c>
      <c r="B1833" s="46" t="s">
        <v>47</v>
      </c>
      <c r="C1833" s="46" t="s">
        <v>88</v>
      </c>
      <c r="D1833" s="46" t="s">
        <v>178</v>
      </c>
      <c r="E1833" s="46">
        <v>5</v>
      </c>
      <c r="F1833" s="46" t="s">
        <v>61</v>
      </c>
      <c r="G1833" s="46">
        <v>1</v>
      </c>
      <c r="H1833" s="47" t="s">
        <v>78</v>
      </c>
      <c r="I1833" s="47" t="s">
        <v>101</v>
      </c>
      <c r="J1833" s="48">
        <v>0</v>
      </c>
      <c r="K1833" s="48">
        <v>1</v>
      </c>
      <c r="R1833" s="46">
        <f t="shared" si="183"/>
        <v>0</v>
      </c>
      <c r="S1833" s="46">
        <f t="shared" si="184"/>
        <v>0</v>
      </c>
      <c r="U1833" s="46">
        <f t="shared" si="186"/>
        <v>0</v>
      </c>
      <c r="V1833" s="54">
        <f t="shared" si="187"/>
        <v>42.5</v>
      </c>
    </row>
    <row r="1834" spans="1:22" x14ac:dyDescent="0.2">
      <c r="A1834" s="46" t="s">
        <v>36</v>
      </c>
      <c r="B1834" s="46" t="s">
        <v>47</v>
      </c>
      <c r="C1834" s="46" t="s">
        <v>88</v>
      </c>
      <c r="D1834" s="46" t="s">
        <v>178</v>
      </c>
      <c r="E1834" s="46">
        <v>5</v>
      </c>
      <c r="F1834" s="46" t="s">
        <v>61</v>
      </c>
      <c r="G1834" s="46">
        <v>1</v>
      </c>
      <c r="H1834" s="47" t="s">
        <v>78</v>
      </c>
      <c r="I1834" s="47" t="s">
        <v>101</v>
      </c>
      <c r="J1834" s="48">
        <v>1</v>
      </c>
      <c r="K1834" s="48">
        <v>1</v>
      </c>
      <c r="O1834" s="48">
        <v>1</v>
      </c>
      <c r="R1834" s="46">
        <f t="shared" si="183"/>
        <v>0</v>
      </c>
      <c r="S1834" s="46">
        <f t="shared" si="184"/>
        <v>0</v>
      </c>
      <c r="U1834" s="46">
        <f t="shared" si="186"/>
        <v>10</v>
      </c>
      <c r="V1834" s="54">
        <f t="shared" si="187"/>
        <v>42.5</v>
      </c>
    </row>
    <row r="1835" spans="1:22" x14ac:dyDescent="0.2">
      <c r="A1835" s="46" t="s">
        <v>39</v>
      </c>
      <c r="B1835" s="46" t="s">
        <v>118</v>
      </c>
      <c r="C1835" s="46" t="s">
        <v>95</v>
      </c>
      <c r="D1835" s="46" t="s">
        <v>178</v>
      </c>
      <c r="E1835" s="46">
        <v>3</v>
      </c>
      <c r="F1835" s="46" t="s">
        <v>60</v>
      </c>
      <c r="G1835" s="46">
        <v>1</v>
      </c>
      <c r="H1835" s="47">
        <v>45</v>
      </c>
      <c r="I1835" s="47" t="s">
        <v>101</v>
      </c>
      <c r="J1835" s="48">
        <v>0</v>
      </c>
      <c r="K1835" s="48">
        <v>2</v>
      </c>
      <c r="R1835" s="46">
        <f t="shared" si="183"/>
        <v>0</v>
      </c>
      <c r="S1835" s="46">
        <f t="shared" si="184"/>
        <v>0</v>
      </c>
      <c r="T1835" s="46">
        <f t="shared" ref="T1835:T1866" si="189">quizscore(J1835,K1835)</f>
        <v>-10</v>
      </c>
      <c r="U1835" s="46">
        <f t="shared" si="186"/>
        <v>-10</v>
      </c>
      <c r="V1835" s="54">
        <f t="shared" si="187"/>
        <v>14.333333333333334</v>
      </c>
    </row>
    <row r="1836" spans="1:22" x14ac:dyDescent="0.2">
      <c r="A1836" s="46" t="s">
        <v>39</v>
      </c>
      <c r="B1836" s="46" t="s">
        <v>118</v>
      </c>
      <c r="C1836" s="46" t="s">
        <v>95</v>
      </c>
      <c r="D1836" s="46" t="s">
        <v>178</v>
      </c>
      <c r="E1836" s="46">
        <v>1</v>
      </c>
      <c r="F1836" s="46" t="s">
        <v>60</v>
      </c>
      <c r="G1836" s="46">
        <v>1</v>
      </c>
      <c r="H1836" s="47">
        <v>5</v>
      </c>
      <c r="I1836" s="47" t="s">
        <v>101</v>
      </c>
      <c r="J1836" s="48">
        <v>0</v>
      </c>
      <c r="K1836" s="48">
        <v>1</v>
      </c>
      <c r="R1836" s="46">
        <f t="shared" si="183"/>
        <v>0</v>
      </c>
      <c r="S1836" s="46">
        <f t="shared" si="184"/>
        <v>0</v>
      </c>
      <c r="T1836" s="46">
        <f t="shared" si="189"/>
        <v>0</v>
      </c>
      <c r="U1836" s="46">
        <f t="shared" si="186"/>
        <v>0</v>
      </c>
      <c r="V1836" s="54">
        <f t="shared" si="187"/>
        <v>14.333333333333334</v>
      </c>
    </row>
    <row r="1837" spans="1:22" x14ac:dyDescent="0.2">
      <c r="A1837" s="46" t="s">
        <v>39</v>
      </c>
      <c r="B1837" s="46" t="s">
        <v>118</v>
      </c>
      <c r="C1837" s="46" t="s">
        <v>95</v>
      </c>
      <c r="D1837" s="46" t="s">
        <v>178</v>
      </c>
      <c r="E1837" s="46">
        <v>2</v>
      </c>
      <c r="F1837" s="46" t="s">
        <v>60</v>
      </c>
      <c r="G1837" s="46">
        <v>1</v>
      </c>
      <c r="H1837" s="47">
        <v>5</v>
      </c>
      <c r="I1837" s="47" t="s">
        <v>101</v>
      </c>
      <c r="J1837" s="48">
        <v>0</v>
      </c>
      <c r="K1837" s="48">
        <v>0</v>
      </c>
      <c r="R1837" s="46">
        <f t="shared" si="183"/>
        <v>0</v>
      </c>
      <c r="S1837" s="46">
        <f t="shared" si="184"/>
        <v>0</v>
      </c>
      <c r="T1837" s="46">
        <f t="shared" si="189"/>
        <v>0</v>
      </c>
      <c r="U1837" s="46">
        <f t="shared" si="186"/>
        <v>0</v>
      </c>
      <c r="V1837" s="54">
        <f t="shared" si="187"/>
        <v>14.333333333333334</v>
      </c>
    </row>
    <row r="1838" spans="1:22" x14ac:dyDescent="0.2">
      <c r="A1838" s="46" t="s">
        <v>39</v>
      </c>
      <c r="B1838" s="46" t="s">
        <v>118</v>
      </c>
      <c r="C1838" s="46" t="s">
        <v>95</v>
      </c>
      <c r="D1838" s="46" t="s">
        <v>178</v>
      </c>
      <c r="E1838" s="46">
        <v>3</v>
      </c>
      <c r="F1838" s="46" t="s">
        <v>60</v>
      </c>
      <c r="G1838" s="46">
        <v>3</v>
      </c>
      <c r="H1838" s="47">
        <v>7</v>
      </c>
      <c r="I1838" s="47" t="s">
        <v>116</v>
      </c>
      <c r="J1838" s="48">
        <v>0</v>
      </c>
      <c r="K1838" s="48">
        <v>0</v>
      </c>
      <c r="R1838" s="46">
        <f t="shared" si="183"/>
        <v>0</v>
      </c>
      <c r="S1838" s="46">
        <f t="shared" si="184"/>
        <v>0</v>
      </c>
      <c r="T1838" s="46">
        <f t="shared" si="189"/>
        <v>0</v>
      </c>
      <c r="U1838" s="46">
        <f t="shared" si="186"/>
        <v>0</v>
      </c>
      <c r="V1838" s="54">
        <f t="shared" si="187"/>
        <v>14.333333333333334</v>
      </c>
    </row>
    <row r="1839" spans="1:22" x14ac:dyDescent="0.2">
      <c r="A1839" s="46" t="s">
        <v>39</v>
      </c>
      <c r="B1839" s="46" t="s">
        <v>118</v>
      </c>
      <c r="C1839" s="46" t="s">
        <v>95</v>
      </c>
      <c r="D1839" s="46" t="s">
        <v>178</v>
      </c>
      <c r="E1839" s="46">
        <v>3</v>
      </c>
      <c r="F1839" s="46" t="s">
        <v>60</v>
      </c>
      <c r="G1839" s="46">
        <v>4</v>
      </c>
      <c r="H1839" s="47">
        <v>12</v>
      </c>
      <c r="I1839" s="47" t="s">
        <v>102</v>
      </c>
      <c r="J1839" s="48">
        <v>0</v>
      </c>
      <c r="K1839" s="48">
        <v>1</v>
      </c>
      <c r="R1839" s="46">
        <f t="shared" si="183"/>
        <v>0</v>
      </c>
      <c r="S1839" s="46">
        <f t="shared" si="184"/>
        <v>0</v>
      </c>
      <c r="T1839" s="46">
        <f t="shared" si="189"/>
        <v>0</v>
      </c>
      <c r="U1839" s="46">
        <f t="shared" si="186"/>
        <v>0</v>
      </c>
      <c r="V1839" s="54">
        <f t="shared" si="187"/>
        <v>14.333333333333334</v>
      </c>
    </row>
    <row r="1840" spans="1:22" x14ac:dyDescent="0.2">
      <c r="A1840" s="46" t="s">
        <v>39</v>
      </c>
      <c r="B1840" s="46" t="s">
        <v>118</v>
      </c>
      <c r="C1840" s="46" t="s">
        <v>95</v>
      </c>
      <c r="D1840" s="46" t="s">
        <v>178</v>
      </c>
      <c r="E1840" s="46">
        <v>4</v>
      </c>
      <c r="F1840" s="46" t="s">
        <v>60</v>
      </c>
      <c r="G1840" s="46">
        <v>3</v>
      </c>
      <c r="H1840" s="47">
        <v>15</v>
      </c>
      <c r="I1840" s="47" t="s">
        <v>159</v>
      </c>
      <c r="J1840" s="48">
        <v>0</v>
      </c>
      <c r="K1840" s="48">
        <v>0</v>
      </c>
      <c r="R1840" s="46">
        <f t="shared" si="183"/>
        <v>0</v>
      </c>
      <c r="S1840" s="46">
        <f t="shared" si="184"/>
        <v>0</v>
      </c>
      <c r="T1840" s="46">
        <f t="shared" si="189"/>
        <v>0</v>
      </c>
      <c r="U1840" s="46">
        <f t="shared" si="186"/>
        <v>0</v>
      </c>
      <c r="V1840" s="54">
        <f t="shared" si="187"/>
        <v>14.333333333333334</v>
      </c>
    </row>
    <row r="1841" spans="1:22" x14ac:dyDescent="0.2">
      <c r="A1841" s="46" t="s">
        <v>39</v>
      </c>
      <c r="B1841" s="46" t="s">
        <v>118</v>
      </c>
      <c r="C1841" s="46" t="s">
        <v>95</v>
      </c>
      <c r="D1841" s="46" t="s">
        <v>178</v>
      </c>
      <c r="E1841" s="46">
        <v>3</v>
      </c>
      <c r="F1841" s="46" t="s">
        <v>60</v>
      </c>
      <c r="G1841" s="46">
        <v>1</v>
      </c>
      <c r="H1841" s="47">
        <v>17</v>
      </c>
      <c r="I1841" s="47" t="s">
        <v>101</v>
      </c>
      <c r="J1841" s="48">
        <v>0</v>
      </c>
      <c r="K1841" s="48">
        <v>0</v>
      </c>
      <c r="R1841" s="46">
        <f t="shared" si="183"/>
        <v>0</v>
      </c>
      <c r="S1841" s="46">
        <f t="shared" si="184"/>
        <v>0</v>
      </c>
      <c r="T1841" s="46">
        <f t="shared" si="189"/>
        <v>0</v>
      </c>
      <c r="U1841" s="46">
        <f t="shared" si="186"/>
        <v>0</v>
      </c>
      <c r="V1841" s="54">
        <f t="shared" si="187"/>
        <v>14.333333333333334</v>
      </c>
    </row>
    <row r="1842" spans="1:22" x14ac:dyDescent="0.2">
      <c r="A1842" s="46" t="s">
        <v>39</v>
      </c>
      <c r="B1842" s="46" t="s">
        <v>118</v>
      </c>
      <c r="C1842" s="46" t="s">
        <v>95</v>
      </c>
      <c r="D1842" s="46" t="s">
        <v>178</v>
      </c>
      <c r="E1842" s="46">
        <v>2</v>
      </c>
      <c r="F1842" s="46" t="s">
        <v>60</v>
      </c>
      <c r="G1842" s="46">
        <v>1</v>
      </c>
      <c r="H1842" s="47">
        <v>25</v>
      </c>
      <c r="I1842" s="47" t="s">
        <v>101</v>
      </c>
      <c r="J1842" s="48">
        <v>0</v>
      </c>
      <c r="K1842" s="48">
        <v>1</v>
      </c>
      <c r="R1842" s="46">
        <f t="shared" si="183"/>
        <v>0</v>
      </c>
      <c r="S1842" s="46">
        <f t="shared" si="184"/>
        <v>0</v>
      </c>
      <c r="T1842" s="46">
        <f t="shared" si="189"/>
        <v>0</v>
      </c>
      <c r="U1842" s="46">
        <f t="shared" si="186"/>
        <v>0</v>
      </c>
      <c r="V1842" s="54">
        <f t="shared" si="187"/>
        <v>14.333333333333334</v>
      </c>
    </row>
    <row r="1843" spans="1:22" x14ac:dyDescent="0.2">
      <c r="A1843" s="46" t="s">
        <v>39</v>
      </c>
      <c r="B1843" s="46" t="s">
        <v>118</v>
      </c>
      <c r="C1843" s="46" t="s">
        <v>95</v>
      </c>
      <c r="D1843" s="46" t="s">
        <v>178</v>
      </c>
      <c r="E1843" s="46">
        <v>4</v>
      </c>
      <c r="F1843" s="46" t="s">
        <v>60</v>
      </c>
      <c r="G1843" s="46">
        <v>2</v>
      </c>
      <c r="H1843" s="47">
        <v>26</v>
      </c>
      <c r="I1843" s="47" t="s">
        <v>127</v>
      </c>
      <c r="J1843" s="48">
        <v>0</v>
      </c>
      <c r="K1843" s="48">
        <v>0</v>
      </c>
      <c r="N1843" s="48">
        <v>1</v>
      </c>
      <c r="R1843" s="46">
        <f t="shared" si="183"/>
        <v>0</v>
      </c>
      <c r="S1843" s="46">
        <f t="shared" si="184"/>
        <v>0</v>
      </c>
      <c r="T1843" s="46">
        <f t="shared" si="189"/>
        <v>0</v>
      </c>
      <c r="U1843" s="46">
        <f t="shared" si="186"/>
        <v>-5</v>
      </c>
      <c r="V1843" s="54">
        <f t="shared" si="187"/>
        <v>14.333333333333334</v>
      </c>
    </row>
    <row r="1844" spans="1:22" x14ac:dyDescent="0.2">
      <c r="A1844" s="46" t="s">
        <v>39</v>
      </c>
      <c r="B1844" s="46" t="s">
        <v>118</v>
      </c>
      <c r="C1844" s="46" t="s">
        <v>95</v>
      </c>
      <c r="D1844" s="46" t="s">
        <v>178</v>
      </c>
      <c r="E1844" s="46">
        <v>4</v>
      </c>
      <c r="F1844" s="46" t="s">
        <v>60</v>
      </c>
      <c r="G1844" s="46">
        <v>2</v>
      </c>
      <c r="H1844" s="47">
        <v>38</v>
      </c>
      <c r="I1844" s="47" t="s">
        <v>127</v>
      </c>
      <c r="J1844" s="48">
        <v>0</v>
      </c>
      <c r="K1844" s="48">
        <v>0</v>
      </c>
      <c r="R1844" s="46">
        <f t="shared" si="183"/>
        <v>0</v>
      </c>
      <c r="S1844" s="46">
        <f t="shared" si="184"/>
        <v>0</v>
      </c>
      <c r="T1844" s="46">
        <f t="shared" si="189"/>
        <v>0</v>
      </c>
      <c r="U1844" s="46">
        <f t="shared" si="186"/>
        <v>0</v>
      </c>
      <c r="V1844" s="54">
        <f t="shared" si="187"/>
        <v>14.333333333333334</v>
      </c>
    </row>
    <row r="1845" spans="1:22" x14ac:dyDescent="0.2">
      <c r="A1845" s="46" t="s">
        <v>39</v>
      </c>
      <c r="B1845" s="46" t="s">
        <v>118</v>
      </c>
      <c r="C1845" s="46" t="s">
        <v>95</v>
      </c>
      <c r="D1845" s="46" t="s">
        <v>178</v>
      </c>
      <c r="E1845" s="46">
        <v>4</v>
      </c>
      <c r="F1845" s="46" t="s">
        <v>60</v>
      </c>
      <c r="G1845" s="46">
        <v>1</v>
      </c>
      <c r="H1845" s="47">
        <v>49</v>
      </c>
      <c r="I1845" s="47" t="s">
        <v>101</v>
      </c>
      <c r="J1845" s="48">
        <v>0</v>
      </c>
      <c r="K1845" s="48">
        <v>0</v>
      </c>
      <c r="N1845" s="48">
        <v>1</v>
      </c>
      <c r="R1845" s="46">
        <f t="shared" si="183"/>
        <v>0</v>
      </c>
      <c r="S1845" s="46">
        <f t="shared" si="184"/>
        <v>0</v>
      </c>
      <c r="T1845" s="46">
        <f t="shared" si="189"/>
        <v>0</v>
      </c>
      <c r="U1845" s="46">
        <f t="shared" si="186"/>
        <v>-5</v>
      </c>
      <c r="V1845" s="54">
        <f t="shared" si="187"/>
        <v>14.333333333333334</v>
      </c>
    </row>
    <row r="1846" spans="1:22" x14ac:dyDescent="0.2">
      <c r="A1846" s="46" t="s">
        <v>39</v>
      </c>
      <c r="B1846" s="46" t="s">
        <v>118</v>
      </c>
      <c r="C1846" s="46" t="s">
        <v>95</v>
      </c>
      <c r="D1846" s="46" t="s">
        <v>178</v>
      </c>
      <c r="E1846" s="46">
        <v>2</v>
      </c>
      <c r="F1846" s="46" t="s">
        <v>62</v>
      </c>
      <c r="G1846" s="46">
        <v>2</v>
      </c>
      <c r="H1846" s="47" t="s">
        <v>81</v>
      </c>
      <c r="I1846" s="47" t="s">
        <v>127</v>
      </c>
      <c r="J1846" s="48">
        <v>0</v>
      </c>
      <c r="K1846" s="48">
        <v>1</v>
      </c>
      <c r="R1846" s="46">
        <f t="shared" si="183"/>
        <v>0</v>
      </c>
      <c r="S1846" s="46">
        <f t="shared" si="184"/>
        <v>0</v>
      </c>
      <c r="T1846" s="46">
        <f t="shared" si="189"/>
        <v>0</v>
      </c>
      <c r="U1846" s="46">
        <f t="shared" si="186"/>
        <v>0</v>
      </c>
      <c r="V1846" s="54">
        <f t="shared" si="187"/>
        <v>14.333333333333334</v>
      </c>
    </row>
    <row r="1847" spans="1:22" x14ac:dyDescent="0.2">
      <c r="A1847" s="46" t="s">
        <v>39</v>
      </c>
      <c r="B1847" s="46" t="s">
        <v>118</v>
      </c>
      <c r="C1847" s="46" t="s">
        <v>95</v>
      </c>
      <c r="D1847" s="46" t="s">
        <v>178</v>
      </c>
      <c r="E1847" s="46">
        <v>2</v>
      </c>
      <c r="F1847" s="46" t="s">
        <v>62</v>
      </c>
      <c r="G1847" s="46">
        <v>3</v>
      </c>
      <c r="H1847" s="47" t="s">
        <v>84</v>
      </c>
      <c r="I1847" s="47" t="s">
        <v>116</v>
      </c>
      <c r="J1847" s="48">
        <v>0</v>
      </c>
      <c r="K1847" s="48">
        <v>1</v>
      </c>
      <c r="R1847" s="46">
        <f t="shared" si="183"/>
        <v>0</v>
      </c>
      <c r="S1847" s="46">
        <f t="shared" si="184"/>
        <v>0</v>
      </c>
      <c r="T1847" s="46">
        <f t="shared" si="189"/>
        <v>0</v>
      </c>
      <c r="U1847" s="46">
        <f t="shared" si="186"/>
        <v>0</v>
      </c>
      <c r="V1847" s="54">
        <f t="shared" si="187"/>
        <v>14.333333333333334</v>
      </c>
    </row>
    <row r="1848" spans="1:22" x14ac:dyDescent="0.2">
      <c r="A1848" s="46" t="s">
        <v>39</v>
      </c>
      <c r="B1848" s="46" t="s">
        <v>118</v>
      </c>
      <c r="C1848" s="46" t="s">
        <v>95</v>
      </c>
      <c r="D1848" s="46" t="s">
        <v>178</v>
      </c>
      <c r="E1848" s="46">
        <v>2</v>
      </c>
      <c r="F1848" s="46" t="s">
        <v>62</v>
      </c>
      <c r="G1848" s="46">
        <v>2</v>
      </c>
      <c r="H1848" s="47" t="s">
        <v>83</v>
      </c>
      <c r="I1848" s="47" t="s">
        <v>127</v>
      </c>
      <c r="J1848" s="48">
        <v>1</v>
      </c>
      <c r="K1848" s="48">
        <v>3</v>
      </c>
      <c r="R1848" s="46">
        <f t="shared" si="183"/>
        <v>0</v>
      </c>
      <c r="S1848" s="46">
        <f t="shared" si="184"/>
        <v>1</v>
      </c>
      <c r="T1848" s="46">
        <f t="shared" si="189"/>
        <v>0</v>
      </c>
      <c r="U1848" s="46">
        <f t="shared" si="186"/>
        <v>0</v>
      </c>
      <c r="V1848" s="54">
        <f t="shared" si="187"/>
        <v>14.333333333333334</v>
      </c>
    </row>
    <row r="1849" spans="1:22" x14ac:dyDescent="0.2">
      <c r="A1849" s="46" t="s">
        <v>39</v>
      </c>
      <c r="B1849" s="46" t="s">
        <v>118</v>
      </c>
      <c r="C1849" s="46" t="s">
        <v>95</v>
      </c>
      <c r="D1849" s="46" t="s">
        <v>178</v>
      </c>
      <c r="E1849" s="46">
        <v>4</v>
      </c>
      <c r="F1849" s="46" t="s">
        <v>63</v>
      </c>
      <c r="G1849" s="46">
        <v>4</v>
      </c>
      <c r="H1849" s="47" t="s">
        <v>146</v>
      </c>
      <c r="I1849" s="47" t="s">
        <v>102</v>
      </c>
      <c r="J1849" s="48">
        <v>0</v>
      </c>
      <c r="K1849" s="48">
        <v>1</v>
      </c>
      <c r="R1849" s="46">
        <f t="shared" si="183"/>
        <v>0</v>
      </c>
      <c r="S1849" s="46">
        <f t="shared" si="184"/>
        <v>0</v>
      </c>
      <c r="T1849" s="46">
        <f t="shared" si="189"/>
        <v>0</v>
      </c>
      <c r="U1849" s="46">
        <f t="shared" si="186"/>
        <v>0</v>
      </c>
      <c r="V1849" s="54">
        <f t="shared" si="187"/>
        <v>14.333333333333334</v>
      </c>
    </row>
    <row r="1850" spans="1:22" x14ac:dyDescent="0.2">
      <c r="A1850" s="46" t="s">
        <v>39</v>
      </c>
      <c r="B1850" s="46" t="s">
        <v>118</v>
      </c>
      <c r="C1850" s="46" t="s">
        <v>95</v>
      </c>
      <c r="D1850" s="46" t="s">
        <v>178</v>
      </c>
      <c r="E1850" s="46">
        <v>1</v>
      </c>
      <c r="F1850" s="46" t="s">
        <v>60</v>
      </c>
      <c r="G1850" s="46">
        <v>4</v>
      </c>
      <c r="H1850" s="47">
        <v>12</v>
      </c>
      <c r="I1850" s="47" t="s">
        <v>102</v>
      </c>
      <c r="J1850" s="48">
        <v>1</v>
      </c>
      <c r="K1850" s="48">
        <v>2</v>
      </c>
      <c r="R1850" s="46">
        <f t="shared" si="183"/>
        <v>0</v>
      </c>
      <c r="S1850" s="46">
        <f t="shared" si="184"/>
        <v>0</v>
      </c>
      <c r="T1850" s="46">
        <f t="shared" si="189"/>
        <v>10</v>
      </c>
      <c r="U1850" s="46">
        <f t="shared" si="186"/>
        <v>10</v>
      </c>
      <c r="V1850" s="54">
        <f t="shared" si="187"/>
        <v>14.333333333333334</v>
      </c>
    </row>
    <row r="1851" spans="1:22" x14ac:dyDescent="0.2">
      <c r="A1851" s="46" t="s">
        <v>39</v>
      </c>
      <c r="B1851" s="46" t="s">
        <v>118</v>
      </c>
      <c r="C1851" s="46" t="s">
        <v>95</v>
      </c>
      <c r="D1851" s="46" t="s">
        <v>178</v>
      </c>
      <c r="E1851" s="46">
        <v>3</v>
      </c>
      <c r="F1851" s="46" t="s">
        <v>63</v>
      </c>
      <c r="G1851" s="46">
        <v>4</v>
      </c>
      <c r="H1851" s="47" t="s">
        <v>149</v>
      </c>
      <c r="I1851" s="47" t="s">
        <v>102</v>
      </c>
      <c r="J1851" s="48">
        <v>1</v>
      </c>
      <c r="K1851" s="48">
        <v>2</v>
      </c>
      <c r="O1851" s="48">
        <v>1</v>
      </c>
      <c r="R1851" s="46">
        <f t="shared" si="183"/>
        <v>0</v>
      </c>
      <c r="S1851" s="46">
        <f t="shared" si="184"/>
        <v>0</v>
      </c>
      <c r="T1851" s="46">
        <f t="shared" si="189"/>
        <v>10</v>
      </c>
      <c r="U1851" s="46">
        <f t="shared" si="186"/>
        <v>20</v>
      </c>
      <c r="V1851" s="54">
        <f t="shared" si="187"/>
        <v>14.333333333333334</v>
      </c>
    </row>
    <row r="1852" spans="1:22" x14ac:dyDescent="0.2">
      <c r="A1852" s="46" t="s">
        <v>39</v>
      </c>
      <c r="B1852" s="46" t="s">
        <v>118</v>
      </c>
      <c r="C1852" s="46" t="s">
        <v>95</v>
      </c>
      <c r="D1852" s="46" t="s">
        <v>178</v>
      </c>
      <c r="E1852" s="46">
        <v>4</v>
      </c>
      <c r="F1852" s="46" t="s">
        <v>60</v>
      </c>
      <c r="G1852" s="46">
        <v>4</v>
      </c>
      <c r="H1852" s="47">
        <v>8</v>
      </c>
      <c r="I1852" s="47" t="s">
        <v>102</v>
      </c>
      <c r="J1852" s="48">
        <v>1</v>
      </c>
      <c r="K1852" s="48">
        <v>1</v>
      </c>
      <c r="R1852" s="46">
        <f t="shared" si="183"/>
        <v>0</v>
      </c>
      <c r="S1852" s="46">
        <f t="shared" si="184"/>
        <v>0</v>
      </c>
      <c r="T1852" s="46">
        <f t="shared" si="189"/>
        <v>20</v>
      </c>
      <c r="U1852" s="46">
        <f t="shared" si="186"/>
        <v>20</v>
      </c>
      <c r="V1852" s="54">
        <f t="shared" si="187"/>
        <v>14.333333333333334</v>
      </c>
    </row>
    <row r="1853" spans="1:22" x14ac:dyDescent="0.2">
      <c r="A1853" s="46" t="s">
        <v>39</v>
      </c>
      <c r="B1853" s="46" t="s">
        <v>118</v>
      </c>
      <c r="C1853" s="46" t="s">
        <v>95</v>
      </c>
      <c r="D1853" s="46" t="s">
        <v>178</v>
      </c>
      <c r="E1853" s="46">
        <v>4</v>
      </c>
      <c r="F1853" s="46" t="s">
        <v>60</v>
      </c>
      <c r="G1853" s="46">
        <v>1</v>
      </c>
      <c r="H1853" s="47">
        <v>17</v>
      </c>
      <c r="I1853" s="47" t="s">
        <v>101</v>
      </c>
      <c r="J1853" s="48">
        <v>1</v>
      </c>
      <c r="K1853" s="48">
        <v>0</v>
      </c>
      <c r="R1853" s="46">
        <f t="shared" si="183"/>
        <v>0</v>
      </c>
      <c r="S1853" s="46">
        <f t="shared" si="184"/>
        <v>0</v>
      </c>
      <c r="T1853" s="46">
        <f t="shared" si="189"/>
        <v>20</v>
      </c>
      <c r="U1853" s="46">
        <f t="shared" si="186"/>
        <v>20</v>
      </c>
      <c r="V1853" s="54">
        <f t="shared" si="187"/>
        <v>14.333333333333334</v>
      </c>
    </row>
    <row r="1854" spans="1:22" x14ac:dyDescent="0.2">
      <c r="A1854" s="46" t="s">
        <v>39</v>
      </c>
      <c r="B1854" s="46" t="s">
        <v>118</v>
      </c>
      <c r="C1854" s="46" t="s">
        <v>95</v>
      </c>
      <c r="D1854" s="46" t="s">
        <v>178</v>
      </c>
      <c r="E1854" s="46">
        <v>1</v>
      </c>
      <c r="F1854" s="46" t="s">
        <v>60</v>
      </c>
      <c r="G1854" s="46">
        <v>3</v>
      </c>
      <c r="H1854" s="47">
        <v>23</v>
      </c>
      <c r="I1854" s="47" t="s">
        <v>116</v>
      </c>
      <c r="J1854" s="48">
        <v>1</v>
      </c>
      <c r="K1854" s="48">
        <v>1</v>
      </c>
      <c r="R1854" s="46">
        <f t="shared" si="183"/>
        <v>0</v>
      </c>
      <c r="S1854" s="46">
        <f t="shared" si="184"/>
        <v>0</v>
      </c>
      <c r="T1854" s="46">
        <f t="shared" si="189"/>
        <v>20</v>
      </c>
      <c r="U1854" s="46">
        <f t="shared" si="186"/>
        <v>20</v>
      </c>
      <c r="V1854" s="54">
        <f t="shared" si="187"/>
        <v>14.333333333333334</v>
      </c>
    </row>
    <row r="1855" spans="1:22" x14ac:dyDescent="0.2">
      <c r="A1855" s="46" t="s">
        <v>39</v>
      </c>
      <c r="B1855" s="46" t="s">
        <v>118</v>
      </c>
      <c r="C1855" s="46" t="s">
        <v>95</v>
      </c>
      <c r="D1855" s="46" t="s">
        <v>178</v>
      </c>
      <c r="E1855" s="46">
        <v>3</v>
      </c>
      <c r="F1855" s="46" t="s">
        <v>60</v>
      </c>
      <c r="G1855" s="46">
        <v>2</v>
      </c>
      <c r="H1855" s="47">
        <v>26</v>
      </c>
      <c r="I1855" s="47" t="s">
        <v>127</v>
      </c>
      <c r="J1855" s="48">
        <v>1</v>
      </c>
      <c r="K1855" s="48">
        <v>1</v>
      </c>
      <c r="O1855" s="48">
        <v>1</v>
      </c>
      <c r="R1855" s="46">
        <f t="shared" si="183"/>
        <v>0</v>
      </c>
      <c r="S1855" s="46">
        <f t="shared" si="184"/>
        <v>0</v>
      </c>
      <c r="T1855" s="46">
        <f t="shared" si="189"/>
        <v>20</v>
      </c>
      <c r="U1855" s="46">
        <f t="shared" si="186"/>
        <v>30</v>
      </c>
      <c r="V1855" s="54">
        <f t="shared" si="187"/>
        <v>14.333333333333334</v>
      </c>
    </row>
    <row r="1856" spans="1:22" x14ac:dyDescent="0.2">
      <c r="A1856" s="46" t="s">
        <v>39</v>
      </c>
      <c r="B1856" s="46" t="s">
        <v>118</v>
      </c>
      <c r="C1856" s="46" t="s">
        <v>95</v>
      </c>
      <c r="D1856" s="46" t="s">
        <v>178</v>
      </c>
      <c r="E1856" s="46">
        <v>1</v>
      </c>
      <c r="F1856" s="46" t="s">
        <v>60</v>
      </c>
      <c r="G1856" s="46">
        <v>3</v>
      </c>
      <c r="H1856" s="47">
        <v>31</v>
      </c>
      <c r="I1856" s="47" t="s">
        <v>116</v>
      </c>
      <c r="J1856" s="48">
        <v>1</v>
      </c>
      <c r="K1856" s="48">
        <v>0</v>
      </c>
      <c r="R1856" s="46">
        <f t="shared" si="183"/>
        <v>0</v>
      </c>
      <c r="S1856" s="46">
        <f t="shared" si="184"/>
        <v>0</v>
      </c>
      <c r="T1856" s="46">
        <f t="shared" si="189"/>
        <v>20</v>
      </c>
      <c r="U1856" s="46">
        <f t="shared" si="186"/>
        <v>20</v>
      </c>
      <c r="V1856" s="54">
        <f t="shared" si="187"/>
        <v>14.333333333333334</v>
      </c>
    </row>
    <row r="1857" spans="1:22" x14ac:dyDescent="0.2">
      <c r="A1857" s="46" t="s">
        <v>39</v>
      </c>
      <c r="B1857" s="46" t="s">
        <v>118</v>
      </c>
      <c r="C1857" s="46" t="s">
        <v>95</v>
      </c>
      <c r="D1857" s="46" t="s">
        <v>178</v>
      </c>
      <c r="E1857" s="46">
        <v>1</v>
      </c>
      <c r="F1857" s="46" t="s">
        <v>60</v>
      </c>
      <c r="G1857" s="46">
        <v>2</v>
      </c>
      <c r="H1857" s="47">
        <v>38</v>
      </c>
      <c r="I1857" s="47" t="s">
        <v>127</v>
      </c>
      <c r="J1857" s="48">
        <v>1</v>
      </c>
      <c r="K1857" s="48">
        <v>0</v>
      </c>
      <c r="R1857" s="46">
        <f t="shared" si="183"/>
        <v>0</v>
      </c>
      <c r="S1857" s="46">
        <f t="shared" si="184"/>
        <v>0</v>
      </c>
      <c r="T1857" s="46">
        <f t="shared" si="189"/>
        <v>20</v>
      </c>
      <c r="U1857" s="46">
        <f t="shared" si="186"/>
        <v>20</v>
      </c>
      <c r="V1857" s="54">
        <f t="shared" si="187"/>
        <v>14.333333333333334</v>
      </c>
    </row>
    <row r="1858" spans="1:22" x14ac:dyDescent="0.2">
      <c r="A1858" s="46" t="s">
        <v>39</v>
      </c>
      <c r="B1858" s="46" t="s">
        <v>118</v>
      </c>
      <c r="C1858" s="46" t="s">
        <v>95</v>
      </c>
      <c r="D1858" s="46" t="s">
        <v>178</v>
      </c>
      <c r="E1858" s="46">
        <v>3</v>
      </c>
      <c r="F1858" s="46" t="s">
        <v>60</v>
      </c>
      <c r="G1858" s="46">
        <v>4</v>
      </c>
      <c r="H1858" s="47">
        <v>40</v>
      </c>
      <c r="I1858" s="47" t="s">
        <v>102</v>
      </c>
      <c r="J1858" s="48">
        <v>1</v>
      </c>
      <c r="K1858" s="48">
        <v>1</v>
      </c>
      <c r="R1858" s="46">
        <f t="shared" ref="R1858:R1921" si="190">IF(J1858=4,1,0)</f>
        <v>0</v>
      </c>
      <c r="S1858" s="46">
        <f t="shared" ref="S1858:S1921" si="191">IF(K1858=3,1,0)</f>
        <v>0</v>
      </c>
      <c r="T1858" s="46">
        <f t="shared" si="189"/>
        <v>20</v>
      </c>
      <c r="U1858" s="46">
        <f t="shared" ref="U1858:U1921" si="192">T1858+M1858*(20) + (SUM(O1858:Q1858)*(10)) - L1858*(5) - N1858*(5)</f>
        <v>20</v>
      </c>
      <c r="V1858" s="54">
        <f t="shared" ref="V1858:V1921" si="193">AVERAGEIFS(U:U,A:A,A1858,F:F,"Pre")</f>
        <v>14.333333333333334</v>
      </c>
    </row>
    <row r="1859" spans="1:22" x14ac:dyDescent="0.2">
      <c r="A1859" s="46" t="s">
        <v>39</v>
      </c>
      <c r="B1859" s="46" t="s">
        <v>118</v>
      </c>
      <c r="C1859" s="46" t="s">
        <v>95</v>
      </c>
      <c r="D1859" s="46" t="s">
        <v>178</v>
      </c>
      <c r="E1859" s="46">
        <v>1</v>
      </c>
      <c r="F1859" s="46" t="s">
        <v>62</v>
      </c>
      <c r="G1859" s="46">
        <v>2</v>
      </c>
      <c r="H1859" s="47" t="s">
        <v>79</v>
      </c>
      <c r="I1859" s="47" t="s">
        <v>127</v>
      </c>
      <c r="J1859" s="48">
        <v>1</v>
      </c>
      <c r="K1859" s="48">
        <v>1</v>
      </c>
      <c r="R1859" s="46">
        <f t="shared" si="190"/>
        <v>0</v>
      </c>
      <c r="S1859" s="46">
        <f t="shared" si="191"/>
        <v>0</v>
      </c>
      <c r="T1859" s="46">
        <f t="shared" si="189"/>
        <v>20</v>
      </c>
      <c r="U1859" s="46">
        <f t="shared" si="192"/>
        <v>20</v>
      </c>
      <c r="V1859" s="54">
        <f t="shared" si="193"/>
        <v>14.333333333333334</v>
      </c>
    </row>
    <row r="1860" spans="1:22" x14ac:dyDescent="0.2">
      <c r="A1860" s="46" t="s">
        <v>39</v>
      </c>
      <c r="B1860" s="46" t="s">
        <v>118</v>
      </c>
      <c r="C1860" s="46" t="s">
        <v>95</v>
      </c>
      <c r="D1860" s="46" t="s">
        <v>178</v>
      </c>
      <c r="E1860" s="46">
        <v>2</v>
      </c>
      <c r="F1860" s="46" t="s">
        <v>62</v>
      </c>
      <c r="G1860" s="46">
        <v>3</v>
      </c>
      <c r="H1860" s="47" t="s">
        <v>64</v>
      </c>
      <c r="I1860" s="47" t="s">
        <v>116</v>
      </c>
      <c r="J1860" s="48">
        <v>1</v>
      </c>
      <c r="K1860" s="48">
        <v>1</v>
      </c>
      <c r="R1860" s="46">
        <f t="shared" si="190"/>
        <v>0</v>
      </c>
      <c r="S1860" s="46">
        <f t="shared" si="191"/>
        <v>0</v>
      </c>
      <c r="T1860" s="46">
        <f t="shared" si="189"/>
        <v>20</v>
      </c>
      <c r="U1860" s="46">
        <f t="shared" si="192"/>
        <v>20</v>
      </c>
      <c r="V1860" s="54">
        <f t="shared" si="193"/>
        <v>14.333333333333334</v>
      </c>
    </row>
    <row r="1861" spans="1:22" x14ac:dyDescent="0.2">
      <c r="A1861" s="46" t="s">
        <v>39</v>
      </c>
      <c r="B1861" s="46" t="s">
        <v>118</v>
      </c>
      <c r="C1861" s="46" t="s">
        <v>95</v>
      </c>
      <c r="D1861" s="46" t="s">
        <v>178</v>
      </c>
      <c r="E1861" s="46">
        <v>3</v>
      </c>
      <c r="F1861" s="46" t="s">
        <v>63</v>
      </c>
      <c r="G1861" s="46">
        <v>4</v>
      </c>
      <c r="H1861" s="47" t="s">
        <v>146</v>
      </c>
      <c r="I1861" s="47" t="s">
        <v>102</v>
      </c>
      <c r="J1861" s="48">
        <v>1</v>
      </c>
      <c r="K1861" s="48">
        <v>1</v>
      </c>
      <c r="R1861" s="46">
        <f t="shared" si="190"/>
        <v>0</v>
      </c>
      <c r="S1861" s="46">
        <f t="shared" si="191"/>
        <v>0</v>
      </c>
      <c r="T1861" s="46">
        <f t="shared" si="189"/>
        <v>20</v>
      </c>
      <c r="U1861" s="46">
        <f t="shared" si="192"/>
        <v>20</v>
      </c>
      <c r="V1861" s="54">
        <f t="shared" si="193"/>
        <v>14.333333333333334</v>
      </c>
    </row>
    <row r="1862" spans="1:22" x14ac:dyDescent="0.2">
      <c r="A1862" s="46" t="s">
        <v>39</v>
      </c>
      <c r="B1862" s="46" t="s">
        <v>118</v>
      </c>
      <c r="C1862" s="46" t="s">
        <v>95</v>
      </c>
      <c r="D1862" s="46" t="s">
        <v>178</v>
      </c>
      <c r="E1862" s="46">
        <v>4</v>
      </c>
      <c r="F1862" s="46" t="s">
        <v>63</v>
      </c>
      <c r="G1862" s="46">
        <v>4</v>
      </c>
      <c r="H1862" s="47" t="s">
        <v>149</v>
      </c>
      <c r="I1862" s="47" t="s">
        <v>102</v>
      </c>
      <c r="J1862" s="48">
        <v>1</v>
      </c>
      <c r="K1862" s="48">
        <v>1</v>
      </c>
      <c r="R1862" s="46">
        <f t="shared" si="190"/>
        <v>0</v>
      </c>
      <c r="S1862" s="46">
        <f t="shared" si="191"/>
        <v>0</v>
      </c>
      <c r="T1862" s="46">
        <f t="shared" si="189"/>
        <v>20</v>
      </c>
      <c r="U1862" s="46">
        <f t="shared" si="192"/>
        <v>20</v>
      </c>
      <c r="V1862" s="54">
        <f t="shared" si="193"/>
        <v>14.333333333333334</v>
      </c>
    </row>
    <row r="1863" spans="1:22" x14ac:dyDescent="0.2">
      <c r="A1863" s="46" t="s">
        <v>39</v>
      </c>
      <c r="B1863" s="46" t="s">
        <v>118</v>
      </c>
      <c r="C1863" s="46" t="s">
        <v>95</v>
      </c>
      <c r="D1863" s="46" t="s">
        <v>178</v>
      </c>
      <c r="E1863" s="46">
        <v>4</v>
      </c>
      <c r="F1863" s="46" t="s">
        <v>63</v>
      </c>
      <c r="G1863" s="46">
        <v>4</v>
      </c>
      <c r="H1863" s="47" t="s">
        <v>152</v>
      </c>
      <c r="I1863" s="47" t="s">
        <v>102</v>
      </c>
      <c r="J1863" s="48">
        <v>1</v>
      </c>
      <c r="K1863" s="48">
        <v>1</v>
      </c>
      <c r="R1863" s="46">
        <f t="shared" si="190"/>
        <v>0</v>
      </c>
      <c r="S1863" s="46">
        <f t="shared" si="191"/>
        <v>0</v>
      </c>
      <c r="T1863" s="46">
        <f t="shared" si="189"/>
        <v>20</v>
      </c>
      <c r="U1863" s="46">
        <f t="shared" si="192"/>
        <v>20</v>
      </c>
      <c r="V1863" s="54">
        <f t="shared" si="193"/>
        <v>14.333333333333334</v>
      </c>
    </row>
    <row r="1864" spans="1:22" x14ac:dyDescent="0.2">
      <c r="A1864" s="46" t="s">
        <v>39</v>
      </c>
      <c r="B1864" s="46" t="s">
        <v>118</v>
      </c>
      <c r="C1864" s="46" t="s">
        <v>95</v>
      </c>
      <c r="D1864" s="46" t="s">
        <v>178</v>
      </c>
      <c r="E1864" s="46">
        <v>2</v>
      </c>
      <c r="F1864" s="46" t="s">
        <v>60</v>
      </c>
      <c r="G1864" s="46">
        <v>2</v>
      </c>
      <c r="H1864" s="47">
        <v>14</v>
      </c>
      <c r="I1864" s="47" t="s">
        <v>127</v>
      </c>
      <c r="J1864" s="48">
        <v>2</v>
      </c>
      <c r="K1864" s="48">
        <v>0</v>
      </c>
      <c r="R1864" s="46">
        <f t="shared" si="190"/>
        <v>0</v>
      </c>
      <c r="S1864" s="46">
        <f t="shared" si="191"/>
        <v>0</v>
      </c>
      <c r="T1864" s="46">
        <f t="shared" si="189"/>
        <v>40</v>
      </c>
      <c r="U1864" s="46">
        <f t="shared" si="192"/>
        <v>40</v>
      </c>
      <c r="V1864" s="54">
        <f t="shared" si="193"/>
        <v>14.333333333333334</v>
      </c>
    </row>
    <row r="1865" spans="1:22" x14ac:dyDescent="0.2">
      <c r="A1865" s="46" t="s">
        <v>39</v>
      </c>
      <c r="B1865" s="46" t="s">
        <v>118</v>
      </c>
      <c r="C1865" s="46" t="s">
        <v>95</v>
      </c>
      <c r="D1865" s="46" t="s">
        <v>178</v>
      </c>
      <c r="E1865" s="46">
        <v>2</v>
      </c>
      <c r="F1865" s="46" t="s">
        <v>60</v>
      </c>
      <c r="G1865" s="46">
        <v>2</v>
      </c>
      <c r="H1865" s="47">
        <v>18</v>
      </c>
      <c r="I1865" s="47" t="s">
        <v>127</v>
      </c>
      <c r="J1865" s="48">
        <v>2</v>
      </c>
      <c r="K1865" s="48">
        <v>1</v>
      </c>
      <c r="R1865" s="46">
        <f t="shared" si="190"/>
        <v>0</v>
      </c>
      <c r="S1865" s="46">
        <f t="shared" si="191"/>
        <v>0</v>
      </c>
      <c r="T1865" s="46">
        <f t="shared" si="189"/>
        <v>40</v>
      </c>
      <c r="U1865" s="46">
        <f t="shared" si="192"/>
        <v>40</v>
      </c>
      <c r="V1865" s="54">
        <f t="shared" si="193"/>
        <v>14.333333333333334</v>
      </c>
    </row>
    <row r="1866" spans="1:22" x14ac:dyDescent="0.2">
      <c r="A1866" s="46" t="s">
        <v>39</v>
      </c>
      <c r="B1866" s="46" t="s">
        <v>118</v>
      </c>
      <c r="C1866" s="46" t="s">
        <v>95</v>
      </c>
      <c r="D1866" s="46" t="s">
        <v>178</v>
      </c>
      <c r="E1866" s="46">
        <v>2</v>
      </c>
      <c r="F1866" s="46" t="s">
        <v>60</v>
      </c>
      <c r="G1866" s="46">
        <v>4</v>
      </c>
      <c r="H1866" s="47">
        <v>44</v>
      </c>
      <c r="I1866" s="47" t="s">
        <v>102</v>
      </c>
      <c r="J1866" s="48">
        <v>2</v>
      </c>
      <c r="K1866" s="48">
        <v>1</v>
      </c>
      <c r="O1866" s="48">
        <v>1</v>
      </c>
      <c r="R1866" s="46">
        <f t="shared" si="190"/>
        <v>0</v>
      </c>
      <c r="S1866" s="46">
        <f t="shared" si="191"/>
        <v>0</v>
      </c>
      <c r="T1866" s="46">
        <f t="shared" si="189"/>
        <v>40</v>
      </c>
      <c r="U1866" s="46">
        <f t="shared" si="192"/>
        <v>50</v>
      </c>
      <c r="V1866" s="54">
        <f t="shared" si="193"/>
        <v>14.333333333333334</v>
      </c>
    </row>
    <row r="1867" spans="1:22" x14ac:dyDescent="0.2">
      <c r="A1867" s="46" t="s">
        <v>39</v>
      </c>
      <c r="B1867" s="46" t="s">
        <v>118</v>
      </c>
      <c r="C1867" s="46" t="s">
        <v>95</v>
      </c>
      <c r="D1867" s="46" t="s">
        <v>178</v>
      </c>
      <c r="E1867" s="46">
        <v>1</v>
      </c>
      <c r="F1867" s="46" t="s">
        <v>60</v>
      </c>
      <c r="G1867" s="46">
        <v>4</v>
      </c>
      <c r="H1867" s="47">
        <v>48</v>
      </c>
      <c r="I1867" s="47" t="s">
        <v>102</v>
      </c>
      <c r="J1867" s="48">
        <v>2</v>
      </c>
      <c r="K1867" s="48">
        <v>0</v>
      </c>
      <c r="R1867" s="46">
        <f t="shared" si="190"/>
        <v>0</v>
      </c>
      <c r="S1867" s="46">
        <f t="shared" si="191"/>
        <v>0</v>
      </c>
      <c r="T1867" s="46">
        <f t="shared" ref="T1867:T1898" si="194">quizscore(J1867,K1867)</f>
        <v>40</v>
      </c>
      <c r="U1867" s="46">
        <f t="shared" si="192"/>
        <v>40</v>
      </c>
      <c r="V1867" s="54">
        <f t="shared" si="193"/>
        <v>14.333333333333334</v>
      </c>
    </row>
    <row r="1868" spans="1:22" x14ac:dyDescent="0.2">
      <c r="A1868" s="46" t="s">
        <v>39</v>
      </c>
      <c r="B1868" s="46" t="s">
        <v>118</v>
      </c>
      <c r="C1868" s="46" t="s">
        <v>95</v>
      </c>
      <c r="D1868" s="46" t="s">
        <v>178</v>
      </c>
      <c r="E1868" s="46">
        <v>1</v>
      </c>
      <c r="F1868" s="46" t="s">
        <v>62</v>
      </c>
      <c r="G1868" s="46">
        <v>3</v>
      </c>
      <c r="H1868" s="47" t="s">
        <v>87</v>
      </c>
      <c r="I1868" s="47" t="s">
        <v>116</v>
      </c>
      <c r="J1868" s="48">
        <v>2</v>
      </c>
      <c r="K1868" s="48">
        <v>0</v>
      </c>
      <c r="R1868" s="46">
        <f t="shared" si="190"/>
        <v>0</v>
      </c>
      <c r="S1868" s="46">
        <f t="shared" si="191"/>
        <v>0</v>
      </c>
      <c r="T1868" s="46">
        <f t="shared" si="194"/>
        <v>40</v>
      </c>
      <c r="U1868" s="46">
        <f t="shared" si="192"/>
        <v>40</v>
      </c>
      <c r="V1868" s="54">
        <f t="shared" si="193"/>
        <v>14.333333333333334</v>
      </c>
    </row>
    <row r="1869" spans="1:22" x14ac:dyDescent="0.2">
      <c r="A1869" s="46" t="s">
        <v>39</v>
      </c>
      <c r="B1869" s="46" t="s">
        <v>118</v>
      </c>
      <c r="C1869" s="46" t="s">
        <v>95</v>
      </c>
      <c r="D1869" s="46" t="s">
        <v>178</v>
      </c>
      <c r="E1869" s="46">
        <v>2</v>
      </c>
      <c r="F1869" s="46" t="s">
        <v>62</v>
      </c>
      <c r="G1869" s="46">
        <v>3</v>
      </c>
      <c r="H1869" s="47" t="s">
        <v>87</v>
      </c>
      <c r="I1869" s="47" t="s">
        <v>116</v>
      </c>
      <c r="J1869" s="48">
        <v>2</v>
      </c>
      <c r="K1869" s="48">
        <v>0</v>
      </c>
      <c r="R1869" s="46">
        <f t="shared" si="190"/>
        <v>0</v>
      </c>
      <c r="S1869" s="46">
        <f t="shared" si="191"/>
        <v>0</v>
      </c>
      <c r="T1869" s="46">
        <f t="shared" si="194"/>
        <v>40</v>
      </c>
      <c r="U1869" s="46">
        <f t="shared" si="192"/>
        <v>40</v>
      </c>
      <c r="V1869" s="54">
        <f t="shared" si="193"/>
        <v>14.333333333333334</v>
      </c>
    </row>
    <row r="1870" spans="1:22" x14ac:dyDescent="0.2">
      <c r="A1870" s="46" t="s">
        <v>39</v>
      </c>
      <c r="B1870" s="46" t="s">
        <v>118</v>
      </c>
      <c r="C1870" s="46" t="s">
        <v>95</v>
      </c>
      <c r="D1870" s="46" t="s">
        <v>178</v>
      </c>
      <c r="E1870" s="46">
        <v>3</v>
      </c>
      <c r="F1870" s="46" t="s">
        <v>63</v>
      </c>
      <c r="G1870" s="46">
        <v>4</v>
      </c>
      <c r="H1870" s="47" t="s">
        <v>152</v>
      </c>
      <c r="I1870" s="47" t="s">
        <v>102</v>
      </c>
      <c r="J1870" s="48">
        <v>2</v>
      </c>
      <c r="K1870" s="48">
        <v>0</v>
      </c>
      <c r="R1870" s="46">
        <f t="shared" si="190"/>
        <v>0</v>
      </c>
      <c r="S1870" s="46">
        <f t="shared" si="191"/>
        <v>0</v>
      </c>
      <c r="T1870" s="46">
        <f t="shared" si="194"/>
        <v>40</v>
      </c>
      <c r="U1870" s="46">
        <f t="shared" si="192"/>
        <v>40</v>
      </c>
      <c r="V1870" s="54">
        <f t="shared" si="193"/>
        <v>14.333333333333334</v>
      </c>
    </row>
    <row r="1871" spans="1:22" x14ac:dyDescent="0.2">
      <c r="A1871" s="46" t="s">
        <v>39</v>
      </c>
      <c r="B1871" s="46" t="s">
        <v>118</v>
      </c>
      <c r="C1871" s="46" t="s">
        <v>95</v>
      </c>
      <c r="D1871" s="46" t="s">
        <v>178</v>
      </c>
      <c r="E1871" s="46">
        <v>3</v>
      </c>
      <c r="F1871" s="46" t="s">
        <v>63</v>
      </c>
      <c r="G1871" s="46">
        <v>4</v>
      </c>
      <c r="H1871" s="47" t="s">
        <v>172</v>
      </c>
      <c r="I1871" s="47" t="s">
        <v>102</v>
      </c>
      <c r="J1871" s="48">
        <v>2</v>
      </c>
      <c r="K1871" s="48">
        <v>0</v>
      </c>
      <c r="R1871" s="46">
        <f t="shared" si="190"/>
        <v>0</v>
      </c>
      <c r="S1871" s="46">
        <f t="shared" si="191"/>
        <v>0</v>
      </c>
      <c r="T1871" s="46">
        <f t="shared" si="194"/>
        <v>40</v>
      </c>
      <c r="U1871" s="46">
        <f t="shared" si="192"/>
        <v>40</v>
      </c>
      <c r="V1871" s="54">
        <f t="shared" si="193"/>
        <v>14.333333333333334</v>
      </c>
    </row>
    <row r="1872" spans="1:22" x14ac:dyDescent="0.2">
      <c r="A1872" s="46" t="s">
        <v>39</v>
      </c>
      <c r="B1872" s="46" t="s">
        <v>118</v>
      </c>
      <c r="C1872" s="46" t="s">
        <v>95</v>
      </c>
      <c r="D1872" s="46" t="s">
        <v>178</v>
      </c>
      <c r="E1872" s="46">
        <v>2</v>
      </c>
      <c r="F1872" s="46" t="s">
        <v>60</v>
      </c>
      <c r="G1872" s="46">
        <v>3</v>
      </c>
      <c r="H1872" s="47">
        <v>35</v>
      </c>
      <c r="I1872" s="47" t="s">
        <v>116</v>
      </c>
      <c r="J1872" s="48">
        <v>3</v>
      </c>
      <c r="K1872" s="48">
        <v>2</v>
      </c>
      <c r="R1872" s="46">
        <f t="shared" si="190"/>
        <v>0</v>
      </c>
      <c r="S1872" s="46">
        <f t="shared" si="191"/>
        <v>0</v>
      </c>
      <c r="T1872" s="46">
        <f t="shared" si="194"/>
        <v>50</v>
      </c>
      <c r="U1872" s="46">
        <f t="shared" si="192"/>
        <v>50</v>
      </c>
      <c r="V1872" s="54">
        <f t="shared" si="193"/>
        <v>14.333333333333334</v>
      </c>
    </row>
    <row r="1873" spans="1:22" x14ac:dyDescent="0.2">
      <c r="A1873" s="46" t="s">
        <v>39</v>
      </c>
      <c r="B1873" s="46" t="s">
        <v>118</v>
      </c>
      <c r="C1873" s="46" t="s">
        <v>95</v>
      </c>
      <c r="D1873" s="46" t="s">
        <v>178</v>
      </c>
      <c r="E1873" s="46">
        <v>1</v>
      </c>
      <c r="F1873" s="46" t="s">
        <v>62</v>
      </c>
      <c r="G1873" s="46">
        <v>3</v>
      </c>
      <c r="H1873" s="47" t="s">
        <v>64</v>
      </c>
      <c r="I1873" s="47" t="s">
        <v>116</v>
      </c>
      <c r="J1873" s="48">
        <v>4</v>
      </c>
      <c r="K1873" s="48">
        <v>2</v>
      </c>
      <c r="R1873" s="46">
        <f t="shared" si="190"/>
        <v>1</v>
      </c>
      <c r="S1873" s="46">
        <f t="shared" si="191"/>
        <v>0</v>
      </c>
      <c r="T1873" s="46">
        <f t="shared" si="194"/>
        <v>70</v>
      </c>
      <c r="U1873" s="46">
        <f t="shared" si="192"/>
        <v>70</v>
      </c>
      <c r="V1873" s="54">
        <f t="shared" si="193"/>
        <v>14.333333333333334</v>
      </c>
    </row>
    <row r="1874" spans="1:22" x14ac:dyDescent="0.2">
      <c r="A1874" s="46" t="s">
        <v>39</v>
      </c>
      <c r="B1874" s="46" t="s">
        <v>118</v>
      </c>
      <c r="C1874" s="46" t="s">
        <v>95</v>
      </c>
      <c r="D1874" s="46" t="s">
        <v>178</v>
      </c>
      <c r="E1874" s="46">
        <v>1</v>
      </c>
      <c r="F1874" s="46" t="s">
        <v>62</v>
      </c>
      <c r="G1874" s="46">
        <v>3</v>
      </c>
      <c r="H1874" s="47" t="s">
        <v>85</v>
      </c>
      <c r="I1874" s="47" t="s">
        <v>116</v>
      </c>
      <c r="J1874" s="48">
        <v>4</v>
      </c>
      <c r="K1874" s="48">
        <v>0</v>
      </c>
      <c r="R1874" s="46">
        <f t="shared" si="190"/>
        <v>1</v>
      </c>
      <c r="S1874" s="46">
        <f t="shared" si="191"/>
        <v>0</v>
      </c>
      <c r="T1874" s="46">
        <f t="shared" si="194"/>
        <v>90</v>
      </c>
      <c r="U1874" s="46">
        <f t="shared" si="192"/>
        <v>90</v>
      </c>
      <c r="V1874" s="54">
        <f t="shared" si="193"/>
        <v>14.333333333333334</v>
      </c>
    </row>
    <row r="1875" spans="1:22" x14ac:dyDescent="0.2">
      <c r="A1875" s="46" t="s">
        <v>39</v>
      </c>
      <c r="B1875" s="46" t="s">
        <v>118</v>
      </c>
      <c r="C1875" s="46" t="s">
        <v>95</v>
      </c>
      <c r="D1875" s="46" t="s">
        <v>178</v>
      </c>
      <c r="E1875" s="46">
        <v>5</v>
      </c>
      <c r="F1875" s="46" t="s">
        <v>60</v>
      </c>
      <c r="G1875" s="46">
        <v>2</v>
      </c>
      <c r="H1875" s="47">
        <v>6</v>
      </c>
      <c r="I1875" s="47" t="s">
        <v>127</v>
      </c>
      <c r="J1875" s="48">
        <v>1</v>
      </c>
      <c r="K1875" s="48">
        <v>0</v>
      </c>
      <c r="R1875" s="46">
        <f t="shared" si="190"/>
        <v>0</v>
      </c>
      <c r="S1875" s="46">
        <f t="shared" si="191"/>
        <v>0</v>
      </c>
      <c r="T1875" s="46">
        <f t="shared" si="194"/>
        <v>20</v>
      </c>
      <c r="U1875" s="46">
        <f t="shared" si="192"/>
        <v>20</v>
      </c>
      <c r="V1875" s="54">
        <f t="shared" si="193"/>
        <v>14.333333333333334</v>
      </c>
    </row>
    <row r="1876" spans="1:22" x14ac:dyDescent="0.2">
      <c r="A1876" s="46" t="s">
        <v>39</v>
      </c>
      <c r="B1876" s="46" t="s">
        <v>118</v>
      </c>
      <c r="C1876" s="46" t="s">
        <v>95</v>
      </c>
      <c r="D1876" s="46" t="s">
        <v>178</v>
      </c>
      <c r="E1876" s="46">
        <v>5</v>
      </c>
      <c r="F1876" s="46" t="s">
        <v>60</v>
      </c>
      <c r="G1876" s="46">
        <v>1</v>
      </c>
      <c r="H1876" s="47">
        <v>13</v>
      </c>
      <c r="I1876" s="47" t="s">
        <v>101</v>
      </c>
      <c r="J1876" s="48">
        <v>1</v>
      </c>
      <c r="K1876" s="48">
        <v>1</v>
      </c>
      <c r="R1876" s="46">
        <f t="shared" si="190"/>
        <v>0</v>
      </c>
      <c r="S1876" s="46">
        <f t="shared" si="191"/>
        <v>0</v>
      </c>
      <c r="T1876" s="46">
        <f t="shared" si="194"/>
        <v>20</v>
      </c>
      <c r="U1876" s="46">
        <f t="shared" si="192"/>
        <v>20</v>
      </c>
      <c r="V1876" s="54">
        <f t="shared" si="193"/>
        <v>14.333333333333334</v>
      </c>
    </row>
    <row r="1877" spans="1:22" x14ac:dyDescent="0.2">
      <c r="A1877" s="46" t="s">
        <v>39</v>
      </c>
      <c r="B1877" s="46" t="s">
        <v>118</v>
      </c>
      <c r="C1877" s="46" t="s">
        <v>95</v>
      </c>
      <c r="D1877" s="46" t="s">
        <v>178</v>
      </c>
      <c r="E1877" s="46">
        <v>5</v>
      </c>
      <c r="F1877" s="46" t="s">
        <v>60</v>
      </c>
      <c r="G1877" s="46">
        <v>4</v>
      </c>
      <c r="H1877" s="47">
        <v>24</v>
      </c>
      <c r="I1877" s="47" t="s">
        <v>102</v>
      </c>
      <c r="J1877" s="48">
        <v>1</v>
      </c>
      <c r="K1877" s="48">
        <v>0</v>
      </c>
      <c r="M1877" s="48">
        <v>1</v>
      </c>
      <c r="N1877" s="48">
        <v>1</v>
      </c>
      <c r="R1877" s="46">
        <f t="shared" si="190"/>
        <v>0</v>
      </c>
      <c r="S1877" s="46">
        <f t="shared" si="191"/>
        <v>0</v>
      </c>
      <c r="T1877" s="46">
        <f t="shared" si="194"/>
        <v>20</v>
      </c>
      <c r="U1877" s="46">
        <f t="shared" si="192"/>
        <v>35</v>
      </c>
      <c r="V1877" s="54">
        <f t="shared" si="193"/>
        <v>14.333333333333334</v>
      </c>
    </row>
    <row r="1878" spans="1:22" x14ac:dyDescent="0.2">
      <c r="A1878" s="46" t="s">
        <v>39</v>
      </c>
      <c r="B1878" s="46" t="s">
        <v>118</v>
      </c>
      <c r="C1878" s="46" t="s">
        <v>95</v>
      </c>
      <c r="D1878" s="46" t="s">
        <v>178</v>
      </c>
      <c r="E1878" s="46">
        <v>5</v>
      </c>
      <c r="F1878" s="46" t="s">
        <v>60</v>
      </c>
      <c r="G1878" s="46">
        <v>2</v>
      </c>
      <c r="H1878" s="47">
        <v>26</v>
      </c>
      <c r="I1878" s="47" t="s">
        <v>127</v>
      </c>
      <c r="J1878" s="48">
        <v>0</v>
      </c>
      <c r="K1878" s="48">
        <v>0</v>
      </c>
      <c r="N1878" s="48">
        <v>1</v>
      </c>
      <c r="R1878" s="46">
        <f t="shared" si="190"/>
        <v>0</v>
      </c>
      <c r="S1878" s="46">
        <f t="shared" si="191"/>
        <v>0</v>
      </c>
      <c r="T1878" s="46">
        <f t="shared" si="194"/>
        <v>0</v>
      </c>
      <c r="U1878" s="46">
        <f t="shared" si="192"/>
        <v>-5</v>
      </c>
      <c r="V1878" s="54">
        <f t="shared" si="193"/>
        <v>14.333333333333334</v>
      </c>
    </row>
    <row r="1879" spans="1:22" x14ac:dyDescent="0.2">
      <c r="A1879" s="46" t="s">
        <v>39</v>
      </c>
      <c r="B1879" s="46" t="s">
        <v>118</v>
      </c>
      <c r="C1879" s="46" t="s">
        <v>95</v>
      </c>
      <c r="D1879" s="46" t="s">
        <v>178</v>
      </c>
      <c r="E1879" s="46">
        <v>5</v>
      </c>
      <c r="F1879" s="46" t="s">
        <v>60</v>
      </c>
      <c r="G1879" s="46">
        <v>1</v>
      </c>
      <c r="H1879" s="47">
        <v>37</v>
      </c>
      <c r="I1879" s="47" t="s">
        <v>101</v>
      </c>
      <c r="J1879" s="48">
        <v>0</v>
      </c>
      <c r="K1879" s="48">
        <v>1</v>
      </c>
      <c r="R1879" s="46">
        <f t="shared" si="190"/>
        <v>0</v>
      </c>
      <c r="S1879" s="46">
        <f t="shared" si="191"/>
        <v>0</v>
      </c>
      <c r="T1879" s="46">
        <f t="shared" si="194"/>
        <v>0</v>
      </c>
      <c r="U1879" s="46">
        <f t="shared" si="192"/>
        <v>0</v>
      </c>
      <c r="V1879" s="54">
        <f t="shared" si="193"/>
        <v>14.333333333333334</v>
      </c>
    </row>
    <row r="1880" spans="1:22" x14ac:dyDescent="0.2">
      <c r="A1880" s="46" t="s">
        <v>39</v>
      </c>
      <c r="B1880" s="46" t="s">
        <v>118</v>
      </c>
      <c r="C1880" s="46" t="s">
        <v>95</v>
      </c>
      <c r="D1880" s="46" t="s">
        <v>178</v>
      </c>
      <c r="E1880" s="46">
        <v>5</v>
      </c>
      <c r="F1880" s="46" t="s">
        <v>60</v>
      </c>
      <c r="G1880" s="46">
        <v>3</v>
      </c>
      <c r="H1880" s="47">
        <v>47</v>
      </c>
      <c r="I1880" s="47" t="s">
        <v>159</v>
      </c>
      <c r="J1880" s="48">
        <v>0</v>
      </c>
      <c r="K1880" s="48">
        <v>1</v>
      </c>
      <c r="R1880" s="46">
        <f t="shared" si="190"/>
        <v>0</v>
      </c>
      <c r="S1880" s="46">
        <f t="shared" si="191"/>
        <v>0</v>
      </c>
      <c r="T1880" s="46">
        <f t="shared" si="194"/>
        <v>0</v>
      </c>
      <c r="U1880" s="46">
        <f t="shared" si="192"/>
        <v>0</v>
      </c>
      <c r="V1880" s="54">
        <f t="shared" si="193"/>
        <v>14.333333333333334</v>
      </c>
    </row>
    <row r="1881" spans="1:22" x14ac:dyDescent="0.2">
      <c r="A1881" s="46" t="s">
        <v>39</v>
      </c>
      <c r="B1881" s="46" t="s">
        <v>118</v>
      </c>
      <c r="C1881" s="46" t="str">
        <f>VLOOKUP(B1881,$B$2:$C$3219,2,FALSE)</f>
        <v>Tacoma</v>
      </c>
      <c r="D1881" s="46" t="s">
        <v>178</v>
      </c>
      <c r="E1881" s="46">
        <v>5</v>
      </c>
      <c r="F1881" s="46" t="s">
        <v>63</v>
      </c>
      <c r="G1881" s="46">
        <v>4</v>
      </c>
      <c r="H1881" s="47" t="s">
        <v>146</v>
      </c>
      <c r="I1881" s="47" t="s">
        <v>102</v>
      </c>
      <c r="J1881" s="48">
        <v>0</v>
      </c>
      <c r="K1881" s="48">
        <v>2</v>
      </c>
      <c r="R1881" s="46">
        <f t="shared" si="190"/>
        <v>0</v>
      </c>
      <c r="S1881" s="46">
        <f t="shared" si="191"/>
        <v>0</v>
      </c>
      <c r="T1881" s="46">
        <f t="shared" si="194"/>
        <v>-10</v>
      </c>
      <c r="U1881" s="46">
        <f t="shared" si="192"/>
        <v>-10</v>
      </c>
      <c r="V1881" s="54">
        <f t="shared" si="193"/>
        <v>14.333333333333334</v>
      </c>
    </row>
    <row r="1882" spans="1:22" x14ac:dyDescent="0.2">
      <c r="A1882" s="46" t="s">
        <v>39</v>
      </c>
      <c r="B1882" s="46" t="s">
        <v>118</v>
      </c>
      <c r="C1882" s="46" t="str">
        <f>VLOOKUP(B1882,$B$2:$C$3219,2,FALSE)</f>
        <v>Tacoma</v>
      </c>
      <c r="D1882" s="46" t="s">
        <v>178</v>
      </c>
      <c r="E1882" s="46">
        <v>5</v>
      </c>
      <c r="F1882" s="46" t="s">
        <v>63</v>
      </c>
      <c r="G1882" s="46">
        <v>4</v>
      </c>
      <c r="H1882" s="47" t="s">
        <v>149</v>
      </c>
      <c r="I1882" s="47" t="s">
        <v>102</v>
      </c>
      <c r="J1882" s="48">
        <v>0</v>
      </c>
      <c r="K1882" s="48">
        <v>2</v>
      </c>
      <c r="R1882" s="46">
        <f t="shared" si="190"/>
        <v>0</v>
      </c>
      <c r="S1882" s="46">
        <f t="shared" si="191"/>
        <v>0</v>
      </c>
      <c r="T1882" s="46">
        <f t="shared" si="194"/>
        <v>-10</v>
      </c>
      <c r="U1882" s="46">
        <f t="shared" si="192"/>
        <v>-10</v>
      </c>
      <c r="V1882" s="54">
        <f t="shared" si="193"/>
        <v>14.333333333333334</v>
      </c>
    </row>
    <row r="1883" spans="1:22" x14ac:dyDescent="0.2">
      <c r="A1883" s="46" t="s">
        <v>39</v>
      </c>
      <c r="B1883" s="46" t="s">
        <v>118</v>
      </c>
      <c r="C1883" s="46" t="str">
        <f>VLOOKUP(B1883,$B$2:$C$3219,2,FALSE)</f>
        <v>Tacoma</v>
      </c>
      <c r="D1883" s="46" t="s">
        <v>178</v>
      </c>
      <c r="E1883" s="46">
        <v>5</v>
      </c>
      <c r="F1883" s="46" t="s">
        <v>63</v>
      </c>
      <c r="G1883" s="46">
        <v>4</v>
      </c>
      <c r="H1883" s="47" t="s">
        <v>152</v>
      </c>
      <c r="I1883" s="47" t="s">
        <v>102</v>
      </c>
      <c r="J1883" s="48">
        <v>0</v>
      </c>
      <c r="K1883" s="48">
        <v>1</v>
      </c>
      <c r="R1883" s="46">
        <f t="shared" si="190"/>
        <v>0</v>
      </c>
      <c r="S1883" s="46">
        <f t="shared" si="191"/>
        <v>0</v>
      </c>
      <c r="T1883" s="46">
        <f t="shared" si="194"/>
        <v>0</v>
      </c>
      <c r="U1883" s="46">
        <f t="shared" si="192"/>
        <v>0</v>
      </c>
      <c r="V1883" s="54">
        <f t="shared" si="193"/>
        <v>14.333333333333334</v>
      </c>
    </row>
    <row r="1884" spans="1:22" x14ac:dyDescent="0.2">
      <c r="A1884" s="46" t="s">
        <v>189</v>
      </c>
      <c r="B1884" s="46" t="s">
        <v>46</v>
      </c>
      <c r="C1884" s="46" t="s">
        <v>89</v>
      </c>
      <c r="D1884" s="46" t="s">
        <v>178</v>
      </c>
      <c r="E1884" s="46">
        <v>2</v>
      </c>
      <c r="F1884" s="46" t="s">
        <v>60</v>
      </c>
      <c r="G1884" s="46">
        <v>4</v>
      </c>
      <c r="H1884" s="47">
        <v>12</v>
      </c>
      <c r="I1884" s="47" t="s">
        <v>102</v>
      </c>
      <c r="J1884" s="48">
        <v>0</v>
      </c>
      <c r="K1884" s="48">
        <v>2</v>
      </c>
      <c r="R1884" s="46">
        <f t="shared" si="190"/>
        <v>0</v>
      </c>
      <c r="S1884" s="46">
        <f t="shared" si="191"/>
        <v>0</v>
      </c>
      <c r="T1884" s="46">
        <f t="shared" si="194"/>
        <v>-10</v>
      </c>
      <c r="U1884" s="46">
        <f t="shared" si="192"/>
        <v>-10</v>
      </c>
      <c r="V1884" s="54">
        <f t="shared" si="193"/>
        <v>3.5416666666666665</v>
      </c>
    </row>
    <row r="1885" spans="1:22" x14ac:dyDescent="0.2">
      <c r="A1885" s="46" t="s">
        <v>189</v>
      </c>
      <c r="B1885" s="46" t="s">
        <v>46</v>
      </c>
      <c r="C1885" s="46" t="s">
        <v>89</v>
      </c>
      <c r="D1885" s="46" t="s">
        <v>178</v>
      </c>
      <c r="E1885" s="46">
        <v>1</v>
      </c>
      <c r="F1885" s="46" t="s">
        <v>62</v>
      </c>
      <c r="G1885" s="46">
        <v>3</v>
      </c>
      <c r="H1885" s="47" t="s">
        <v>84</v>
      </c>
      <c r="I1885" s="47" t="s">
        <v>116</v>
      </c>
      <c r="J1885" s="48">
        <v>0</v>
      </c>
      <c r="K1885" s="48">
        <v>2</v>
      </c>
      <c r="R1885" s="46">
        <f t="shared" si="190"/>
        <v>0</v>
      </c>
      <c r="S1885" s="46">
        <f t="shared" si="191"/>
        <v>0</v>
      </c>
      <c r="T1885" s="46">
        <f t="shared" si="194"/>
        <v>-10</v>
      </c>
      <c r="U1885" s="46">
        <f t="shared" si="192"/>
        <v>-10</v>
      </c>
      <c r="V1885" s="54">
        <f t="shared" si="193"/>
        <v>3.5416666666666665</v>
      </c>
    </row>
    <row r="1886" spans="1:22" x14ac:dyDescent="0.2">
      <c r="A1886" s="46" t="s">
        <v>189</v>
      </c>
      <c r="B1886" s="46" t="s">
        <v>46</v>
      </c>
      <c r="C1886" s="46" t="s">
        <v>89</v>
      </c>
      <c r="D1886" s="46" t="s">
        <v>178</v>
      </c>
      <c r="E1886" s="46">
        <v>4</v>
      </c>
      <c r="F1886" s="46" t="s">
        <v>62</v>
      </c>
      <c r="G1886" s="46">
        <v>3</v>
      </c>
      <c r="H1886" s="47" t="s">
        <v>87</v>
      </c>
      <c r="I1886" s="47" t="s">
        <v>219</v>
      </c>
      <c r="J1886" s="48">
        <v>0</v>
      </c>
      <c r="K1886" s="48">
        <v>2</v>
      </c>
      <c r="R1886" s="46">
        <f t="shared" si="190"/>
        <v>0</v>
      </c>
      <c r="S1886" s="46">
        <f t="shared" si="191"/>
        <v>0</v>
      </c>
      <c r="T1886" s="46">
        <f t="shared" si="194"/>
        <v>-10</v>
      </c>
      <c r="U1886" s="46">
        <f t="shared" si="192"/>
        <v>-10</v>
      </c>
      <c r="V1886" s="54">
        <f t="shared" si="193"/>
        <v>3.5416666666666665</v>
      </c>
    </row>
    <row r="1887" spans="1:22" x14ac:dyDescent="0.2">
      <c r="A1887" s="46" t="s">
        <v>189</v>
      </c>
      <c r="B1887" s="46" t="s">
        <v>46</v>
      </c>
      <c r="C1887" s="46" t="s">
        <v>89</v>
      </c>
      <c r="D1887" s="46" t="s">
        <v>178</v>
      </c>
      <c r="E1887" s="46">
        <v>3</v>
      </c>
      <c r="F1887" s="46" t="s">
        <v>62</v>
      </c>
      <c r="G1887" s="46">
        <v>3</v>
      </c>
      <c r="H1887" s="47" t="s">
        <v>64</v>
      </c>
      <c r="I1887" s="47" t="s">
        <v>116</v>
      </c>
      <c r="J1887" s="48">
        <v>0</v>
      </c>
      <c r="K1887" s="48">
        <v>2</v>
      </c>
      <c r="R1887" s="46">
        <f t="shared" si="190"/>
        <v>0</v>
      </c>
      <c r="S1887" s="46">
        <f t="shared" si="191"/>
        <v>0</v>
      </c>
      <c r="T1887" s="46">
        <f t="shared" si="194"/>
        <v>-10</v>
      </c>
      <c r="U1887" s="46">
        <f t="shared" si="192"/>
        <v>-10</v>
      </c>
      <c r="V1887" s="54">
        <f t="shared" si="193"/>
        <v>3.5416666666666665</v>
      </c>
    </row>
    <row r="1888" spans="1:22" x14ac:dyDescent="0.2">
      <c r="A1888" s="46" t="s">
        <v>189</v>
      </c>
      <c r="B1888" s="46" t="s">
        <v>46</v>
      </c>
      <c r="C1888" s="46" t="s">
        <v>89</v>
      </c>
      <c r="D1888" s="46" t="s">
        <v>178</v>
      </c>
      <c r="E1888" s="46">
        <v>3</v>
      </c>
      <c r="F1888" s="46" t="s">
        <v>60</v>
      </c>
      <c r="G1888" s="46">
        <v>2</v>
      </c>
      <c r="H1888" s="47">
        <v>2</v>
      </c>
      <c r="I1888" s="47" t="s">
        <v>127</v>
      </c>
      <c r="J1888" s="48">
        <v>0</v>
      </c>
      <c r="K1888" s="48">
        <v>1</v>
      </c>
      <c r="R1888" s="46">
        <f t="shared" si="190"/>
        <v>0</v>
      </c>
      <c r="S1888" s="46">
        <f t="shared" si="191"/>
        <v>0</v>
      </c>
      <c r="T1888" s="46">
        <f t="shared" si="194"/>
        <v>0</v>
      </c>
      <c r="U1888" s="46">
        <f t="shared" si="192"/>
        <v>0</v>
      </c>
      <c r="V1888" s="54">
        <f t="shared" si="193"/>
        <v>3.5416666666666665</v>
      </c>
    </row>
    <row r="1889" spans="1:22" x14ac:dyDescent="0.2">
      <c r="A1889" s="46" t="s">
        <v>189</v>
      </c>
      <c r="B1889" s="46" t="s">
        <v>46</v>
      </c>
      <c r="C1889" s="46" t="s">
        <v>89</v>
      </c>
      <c r="D1889" s="46" t="s">
        <v>178</v>
      </c>
      <c r="E1889" s="46">
        <v>2</v>
      </c>
      <c r="F1889" s="46" t="s">
        <v>60</v>
      </c>
      <c r="G1889" s="46">
        <v>3</v>
      </c>
      <c r="H1889" s="47">
        <v>3</v>
      </c>
      <c r="I1889" s="47" t="s">
        <v>116</v>
      </c>
      <c r="J1889" s="48">
        <v>0</v>
      </c>
      <c r="K1889" s="48">
        <v>0</v>
      </c>
      <c r="R1889" s="46">
        <f t="shared" si="190"/>
        <v>0</v>
      </c>
      <c r="S1889" s="46">
        <f t="shared" si="191"/>
        <v>0</v>
      </c>
      <c r="T1889" s="46">
        <f t="shared" si="194"/>
        <v>0</v>
      </c>
      <c r="U1889" s="46">
        <f t="shared" si="192"/>
        <v>0</v>
      </c>
      <c r="V1889" s="54">
        <f t="shared" si="193"/>
        <v>3.5416666666666665</v>
      </c>
    </row>
    <row r="1890" spans="1:22" x14ac:dyDescent="0.2">
      <c r="A1890" s="46" t="s">
        <v>189</v>
      </c>
      <c r="B1890" s="46" t="s">
        <v>46</v>
      </c>
      <c r="C1890" s="46" t="s">
        <v>89</v>
      </c>
      <c r="D1890" s="46" t="s">
        <v>178</v>
      </c>
      <c r="E1890" s="46">
        <v>1</v>
      </c>
      <c r="F1890" s="46" t="s">
        <v>60</v>
      </c>
      <c r="G1890" s="46">
        <v>4</v>
      </c>
      <c r="H1890" s="47">
        <v>4</v>
      </c>
      <c r="I1890" s="47" t="s">
        <v>102</v>
      </c>
      <c r="J1890" s="48">
        <v>0</v>
      </c>
      <c r="K1890" s="48">
        <v>0</v>
      </c>
      <c r="R1890" s="46">
        <f t="shared" si="190"/>
        <v>0</v>
      </c>
      <c r="S1890" s="46">
        <f t="shared" si="191"/>
        <v>0</v>
      </c>
      <c r="T1890" s="46">
        <f t="shared" si="194"/>
        <v>0</v>
      </c>
      <c r="U1890" s="46">
        <f t="shared" si="192"/>
        <v>0</v>
      </c>
      <c r="V1890" s="54">
        <f t="shared" si="193"/>
        <v>3.5416666666666665</v>
      </c>
    </row>
    <row r="1891" spans="1:22" x14ac:dyDescent="0.2">
      <c r="A1891" s="46" t="s">
        <v>189</v>
      </c>
      <c r="B1891" s="46" t="s">
        <v>46</v>
      </c>
      <c r="C1891" s="46" t="s">
        <v>89</v>
      </c>
      <c r="D1891" s="46" t="s">
        <v>178</v>
      </c>
      <c r="E1891" s="46">
        <v>4</v>
      </c>
      <c r="F1891" s="46" t="s">
        <v>60</v>
      </c>
      <c r="G1891" s="46">
        <v>1</v>
      </c>
      <c r="H1891" s="47">
        <v>5</v>
      </c>
      <c r="I1891" s="47" t="s">
        <v>101</v>
      </c>
      <c r="J1891" s="48">
        <v>0</v>
      </c>
      <c r="K1891" s="48">
        <v>0</v>
      </c>
      <c r="R1891" s="46">
        <f t="shared" si="190"/>
        <v>0</v>
      </c>
      <c r="S1891" s="46">
        <f t="shared" si="191"/>
        <v>0</v>
      </c>
      <c r="T1891" s="46">
        <f t="shared" si="194"/>
        <v>0</v>
      </c>
      <c r="U1891" s="46">
        <f t="shared" si="192"/>
        <v>0</v>
      </c>
      <c r="V1891" s="54">
        <f t="shared" si="193"/>
        <v>3.5416666666666665</v>
      </c>
    </row>
    <row r="1892" spans="1:22" x14ac:dyDescent="0.2">
      <c r="A1892" s="46" t="s">
        <v>189</v>
      </c>
      <c r="B1892" s="46" t="s">
        <v>46</v>
      </c>
      <c r="C1892" s="46" t="s">
        <v>89</v>
      </c>
      <c r="D1892" s="46" t="s">
        <v>178</v>
      </c>
      <c r="E1892" s="46">
        <v>1</v>
      </c>
      <c r="F1892" s="46" t="s">
        <v>60</v>
      </c>
      <c r="G1892" s="46">
        <v>1</v>
      </c>
      <c r="H1892" s="47">
        <v>9</v>
      </c>
      <c r="I1892" s="47" t="s">
        <v>101</v>
      </c>
      <c r="J1892" s="48">
        <v>0</v>
      </c>
      <c r="K1892" s="48">
        <v>1</v>
      </c>
      <c r="R1892" s="46">
        <f t="shared" si="190"/>
        <v>0</v>
      </c>
      <c r="S1892" s="46">
        <f t="shared" si="191"/>
        <v>0</v>
      </c>
      <c r="T1892" s="46">
        <f t="shared" si="194"/>
        <v>0</v>
      </c>
      <c r="U1892" s="46">
        <f t="shared" si="192"/>
        <v>0</v>
      </c>
      <c r="V1892" s="54">
        <f t="shared" si="193"/>
        <v>3.5416666666666665</v>
      </c>
    </row>
    <row r="1893" spans="1:22" x14ac:dyDescent="0.2">
      <c r="A1893" s="46" t="s">
        <v>189</v>
      </c>
      <c r="B1893" s="46" t="s">
        <v>46</v>
      </c>
      <c r="C1893" s="46" t="s">
        <v>89</v>
      </c>
      <c r="D1893" s="46" t="s">
        <v>178</v>
      </c>
      <c r="E1893" s="46">
        <v>3</v>
      </c>
      <c r="F1893" s="46" t="s">
        <v>60</v>
      </c>
      <c r="G1893" s="46">
        <v>3</v>
      </c>
      <c r="H1893" s="47">
        <v>11</v>
      </c>
      <c r="I1893" s="47" t="s">
        <v>116</v>
      </c>
      <c r="J1893" s="48">
        <v>0</v>
      </c>
      <c r="K1893" s="48">
        <v>1</v>
      </c>
      <c r="R1893" s="46">
        <f t="shared" si="190"/>
        <v>0</v>
      </c>
      <c r="S1893" s="46">
        <f t="shared" si="191"/>
        <v>0</v>
      </c>
      <c r="T1893" s="46">
        <f t="shared" si="194"/>
        <v>0</v>
      </c>
      <c r="U1893" s="46">
        <f t="shared" si="192"/>
        <v>0</v>
      </c>
      <c r="V1893" s="54">
        <f t="shared" si="193"/>
        <v>3.5416666666666665</v>
      </c>
    </row>
    <row r="1894" spans="1:22" x14ac:dyDescent="0.2">
      <c r="A1894" s="46" t="s">
        <v>189</v>
      </c>
      <c r="B1894" s="46" t="s">
        <v>46</v>
      </c>
      <c r="C1894" s="46" t="s">
        <v>89</v>
      </c>
      <c r="D1894" s="46" t="s">
        <v>178</v>
      </c>
      <c r="E1894" s="46">
        <v>4</v>
      </c>
      <c r="F1894" s="46" t="s">
        <v>60</v>
      </c>
      <c r="G1894" s="46">
        <v>2</v>
      </c>
      <c r="H1894" s="47">
        <v>14</v>
      </c>
      <c r="I1894" s="47" t="s">
        <v>127</v>
      </c>
      <c r="J1894" s="48">
        <v>0</v>
      </c>
      <c r="K1894" s="48">
        <v>0</v>
      </c>
      <c r="L1894" s="48">
        <v>1</v>
      </c>
      <c r="R1894" s="46">
        <f t="shared" si="190"/>
        <v>0</v>
      </c>
      <c r="S1894" s="46">
        <f t="shared" si="191"/>
        <v>0</v>
      </c>
      <c r="T1894" s="46">
        <f t="shared" si="194"/>
        <v>0</v>
      </c>
      <c r="U1894" s="46">
        <f t="shared" si="192"/>
        <v>-5</v>
      </c>
      <c r="V1894" s="54">
        <f t="shared" si="193"/>
        <v>3.5416666666666665</v>
      </c>
    </row>
    <row r="1895" spans="1:22" x14ac:dyDescent="0.2">
      <c r="A1895" s="46" t="s">
        <v>189</v>
      </c>
      <c r="B1895" s="46" t="s">
        <v>46</v>
      </c>
      <c r="C1895" s="46" t="s">
        <v>89</v>
      </c>
      <c r="D1895" s="46" t="s">
        <v>178</v>
      </c>
      <c r="E1895" s="46">
        <v>3</v>
      </c>
      <c r="F1895" s="46" t="s">
        <v>60</v>
      </c>
      <c r="G1895" s="46">
        <v>4</v>
      </c>
      <c r="H1895" s="47">
        <v>20</v>
      </c>
      <c r="I1895" s="47" t="s">
        <v>102</v>
      </c>
      <c r="J1895" s="48">
        <v>0</v>
      </c>
      <c r="K1895" s="48">
        <v>0</v>
      </c>
      <c r="R1895" s="46">
        <f t="shared" si="190"/>
        <v>0</v>
      </c>
      <c r="S1895" s="46">
        <f t="shared" si="191"/>
        <v>0</v>
      </c>
      <c r="T1895" s="46">
        <f t="shared" si="194"/>
        <v>0</v>
      </c>
      <c r="U1895" s="46">
        <f t="shared" si="192"/>
        <v>0</v>
      </c>
      <c r="V1895" s="54">
        <f t="shared" si="193"/>
        <v>3.5416666666666665</v>
      </c>
    </row>
    <row r="1896" spans="1:22" x14ac:dyDescent="0.2">
      <c r="A1896" s="46" t="s">
        <v>189</v>
      </c>
      <c r="B1896" s="46" t="s">
        <v>46</v>
      </c>
      <c r="C1896" s="46" t="s">
        <v>89</v>
      </c>
      <c r="D1896" s="46" t="s">
        <v>178</v>
      </c>
      <c r="E1896" s="46">
        <v>4</v>
      </c>
      <c r="F1896" s="46" t="s">
        <v>60</v>
      </c>
      <c r="G1896" s="46">
        <v>4</v>
      </c>
      <c r="H1896" s="47">
        <v>24</v>
      </c>
      <c r="I1896" s="47" t="s">
        <v>102</v>
      </c>
      <c r="J1896" s="48">
        <v>0</v>
      </c>
      <c r="K1896" s="48">
        <v>1</v>
      </c>
      <c r="R1896" s="46">
        <f t="shared" si="190"/>
        <v>0</v>
      </c>
      <c r="S1896" s="46">
        <f t="shared" si="191"/>
        <v>0</v>
      </c>
      <c r="T1896" s="46">
        <f t="shared" si="194"/>
        <v>0</v>
      </c>
      <c r="U1896" s="46">
        <f t="shared" si="192"/>
        <v>0</v>
      </c>
      <c r="V1896" s="54">
        <f t="shared" si="193"/>
        <v>3.5416666666666665</v>
      </c>
    </row>
    <row r="1897" spans="1:22" x14ac:dyDescent="0.2">
      <c r="A1897" s="46" t="s">
        <v>189</v>
      </c>
      <c r="B1897" s="46" t="s">
        <v>46</v>
      </c>
      <c r="C1897" s="46" t="s">
        <v>89</v>
      </c>
      <c r="D1897" s="46" t="s">
        <v>178</v>
      </c>
      <c r="E1897" s="46">
        <v>2</v>
      </c>
      <c r="F1897" s="46" t="s">
        <v>60</v>
      </c>
      <c r="G1897" s="46">
        <v>1</v>
      </c>
      <c r="H1897" s="47">
        <v>25</v>
      </c>
      <c r="I1897" s="47" t="s">
        <v>101</v>
      </c>
      <c r="J1897" s="48">
        <v>0</v>
      </c>
      <c r="K1897" s="48">
        <v>0</v>
      </c>
      <c r="R1897" s="46">
        <f t="shared" si="190"/>
        <v>0</v>
      </c>
      <c r="S1897" s="46">
        <f t="shared" si="191"/>
        <v>0</v>
      </c>
      <c r="T1897" s="46">
        <f t="shared" si="194"/>
        <v>0</v>
      </c>
      <c r="U1897" s="46">
        <f t="shared" si="192"/>
        <v>0</v>
      </c>
      <c r="V1897" s="54">
        <f t="shared" si="193"/>
        <v>3.5416666666666665</v>
      </c>
    </row>
    <row r="1898" spans="1:22" x14ac:dyDescent="0.2">
      <c r="A1898" s="46" t="s">
        <v>189</v>
      </c>
      <c r="B1898" s="46" t="s">
        <v>46</v>
      </c>
      <c r="C1898" s="46" t="s">
        <v>89</v>
      </c>
      <c r="D1898" s="46" t="s">
        <v>178</v>
      </c>
      <c r="E1898" s="46">
        <v>3</v>
      </c>
      <c r="F1898" s="46" t="s">
        <v>60</v>
      </c>
      <c r="G1898" s="46">
        <v>1</v>
      </c>
      <c r="H1898" s="47">
        <v>25</v>
      </c>
      <c r="I1898" s="47" t="s">
        <v>116</v>
      </c>
      <c r="J1898" s="48">
        <v>0</v>
      </c>
      <c r="K1898" s="48">
        <v>0</v>
      </c>
      <c r="R1898" s="46">
        <f t="shared" si="190"/>
        <v>0</v>
      </c>
      <c r="S1898" s="46">
        <f t="shared" si="191"/>
        <v>0</v>
      </c>
      <c r="T1898" s="46">
        <f t="shared" si="194"/>
        <v>0</v>
      </c>
      <c r="U1898" s="46">
        <f t="shared" si="192"/>
        <v>0</v>
      </c>
      <c r="V1898" s="54">
        <f t="shared" si="193"/>
        <v>3.5416666666666665</v>
      </c>
    </row>
    <row r="1899" spans="1:22" x14ac:dyDescent="0.2">
      <c r="A1899" s="46" t="s">
        <v>189</v>
      </c>
      <c r="B1899" s="46" t="s">
        <v>46</v>
      </c>
      <c r="C1899" s="46" t="s">
        <v>89</v>
      </c>
      <c r="D1899" s="46" t="s">
        <v>178</v>
      </c>
      <c r="E1899" s="46">
        <v>1</v>
      </c>
      <c r="F1899" s="46" t="s">
        <v>60</v>
      </c>
      <c r="G1899" s="46">
        <v>3</v>
      </c>
      <c r="H1899" s="47">
        <v>27</v>
      </c>
      <c r="I1899" s="47" t="s">
        <v>116</v>
      </c>
      <c r="J1899" s="48">
        <v>0</v>
      </c>
      <c r="K1899" s="48">
        <v>0</v>
      </c>
      <c r="R1899" s="46">
        <f t="shared" si="190"/>
        <v>0</v>
      </c>
      <c r="S1899" s="46">
        <f t="shared" si="191"/>
        <v>0</v>
      </c>
      <c r="T1899" s="46">
        <f t="shared" ref="T1899:T1930" si="195">quizscore(J1899,K1899)</f>
        <v>0</v>
      </c>
      <c r="U1899" s="46">
        <f t="shared" si="192"/>
        <v>0</v>
      </c>
      <c r="V1899" s="54">
        <f t="shared" si="193"/>
        <v>3.5416666666666665</v>
      </c>
    </row>
    <row r="1900" spans="1:22" x14ac:dyDescent="0.2">
      <c r="A1900" s="46" t="s">
        <v>189</v>
      </c>
      <c r="B1900" s="46" t="s">
        <v>46</v>
      </c>
      <c r="C1900" s="46" t="s">
        <v>89</v>
      </c>
      <c r="D1900" s="46" t="s">
        <v>178</v>
      </c>
      <c r="E1900" s="46">
        <v>1</v>
      </c>
      <c r="F1900" s="46" t="s">
        <v>60</v>
      </c>
      <c r="G1900" s="46">
        <v>1</v>
      </c>
      <c r="H1900" s="47">
        <v>29</v>
      </c>
      <c r="I1900" s="47" t="s">
        <v>101</v>
      </c>
      <c r="J1900" s="48">
        <v>0</v>
      </c>
      <c r="K1900" s="48">
        <v>0</v>
      </c>
      <c r="R1900" s="46">
        <f t="shared" si="190"/>
        <v>0</v>
      </c>
      <c r="S1900" s="46">
        <f t="shared" si="191"/>
        <v>0</v>
      </c>
      <c r="T1900" s="46">
        <f t="shared" si="195"/>
        <v>0</v>
      </c>
      <c r="U1900" s="46">
        <f t="shared" si="192"/>
        <v>0</v>
      </c>
      <c r="V1900" s="54">
        <f t="shared" si="193"/>
        <v>3.5416666666666665</v>
      </c>
    </row>
    <row r="1901" spans="1:22" x14ac:dyDescent="0.2">
      <c r="A1901" s="46" t="s">
        <v>189</v>
      </c>
      <c r="B1901" s="46" t="s">
        <v>46</v>
      </c>
      <c r="C1901" s="46" t="s">
        <v>89</v>
      </c>
      <c r="D1901" s="46" t="s">
        <v>178</v>
      </c>
      <c r="E1901" s="46">
        <v>4</v>
      </c>
      <c r="F1901" s="46" t="s">
        <v>60</v>
      </c>
      <c r="G1901" s="46">
        <v>3</v>
      </c>
      <c r="H1901" s="47">
        <v>31</v>
      </c>
      <c r="I1901" s="47" t="s">
        <v>159</v>
      </c>
      <c r="J1901" s="48">
        <v>0</v>
      </c>
      <c r="K1901" s="48">
        <v>1</v>
      </c>
      <c r="R1901" s="46">
        <f t="shared" si="190"/>
        <v>0</v>
      </c>
      <c r="S1901" s="46">
        <f t="shared" si="191"/>
        <v>0</v>
      </c>
      <c r="T1901" s="46">
        <f t="shared" si="195"/>
        <v>0</v>
      </c>
      <c r="U1901" s="46">
        <f t="shared" si="192"/>
        <v>0</v>
      </c>
      <c r="V1901" s="54">
        <f t="shared" si="193"/>
        <v>3.5416666666666665</v>
      </c>
    </row>
    <row r="1902" spans="1:22" x14ac:dyDescent="0.2">
      <c r="A1902" s="46" t="s">
        <v>189</v>
      </c>
      <c r="B1902" s="46" t="s">
        <v>46</v>
      </c>
      <c r="C1902" s="46" t="s">
        <v>89</v>
      </c>
      <c r="D1902" s="46" t="s">
        <v>178</v>
      </c>
      <c r="E1902" s="46">
        <v>2</v>
      </c>
      <c r="F1902" s="46" t="s">
        <v>60</v>
      </c>
      <c r="G1902" s="46">
        <v>1</v>
      </c>
      <c r="H1902" s="47">
        <v>37</v>
      </c>
      <c r="I1902" s="47" t="s">
        <v>101</v>
      </c>
      <c r="J1902" s="48">
        <v>0</v>
      </c>
      <c r="K1902" s="48">
        <v>0</v>
      </c>
      <c r="R1902" s="46">
        <f t="shared" si="190"/>
        <v>0</v>
      </c>
      <c r="S1902" s="46">
        <f t="shared" si="191"/>
        <v>0</v>
      </c>
      <c r="T1902" s="46">
        <f t="shared" si="195"/>
        <v>0</v>
      </c>
      <c r="U1902" s="46">
        <f t="shared" si="192"/>
        <v>0</v>
      </c>
      <c r="V1902" s="54">
        <f t="shared" si="193"/>
        <v>3.5416666666666665</v>
      </c>
    </row>
    <row r="1903" spans="1:22" x14ac:dyDescent="0.2">
      <c r="A1903" s="46" t="s">
        <v>189</v>
      </c>
      <c r="B1903" s="46" t="s">
        <v>46</v>
      </c>
      <c r="C1903" s="46" t="s">
        <v>89</v>
      </c>
      <c r="D1903" s="46" t="s">
        <v>178</v>
      </c>
      <c r="E1903" s="46">
        <v>4</v>
      </c>
      <c r="F1903" s="46" t="s">
        <v>60</v>
      </c>
      <c r="G1903" s="46">
        <v>2</v>
      </c>
      <c r="H1903" s="47">
        <v>38</v>
      </c>
      <c r="I1903" s="47" t="s">
        <v>127</v>
      </c>
      <c r="J1903" s="48">
        <v>0</v>
      </c>
      <c r="K1903" s="48">
        <v>0</v>
      </c>
      <c r="R1903" s="46">
        <f t="shared" si="190"/>
        <v>0</v>
      </c>
      <c r="S1903" s="46">
        <f t="shared" si="191"/>
        <v>0</v>
      </c>
      <c r="T1903" s="46">
        <f t="shared" si="195"/>
        <v>0</v>
      </c>
      <c r="U1903" s="46">
        <f t="shared" si="192"/>
        <v>0</v>
      </c>
      <c r="V1903" s="54">
        <f t="shared" si="193"/>
        <v>3.5416666666666665</v>
      </c>
    </row>
    <row r="1904" spans="1:22" x14ac:dyDescent="0.2">
      <c r="A1904" s="46" t="s">
        <v>189</v>
      </c>
      <c r="B1904" s="46" t="s">
        <v>46</v>
      </c>
      <c r="C1904" s="46" t="s">
        <v>89</v>
      </c>
      <c r="D1904" s="46" t="s">
        <v>178</v>
      </c>
      <c r="E1904" s="46">
        <v>3</v>
      </c>
      <c r="F1904" s="46" t="s">
        <v>60</v>
      </c>
      <c r="G1904" s="46">
        <v>3</v>
      </c>
      <c r="H1904" s="47">
        <v>39</v>
      </c>
      <c r="I1904" s="47" t="s">
        <v>116</v>
      </c>
      <c r="J1904" s="48">
        <v>0</v>
      </c>
      <c r="K1904" s="48">
        <v>0</v>
      </c>
      <c r="M1904" s="48">
        <v>1</v>
      </c>
      <c r="R1904" s="46">
        <f t="shared" si="190"/>
        <v>0</v>
      </c>
      <c r="S1904" s="46">
        <f t="shared" si="191"/>
        <v>0</v>
      </c>
      <c r="T1904" s="46">
        <f t="shared" si="195"/>
        <v>0</v>
      </c>
      <c r="U1904" s="46">
        <f t="shared" si="192"/>
        <v>20</v>
      </c>
      <c r="V1904" s="54">
        <f t="shared" si="193"/>
        <v>3.5416666666666665</v>
      </c>
    </row>
    <row r="1905" spans="1:22" x14ac:dyDescent="0.2">
      <c r="A1905" s="46" t="s">
        <v>189</v>
      </c>
      <c r="B1905" s="46" t="s">
        <v>46</v>
      </c>
      <c r="C1905" s="46" t="s">
        <v>89</v>
      </c>
      <c r="D1905" s="46" t="s">
        <v>178</v>
      </c>
      <c r="E1905" s="46">
        <v>1</v>
      </c>
      <c r="F1905" s="46" t="s">
        <v>60</v>
      </c>
      <c r="G1905" s="46">
        <v>2</v>
      </c>
      <c r="H1905" s="47">
        <v>42</v>
      </c>
      <c r="I1905" s="47" t="s">
        <v>127</v>
      </c>
      <c r="J1905" s="48">
        <v>0</v>
      </c>
      <c r="K1905" s="48">
        <v>0</v>
      </c>
      <c r="R1905" s="46">
        <f t="shared" si="190"/>
        <v>0</v>
      </c>
      <c r="S1905" s="46">
        <f t="shared" si="191"/>
        <v>0</v>
      </c>
      <c r="T1905" s="46">
        <f t="shared" si="195"/>
        <v>0</v>
      </c>
      <c r="U1905" s="46">
        <f t="shared" si="192"/>
        <v>0</v>
      </c>
      <c r="V1905" s="54">
        <f t="shared" si="193"/>
        <v>3.5416666666666665</v>
      </c>
    </row>
    <row r="1906" spans="1:22" x14ac:dyDescent="0.2">
      <c r="A1906" s="46" t="s">
        <v>189</v>
      </c>
      <c r="B1906" s="46" t="s">
        <v>46</v>
      </c>
      <c r="C1906" s="46" t="s">
        <v>89</v>
      </c>
      <c r="D1906" s="46" t="s">
        <v>178</v>
      </c>
      <c r="E1906" s="46">
        <v>4</v>
      </c>
      <c r="F1906" s="46" t="s">
        <v>60</v>
      </c>
      <c r="G1906" s="46">
        <v>1</v>
      </c>
      <c r="H1906" s="47">
        <v>45</v>
      </c>
      <c r="I1906" s="47" t="s">
        <v>101</v>
      </c>
      <c r="J1906" s="48">
        <v>0</v>
      </c>
      <c r="K1906" s="48">
        <v>1</v>
      </c>
      <c r="R1906" s="46">
        <f t="shared" si="190"/>
        <v>0</v>
      </c>
      <c r="S1906" s="46">
        <f t="shared" si="191"/>
        <v>0</v>
      </c>
      <c r="T1906" s="46">
        <f t="shared" si="195"/>
        <v>0</v>
      </c>
      <c r="U1906" s="46">
        <f t="shared" si="192"/>
        <v>0</v>
      </c>
      <c r="V1906" s="54">
        <f t="shared" si="193"/>
        <v>3.5416666666666665</v>
      </c>
    </row>
    <row r="1907" spans="1:22" x14ac:dyDescent="0.2">
      <c r="A1907" s="46" t="s">
        <v>189</v>
      </c>
      <c r="B1907" s="46" t="s">
        <v>46</v>
      </c>
      <c r="C1907" s="46" t="s">
        <v>89</v>
      </c>
      <c r="D1907" s="46" t="s">
        <v>178</v>
      </c>
      <c r="E1907" s="46">
        <v>2</v>
      </c>
      <c r="F1907" s="46" t="s">
        <v>60</v>
      </c>
      <c r="G1907" s="46">
        <v>2</v>
      </c>
      <c r="H1907" s="47">
        <v>46</v>
      </c>
      <c r="I1907" s="47" t="s">
        <v>127</v>
      </c>
      <c r="J1907" s="48">
        <v>0</v>
      </c>
      <c r="K1907" s="48">
        <v>1</v>
      </c>
      <c r="R1907" s="46">
        <f t="shared" si="190"/>
        <v>0</v>
      </c>
      <c r="S1907" s="46">
        <f t="shared" si="191"/>
        <v>0</v>
      </c>
      <c r="T1907" s="46">
        <f t="shared" si="195"/>
        <v>0</v>
      </c>
      <c r="U1907" s="46">
        <f t="shared" si="192"/>
        <v>0</v>
      </c>
      <c r="V1907" s="54">
        <f t="shared" si="193"/>
        <v>3.5416666666666665</v>
      </c>
    </row>
    <row r="1908" spans="1:22" x14ac:dyDescent="0.2">
      <c r="A1908" s="46" t="s">
        <v>189</v>
      </c>
      <c r="B1908" s="46" t="s">
        <v>46</v>
      </c>
      <c r="C1908" s="46" t="s">
        <v>89</v>
      </c>
      <c r="D1908" s="46" t="s">
        <v>178</v>
      </c>
      <c r="E1908" s="46">
        <v>1</v>
      </c>
      <c r="F1908" s="46" t="s">
        <v>62</v>
      </c>
      <c r="G1908" s="46">
        <v>3</v>
      </c>
      <c r="H1908" s="47" t="s">
        <v>80</v>
      </c>
      <c r="I1908" s="47" t="s">
        <v>116</v>
      </c>
      <c r="J1908" s="48">
        <v>0</v>
      </c>
      <c r="K1908" s="48">
        <v>0</v>
      </c>
      <c r="R1908" s="46">
        <f t="shared" si="190"/>
        <v>0</v>
      </c>
      <c r="S1908" s="46">
        <f t="shared" si="191"/>
        <v>0</v>
      </c>
      <c r="T1908" s="46">
        <f t="shared" si="195"/>
        <v>0</v>
      </c>
      <c r="U1908" s="46">
        <f t="shared" si="192"/>
        <v>0</v>
      </c>
      <c r="V1908" s="54">
        <f t="shared" si="193"/>
        <v>3.5416666666666665</v>
      </c>
    </row>
    <row r="1909" spans="1:22" x14ac:dyDescent="0.2">
      <c r="A1909" s="46" t="s">
        <v>189</v>
      </c>
      <c r="B1909" s="46" t="s">
        <v>46</v>
      </c>
      <c r="C1909" s="46" t="s">
        <v>89</v>
      </c>
      <c r="D1909" s="46" t="s">
        <v>178</v>
      </c>
      <c r="E1909" s="46">
        <v>4</v>
      </c>
      <c r="F1909" s="46" t="s">
        <v>62</v>
      </c>
      <c r="G1909" s="46">
        <v>3</v>
      </c>
      <c r="H1909" s="47" t="s">
        <v>80</v>
      </c>
      <c r="I1909" s="47" t="s">
        <v>219</v>
      </c>
      <c r="J1909" s="48">
        <v>0</v>
      </c>
      <c r="K1909" s="48">
        <v>0</v>
      </c>
      <c r="R1909" s="46">
        <f t="shared" si="190"/>
        <v>0</v>
      </c>
      <c r="S1909" s="46">
        <f t="shared" si="191"/>
        <v>0</v>
      </c>
      <c r="T1909" s="46">
        <f t="shared" si="195"/>
        <v>0</v>
      </c>
      <c r="U1909" s="46">
        <f t="shared" si="192"/>
        <v>0</v>
      </c>
      <c r="V1909" s="54">
        <f t="shared" si="193"/>
        <v>3.5416666666666665</v>
      </c>
    </row>
    <row r="1910" spans="1:22" x14ac:dyDescent="0.2">
      <c r="A1910" s="46" t="s">
        <v>189</v>
      </c>
      <c r="B1910" s="46" t="s">
        <v>46</v>
      </c>
      <c r="C1910" s="46" t="s">
        <v>89</v>
      </c>
      <c r="D1910" s="46" t="s">
        <v>178</v>
      </c>
      <c r="E1910" s="46">
        <v>3</v>
      </c>
      <c r="F1910" s="46" t="s">
        <v>62</v>
      </c>
      <c r="G1910" s="46">
        <v>2</v>
      </c>
      <c r="H1910" s="47" t="s">
        <v>81</v>
      </c>
      <c r="I1910" s="47" t="s">
        <v>127</v>
      </c>
      <c r="J1910" s="48">
        <v>0</v>
      </c>
      <c r="K1910" s="48">
        <v>1</v>
      </c>
      <c r="R1910" s="46">
        <f t="shared" si="190"/>
        <v>0</v>
      </c>
      <c r="S1910" s="46">
        <f t="shared" si="191"/>
        <v>0</v>
      </c>
      <c r="T1910" s="46">
        <f t="shared" si="195"/>
        <v>0</v>
      </c>
      <c r="U1910" s="46">
        <f t="shared" si="192"/>
        <v>0</v>
      </c>
      <c r="V1910" s="54">
        <f t="shared" si="193"/>
        <v>3.5416666666666665</v>
      </c>
    </row>
    <row r="1911" spans="1:22" x14ac:dyDescent="0.2">
      <c r="A1911" s="46" t="s">
        <v>189</v>
      </c>
      <c r="B1911" s="46" t="s">
        <v>46</v>
      </c>
      <c r="C1911" s="46" t="s">
        <v>89</v>
      </c>
      <c r="D1911" s="46" t="s">
        <v>178</v>
      </c>
      <c r="E1911" s="46">
        <v>2</v>
      </c>
      <c r="F1911" s="46" t="s">
        <v>62</v>
      </c>
      <c r="G1911" s="46">
        <v>2</v>
      </c>
      <c r="H1911" s="47" t="s">
        <v>86</v>
      </c>
      <c r="I1911" s="47" t="s">
        <v>127</v>
      </c>
      <c r="J1911" s="48">
        <v>0</v>
      </c>
      <c r="K1911" s="48">
        <v>1</v>
      </c>
      <c r="R1911" s="46">
        <f t="shared" si="190"/>
        <v>0</v>
      </c>
      <c r="S1911" s="46">
        <f t="shared" si="191"/>
        <v>0</v>
      </c>
      <c r="T1911" s="46">
        <f t="shared" si="195"/>
        <v>0</v>
      </c>
      <c r="U1911" s="46">
        <f t="shared" si="192"/>
        <v>0</v>
      </c>
      <c r="V1911" s="54">
        <f t="shared" si="193"/>
        <v>3.5416666666666665</v>
      </c>
    </row>
    <row r="1912" spans="1:22" x14ac:dyDescent="0.2">
      <c r="A1912" s="46" t="s">
        <v>189</v>
      </c>
      <c r="B1912" s="46" t="s">
        <v>46</v>
      </c>
      <c r="C1912" s="46" t="s">
        <v>89</v>
      </c>
      <c r="D1912" s="46" t="s">
        <v>178</v>
      </c>
      <c r="E1912" s="46">
        <v>1</v>
      </c>
      <c r="F1912" s="46" t="s">
        <v>62</v>
      </c>
      <c r="G1912" s="46">
        <v>3</v>
      </c>
      <c r="H1912" s="47" t="s">
        <v>87</v>
      </c>
      <c r="I1912" s="47" t="s">
        <v>116</v>
      </c>
      <c r="J1912" s="48">
        <v>0</v>
      </c>
      <c r="K1912" s="48">
        <v>0</v>
      </c>
      <c r="R1912" s="46">
        <f t="shared" si="190"/>
        <v>0</v>
      </c>
      <c r="S1912" s="46">
        <f t="shared" si="191"/>
        <v>0</v>
      </c>
      <c r="T1912" s="46">
        <f t="shared" si="195"/>
        <v>0</v>
      </c>
      <c r="U1912" s="46">
        <f t="shared" si="192"/>
        <v>0</v>
      </c>
      <c r="V1912" s="54">
        <f t="shared" si="193"/>
        <v>3.5416666666666665</v>
      </c>
    </row>
    <row r="1913" spans="1:22" x14ac:dyDescent="0.2">
      <c r="A1913" s="46" t="s">
        <v>189</v>
      </c>
      <c r="B1913" s="46" t="s">
        <v>46</v>
      </c>
      <c r="C1913" s="46" t="s">
        <v>89</v>
      </c>
      <c r="D1913" s="46" t="s">
        <v>178</v>
      </c>
      <c r="E1913" s="46">
        <v>2</v>
      </c>
      <c r="F1913" s="46" t="s">
        <v>62</v>
      </c>
      <c r="G1913" s="46">
        <v>3</v>
      </c>
      <c r="H1913" s="47" t="s">
        <v>64</v>
      </c>
      <c r="I1913" s="47" t="s">
        <v>116</v>
      </c>
      <c r="J1913" s="48">
        <v>0</v>
      </c>
      <c r="K1913" s="48">
        <v>0</v>
      </c>
      <c r="R1913" s="46">
        <f t="shared" si="190"/>
        <v>0</v>
      </c>
      <c r="S1913" s="46">
        <f t="shared" si="191"/>
        <v>0</v>
      </c>
      <c r="T1913" s="46">
        <f t="shared" si="195"/>
        <v>0</v>
      </c>
      <c r="U1913" s="46">
        <f t="shared" si="192"/>
        <v>0</v>
      </c>
      <c r="V1913" s="54">
        <f t="shared" si="193"/>
        <v>3.5416666666666665</v>
      </c>
    </row>
    <row r="1914" spans="1:22" x14ac:dyDescent="0.2">
      <c r="A1914" s="46" t="s">
        <v>189</v>
      </c>
      <c r="B1914" s="46" t="s">
        <v>46</v>
      </c>
      <c r="C1914" s="46" t="s">
        <v>89</v>
      </c>
      <c r="D1914" s="46" t="s">
        <v>178</v>
      </c>
      <c r="E1914" s="46">
        <v>1</v>
      </c>
      <c r="F1914" s="46" t="s">
        <v>60</v>
      </c>
      <c r="G1914" s="46">
        <v>2</v>
      </c>
      <c r="H1914" s="47">
        <v>18</v>
      </c>
      <c r="I1914" s="47" t="s">
        <v>127</v>
      </c>
      <c r="J1914" s="48">
        <v>1</v>
      </c>
      <c r="K1914" s="48">
        <v>2</v>
      </c>
      <c r="R1914" s="46">
        <f t="shared" si="190"/>
        <v>0</v>
      </c>
      <c r="S1914" s="46">
        <f t="shared" si="191"/>
        <v>0</v>
      </c>
      <c r="T1914" s="46">
        <f t="shared" si="195"/>
        <v>10</v>
      </c>
      <c r="U1914" s="46">
        <f t="shared" si="192"/>
        <v>10</v>
      </c>
      <c r="V1914" s="54">
        <f t="shared" si="193"/>
        <v>3.5416666666666665</v>
      </c>
    </row>
    <row r="1915" spans="1:22" x14ac:dyDescent="0.2">
      <c r="A1915" s="46" t="s">
        <v>189</v>
      </c>
      <c r="B1915" s="46" t="s">
        <v>46</v>
      </c>
      <c r="C1915" s="46" t="s">
        <v>89</v>
      </c>
      <c r="D1915" s="46" t="s">
        <v>178</v>
      </c>
      <c r="E1915" s="46">
        <v>2</v>
      </c>
      <c r="F1915" s="46" t="s">
        <v>60</v>
      </c>
      <c r="G1915" s="46">
        <v>4</v>
      </c>
      <c r="H1915" s="47">
        <v>20</v>
      </c>
      <c r="I1915" s="47" t="s">
        <v>102</v>
      </c>
      <c r="J1915" s="48">
        <v>1</v>
      </c>
      <c r="K1915" s="48">
        <v>0</v>
      </c>
      <c r="P1915" s="48">
        <v>1</v>
      </c>
      <c r="R1915" s="46">
        <f t="shared" si="190"/>
        <v>0</v>
      </c>
      <c r="S1915" s="46">
        <f t="shared" si="191"/>
        <v>0</v>
      </c>
      <c r="T1915" s="46">
        <f t="shared" si="195"/>
        <v>20</v>
      </c>
      <c r="U1915" s="46">
        <f t="shared" si="192"/>
        <v>30</v>
      </c>
      <c r="V1915" s="54">
        <f t="shared" si="193"/>
        <v>3.5416666666666665</v>
      </c>
    </row>
    <row r="1916" spans="1:22" x14ac:dyDescent="0.2">
      <c r="A1916" s="46" t="s">
        <v>189</v>
      </c>
      <c r="B1916" s="46" t="s">
        <v>46</v>
      </c>
      <c r="C1916" s="46" t="s">
        <v>89</v>
      </c>
      <c r="D1916" s="46" t="s">
        <v>178</v>
      </c>
      <c r="E1916" s="46">
        <v>2</v>
      </c>
      <c r="F1916" s="46" t="s">
        <v>62</v>
      </c>
      <c r="G1916" s="46">
        <v>3</v>
      </c>
      <c r="H1916" s="47" t="s">
        <v>80</v>
      </c>
      <c r="I1916" s="47" t="s">
        <v>116</v>
      </c>
      <c r="J1916" s="48">
        <v>1</v>
      </c>
      <c r="K1916" s="48">
        <v>1</v>
      </c>
      <c r="O1916" s="48">
        <v>1</v>
      </c>
      <c r="R1916" s="46">
        <f t="shared" si="190"/>
        <v>0</v>
      </c>
      <c r="S1916" s="46">
        <f t="shared" si="191"/>
        <v>0</v>
      </c>
      <c r="T1916" s="46">
        <f t="shared" si="195"/>
        <v>20</v>
      </c>
      <c r="U1916" s="46">
        <f t="shared" si="192"/>
        <v>30</v>
      </c>
      <c r="V1916" s="54">
        <f t="shared" si="193"/>
        <v>3.5416666666666665</v>
      </c>
    </row>
    <row r="1917" spans="1:22" x14ac:dyDescent="0.2">
      <c r="A1917" s="46" t="s">
        <v>189</v>
      </c>
      <c r="B1917" s="46" t="s">
        <v>46</v>
      </c>
      <c r="C1917" s="46" t="s">
        <v>89</v>
      </c>
      <c r="D1917" s="46" t="s">
        <v>178</v>
      </c>
      <c r="E1917" s="46">
        <v>4</v>
      </c>
      <c r="F1917" s="46" t="s">
        <v>62</v>
      </c>
      <c r="G1917" s="46">
        <v>3</v>
      </c>
      <c r="H1917" s="47" t="s">
        <v>85</v>
      </c>
      <c r="I1917" s="47" t="s">
        <v>219</v>
      </c>
      <c r="J1917" s="48">
        <v>1</v>
      </c>
      <c r="K1917" s="48">
        <v>0</v>
      </c>
      <c r="O1917" s="48">
        <v>1</v>
      </c>
      <c r="R1917" s="46">
        <f t="shared" si="190"/>
        <v>0</v>
      </c>
      <c r="S1917" s="46">
        <f t="shared" si="191"/>
        <v>0</v>
      </c>
      <c r="T1917" s="46">
        <f t="shared" si="195"/>
        <v>20</v>
      </c>
      <c r="U1917" s="46">
        <f t="shared" si="192"/>
        <v>30</v>
      </c>
      <c r="V1917" s="54">
        <f t="shared" si="193"/>
        <v>3.5416666666666665</v>
      </c>
    </row>
    <row r="1918" spans="1:22" x14ac:dyDescent="0.2">
      <c r="A1918" s="46" t="s">
        <v>189</v>
      </c>
      <c r="B1918" s="46" t="s">
        <v>46</v>
      </c>
      <c r="C1918" s="46" t="s">
        <v>89</v>
      </c>
      <c r="D1918" s="46" t="s">
        <v>178</v>
      </c>
      <c r="E1918" s="46">
        <v>3</v>
      </c>
      <c r="F1918" s="46" t="s">
        <v>62</v>
      </c>
      <c r="G1918" s="46">
        <v>3</v>
      </c>
      <c r="H1918" s="47" t="s">
        <v>87</v>
      </c>
      <c r="I1918" s="47" t="s">
        <v>116</v>
      </c>
      <c r="J1918" s="48">
        <v>1</v>
      </c>
      <c r="K1918" s="48">
        <v>1</v>
      </c>
      <c r="R1918" s="46">
        <f t="shared" si="190"/>
        <v>0</v>
      </c>
      <c r="S1918" s="46">
        <f t="shared" si="191"/>
        <v>0</v>
      </c>
      <c r="T1918" s="46">
        <f t="shared" si="195"/>
        <v>20</v>
      </c>
      <c r="U1918" s="46">
        <f t="shared" si="192"/>
        <v>20</v>
      </c>
      <c r="V1918" s="54">
        <f t="shared" si="193"/>
        <v>3.5416666666666665</v>
      </c>
    </row>
    <row r="1919" spans="1:22" x14ac:dyDescent="0.2">
      <c r="A1919" s="46" t="s">
        <v>189</v>
      </c>
      <c r="B1919" s="46" t="s">
        <v>46</v>
      </c>
      <c r="C1919" s="46" t="s">
        <v>89</v>
      </c>
      <c r="D1919" s="46" t="s">
        <v>178</v>
      </c>
      <c r="E1919" s="46">
        <v>4</v>
      </c>
      <c r="F1919" s="46" t="s">
        <v>62</v>
      </c>
      <c r="G1919" s="46">
        <v>3</v>
      </c>
      <c r="H1919" s="47" t="s">
        <v>64</v>
      </c>
      <c r="I1919" s="47" t="s">
        <v>219</v>
      </c>
      <c r="J1919" s="48">
        <v>1</v>
      </c>
      <c r="K1919" s="48">
        <v>0</v>
      </c>
      <c r="R1919" s="46">
        <f t="shared" si="190"/>
        <v>0</v>
      </c>
      <c r="S1919" s="46">
        <f t="shared" si="191"/>
        <v>0</v>
      </c>
      <c r="T1919" s="46">
        <f t="shared" si="195"/>
        <v>20</v>
      </c>
      <c r="U1919" s="46">
        <f t="shared" si="192"/>
        <v>20</v>
      </c>
      <c r="V1919" s="54">
        <f t="shared" si="193"/>
        <v>3.5416666666666665</v>
      </c>
    </row>
    <row r="1920" spans="1:22" x14ac:dyDescent="0.2">
      <c r="A1920" s="46" t="s">
        <v>189</v>
      </c>
      <c r="B1920" s="46" t="s">
        <v>46</v>
      </c>
      <c r="C1920" s="46" t="s">
        <v>89</v>
      </c>
      <c r="D1920" s="46" t="s">
        <v>178</v>
      </c>
      <c r="E1920" s="46">
        <v>3</v>
      </c>
      <c r="F1920" s="46" t="s">
        <v>60</v>
      </c>
      <c r="G1920" s="46">
        <v>1</v>
      </c>
      <c r="H1920" s="47">
        <v>45</v>
      </c>
      <c r="I1920" s="47" t="s">
        <v>101</v>
      </c>
      <c r="J1920" s="48">
        <v>2</v>
      </c>
      <c r="K1920" s="48">
        <v>1</v>
      </c>
      <c r="R1920" s="46">
        <f t="shared" si="190"/>
        <v>0</v>
      </c>
      <c r="S1920" s="46">
        <f t="shared" si="191"/>
        <v>0</v>
      </c>
      <c r="T1920" s="46">
        <f t="shared" si="195"/>
        <v>40</v>
      </c>
      <c r="U1920" s="46">
        <f t="shared" si="192"/>
        <v>40</v>
      </c>
      <c r="V1920" s="54">
        <f t="shared" si="193"/>
        <v>3.5416666666666665</v>
      </c>
    </row>
    <row r="1921" spans="1:22" x14ac:dyDescent="0.2">
      <c r="A1921" s="46" t="s">
        <v>189</v>
      </c>
      <c r="B1921" s="46" t="s">
        <v>46</v>
      </c>
      <c r="C1921" s="46" t="s">
        <v>89</v>
      </c>
      <c r="D1921" s="46" t="s">
        <v>178</v>
      </c>
      <c r="E1921" s="46">
        <v>2</v>
      </c>
      <c r="F1921" s="46" t="s">
        <v>62</v>
      </c>
      <c r="G1921" s="46">
        <v>3</v>
      </c>
      <c r="H1921" s="47" t="s">
        <v>84</v>
      </c>
      <c r="I1921" s="47" t="s">
        <v>116</v>
      </c>
      <c r="J1921" s="48">
        <v>3</v>
      </c>
      <c r="K1921" s="48">
        <v>0</v>
      </c>
      <c r="R1921" s="46">
        <f t="shared" si="190"/>
        <v>0</v>
      </c>
      <c r="S1921" s="46">
        <f t="shared" si="191"/>
        <v>0</v>
      </c>
      <c r="T1921" s="46">
        <f t="shared" si="195"/>
        <v>60</v>
      </c>
      <c r="U1921" s="46">
        <f t="shared" si="192"/>
        <v>60</v>
      </c>
      <c r="V1921" s="54">
        <f t="shared" si="193"/>
        <v>3.5416666666666665</v>
      </c>
    </row>
    <row r="1922" spans="1:22" x14ac:dyDescent="0.2">
      <c r="A1922" s="46" t="s">
        <v>189</v>
      </c>
      <c r="B1922" s="46" t="s">
        <v>46</v>
      </c>
      <c r="C1922" s="46" t="s">
        <v>89</v>
      </c>
      <c r="D1922" s="46" t="s">
        <v>178</v>
      </c>
      <c r="E1922" s="46">
        <v>3</v>
      </c>
      <c r="F1922" s="46" t="s">
        <v>62</v>
      </c>
      <c r="G1922" s="46">
        <v>3</v>
      </c>
      <c r="H1922" s="47" t="s">
        <v>85</v>
      </c>
      <c r="I1922" s="47" t="s">
        <v>116</v>
      </c>
      <c r="J1922" s="48">
        <v>3</v>
      </c>
      <c r="K1922" s="48">
        <v>1</v>
      </c>
      <c r="R1922" s="46">
        <f t="shared" ref="R1922:R1985" si="196">IF(J1922=4,1,0)</f>
        <v>0</v>
      </c>
      <c r="S1922" s="46">
        <f t="shared" ref="S1922:S1985" si="197">IF(K1922=3,1,0)</f>
        <v>0</v>
      </c>
      <c r="T1922" s="46">
        <f t="shared" si="195"/>
        <v>60</v>
      </c>
      <c r="U1922" s="46">
        <f t="shared" ref="U1922:U1985" si="198">T1922+M1922*(20) + (SUM(O1922:Q1922)*(10)) - L1922*(5) - N1922*(5)</f>
        <v>60</v>
      </c>
      <c r="V1922" s="54">
        <f t="shared" ref="V1922:V1985" si="199">AVERAGEIFS(U:U,A:A,A1922,F:F,"Pre")</f>
        <v>3.5416666666666665</v>
      </c>
    </row>
    <row r="1923" spans="1:22" x14ac:dyDescent="0.2">
      <c r="A1923" s="46" t="s">
        <v>189</v>
      </c>
      <c r="B1923" s="46" t="s">
        <v>46</v>
      </c>
      <c r="C1923" s="46" t="s">
        <v>89</v>
      </c>
      <c r="D1923" s="46" t="s">
        <v>178</v>
      </c>
      <c r="E1923" s="46">
        <v>4</v>
      </c>
      <c r="F1923" s="46" t="s">
        <v>62</v>
      </c>
      <c r="G1923" s="46">
        <v>2</v>
      </c>
      <c r="H1923" s="47" t="s">
        <v>83</v>
      </c>
      <c r="I1923" s="47" t="s">
        <v>127</v>
      </c>
      <c r="J1923" s="48">
        <v>0</v>
      </c>
      <c r="K1923" s="48">
        <v>1</v>
      </c>
      <c r="R1923" s="46">
        <f t="shared" si="196"/>
        <v>0</v>
      </c>
      <c r="S1923" s="46">
        <f t="shared" si="197"/>
        <v>0</v>
      </c>
      <c r="T1923" s="46">
        <f t="shared" si="195"/>
        <v>0</v>
      </c>
      <c r="U1923" s="46">
        <f t="shared" si="198"/>
        <v>0</v>
      </c>
      <c r="V1923" s="54">
        <f t="shared" si="199"/>
        <v>3.5416666666666665</v>
      </c>
    </row>
    <row r="1924" spans="1:22" x14ac:dyDescent="0.2">
      <c r="A1924" s="46" t="s">
        <v>41</v>
      </c>
      <c r="B1924" s="46" t="s">
        <v>119</v>
      </c>
      <c r="C1924" s="46" t="s">
        <v>90</v>
      </c>
      <c r="D1924" s="46" t="s">
        <v>178</v>
      </c>
      <c r="E1924" s="46">
        <v>4</v>
      </c>
      <c r="F1924" s="46" t="s">
        <v>60</v>
      </c>
      <c r="G1924" s="46">
        <v>2</v>
      </c>
      <c r="H1924" s="47">
        <v>2</v>
      </c>
      <c r="I1924" s="47" t="s">
        <v>127</v>
      </c>
      <c r="J1924" s="48">
        <v>0</v>
      </c>
      <c r="K1924" s="48">
        <v>1</v>
      </c>
      <c r="R1924" s="46">
        <f t="shared" si="196"/>
        <v>0</v>
      </c>
      <c r="S1924" s="46">
        <f t="shared" si="197"/>
        <v>0</v>
      </c>
      <c r="T1924" s="46">
        <f t="shared" si="195"/>
        <v>0</v>
      </c>
      <c r="U1924" s="46">
        <f t="shared" si="198"/>
        <v>0</v>
      </c>
      <c r="V1924" s="54">
        <f t="shared" si="199"/>
        <v>3.3333333333333335</v>
      </c>
    </row>
    <row r="1925" spans="1:22" x14ac:dyDescent="0.2">
      <c r="A1925" s="46" t="s">
        <v>41</v>
      </c>
      <c r="B1925" s="46" t="s">
        <v>119</v>
      </c>
      <c r="C1925" s="46" t="s">
        <v>90</v>
      </c>
      <c r="D1925" s="46" t="s">
        <v>178</v>
      </c>
      <c r="E1925" s="46">
        <v>3</v>
      </c>
      <c r="F1925" s="46" t="s">
        <v>60</v>
      </c>
      <c r="G1925" s="46">
        <v>1</v>
      </c>
      <c r="H1925" s="47">
        <v>5</v>
      </c>
      <c r="I1925" s="47" t="s">
        <v>101</v>
      </c>
      <c r="J1925" s="48">
        <v>0</v>
      </c>
      <c r="K1925" s="48">
        <v>0</v>
      </c>
      <c r="R1925" s="46">
        <f t="shared" si="196"/>
        <v>0</v>
      </c>
      <c r="S1925" s="46">
        <f t="shared" si="197"/>
        <v>0</v>
      </c>
      <c r="T1925" s="46">
        <f t="shared" si="195"/>
        <v>0</v>
      </c>
      <c r="U1925" s="46">
        <f t="shared" si="198"/>
        <v>0</v>
      </c>
      <c r="V1925" s="54">
        <f t="shared" si="199"/>
        <v>3.3333333333333335</v>
      </c>
    </row>
    <row r="1926" spans="1:22" x14ac:dyDescent="0.2">
      <c r="A1926" s="46" t="s">
        <v>41</v>
      </c>
      <c r="B1926" s="46" t="s">
        <v>119</v>
      </c>
      <c r="C1926" s="46" t="s">
        <v>90</v>
      </c>
      <c r="D1926" s="46" t="s">
        <v>178</v>
      </c>
      <c r="E1926" s="46">
        <v>4</v>
      </c>
      <c r="F1926" s="46" t="s">
        <v>60</v>
      </c>
      <c r="G1926" s="46">
        <v>2</v>
      </c>
      <c r="H1926" s="47">
        <v>10</v>
      </c>
      <c r="I1926" s="47" t="s">
        <v>127</v>
      </c>
      <c r="J1926" s="48">
        <v>0</v>
      </c>
      <c r="K1926" s="48">
        <v>0</v>
      </c>
      <c r="R1926" s="46">
        <f t="shared" si="196"/>
        <v>0</v>
      </c>
      <c r="S1926" s="46">
        <f t="shared" si="197"/>
        <v>0</v>
      </c>
      <c r="T1926" s="46">
        <f t="shared" si="195"/>
        <v>0</v>
      </c>
      <c r="U1926" s="46">
        <f t="shared" si="198"/>
        <v>0</v>
      </c>
      <c r="V1926" s="54">
        <f t="shared" si="199"/>
        <v>3.3333333333333335</v>
      </c>
    </row>
    <row r="1927" spans="1:22" x14ac:dyDescent="0.2">
      <c r="A1927" s="46" t="s">
        <v>41</v>
      </c>
      <c r="B1927" s="46" t="s">
        <v>119</v>
      </c>
      <c r="C1927" s="46" t="s">
        <v>90</v>
      </c>
      <c r="D1927" s="46" t="s">
        <v>178</v>
      </c>
      <c r="E1927" s="46">
        <v>3</v>
      </c>
      <c r="F1927" s="46" t="s">
        <v>60</v>
      </c>
      <c r="G1927" s="46">
        <v>3</v>
      </c>
      <c r="H1927" s="47">
        <v>11</v>
      </c>
      <c r="I1927" s="47" t="s">
        <v>116</v>
      </c>
      <c r="J1927" s="48">
        <v>0</v>
      </c>
      <c r="K1927" s="48">
        <v>0</v>
      </c>
      <c r="R1927" s="46">
        <f t="shared" si="196"/>
        <v>0</v>
      </c>
      <c r="S1927" s="46">
        <f t="shared" si="197"/>
        <v>0</v>
      </c>
      <c r="T1927" s="46">
        <f t="shared" si="195"/>
        <v>0</v>
      </c>
      <c r="U1927" s="46">
        <f t="shared" si="198"/>
        <v>0</v>
      </c>
      <c r="V1927" s="54">
        <f t="shared" si="199"/>
        <v>3.3333333333333335</v>
      </c>
    </row>
    <row r="1928" spans="1:22" x14ac:dyDescent="0.2">
      <c r="A1928" s="46" t="s">
        <v>41</v>
      </c>
      <c r="B1928" s="46" t="s">
        <v>119</v>
      </c>
      <c r="C1928" s="46" t="s">
        <v>90</v>
      </c>
      <c r="D1928" s="46" t="s">
        <v>178</v>
      </c>
      <c r="E1928" s="46">
        <v>1</v>
      </c>
      <c r="F1928" s="46" t="s">
        <v>60</v>
      </c>
      <c r="G1928" s="46">
        <v>4</v>
      </c>
      <c r="H1928" s="47">
        <v>12</v>
      </c>
      <c r="I1928" s="47" t="s">
        <v>102</v>
      </c>
      <c r="J1928" s="48">
        <v>0</v>
      </c>
      <c r="K1928" s="48">
        <v>0</v>
      </c>
      <c r="R1928" s="46">
        <f t="shared" si="196"/>
        <v>0</v>
      </c>
      <c r="S1928" s="46">
        <f t="shared" si="197"/>
        <v>0</v>
      </c>
      <c r="T1928" s="46">
        <f t="shared" si="195"/>
        <v>0</v>
      </c>
      <c r="U1928" s="46">
        <f t="shared" si="198"/>
        <v>0</v>
      </c>
      <c r="V1928" s="54">
        <f t="shared" si="199"/>
        <v>3.3333333333333335</v>
      </c>
    </row>
    <row r="1929" spans="1:22" x14ac:dyDescent="0.2">
      <c r="A1929" s="46" t="s">
        <v>41</v>
      </c>
      <c r="B1929" s="46" t="s">
        <v>119</v>
      </c>
      <c r="C1929" s="46" t="s">
        <v>90</v>
      </c>
      <c r="D1929" s="46" t="s">
        <v>178</v>
      </c>
      <c r="E1929" s="46">
        <v>3</v>
      </c>
      <c r="F1929" s="46" t="s">
        <v>60</v>
      </c>
      <c r="G1929" s="46">
        <v>2</v>
      </c>
      <c r="H1929" s="47">
        <v>18</v>
      </c>
      <c r="I1929" s="47" t="s">
        <v>127</v>
      </c>
      <c r="J1929" s="48">
        <v>0</v>
      </c>
      <c r="K1929" s="48">
        <v>0</v>
      </c>
      <c r="M1929" s="48">
        <v>1</v>
      </c>
      <c r="R1929" s="46">
        <f t="shared" si="196"/>
        <v>0</v>
      </c>
      <c r="S1929" s="46">
        <f t="shared" si="197"/>
        <v>0</v>
      </c>
      <c r="T1929" s="46">
        <f t="shared" si="195"/>
        <v>0</v>
      </c>
      <c r="U1929" s="46">
        <f t="shared" si="198"/>
        <v>20</v>
      </c>
      <c r="V1929" s="54">
        <f t="shared" si="199"/>
        <v>3.3333333333333335</v>
      </c>
    </row>
    <row r="1930" spans="1:22" x14ac:dyDescent="0.2">
      <c r="A1930" s="46" t="s">
        <v>41</v>
      </c>
      <c r="B1930" s="46" t="s">
        <v>119</v>
      </c>
      <c r="C1930" s="46" t="s">
        <v>90</v>
      </c>
      <c r="D1930" s="46" t="s">
        <v>178</v>
      </c>
      <c r="E1930" s="46">
        <v>1</v>
      </c>
      <c r="F1930" s="46" t="s">
        <v>60</v>
      </c>
      <c r="G1930" s="46">
        <v>4</v>
      </c>
      <c r="H1930" s="47">
        <v>20</v>
      </c>
      <c r="I1930" s="47" t="s">
        <v>102</v>
      </c>
      <c r="J1930" s="48">
        <v>0</v>
      </c>
      <c r="K1930" s="48">
        <v>0</v>
      </c>
      <c r="R1930" s="46">
        <f t="shared" si="196"/>
        <v>0</v>
      </c>
      <c r="S1930" s="46">
        <f t="shared" si="197"/>
        <v>0</v>
      </c>
      <c r="T1930" s="46">
        <f t="shared" si="195"/>
        <v>0</v>
      </c>
      <c r="U1930" s="46">
        <f t="shared" si="198"/>
        <v>0</v>
      </c>
      <c r="V1930" s="54">
        <f t="shared" si="199"/>
        <v>3.3333333333333335</v>
      </c>
    </row>
    <row r="1931" spans="1:22" x14ac:dyDescent="0.2">
      <c r="A1931" s="46" t="s">
        <v>41</v>
      </c>
      <c r="B1931" s="46" t="s">
        <v>119</v>
      </c>
      <c r="C1931" s="46" t="s">
        <v>90</v>
      </c>
      <c r="D1931" s="46" t="s">
        <v>178</v>
      </c>
      <c r="E1931" s="46">
        <v>2</v>
      </c>
      <c r="F1931" s="46" t="s">
        <v>60</v>
      </c>
      <c r="G1931" s="46">
        <v>4</v>
      </c>
      <c r="H1931" s="47">
        <v>20</v>
      </c>
      <c r="I1931" s="47" t="s">
        <v>102</v>
      </c>
      <c r="J1931" s="48">
        <v>0</v>
      </c>
      <c r="K1931" s="48">
        <v>0</v>
      </c>
      <c r="R1931" s="46">
        <f t="shared" si="196"/>
        <v>0</v>
      </c>
      <c r="S1931" s="46">
        <f t="shared" si="197"/>
        <v>0</v>
      </c>
      <c r="T1931" s="46">
        <f t="shared" ref="T1931:T1962" si="200">quizscore(J1931,K1931)</f>
        <v>0</v>
      </c>
      <c r="U1931" s="46">
        <f t="shared" si="198"/>
        <v>0</v>
      </c>
      <c r="V1931" s="54">
        <f t="shared" si="199"/>
        <v>3.3333333333333335</v>
      </c>
    </row>
    <row r="1932" spans="1:22" x14ac:dyDescent="0.2">
      <c r="A1932" s="46" t="s">
        <v>41</v>
      </c>
      <c r="B1932" s="46" t="s">
        <v>119</v>
      </c>
      <c r="C1932" s="46" t="s">
        <v>90</v>
      </c>
      <c r="D1932" s="46" t="s">
        <v>178</v>
      </c>
      <c r="E1932" s="46">
        <v>1</v>
      </c>
      <c r="F1932" s="46" t="s">
        <v>60</v>
      </c>
      <c r="G1932" s="46">
        <v>1</v>
      </c>
      <c r="H1932" s="47">
        <v>21</v>
      </c>
      <c r="I1932" s="47" t="s">
        <v>101</v>
      </c>
      <c r="J1932" s="48">
        <v>0</v>
      </c>
      <c r="K1932" s="48">
        <v>0</v>
      </c>
      <c r="R1932" s="46">
        <f t="shared" si="196"/>
        <v>0</v>
      </c>
      <c r="S1932" s="46">
        <f t="shared" si="197"/>
        <v>0</v>
      </c>
      <c r="T1932" s="46">
        <f t="shared" si="200"/>
        <v>0</v>
      </c>
      <c r="U1932" s="46">
        <f t="shared" si="198"/>
        <v>0</v>
      </c>
      <c r="V1932" s="54">
        <f t="shared" si="199"/>
        <v>3.3333333333333335</v>
      </c>
    </row>
    <row r="1933" spans="1:22" x14ac:dyDescent="0.2">
      <c r="A1933" s="46" t="s">
        <v>41</v>
      </c>
      <c r="B1933" s="46" t="s">
        <v>119</v>
      </c>
      <c r="C1933" s="46" t="s">
        <v>90</v>
      </c>
      <c r="D1933" s="46" t="s">
        <v>178</v>
      </c>
      <c r="E1933" s="46">
        <v>4</v>
      </c>
      <c r="F1933" s="46" t="s">
        <v>60</v>
      </c>
      <c r="G1933" s="46">
        <v>3</v>
      </c>
      <c r="H1933" s="47">
        <v>23</v>
      </c>
      <c r="I1933" s="47" t="s">
        <v>159</v>
      </c>
      <c r="J1933" s="48">
        <v>0</v>
      </c>
      <c r="K1933" s="48">
        <v>1</v>
      </c>
      <c r="R1933" s="46">
        <f t="shared" si="196"/>
        <v>0</v>
      </c>
      <c r="S1933" s="46">
        <f t="shared" si="197"/>
        <v>0</v>
      </c>
      <c r="T1933" s="46">
        <f t="shared" si="200"/>
        <v>0</v>
      </c>
      <c r="U1933" s="46">
        <f t="shared" si="198"/>
        <v>0</v>
      </c>
      <c r="V1933" s="54">
        <f t="shared" si="199"/>
        <v>3.3333333333333335</v>
      </c>
    </row>
    <row r="1934" spans="1:22" x14ac:dyDescent="0.2">
      <c r="A1934" s="46" t="s">
        <v>41</v>
      </c>
      <c r="B1934" s="46" t="s">
        <v>119</v>
      </c>
      <c r="C1934" s="46" t="s">
        <v>90</v>
      </c>
      <c r="D1934" s="46" t="s">
        <v>178</v>
      </c>
      <c r="E1934" s="46">
        <v>1</v>
      </c>
      <c r="F1934" s="46" t="s">
        <v>60</v>
      </c>
      <c r="G1934" s="46">
        <v>1</v>
      </c>
      <c r="H1934" s="47">
        <v>25</v>
      </c>
      <c r="I1934" s="47" t="s">
        <v>101</v>
      </c>
      <c r="J1934" s="48">
        <v>0</v>
      </c>
      <c r="K1934" s="48">
        <v>0</v>
      </c>
      <c r="R1934" s="46">
        <f t="shared" si="196"/>
        <v>0</v>
      </c>
      <c r="S1934" s="46">
        <f t="shared" si="197"/>
        <v>0</v>
      </c>
      <c r="T1934" s="46">
        <f t="shared" si="200"/>
        <v>0</v>
      </c>
      <c r="U1934" s="46">
        <f t="shared" si="198"/>
        <v>0</v>
      </c>
      <c r="V1934" s="54">
        <f t="shared" si="199"/>
        <v>3.3333333333333335</v>
      </c>
    </row>
    <row r="1935" spans="1:22" x14ac:dyDescent="0.2">
      <c r="A1935" s="46" t="s">
        <v>41</v>
      </c>
      <c r="B1935" s="46" t="s">
        <v>119</v>
      </c>
      <c r="C1935" s="46" t="s">
        <v>90</v>
      </c>
      <c r="D1935" s="46" t="s">
        <v>178</v>
      </c>
      <c r="E1935" s="46">
        <v>2</v>
      </c>
      <c r="F1935" s="46" t="s">
        <v>60</v>
      </c>
      <c r="G1935" s="46">
        <v>3</v>
      </c>
      <c r="H1935" s="47">
        <v>27</v>
      </c>
      <c r="I1935" s="47" t="s">
        <v>116</v>
      </c>
      <c r="J1935" s="48">
        <v>0</v>
      </c>
      <c r="K1935" s="48">
        <v>1</v>
      </c>
      <c r="R1935" s="46">
        <f t="shared" si="196"/>
        <v>0</v>
      </c>
      <c r="S1935" s="46">
        <f t="shared" si="197"/>
        <v>0</v>
      </c>
      <c r="T1935" s="46">
        <f t="shared" si="200"/>
        <v>0</v>
      </c>
      <c r="U1935" s="46">
        <f t="shared" si="198"/>
        <v>0</v>
      </c>
      <c r="V1935" s="54">
        <f t="shared" si="199"/>
        <v>3.3333333333333335</v>
      </c>
    </row>
    <row r="1936" spans="1:22" x14ac:dyDescent="0.2">
      <c r="A1936" s="46" t="s">
        <v>41</v>
      </c>
      <c r="B1936" s="46" t="s">
        <v>119</v>
      </c>
      <c r="C1936" s="46" t="s">
        <v>90</v>
      </c>
      <c r="D1936" s="46" t="s">
        <v>178</v>
      </c>
      <c r="E1936" s="46">
        <v>4</v>
      </c>
      <c r="F1936" s="46" t="s">
        <v>60</v>
      </c>
      <c r="G1936" s="46">
        <v>4</v>
      </c>
      <c r="H1936" s="47">
        <v>32</v>
      </c>
      <c r="I1936" s="47" t="s">
        <v>102</v>
      </c>
      <c r="J1936" s="48">
        <v>0</v>
      </c>
      <c r="K1936" s="48">
        <v>0</v>
      </c>
      <c r="R1936" s="46">
        <f t="shared" si="196"/>
        <v>0</v>
      </c>
      <c r="S1936" s="46">
        <f t="shared" si="197"/>
        <v>0</v>
      </c>
      <c r="T1936" s="46">
        <f t="shared" si="200"/>
        <v>0</v>
      </c>
      <c r="U1936" s="46">
        <f t="shared" si="198"/>
        <v>0</v>
      </c>
      <c r="V1936" s="54">
        <f t="shared" si="199"/>
        <v>3.3333333333333335</v>
      </c>
    </row>
    <row r="1937" spans="1:22" x14ac:dyDescent="0.2">
      <c r="A1937" s="46" t="s">
        <v>41</v>
      </c>
      <c r="B1937" s="46" t="s">
        <v>119</v>
      </c>
      <c r="C1937" s="46" t="s">
        <v>90</v>
      </c>
      <c r="D1937" s="46" t="s">
        <v>178</v>
      </c>
      <c r="E1937" s="46">
        <v>4</v>
      </c>
      <c r="F1937" s="46" t="s">
        <v>60</v>
      </c>
      <c r="G1937" s="46">
        <v>1</v>
      </c>
      <c r="H1937" s="47">
        <v>33</v>
      </c>
      <c r="I1937" s="47" t="s">
        <v>101</v>
      </c>
      <c r="J1937" s="48">
        <v>0</v>
      </c>
      <c r="K1937" s="48">
        <v>0</v>
      </c>
      <c r="R1937" s="46">
        <f t="shared" si="196"/>
        <v>0</v>
      </c>
      <c r="S1937" s="46">
        <f t="shared" si="197"/>
        <v>0</v>
      </c>
      <c r="T1937" s="46">
        <f t="shared" si="200"/>
        <v>0</v>
      </c>
      <c r="U1937" s="46">
        <f t="shared" si="198"/>
        <v>0</v>
      </c>
      <c r="V1937" s="54">
        <f t="shared" si="199"/>
        <v>3.3333333333333335</v>
      </c>
    </row>
    <row r="1938" spans="1:22" x14ac:dyDescent="0.2">
      <c r="A1938" s="46" t="s">
        <v>41</v>
      </c>
      <c r="B1938" s="46" t="s">
        <v>119</v>
      </c>
      <c r="C1938" s="46" t="s">
        <v>90</v>
      </c>
      <c r="D1938" s="46" t="s">
        <v>178</v>
      </c>
      <c r="E1938" s="46">
        <v>1</v>
      </c>
      <c r="F1938" s="46" t="s">
        <v>60</v>
      </c>
      <c r="G1938" s="46">
        <v>2</v>
      </c>
      <c r="H1938" s="47">
        <v>34</v>
      </c>
      <c r="I1938" s="47" t="s">
        <v>127</v>
      </c>
      <c r="J1938" s="48">
        <v>0</v>
      </c>
      <c r="K1938" s="48">
        <v>0</v>
      </c>
      <c r="R1938" s="46">
        <f t="shared" si="196"/>
        <v>0</v>
      </c>
      <c r="S1938" s="46">
        <f t="shared" si="197"/>
        <v>0</v>
      </c>
      <c r="T1938" s="46">
        <f t="shared" si="200"/>
        <v>0</v>
      </c>
      <c r="U1938" s="46">
        <f t="shared" si="198"/>
        <v>0</v>
      </c>
      <c r="V1938" s="54">
        <f t="shared" si="199"/>
        <v>3.3333333333333335</v>
      </c>
    </row>
    <row r="1939" spans="1:22" x14ac:dyDescent="0.2">
      <c r="A1939" s="46" t="s">
        <v>41</v>
      </c>
      <c r="B1939" s="46" t="s">
        <v>119</v>
      </c>
      <c r="C1939" s="46" t="s">
        <v>90</v>
      </c>
      <c r="D1939" s="46" t="s">
        <v>178</v>
      </c>
      <c r="E1939" s="46">
        <v>2</v>
      </c>
      <c r="F1939" s="46" t="s">
        <v>60</v>
      </c>
      <c r="G1939" s="46">
        <v>2</v>
      </c>
      <c r="H1939" s="47">
        <v>34</v>
      </c>
      <c r="I1939" s="47" t="s">
        <v>127</v>
      </c>
      <c r="J1939" s="48">
        <v>0</v>
      </c>
      <c r="K1939" s="48">
        <v>0</v>
      </c>
      <c r="R1939" s="46">
        <f t="shared" si="196"/>
        <v>0</v>
      </c>
      <c r="S1939" s="46">
        <f t="shared" si="197"/>
        <v>0</v>
      </c>
      <c r="T1939" s="46">
        <f t="shared" si="200"/>
        <v>0</v>
      </c>
      <c r="U1939" s="46">
        <f t="shared" si="198"/>
        <v>0</v>
      </c>
      <c r="V1939" s="54">
        <f t="shared" si="199"/>
        <v>3.3333333333333335</v>
      </c>
    </row>
    <row r="1940" spans="1:22" x14ac:dyDescent="0.2">
      <c r="A1940" s="46" t="s">
        <v>41</v>
      </c>
      <c r="B1940" s="46" t="s">
        <v>119</v>
      </c>
      <c r="C1940" s="46" t="s">
        <v>90</v>
      </c>
      <c r="D1940" s="46" t="s">
        <v>178</v>
      </c>
      <c r="E1940" s="46">
        <v>3</v>
      </c>
      <c r="F1940" s="46" t="s">
        <v>60</v>
      </c>
      <c r="G1940" s="46">
        <v>3</v>
      </c>
      <c r="H1940" s="47">
        <v>35</v>
      </c>
      <c r="I1940" s="47" t="s">
        <v>116</v>
      </c>
      <c r="J1940" s="48">
        <v>0</v>
      </c>
      <c r="K1940" s="48">
        <v>0</v>
      </c>
      <c r="R1940" s="46">
        <f t="shared" si="196"/>
        <v>0</v>
      </c>
      <c r="S1940" s="46">
        <f t="shared" si="197"/>
        <v>0</v>
      </c>
      <c r="T1940" s="46">
        <f t="shared" si="200"/>
        <v>0</v>
      </c>
      <c r="U1940" s="46">
        <f t="shared" si="198"/>
        <v>0</v>
      </c>
      <c r="V1940" s="54">
        <f t="shared" si="199"/>
        <v>3.3333333333333335</v>
      </c>
    </row>
    <row r="1941" spans="1:22" x14ac:dyDescent="0.2">
      <c r="A1941" s="46" t="s">
        <v>41</v>
      </c>
      <c r="B1941" s="46" t="s">
        <v>119</v>
      </c>
      <c r="C1941" s="46" t="s">
        <v>90</v>
      </c>
      <c r="D1941" s="46" t="s">
        <v>178</v>
      </c>
      <c r="E1941" s="46">
        <v>2</v>
      </c>
      <c r="F1941" s="46" t="s">
        <v>60</v>
      </c>
      <c r="G1941" s="46">
        <v>4</v>
      </c>
      <c r="H1941" s="47">
        <v>40</v>
      </c>
      <c r="I1941" s="47" t="s">
        <v>102</v>
      </c>
      <c r="J1941" s="48">
        <v>0</v>
      </c>
      <c r="K1941" s="48">
        <v>0</v>
      </c>
      <c r="R1941" s="46">
        <f t="shared" si="196"/>
        <v>0</v>
      </c>
      <c r="S1941" s="46">
        <f t="shared" si="197"/>
        <v>0</v>
      </c>
      <c r="T1941" s="46">
        <f t="shared" si="200"/>
        <v>0</v>
      </c>
      <c r="U1941" s="46">
        <f t="shared" si="198"/>
        <v>0</v>
      </c>
      <c r="V1941" s="54">
        <f t="shared" si="199"/>
        <v>3.3333333333333335</v>
      </c>
    </row>
    <row r="1942" spans="1:22" x14ac:dyDescent="0.2">
      <c r="A1942" s="46" t="s">
        <v>41</v>
      </c>
      <c r="B1942" s="46" t="s">
        <v>119</v>
      </c>
      <c r="C1942" s="46" t="s">
        <v>90</v>
      </c>
      <c r="D1942" s="46" t="s">
        <v>178</v>
      </c>
      <c r="E1942" s="46">
        <v>1</v>
      </c>
      <c r="F1942" s="46" t="s">
        <v>60</v>
      </c>
      <c r="G1942" s="46">
        <v>3</v>
      </c>
      <c r="H1942" s="47">
        <v>43</v>
      </c>
      <c r="I1942" s="47" t="s">
        <v>116</v>
      </c>
      <c r="J1942" s="48">
        <v>0</v>
      </c>
      <c r="K1942" s="48">
        <v>0</v>
      </c>
      <c r="R1942" s="46">
        <f t="shared" si="196"/>
        <v>0</v>
      </c>
      <c r="S1942" s="46">
        <f t="shared" si="197"/>
        <v>0</v>
      </c>
      <c r="T1942" s="46">
        <f t="shared" si="200"/>
        <v>0</v>
      </c>
      <c r="U1942" s="46">
        <f t="shared" si="198"/>
        <v>0</v>
      </c>
      <c r="V1942" s="54">
        <f t="shared" si="199"/>
        <v>3.3333333333333335</v>
      </c>
    </row>
    <row r="1943" spans="1:22" x14ac:dyDescent="0.2">
      <c r="A1943" s="46" t="s">
        <v>41</v>
      </c>
      <c r="B1943" s="46" t="s">
        <v>119</v>
      </c>
      <c r="C1943" s="46" t="s">
        <v>90</v>
      </c>
      <c r="D1943" s="46" t="s">
        <v>178</v>
      </c>
      <c r="E1943" s="46">
        <v>3</v>
      </c>
      <c r="F1943" s="46" t="s">
        <v>60</v>
      </c>
      <c r="G1943" s="46">
        <v>4</v>
      </c>
      <c r="H1943" s="47">
        <v>44</v>
      </c>
      <c r="I1943" s="47" t="s">
        <v>102</v>
      </c>
      <c r="J1943" s="48">
        <v>0</v>
      </c>
      <c r="K1943" s="48">
        <v>0</v>
      </c>
      <c r="R1943" s="46">
        <f t="shared" si="196"/>
        <v>0</v>
      </c>
      <c r="S1943" s="46">
        <f t="shared" si="197"/>
        <v>0</v>
      </c>
      <c r="T1943" s="46">
        <f t="shared" si="200"/>
        <v>0</v>
      </c>
      <c r="U1943" s="46">
        <f t="shared" si="198"/>
        <v>0</v>
      </c>
      <c r="V1943" s="54">
        <f t="shared" si="199"/>
        <v>3.3333333333333335</v>
      </c>
    </row>
    <row r="1944" spans="1:22" x14ac:dyDescent="0.2">
      <c r="A1944" s="46" t="s">
        <v>41</v>
      </c>
      <c r="B1944" s="46" t="s">
        <v>119</v>
      </c>
      <c r="C1944" s="46" t="s">
        <v>90</v>
      </c>
      <c r="D1944" s="46" t="s">
        <v>178</v>
      </c>
      <c r="E1944" s="46">
        <v>2</v>
      </c>
      <c r="F1944" s="46" t="s">
        <v>60</v>
      </c>
      <c r="G1944" s="46">
        <v>3</v>
      </c>
      <c r="H1944" s="47">
        <v>47</v>
      </c>
      <c r="I1944" s="47" t="s">
        <v>116</v>
      </c>
      <c r="J1944" s="48">
        <v>0</v>
      </c>
      <c r="K1944" s="48">
        <v>0</v>
      </c>
      <c r="R1944" s="46">
        <f t="shared" si="196"/>
        <v>0</v>
      </c>
      <c r="S1944" s="46">
        <f t="shared" si="197"/>
        <v>0</v>
      </c>
      <c r="T1944" s="46">
        <f t="shared" si="200"/>
        <v>0</v>
      </c>
      <c r="U1944" s="46">
        <f t="shared" si="198"/>
        <v>0</v>
      </c>
      <c r="V1944" s="54">
        <f t="shared" si="199"/>
        <v>3.3333333333333335</v>
      </c>
    </row>
    <row r="1945" spans="1:22" x14ac:dyDescent="0.2">
      <c r="A1945" s="46" t="s">
        <v>41</v>
      </c>
      <c r="B1945" s="46" t="s">
        <v>119</v>
      </c>
      <c r="C1945" s="46" t="s">
        <v>90</v>
      </c>
      <c r="D1945" s="46" t="s">
        <v>178</v>
      </c>
      <c r="E1945" s="46">
        <v>2</v>
      </c>
      <c r="F1945" s="46" t="s">
        <v>63</v>
      </c>
      <c r="G1945" s="46">
        <v>4</v>
      </c>
      <c r="H1945" s="47" t="s">
        <v>146</v>
      </c>
      <c r="I1945" s="47" t="s">
        <v>102</v>
      </c>
      <c r="J1945" s="48">
        <v>0</v>
      </c>
      <c r="K1945" s="48">
        <v>0</v>
      </c>
      <c r="R1945" s="46">
        <f t="shared" si="196"/>
        <v>0</v>
      </c>
      <c r="S1945" s="46">
        <f t="shared" si="197"/>
        <v>0</v>
      </c>
      <c r="T1945" s="46">
        <f t="shared" si="200"/>
        <v>0</v>
      </c>
      <c r="U1945" s="46">
        <f t="shared" si="198"/>
        <v>0</v>
      </c>
      <c r="V1945" s="54">
        <f t="shared" si="199"/>
        <v>3.3333333333333335</v>
      </c>
    </row>
    <row r="1946" spans="1:22" x14ac:dyDescent="0.2">
      <c r="A1946" s="46" t="s">
        <v>41</v>
      </c>
      <c r="B1946" s="46" t="s">
        <v>119</v>
      </c>
      <c r="C1946" s="46" t="s">
        <v>90</v>
      </c>
      <c r="D1946" s="46" t="s">
        <v>178</v>
      </c>
      <c r="E1946" s="46">
        <v>4</v>
      </c>
      <c r="F1946" s="46" t="s">
        <v>63</v>
      </c>
      <c r="G1946" s="46">
        <v>4</v>
      </c>
      <c r="H1946" s="47" t="s">
        <v>146</v>
      </c>
      <c r="I1946" s="47" t="s">
        <v>102</v>
      </c>
      <c r="J1946" s="48">
        <v>0</v>
      </c>
      <c r="K1946" s="48">
        <v>0</v>
      </c>
      <c r="R1946" s="46">
        <f t="shared" si="196"/>
        <v>0</v>
      </c>
      <c r="S1946" s="46">
        <f t="shared" si="197"/>
        <v>0</v>
      </c>
      <c r="T1946" s="46">
        <f t="shared" si="200"/>
        <v>0</v>
      </c>
      <c r="U1946" s="46">
        <f t="shared" si="198"/>
        <v>0</v>
      </c>
      <c r="V1946" s="54">
        <f t="shared" si="199"/>
        <v>3.3333333333333335</v>
      </c>
    </row>
    <row r="1947" spans="1:22" x14ac:dyDescent="0.2">
      <c r="A1947" s="46" t="s">
        <v>41</v>
      </c>
      <c r="B1947" s="46" t="s">
        <v>119</v>
      </c>
      <c r="C1947" s="46" t="s">
        <v>90</v>
      </c>
      <c r="D1947" s="46" t="s">
        <v>178</v>
      </c>
      <c r="E1947" s="46">
        <v>3</v>
      </c>
      <c r="F1947" s="46" t="s">
        <v>63</v>
      </c>
      <c r="G1947" s="46">
        <v>4</v>
      </c>
      <c r="H1947" s="47" t="s">
        <v>147</v>
      </c>
      <c r="I1947" s="47" t="s">
        <v>102</v>
      </c>
      <c r="J1947" s="48">
        <v>0</v>
      </c>
      <c r="K1947" s="48">
        <v>1</v>
      </c>
      <c r="R1947" s="46">
        <f t="shared" si="196"/>
        <v>0</v>
      </c>
      <c r="S1947" s="46">
        <f t="shared" si="197"/>
        <v>0</v>
      </c>
      <c r="T1947" s="46">
        <f t="shared" si="200"/>
        <v>0</v>
      </c>
      <c r="U1947" s="46">
        <f t="shared" si="198"/>
        <v>0</v>
      </c>
      <c r="V1947" s="54">
        <f t="shared" si="199"/>
        <v>3.3333333333333335</v>
      </c>
    </row>
    <row r="1948" spans="1:22" x14ac:dyDescent="0.2">
      <c r="A1948" s="46" t="s">
        <v>41</v>
      </c>
      <c r="B1948" s="46" t="s">
        <v>119</v>
      </c>
      <c r="C1948" s="46" t="s">
        <v>90</v>
      </c>
      <c r="D1948" s="46" t="s">
        <v>178</v>
      </c>
      <c r="E1948" s="46">
        <v>4</v>
      </c>
      <c r="F1948" s="46" t="s">
        <v>63</v>
      </c>
      <c r="G1948" s="46">
        <v>4</v>
      </c>
      <c r="H1948" s="47" t="s">
        <v>148</v>
      </c>
      <c r="I1948" s="47" t="s">
        <v>102</v>
      </c>
      <c r="J1948" s="48">
        <v>0</v>
      </c>
      <c r="K1948" s="48">
        <v>0</v>
      </c>
      <c r="R1948" s="46">
        <f t="shared" si="196"/>
        <v>0</v>
      </c>
      <c r="S1948" s="46">
        <f t="shared" si="197"/>
        <v>0</v>
      </c>
      <c r="T1948" s="46">
        <f t="shared" si="200"/>
        <v>0</v>
      </c>
      <c r="U1948" s="46">
        <f t="shared" si="198"/>
        <v>0</v>
      </c>
      <c r="V1948" s="54">
        <f t="shared" si="199"/>
        <v>3.3333333333333335</v>
      </c>
    </row>
    <row r="1949" spans="1:22" x14ac:dyDescent="0.2">
      <c r="A1949" s="46" t="s">
        <v>41</v>
      </c>
      <c r="B1949" s="46" t="s">
        <v>119</v>
      </c>
      <c r="C1949" s="46" t="s">
        <v>90</v>
      </c>
      <c r="D1949" s="46" t="s">
        <v>178</v>
      </c>
      <c r="E1949" s="46">
        <v>1</v>
      </c>
      <c r="F1949" s="46" t="s">
        <v>63</v>
      </c>
      <c r="G1949" s="46">
        <v>4</v>
      </c>
      <c r="H1949" s="47" t="s">
        <v>150</v>
      </c>
      <c r="I1949" s="47" t="s">
        <v>102</v>
      </c>
      <c r="J1949" s="48">
        <v>0</v>
      </c>
      <c r="K1949" s="48">
        <v>1</v>
      </c>
      <c r="R1949" s="46">
        <f t="shared" si="196"/>
        <v>0</v>
      </c>
      <c r="S1949" s="46">
        <f t="shared" si="197"/>
        <v>0</v>
      </c>
      <c r="T1949" s="46">
        <f t="shared" si="200"/>
        <v>0</v>
      </c>
      <c r="U1949" s="46">
        <f t="shared" si="198"/>
        <v>0</v>
      </c>
      <c r="V1949" s="54">
        <f t="shared" si="199"/>
        <v>3.3333333333333335</v>
      </c>
    </row>
    <row r="1950" spans="1:22" x14ac:dyDescent="0.2">
      <c r="A1950" s="46" t="s">
        <v>41</v>
      </c>
      <c r="B1950" s="46" t="s">
        <v>119</v>
      </c>
      <c r="C1950" s="46" t="s">
        <v>90</v>
      </c>
      <c r="D1950" s="46" t="s">
        <v>178</v>
      </c>
      <c r="E1950" s="46">
        <v>2</v>
      </c>
      <c r="F1950" s="46" t="s">
        <v>63</v>
      </c>
      <c r="G1950" s="46">
        <v>4</v>
      </c>
      <c r="H1950" s="47" t="s">
        <v>150</v>
      </c>
      <c r="I1950" s="47" t="s">
        <v>102</v>
      </c>
      <c r="J1950" s="48">
        <v>0</v>
      </c>
      <c r="K1950" s="48">
        <v>0</v>
      </c>
      <c r="R1950" s="46">
        <f t="shared" si="196"/>
        <v>0</v>
      </c>
      <c r="S1950" s="46">
        <f t="shared" si="197"/>
        <v>0</v>
      </c>
      <c r="T1950" s="46">
        <f t="shared" si="200"/>
        <v>0</v>
      </c>
      <c r="U1950" s="46">
        <f t="shared" si="198"/>
        <v>0</v>
      </c>
      <c r="V1950" s="54">
        <f t="shared" si="199"/>
        <v>3.3333333333333335</v>
      </c>
    </row>
    <row r="1951" spans="1:22" x14ac:dyDescent="0.2">
      <c r="A1951" s="46" t="s">
        <v>41</v>
      </c>
      <c r="B1951" s="46" t="s">
        <v>119</v>
      </c>
      <c r="C1951" s="46" t="s">
        <v>90</v>
      </c>
      <c r="D1951" s="46" t="s">
        <v>178</v>
      </c>
      <c r="E1951" s="46">
        <v>3</v>
      </c>
      <c r="F1951" s="46" t="s">
        <v>63</v>
      </c>
      <c r="G1951" s="46">
        <v>4</v>
      </c>
      <c r="H1951" s="47" t="s">
        <v>151</v>
      </c>
      <c r="I1951" s="47" t="s">
        <v>102</v>
      </c>
      <c r="J1951" s="48">
        <v>0</v>
      </c>
      <c r="K1951" s="48">
        <v>0</v>
      </c>
      <c r="R1951" s="46">
        <f t="shared" si="196"/>
        <v>0</v>
      </c>
      <c r="S1951" s="46">
        <f t="shared" si="197"/>
        <v>0</v>
      </c>
      <c r="T1951" s="46">
        <f t="shared" si="200"/>
        <v>0</v>
      </c>
      <c r="U1951" s="46">
        <f t="shared" si="198"/>
        <v>0</v>
      </c>
      <c r="V1951" s="54">
        <f t="shared" si="199"/>
        <v>3.3333333333333335</v>
      </c>
    </row>
    <row r="1952" spans="1:22" x14ac:dyDescent="0.2">
      <c r="A1952" s="46" t="s">
        <v>41</v>
      </c>
      <c r="B1952" s="46" t="s">
        <v>119</v>
      </c>
      <c r="C1952" s="46" t="s">
        <v>90</v>
      </c>
      <c r="D1952" s="46" t="s">
        <v>178</v>
      </c>
      <c r="E1952" s="46">
        <v>1</v>
      </c>
      <c r="F1952" s="46" t="s">
        <v>63</v>
      </c>
      <c r="G1952" s="46">
        <v>4</v>
      </c>
      <c r="H1952" s="47" t="s">
        <v>152</v>
      </c>
      <c r="I1952" s="47" t="s">
        <v>102</v>
      </c>
      <c r="J1952" s="48">
        <v>0</v>
      </c>
      <c r="K1952" s="48">
        <v>0</v>
      </c>
      <c r="N1952" s="48">
        <v>1</v>
      </c>
      <c r="R1952" s="46">
        <f t="shared" si="196"/>
        <v>0</v>
      </c>
      <c r="S1952" s="46">
        <f t="shared" si="197"/>
        <v>0</v>
      </c>
      <c r="T1952" s="46">
        <f t="shared" si="200"/>
        <v>0</v>
      </c>
      <c r="U1952" s="46">
        <f t="shared" si="198"/>
        <v>-5</v>
      </c>
      <c r="V1952" s="54">
        <f t="shared" si="199"/>
        <v>3.3333333333333335</v>
      </c>
    </row>
    <row r="1953" spans="1:22" x14ac:dyDescent="0.2">
      <c r="A1953" s="46" t="s">
        <v>41</v>
      </c>
      <c r="B1953" s="46" t="s">
        <v>119</v>
      </c>
      <c r="C1953" s="46" t="s">
        <v>90</v>
      </c>
      <c r="D1953" s="46" t="s">
        <v>178</v>
      </c>
      <c r="E1953" s="46">
        <v>3</v>
      </c>
      <c r="F1953" s="46" t="s">
        <v>63</v>
      </c>
      <c r="G1953" s="46">
        <v>4</v>
      </c>
      <c r="H1953" s="47" t="s">
        <v>152</v>
      </c>
      <c r="I1953" s="47" t="s">
        <v>102</v>
      </c>
      <c r="J1953" s="48">
        <v>0</v>
      </c>
      <c r="K1953" s="48">
        <v>0</v>
      </c>
      <c r="R1953" s="46">
        <f t="shared" si="196"/>
        <v>0</v>
      </c>
      <c r="S1953" s="46">
        <f t="shared" si="197"/>
        <v>0</v>
      </c>
      <c r="T1953" s="46">
        <f t="shared" si="200"/>
        <v>0</v>
      </c>
      <c r="U1953" s="46">
        <f t="shared" si="198"/>
        <v>0</v>
      </c>
      <c r="V1953" s="54">
        <f t="shared" si="199"/>
        <v>3.3333333333333335</v>
      </c>
    </row>
    <row r="1954" spans="1:22" x14ac:dyDescent="0.2">
      <c r="A1954" s="46" t="s">
        <v>41</v>
      </c>
      <c r="B1954" s="46" t="s">
        <v>119</v>
      </c>
      <c r="C1954" s="46" t="s">
        <v>90</v>
      </c>
      <c r="D1954" s="46" t="s">
        <v>178</v>
      </c>
      <c r="E1954" s="46">
        <v>2</v>
      </c>
      <c r="F1954" s="46" t="s">
        <v>60</v>
      </c>
      <c r="G1954" s="46">
        <v>1</v>
      </c>
      <c r="H1954" s="47">
        <v>5</v>
      </c>
      <c r="I1954" s="47" t="s">
        <v>101</v>
      </c>
      <c r="J1954" s="48">
        <v>1</v>
      </c>
      <c r="K1954" s="48">
        <v>0</v>
      </c>
      <c r="R1954" s="46">
        <f t="shared" si="196"/>
        <v>0</v>
      </c>
      <c r="S1954" s="46">
        <f t="shared" si="197"/>
        <v>0</v>
      </c>
      <c r="T1954" s="46">
        <f t="shared" si="200"/>
        <v>20</v>
      </c>
      <c r="U1954" s="46">
        <f t="shared" si="198"/>
        <v>20</v>
      </c>
      <c r="V1954" s="54">
        <f t="shared" si="199"/>
        <v>3.3333333333333335</v>
      </c>
    </row>
    <row r="1955" spans="1:22" x14ac:dyDescent="0.2">
      <c r="A1955" s="46" t="s">
        <v>41</v>
      </c>
      <c r="B1955" s="46" t="s">
        <v>119</v>
      </c>
      <c r="C1955" s="46" t="s">
        <v>90</v>
      </c>
      <c r="D1955" s="46" t="s">
        <v>178</v>
      </c>
      <c r="E1955" s="46">
        <v>3</v>
      </c>
      <c r="F1955" s="46" t="s">
        <v>60</v>
      </c>
      <c r="G1955" s="46">
        <v>2</v>
      </c>
      <c r="H1955" s="47">
        <v>26</v>
      </c>
      <c r="I1955" s="47" t="s">
        <v>127</v>
      </c>
      <c r="J1955" s="48">
        <v>1</v>
      </c>
      <c r="K1955" s="48">
        <v>0</v>
      </c>
      <c r="R1955" s="46">
        <f t="shared" si="196"/>
        <v>0</v>
      </c>
      <c r="S1955" s="46">
        <f t="shared" si="197"/>
        <v>0</v>
      </c>
      <c r="T1955" s="46">
        <f t="shared" si="200"/>
        <v>20</v>
      </c>
      <c r="U1955" s="46">
        <f t="shared" si="198"/>
        <v>20</v>
      </c>
      <c r="V1955" s="54">
        <f t="shared" si="199"/>
        <v>3.3333333333333335</v>
      </c>
    </row>
    <row r="1956" spans="1:22" x14ac:dyDescent="0.2">
      <c r="A1956" s="46" t="s">
        <v>41</v>
      </c>
      <c r="B1956" s="46" t="s">
        <v>119</v>
      </c>
      <c r="C1956" s="46" t="s">
        <v>90</v>
      </c>
      <c r="D1956" s="46" t="s">
        <v>178</v>
      </c>
      <c r="E1956" s="46">
        <v>4</v>
      </c>
      <c r="F1956" s="46" t="s">
        <v>60</v>
      </c>
      <c r="G1956" s="46">
        <v>1</v>
      </c>
      <c r="H1956" s="47">
        <v>49</v>
      </c>
      <c r="I1956" s="47" t="s">
        <v>101</v>
      </c>
      <c r="J1956" s="48">
        <v>1</v>
      </c>
      <c r="K1956" s="48">
        <v>0</v>
      </c>
      <c r="R1956" s="46">
        <f t="shared" si="196"/>
        <v>0</v>
      </c>
      <c r="S1956" s="46">
        <f t="shared" si="197"/>
        <v>0</v>
      </c>
      <c r="T1956" s="46">
        <f t="shared" si="200"/>
        <v>20</v>
      </c>
      <c r="U1956" s="46">
        <f t="shared" si="198"/>
        <v>20</v>
      </c>
      <c r="V1956" s="54">
        <f t="shared" si="199"/>
        <v>3.3333333333333335</v>
      </c>
    </row>
    <row r="1957" spans="1:22" x14ac:dyDescent="0.2">
      <c r="A1957" s="46" t="s">
        <v>41</v>
      </c>
      <c r="B1957" s="46" t="s">
        <v>119</v>
      </c>
      <c r="C1957" s="46" t="s">
        <v>90</v>
      </c>
      <c r="D1957" s="46" t="s">
        <v>178</v>
      </c>
      <c r="E1957" s="46">
        <v>2</v>
      </c>
      <c r="F1957" s="46" t="s">
        <v>63</v>
      </c>
      <c r="G1957" s="46">
        <v>4</v>
      </c>
      <c r="H1957" s="47" t="s">
        <v>147</v>
      </c>
      <c r="I1957" s="47" t="s">
        <v>102</v>
      </c>
      <c r="J1957" s="48">
        <v>1</v>
      </c>
      <c r="K1957" s="48">
        <v>0</v>
      </c>
      <c r="R1957" s="46">
        <f t="shared" si="196"/>
        <v>0</v>
      </c>
      <c r="S1957" s="46">
        <f t="shared" si="197"/>
        <v>0</v>
      </c>
      <c r="T1957" s="46">
        <f t="shared" si="200"/>
        <v>20</v>
      </c>
      <c r="U1957" s="46">
        <f t="shared" si="198"/>
        <v>20</v>
      </c>
      <c r="V1957" s="54">
        <f t="shared" si="199"/>
        <v>3.3333333333333335</v>
      </c>
    </row>
    <row r="1958" spans="1:22" x14ac:dyDescent="0.2">
      <c r="A1958" s="46" t="s">
        <v>41</v>
      </c>
      <c r="B1958" s="46" t="s">
        <v>119</v>
      </c>
      <c r="C1958" s="46" t="s">
        <v>90</v>
      </c>
      <c r="D1958" s="46" t="s">
        <v>178</v>
      </c>
      <c r="E1958" s="46">
        <v>1</v>
      </c>
      <c r="F1958" s="46" t="s">
        <v>63</v>
      </c>
      <c r="G1958" s="46">
        <v>4</v>
      </c>
      <c r="H1958" s="47" t="s">
        <v>148</v>
      </c>
      <c r="I1958" s="47" t="s">
        <v>102</v>
      </c>
      <c r="J1958" s="48">
        <v>1</v>
      </c>
      <c r="K1958" s="48">
        <v>0</v>
      </c>
      <c r="R1958" s="46">
        <f t="shared" si="196"/>
        <v>0</v>
      </c>
      <c r="S1958" s="46">
        <f t="shared" si="197"/>
        <v>0</v>
      </c>
      <c r="T1958" s="46">
        <f t="shared" si="200"/>
        <v>20</v>
      </c>
      <c r="U1958" s="46">
        <f t="shared" si="198"/>
        <v>20</v>
      </c>
      <c r="V1958" s="54">
        <f t="shared" si="199"/>
        <v>3.3333333333333335</v>
      </c>
    </row>
    <row r="1959" spans="1:22" x14ac:dyDescent="0.2">
      <c r="A1959" s="46" t="s">
        <v>41</v>
      </c>
      <c r="B1959" s="46" t="s">
        <v>119</v>
      </c>
      <c r="C1959" s="46" t="s">
        <v>90</v>
      </c>
      <c r="D1959" s="46" t="s">
        <v>178</v>
      </c>
      <c r="E1959" s="46">
        <v>4</v>
      </c>
      <c r="F1959" s="46" t="s">
        <v>63</v>
      </c>
      <c r="G1959" s="46">
        <v>4</v>
      </c>
      <c r="H1959" s="47" t="s">
        <v>151</v>
      </c>
      <c r="I1959" s="47" t="s">
        <v>102</v>
      </c>
      <c r="J1959" s="48">
        <v>1</v>
      </c>
      <c r="K1959" s="48">
        <v>0</v>
      </c>
      <c r="R1959" s="46">
        <f t="shared" si="196"/>
        <v>0</v>
      </c>
      <c r="S1959" s="46">
        <f t="shared" si="197"/>
        <v>0</v>
      </c>
      <c r="T1959" s="46">
        <f t="shared" si="200"/>
        <v>20</v>
      </c>
      <c r="U1959" s="46">
        <f t="shared" si="198"/>
        <v>20</v>
      </c>
      <c r="V1959" s="54">
        <f t="shared" si="199"/>
        <v>3.3333333333333335</v>
      </c>
    </row>
    <row r="1960" spans="1:22" x14ac:dyDescent="0.2">
      <c r="A1960" s="46" t="s">
        <v>41</v>
      </c>
      <c r="B1960" s="46" t="s">
        <v>119</v>
      </c>
      <c r="C1960" s="46" t="s">
        <v>90</v>
      </c>
      <c r="D1960" s="46" t="s">
        <v>178</v>
      </c>
      <c r="E1960" s="46">
        <v>5</v>
      </c>
      <c r="F1960" s="46" t="s">
        <v>60</v>
      </c>
      <c r="G1960" s="46">
        <v>4</v>
      </c>
      <c r="H1960" s="47">
        <v>8</v>
      </c>
      <c r="I1960" s="47" t="s">
        <v>102</v>
      </c>
      <c r="J1960" s="48">
        <v>0</v>
      </c>
      <c r="K1960" s="48">
        <v>0</v>
      </c>
      <c r="R1960" s="46">
        <f t="shared" si="196"/>
        <v>0</v>
      </c>
      <c r="S1960" s="46">
        <f t="shared" si="197"/>
        <v>0</v>
      </c>
      <c r="T1960" s="46">
        <f t="shared" si="200"/>
        <v>0</v>
      </c>
      <c r="U1960" s="46">
        <f t="shared" si="198"/>
        <v>0</v>
      </c>
      <c r="V1960" s="54">
        <f t="shared" si="199"/>
        <v>3.3333333333333335</v>
      </c>
    </row>
    <row r="1961" spans="1:22" x14ac:dyDescent="0.2">
      <c r="A1961" s="46" t="s">
        <v>41</v>
      </c>
      <c r="B1961" s="46" t="s">
        <v>119</v>
      </c>
      <c r="C1961" s="46" t="s">
        <v>90</v>
      </c>
      <c r="D1961" s="46" t="s">
        <v>178</v>
      </c>
      <c r="E1961" s="46">
        <v>5</v>
      </c>
      <c r="F1961" s="46" t="s">
        <v>60</v>
      </c>
      <c r="G1961" s="46">
        <v>3</v>
      </c>
      <c r="H1961" s="47">
        <v>19</v>
      </c>
      <c r="I1961" s="47" t="s">
        <v>159</v>
      </c>
      <c r="J1961" s="48">
        <v>0</v>
      </c>
      <c r="K1961" s="48">
        <v>0</v>
      </c>
      <c r="R1961" s="46">
        <f t="shared" si="196"/>
        <v>0</v>
      </c>
      <c r="S1961" s="46">
        <f t="shared" si="197"/>
        <v>0</v>
      </c>
      <c r="T1961" s="46">
        <f t="shared" si="200"/>
        <v>0</v>
      </c>
      <c r="U1961" s="46">
        <f t="shared" si="198"/>
        <v>0</v>
      </c>
      <c r="V1961" s="54">
        <f t="shared" si="199"/>
        <v>3.3333333333333335</v>
      </c>
    </row>
    <row r="1962" spans="1:22" x14ac:dyDescent="0.2">
      <c r="A1962" s="46" t="s">
        <v>41</v>
      </c>
      <c r="B1962" s="46" t="s">
        <v>119</v>
      </c>
      <c r="C1962" s="46" t="s">
        <v>90</v>
      </c>
      <c r="D1962" s="46" t="s">
        <v>178</v>
      </c>
      <c r="E1962" s="46">
        <v>5</v>
      </c>
      <c r="F1962" s="46" t="s">
        <v>60</v>
      </c>
      <c r="G1962" s="46">
        <v>4</v>
      </c>
      <c r="H1962" s="47">
        <v>28</v>
      </c>
      <c r="I1962" s="47" t="s">
        <v>102</v>
      </c>
      <c r="J1962" s="48">
        <v>0</v>
      </c>
      <c r="K1962" s="48">
        <v>0</v>
      </c>
      <c r="R1962" s="46">
        <f t="shared" si="196"/>
        <v>0</v>
      </c>
      <c r="S1962" s="46">
        <f t="shared" si="197"/>
        <v>0</v>
      </c>
      <c r="T1962" s="46">
        <f t="shared" si="200"/>
        <v>0</v>
      </c>
      <c r="U1962" s="46">
        <f t="shared" si="198"/>
        <v>0</v>
      </c>
      <c r="V1962" s="54">
        <f t="shared" si="199"/>
        <v>3.3333333333333335</v>
      </c>
    </row>
    <row r="1963" spans="1:22" x14ac:dyDescent="0.2">
      <c r="A1963" s="46" t="s">
        <v>41</v>
      </c>
      <c r="B1963" s="46" t="s">
        <v>119</v>
      </c>
      <c r="C1963" s="46" t="s">
        <v>90</v>
      </c>
      <c r="D1963" s="46" t="s">
        <v>178</v>
      </c>
      <c r="E1963" s="46">
        <v>5</v>
      </c>
      <c r="F1963" s="46" t="s">
        <v>60</v>
      </c>
      <c r="G1963" s="46">
        <v>2</v>
      </c>
      <c r="H1963" s="47">
        <v>34</v>
      </c>
      <c r="I1963" s="47" t="s">
        <v>127</v>
      </c>
      <c r="J1963" s="48">
        <v>0</v>
      </c>
      <c r="K1963" s="48">
        <v>0</v>
      </c>
      <c r="R1963" s="46">
        <f t="shared" si="196"/>
        <v>0</v>
      </c>
      <c r="S1963" s="46">
        <f t="shared" si="197"/>
        <v>0</v>
      </c>
      <c r="T1963" s="46">
        <f t="shared" ref="T1963:T1968" si="201">quizscore(J1963,K1963)</f>
        <v>0</v>
      </c>
      <c r="U1963" s="46">
        <f t="shared" si="198"/>
        <v>0</v>
      </c>
      <c r="V1963" s="54">
        <f t="shared" si="199"/>
        <v>3.3333333333333335</v>
      </c>
    </row>
    <row r="1964" spans="1:22" x14ac:dyDescent="0.2">
      <c r="A1964" s="46" t="s">
        <v>41</v>
      </c>
      <c r="B1964" s="46" t="s">
        <v>119</v>
      </c>
      <c r="C1964" s="46" t="s">
        <v>90</v>
      </c>
      <c r="D1964" s="46" t="s">
        <v>178</v>
      </c>
      <c r="E1964" s="46">
        <v>5</v>
      </c>
      <c r="F1964" s="46" t="s">
        <v>60</v>
      </c>
      <c r="G1964" s="46">
        <v>1</v>
      </c>
      <c r="H1964" s="47">
        <v>37</v>
      </c>
      <c r="I1964" s="47" t="s">
        <v>101</v>
      </c>
      <c r="J1964" s="48">
        <v>0</v>
      </c>
      <c r="K1964" s="48">
        <v>0</v>
      </c>
      <c r="R1964" s="46">
        <f t="shared" si="196"/>
        <v>0</v>
      </c>
      <c r="S1964" s="46">
        <f t="shared" si="197"/>
        <v>0</v>
      </c>
      <c r="T1964" s="46">
        <f t="shared" si="201"/>
        <v>0</v>
      </c>
      <c r="U1964" s="46">
        <f t="shared" si="198"/>
        <v>0</v>
      </c>
      <c r="V1964" s="54">
        <f t="shared" si="199"/>
        <v>3.3333333333333335</v>
      </c>
    </row>
    <row r="1965" spans="1:22" x14ac:dyDescent="0.2">
      <c r="A1965" s="46" t="s">
        <v>41</v>
      </c>
      <c r="B1965" s="46" t="s">
        <v>119</v>
      </c>
      <c r="C1965" s="46" t="s">
        <v>90</v>
      </c>
      <c r="D1965" s="46" t="s">
        <v>178</v>
      </c>
      <c r="E1965" s="46">
        <v>5</v>
      </c>
      <c r="F1965" s="46" t="s">
        <v>60</v>
      </c>
      <c r="G1965" s="46">
        <v>2</v>
      </c>
      <c r="H1965" s="47">
        <v>50</v>
      </c>
      <c r="I1965" s="47" t="s">
        <v>127</v>
      </c>
      <c r="J1965" s="48">
        <v>1</v>
      </c>
      <c r="K1965" s="48">
        <v>0</v>
      </c>
      <c r="R1965" s="46">
        <f t="shared" si="196"/>
        <v>0</v>
      </c>
      <c r="S1965" s="46">
        <f t="shared" si="197"/>
        <v>0</v>
      </c>
      <c r="T1965" s="46">
        <f t="shared" si="201"/>
        <v>20</v>
      </c>
      <c r="U1965" s="46">
        <f t="shared" si="198"/>
        <v>20</v>
      </c>
      <c r="V1965" s="54">
        <f t="shared" si="199"/>
        <v>3.3333333333333335</v>
      </c>
    </row>
    <row r="1966" spans="1:22" x14ac:dyDescent="0.2">
      <c r="A1966" s="46" t="s">
        <v>41</v>
      </c>
      <c r="B1966" s="46" t="s">
        <v>119</v>
      </c>
      <c r="C1966" s="46" t="str">
        <f>VLOOKUP(B1966,$B$2:$C$3219,2,FALSE)</f>
        <v>Dallas</v>
      </c>
      <c r="D1966" s="46" t="s">
        <v>178</v>
      </c>
      <c r="E1966" s="46">
        <v>5</v>
      </c>
      <c r="F1966" s="46" t="s">
        <v>63</v>
      </c>
      <c r="G1966" s="46">
        <v>4</v>
      </c>
      <c r="H1966" s="47" t="s">
        <v>149</v>
      </c>
      <c r="I1966" s="47" t="s">
        <v>102</v>
      </c>
      <c r="J1966" s="48">
        <v>0</v>
      </c>
      <c r="K1966" s="48">
        <v>0</v>
      </c>
      <c r="R1966" s="46">
        <f t="shared" si="196"/>
        <v>0</v>
      </c>
      <c r="S1966" s="46">
        <f t="shared" si="197"/>
        <v>0</v>
      </c>
      <c r="T1966" s="46">
        <f t="shared" si="201"/>
        <v>0</v>
      </c>
      <c r="U1966" s="46">
        <f t="shared" si="198"/>
        <v>0</v>
      </c>
      <c r="V1966" s="54">
        <f t="shared" si="199"/>
        <v>3.3333333333333335</v>
      </c>
    </row>
    <row r="1967" spans="1:22" x14ac:dyDescent="0.2">
      <c r="A1967" s="46" t="s">
        <v>41</v>
      </c>
      <c r="B1967" s="46" t="s">
        <v>119</v>
      </c>
      <c r="C1967" s="46" t="str">
        <f>VLOOKUP(B1967,$B$2:$C$3219,2,FALSE)</f>
        <v>Dallas</v>
      </c>
      <c r="D1967" s="46" t="s">
        <v>178</v>
      </c>
      <c r="E1967" s="46">
        <v>5</v>
      </c>
      <c r="F1967" s="46" t="s">
        <v>63</v>
      </c>
      <c r="G1967" s="46">
        <v>4</v>
      </c>
      <c r="H1967" s="47" t="s">
        <v>150</v>
      </c>
      <c r="I1967" s="47" t="s">
        <v>102</v>
      </c>
      <c r="J1967" s="48">
        <v>0</v>
      </c>
      <c r="K1967" s="48">
        <v>0</v>
      </c>
      <c r="R1967" s="46">
        <f t="shared" si="196"/>
        <v>0</v>
      </c>
      <c r="S1967" s="46">
        <f t="shared" si="197"/>
        <v>0</v>
      </c>
      <c r="T1967" s="46">
        <f t="shared" si="201"/>
        <v>0</v>
      </c>
      <c r="U1967" s="46">
        <f t="shared" si="198"/>
        <v>0</v>
      </c>
      <c r="V1967" s="54">
        <f t="shared" si="199"/>
        <v>3.3333333333333335</v>
      </c>
    </row>
    <row r="1968" spans="1:22" x14ac:dyDescent="0.2">
      <c r="A1968" s="46" t="s">
        <v>41</v>
      </c>
      <c r="B1968" s="46" t="s">
        <v>119</v>
      </c>
      <c r="C1968" s="46" t="str">
        <f>VLOOKUP(B1968,$B$2:$C$3219,2,FALSE)</f>
        <v>Dallas</v>
      </c>
      <c r="D1968" s="46" t="s">
        <v>178</v>
      </c>
      <c r="E1968" s="46">
        <v>5</v>
      </c>
      <c r="F1968" s="46" t="s">
        <v>63</v>
      </c>
      <c r="G1968" s="46">
        <v>4</v>
      </c>
      <c r="H1968" s="47" t="s">
        <v>151</v>
      </c>
      <c r="I1968" s="47" t="s">
        <v>102</v>
      </c>
      <c r="J1968" s="48">
        <v>0</v>
      </c>
      <c r="K1968" s="48">
        <v>0</v>
      </c>
      <c r="R1968" s="46">
        <f t="shared" si="196"/>
        <v>0</v>
      </c>
      <c r="S1968" s="46">
        <f t="shared" si="197"/>
        <v>0</v>
      </c>
      <c r="T1968" s="46">
        <f t="shared" si="201"/>
        <v>0</v>
      </c>
      <c r="U1968" s="46">
        <f t="shared" si="198"/>
        <v>0</v>
      </c>
      <c r="V1968" s="54">
        <f t="shared" si="199"/>
        <v>3.3333333333333335</v>
      </c>
    </row>
    <row r="1969" spans="1:22" x14ac:dyDescent="0.2">
      <c r="A1969" s="46" t="s">
        <v>41</v>
      </c>
      <c r="B1969" s="46" t="s">
        <v>119</v>
      </c>
      <c r="C1969" s="46" t="str">
        <f>VLOOKUP(B1969,$B$2:$C$3219,2,FALSE)</f>
        <v>Dallas</v>
      </c>
      <c r="D1969" s="46" t="s">
        <v>178</v>
      </c>
      <c r="E1969" s="46">
        <v>5</v>
      </c>
      <c r="F1969" s="46" t="s">
        <v>63</v>
      </c>
      <c r="G1969" s="46">
        <v>4</v>
      </c>
      <c r="H1969" s="47" t="s">
        <v>172</v>
      </c>
      <c r="I1969" s="47" t="s">
        <v>102</v>
      </c>
      <c r="J1969" s="48">
        <v>0</v>
      </c>
      <c r="K1969" s="48">
        <v>0</v>
      </c>
      <c r="R1969" s="46">
        <f t="shared" si="196"/>
        <v>0</v>
      </c>
      <c r="S1969" s="46">
        <f t="shared" si="197"/>
        <v>0</v>
      </c>
      <c r="U1969" s="46">
        <f t="shared" si="198"/>
        <v>0</v>
      </c>
      <c r="V1969" s="54">
        <f t="shared" si="199"/>
        <v>3.3333333333333335</v>
      </c>
    </row>
    <row r="1970" spans="1:22" x14ac:dyDescent="0.2">
      <c r="A1970" s="46" t="s">
        <v>175</v>
      </c>
      <c r="B1970" s="46" t="s">
        <v>48</v>
      </c>
      <c r="C1970" s="46" t="s">
        <v>88</v>
      </c>
      <c r="D1970" s="46" t="s">
        <v>178</v>
      </c>
      <c r="E1970" s="46">
        <v>4</v>
      </c>
      <c r="F1970" s="46" t="s">
        <v>60</v>
      </c>
      <c r="G1970" s="46">
        <v>4</v>
      </c>
      <c r="H1970" s="47">
        <v>16</v>
      </c>
      <c r="I1970" s="47" t="s">
        <v>102</v>
      </c>
      <c r="J1970" s="48">
        <v>0</v>
      </c>
      <c r="K1970" s="48">
        <v>3</v>
      </c>
      <c r="R1970" s="46">
        <f t="shared" si="196"/>
        <v>0</v>
      </c>
      <c r="S1970" s="46">
        <f t="shared" si="197"/>
        <v>1</v>
      </c>
      <c r="T1970" s="46">
        <f t="shared" ref="T1970:T2001" si="202">quizscore(J1970,K1970)</f>
        <v>-20</v>
      </c>
      <c r="U1970" s="46">
        <f t="shared" si="198"/>
        <v>-20</v>
      </c>
      <c r="V1970" s="54">
        <f t="shared" si="199"/>
        <v>49.333333333333336</v>
      </c>
    </row>
    <row r="1971" spans="1:22" x14ac:dyDescent="0.2">
      <c r="A1971" s="46" t="s">
        <v>175</v>
      </c>
      <c r="B1971" s="46" t="s">
        <v>48</v>
      </c>
      <c r="C1971" s="46" t="s">
        <v>88</v>
      </c>
      <c r="D1971" s="46" t="s">
        <v>178</v>
      </c>
      <c r="E1971" s="46">
        <v>2</v>
      </c>
      <c r="F1971" s="46" t="s">
        <v>60</v>
      </c>
      <c r="G1971" s="46">
        <v>4</v>
      </c>
      <c r="H1971" s="47">
        <v>48</v>
      </c>
      <c r="I1971" s="47" t="s">
        <v>102</v>
      </c>
      <c r="J1971" s="48">
        <v>0</v>
      </c>
      <c r="K1971" s="48">
        <v>2</v>
      </c>
      <c r="M1971" s="48">
        <v>1</v>
      </c>
      <c r="R1971" s="46">
        <f t="shared" si="196"/>
        <v>0</v>
      </c>
      <c r="S1971" s="46">
        <f t="shared" si="197"/>
        <v>0</v>
      </c>
      <c r="T1971" s="46">
        <f t="shared" si="202"/>
        <v>-10</v>
      </c>
      <c r="U1971" s="46">
        <f t="shared" si="198"/>
        <v>10</v>
      </c>
      <c r="V1971" s="54">
        <f t="shared" si="199"/>
        <v>49.333333333333336</v>
      </c>
    </row>
    <row r="1972" spans="1:22" x14ac:dyDescent="0.2">
      <c r="A1972" s="46" t="s">
        <v>175</v>
      </c>
      <c r="B1972" s="46" t="s">
        <v>48</v>
      </c>
      <c r="C1972" s="46" t="s">
        <v>88</v>
      </c>
      <c r="D1972" s="46" t="s">
        <v>178</v>
      </c>
      <c r="E1972" s="46">
        <v>3</v>
      </c>
      <c r="F1972" s="46" t="s">
        <v>60</v>
      </c>
      <c r="G1972" s="46">
        <v>3</v>
      </c>
      <c r="H1972" s="47">
        <v>35</v>
      </c>
      <c r="I1972" s="47" t="s">
        <v>116</v>
      </c>
      <c r="J1972" s="48">
        <v>0</v>
      </c>
      <c r="K1972" s="48">
        <v>1</v>
      </c>
      <c r="R1972" s="46">
        <f t="shared" si="196"/>
        <v>0</v>
      </c>
      <c r="S1972" s="46">
        <f t="shared" si="197"/>
        <v>0</v>
      </c>
      <c r="T1972" s="46">
        <f t="shared" si="202"/>
        <v>0</v>
      </c>
      <c r="U1972" s="46">
        <f t="shared" si="198"/>
        <v>0</v>
      </c>
      <c r="V1972" s="54">
        <f t="shared" si="199"/>
        <v>49.333333333333336</v>
      </c>
    </row>
    <row r="1973" spans="1:22" x14ac:dyDescent="0.2">
      <c r="A1973" s="46" t="s">
        <v>175</v>
      </c>
      <c r="B1973" s="46" t="s">
        <v>48</v>
      </c>
      <c r="C1973" s="46" t="s">
        <v>88</v>
      </c>
      <c r="D1973" s="46" t="s">
        <v>178</v>
      </c>
      <c r="E1973" s="46">
        <v>2</v>
      </c>
      <c r="F1973" s="46" t="s">
        <v>61</v>
      </c>
      <c r="G1973" s="46">
        <v>1</v>
      </c>
      <c r="H1973" s="47" t="s">
        <v>67</v>
      </c>
      <c r="I1973" s="47" t="s">
        <v>101</v>
      </c>
      <c r="J1973" s="48">
        <v>0</v>
      </c>
      <c r="K1973" s="48">
        <v>1</v>
      </c>
      <c r="R1973" s="46">
        <f t="shared" si="196"/>
        <v>0</v>
      </c>
      <c r="S1973" s="46">
        <f t="shared" si="197"/>
        <v>0</v>
      </c>
      <c r="T1973" s="46">
        <f t="shared" si="202"/>
        <v>0</v>
      </c>
      <c r="U1973" s="46">
        <f t="shared" si="198"/>
        <v>0</v>
      </c>
      <c r="V1973" s="54">
        <f t="shared" si="199"/>
        <v>49.333333333333336</v>
      </c>
    </row>
    <row r="1974" spans="1:22" x14ac:dyDescent="0.2">
      <c r="A1974" s="46" t="s">
        <v>175</v>
      </c>
      <c r="B1974" s="46" t="s">
        <v>48</v>
      </c>
      <c r="C1974" s="46" t="s">
        <v>88</v>
      </c>
      <c r="D1974" s="46" t="s">
        <v>178</v>
      </c>
      <c r="E1974" s="46">
        <v>1</v>
      </c>
      <c r="F1974" s="46" t="s">
        <v>61</v>
      </c>
      <c r="G1974" s="46">
        <v>1</v>
      </c>
      <c r="H1974" s="47" t="s">
        <v>75</v>
      </c>
      <c r="I1974" s="47" t="s">
        <v>101</v>
      </c>
      <c r="J1974" s="48">
        <v>0</v>
      </c>
      <c r="K1974" s="48">
        <v>0</v>
      </c>
      <c r="R1974" s="46">
        <f t="shared" si="196"/>
        <v>0</v>
      </c>
      <c r="S1974" s="46">
        <f t="shared" si="197"/>
        <v>0</v>
      </c>
      <c r="T1974" s="46">
        <f t="shared" si="202"/>
        <v>0</v>
      </c>
      <c r="U1974" s="46">
        <f t="shared" si="198"/>
        <v>0</v>
      </c>
      <c r="V1974" s="54">
        <f t="shared" si="199"/>
        <v>49.333333333333336</v>
      </c>
    </row>
    <row r="1975" spans="1:22" x14ac:dyDescent="0.2">
      <c r="A1975" s="46" t="s">
        <v>175</v>
      </c>
      <c r="B1975" s="46" t="s">
        <v>48</v>
      </c>
      <c r="C1975" s="46" t="s">
        <v>88</v>
      </c>
      <c r="D1975" s="46" t="s">
        <v>178</v>
      </c>
      <c r="E1975" s="46">
        <v>2</v>
      </c>
      <c r="F1975" s="46" t="s">
        <v>61</v>
      </c>
      <c r="G1975" s="46">
        <v>1</v>
      </c>
      <c r="H1975" s="47" t="s">
        <v>75</v>
      </c>
      <c r="I1975" s="47" t="s">
        <v>101</v>
      </c>
      <c r="J1975" s="48">
        <v>0</v>
      </c>
      <c r="K1975" s="48">
        <v>0</v>
      </c>
      <c r="M1975" s="48">
        <v>1</v>
      </c>
      <c r="R1975" s="46">
        <f t="shared" si="196"/>
        <v>0</v>
      </c>
      <c r="S1975" s="46">
        <f t="shared" si="197"/>
        <v>0</v>
      </c>
      <c r="T1975" s="46">
        <f t="shared" si="202"/>
        <v>0</v>
      </c>
      <c r="U1975" s="46">
        <f t="shared" si="198"/>
        <v>20</v>
      </c>
      <c r="V1975" s="54">
        <f t="shared" si="199"/>
        <v>49.333333333333336</v>
      </c>
    </row>
    <row r="1976" spans="1:22" x14ac:dyDescent="0.2">
      <c r="A1976" s="46" t="s">
        <v>175</v>
      </c>
      <c r="B1976" s="46" t="s">
        <v>48</v>
      </c>
      <c r="C1976" s="46" t="s">
        <v>88</v>
      </c>
      <c r="D1976" s="46" t="s">
        <v>178</v>
      </c>
      <c r="E1976" s="46">
        <v>1</v>
      </c>
      <c r="F1976" s="46" t="s">
        <v>61</v>
      </c>
      <c r="G1976" s="46">
        <v>1</v>
      </c>
      <c r="H1976" s="47" t="s">
        <v>69</v>
      </c>
      <c r="I1976" s="47" t="s">
        <v>101</v>
      </c>
      <c r="J1976" s="48">
        <v>0</v>
      </c>
      <c r="K1976" s="48">
        <v>0</v>
      </c>
      <c r="R1976" s="46">
        <f t="shared" si="196"/>
        <v>0</v>
      </c>
      <c r="S1976" s="46">
        <f t="shared" si="197"/>
        <v>0</v>
      </c>
      <c r="T1976" s="46">
        <f t="shared" si="202"/>
        <v>0</v>
      </c>
      <c r="U1976" s="46">
        <f t="shared" si="198"/>
        <v>0</v>
      </c>
      <c r="V1976" s="54">
        <f t="shared" si="199"/>
        <v>49.333333333333336</v>
      </c>
    </row>
    <row r="1977" spans="1:22" x14ac:dyDescent="0.2">
      <c r="A1977" s="46" t="s">
        <v>175</v>
      </c>
      <c r="B1977" s="46" t="s">
        <v>48</v>
      </c>
      <c r="C1977" s="46" t="s">
        <v>88</v>
      </c>
      <c r="D1977" s="46" t="s">
        <v>178</v>
      </c>
      <c r="E1977" s="46">
        <v>1</v>
      </c>
      <c r="F1977" s="46" t="s">
        <v>61</v>
      </c>
      <c r="G1977" s="46">
        <v>1</v>
      </c>
      <c r="H1977" s="47" t="s">
        <v>71</v>
      </c>
      <c r="I1977" s="47" t="s">
        <v>101</v>
      </c>
      <c r="J1977" s="48">
        <v>0</v>
      </c>
      <c r="K1977" s="48">
        <v>0</v>
      </c>
      <c r="R1977" s="46">
        <f t="shared" si="196"/>
        <v>0</v>
      </c>
      <c r="S1977" s="46">
        <f t="shared" si="197"/>
        <v>0</v>
      </c>
      <c r="T1977" s="46">
        <f t="shared" si="202"/>
        <v>0</v>
      </c>
      <c r="U1977" s="46">
        <f t="shared" si="198"/>
        <v>0</v>
      </c>
      <c r="V1977" s="54">
        <f t="shared" si="199"/>
        <v>49.333333333333336</v>
      </c>
    </row>
    <row r="1978" spans="1:22" x14ac:dyDescent="0.2">
      <c r="A1978" s="46" t="s">
        <v>175</v>
      </c>
      <c r="B1978" s="46" t="s">
        <v>48</v>
      </c>
      <c r="C1978" s="46" t="s">
        <v>88</v>
      </c>
      <c r="D1978" s="46" t="s">
        <v>178</v>
      </c>
      <c r="E1978" s="46">
        <v>2</v>
      </c>
      <c r="F1978" s="46" t="s">
        <v>61</v>
      </c>
      <c r="G1978" s="46">
        <v>1</v>
      </c>
      <c r="H1978" s="47" t="s">
        <v>78</v>
      </c>
      <c r="I1978" s="47" t="s">
        <v>101</v>
      </c>
      <c r="J1978" s="48">
        <v>0</v>
      </c>
      <c r="K1978" s="48">
        <v>0</v>
      </c>
      <c r="L1978" s="48">
        <v>1</v>
      </c>
      <c r="R1978" s="46">
        <f t="shared" si="196"/>
        <v>0</v>
      </c>
      <c r="S1978" s="46">
        <f t="shared" si="197"/>
        <v>0</v>
      </c>
      <c r="T1978" s="46">
        <f t="shared" si="202"/>
        <v>0</v>
      </c>
      <c r="U1978" s="46">
        <f t="shared" si="198"/>
        <v>-5</v>
      </c>
      <c r="V1978" s="54">
        <f t="shared" si="199"/>
        <v>49.333333333333336</v>
      </c>
    </row>
    <row r="1979" spans="1:22" x14ac:dyDescent="0.2">
      <c r="A1979" s="46" t="s">
        <v>175</v>
      </c>
      <c r="B1979" s="46" t="s">
        <v>48</v>
      </c>
      <c r="C1979" s="46" t="s">
        <v>88</v>
      </c>
      <c r="D1979" s="46" t="s">
        <v>178</v>
      </c>
      <c r="E1979" s="46">
        <v>2</v>
      </c>
      <c r="F1979" s="46" t="s">
        <v>60</v>
      </c>
      <c r="G1979" s="46">
        <v>1</v>
      </c>
      <c r="H1979" s="47">
        <v>5</v>
      </c>
      <c r="I1979" s="47" t="s">
        <v>101</v>
      </c>
      <c r="J1979" s="48">
        <v>1</v>
      </c>
      <c r="K1979" s="48">
        <v>2</v>
      </c>
      <c r="R1979" s="46">
        <f t="shared" si="196"/>
        <v>0</v>
      </c>
      <c r="S1979" s="46">
        <f t="shared" si="197"/>
        <v>0</v>
      </c>
      <c r="T1979" s="46">
        <f t="shared" si="202"/>
        <v>10</v>
      </c>
      <c r="U1979" s="46">
        <f t="shared" si="198"/>
        <v>10</v>
      </c>
      <c r="V1979" s="54">
        <f t="shared" si="199"/>
        <v>49.333333333333336</v>
      </c>
    </row>
    <row r="1980" spans="1:22" x14ac:dyDescent="0.2">
      <c r="A1980" s="46" t="s">
        <v>175</v>
      </c>
      <c r="B1980" s="46" t="s">
        <v>48</v>
      </c>
      <c r="C1980" s="46" t="s">
        <v>88</v>
      </c>
      <c r="D1980" s="46" t="s">
        <v>178</v>
      </c>
      <c r="E1980" s="46">
        <v>4</v>
      </c>
      <c r="F1980" s="46" t="s">
        <v>60</v>
      </c>
      <c r="G1980" s="46">
        <v>3</v>
      </c>
      <c r="H1980" s="47">
        <v>11</v>
      </c>
      <c r="I1980" s="47" t="s">
        <v>159</v>
      </c>
      <c r="J1980" s="48">
        <v>1</v>
      </c>
      <c r="K1980" s="48">
        <v>2</v>
      </c>
      <c r="R1980" s="46">
        <f t="shared" si="196"/>
        <v>0</v>
      </c>
      <c r="S1980" s="46">
        <f t="shared" si="197"/>
        <v>0</v>
      </c>
      <c r="T1980" s="46">
        <f t="shared" si="202"/>
        <v>10</v>
      </c>
      <c r="U1980" s="46">
        <f t="shared" si="198"/>
        <v>10</v>
      </c>
      <c r="V1980" s="54">
        <f t="shared" si="199"/>
        <v>49.333333333333336</v>
      </c>
    </row>
    <row r="1981" spans="1:22" x14ac:dyDescent="0.2">
      <c r="A1981" s="46" t="s">
        <v>175</v>
      </c>
      <c r="B1981" s="46" t="s">
        <v>48</v>
      </c>
      <c r="C1981" s="46" t="s">
        <v>88</v>
      </c>
      <c r="D1981" s="46" t="s">
        <v>178</v>
      </c>
      <c r="E1981" s="46">
        <v>4</v>
      </c>
      <c r="F1981" s="46" t="s">
        <v>60</v>
      </c>
      <c r="G1981" s="46">
        <v>1</v>
      </c>
      <c r="H1981" s="47">
        <v>21</v>
      </c>
      <c r="I1981" s="47" t="s">
        <v>101</v>
      </c>
      <c r="J1981" s="48">
        <v>1</v>
      </c>
      <c r="K1981" s="48">
        <v>2</v>
      </c>
      <c r="M1981" s="48">
        <v>1</v>
      </c>
      <c r="R1981" s="46">
        <f t="shared" si="196"/>
        <v>0</v>
      </c>
      <c r="S1981" s="46">
        <f t="shared" si="197"/>
        <v>0</v>
      </c>
      <c r="T1981" s="46">
        <f t="shared" si="202"/>
        <v>10</v>
      </c>
      <c r="U1981" s="46">
        <f t="shared" si="198"/>
        <v>30</v>
      </c>
      <c r="V1981" s="54">
        <f t="shared" si="199"/>
        <v>49.333333333333336</v>
      </c>
    </row>
    <row r="1982" spans="1:22" x14ac:dyDescent="0.2">
      <c r="A1982" s="46" t="s">
        <v>175</v>
      </c>
      <c r="B1982" s="46" t="s">
        <v>48</v>
      </c>
      <c r="C1982" s="46" t="s">
        <v>88</v>
      </c>
      <c r="D1982" s="46" t="s">
        <v>178</v>
      </c>
      <c r="E1982" s="46">
        <v>3</v>
      </c>
      <c r="F1982" s="46" t="s">
        <v>60</v>
      </c>
      <c r="G1982" s="46">
        <v>1</v>
      </c>
      <c r="H1982" s="47">
        <v>41</v>
      </c>
      <c r="I1982" s="47" t="s">
        <v>101</v>
      </c>
      <c r="J1982" s="48">
        <v>1</v>
      </c>
      <c r="K1982" s="48">
        <v>2</v>
      </c>
      <c r="M1982" s="48">
        <v>1</v>
      </c>
      <c r="R1982" s="46">
        <f t="shared" si="196"/>
        <v>0</v>
      </c>
      <c r="S1982" s="46">
        <f t="shared" si="197"/>
        <v>0</v>
      </c>
      <c r="T1982" s="46">
        <f t="shared" si="202"/>
        <v>10</v>
      </c>
      <c r="U1982" s="46">
        <f t="shared" si="198"/>
        <v>30</v>
      </c>
      <c r="V1982" s="54">
        <f t="shared" si="199"/>
        <v>49.333333333333336</v>
      </c>
    </row>
    <row r="1983" spans="1:22" x14ac:dyDescent="0.2">
      <c r="A1983" s="46" t="s">
        <v>175</v>
      </c>
      <c r="B1983" s="46" t="s">
        <v>48</v>
      </c>
      <c r="C1983" s="46" t="s">
        <v>88</v>
      </c>
      <c r="D1983" s="46" t="s">
        <v>178</v>
      </c>
      <c r="E1983" s="46">
        <v>4</v>
      </c>
      <c r="F1983" s="46" t="s">
        <v>61</v>
      </c>
      <c r="G1983" s="46">
        <v>1</v>
      </c>
      <c r="H1983" s="47" t="s">
        <v>74</v>
      </c>
      <c r="I1983" s="47" t="s">
        <v>101</v>
      </c>
      <c r="J1983" s="48">
        <v>1</v>
      </c>
      <c r="K1983" s="48">
        <v>2</v>
      </c>
      <c r="R1983" s="46">
        <f t="shared" si="196"/>
        <v>0</v>
      </c>
      <c r="S1983" s="46">
        <f t="shared" si="197"/>
        <v>0</v>
      </c>
      <c r="T1983" s="46">
        <f t="shared" si="202"/>
        <v>10</v>
      </c>
      <c r="U1983" s="46">
        <f t="shared" si="198"/>
        <v>10</v>
      </c>
      <c r="V1983" s="54">
        <f t="shared" si="199"/>
        <v>49.333333333333336</v>
      </c>
    </row>
    <row r="1984" spans="1:22" x14ac:dyDescent="0.2">
      <c r="A1984" s="46" t="s">
        <v>175</v>
      </c>
      <c r="B1984" s="46" t="s">
        <v>48</v>
      </c>
      <c r="C1984" s="46" t="s">
        <v>88</v>
      </c>
      <c r="D1984" s="46" t="s">
        <v>178</v>
      </c>
      <c r="E1984" s="46">
        <v>1</v>
      </c>
      <c r="F1984" s="46" t="s">
        <v>60</v>
      </c>
      <c r="G1984" s="46">
        <v>2</v>
      </c>
      <c r="H1984" s="47">
        <v>10</v>
      </c>
      <c r="I1984" s="47" t="s">
        <v>127</v>
      </c>
      <c r="J1984" s="48">
        <v>1</v>
      </c>
      <c r="K1984" s="48">
        <v>0</v>
      </c>
      <c r="R1984" s="46">
        <f t="shared" si="196"/>
        <v>0</v>
      </c>
      <c r="S1984" s="46">
        <f t="shared" si="197"/>
        <v>0</v>
      </c>
      <c r="T1984" s="46">
        <f t="shared" si="202"/>
        <v>20</v>
      </c>
      <c r="U1984" s="46">
        <f t="shared" si="198"/>
        <v>20</v>
      </c>
      <c r="V1984" s="54">
        <f t="shared" si="199"/>
        <v>49.333333333333336</v>
      </c>
    </row>
    <row r="1985" spans="1:22" x14ac:dyDescent="0.2">
      <c r="A1985" s="46" t="s">
        <v>175</v>
      </c>
      <c r="B1985" s="46" t="s">
        <v>48</v>
      </c>
      <c r="C1985" s="46" t="s">
        <v>88</v>
      </c>
      <c r="D1985" s="46" t="s">
        <v>178</v>
      </c>
      <c r="E1985" s="46">
        <v>2</v>
      </c>
      <c r="F1985" s="46" t="s">
        <v>60</v>
      </c>
      <c r="G1985" s="46">
        <v>2</v>
      </c>
      <c r="H1985" s="47">
        <v>38</v>
      </c>
      <c r="I1985" s="47" t="s">
        <v>127</v>
      </c>
      <c r="J1985" s="48">
        <v>1</v>
      </c>
      <c r="K1985" s="48">
        <v>1</v>
      </c>
      <c r="R1985" s="46">
        <f t="shared" si="196"/>
        <v>0</v>
      </c>
      <c r="S1985" s="46">
        <f t="shared" si="197"/>
        <v>0</v>
      </c>
      <c r="T1985" s="46">
        <f t="shared" si="202"/>
        <v>20</v>
      </c>
      <c r="U1985" s="46">
        <f t="shared" si="198"/>
        <v>20</v>
      </c>
      <c r="V1985" s="54">
        <f t="shared" si="199"/>
        <v>49.333333333333336</v>
      </c>
    </row>
    <row r="1986" spans="1:22" x14ac:dyDescent="0.2">
      <c r="A1986" s="46" t="s">
        <v>175</v>
      </c>
      <c r="B1986" s="46" t="s">
        <v>48</v>
      </c>
      <c r="C1986" s="46" t="s">
        <v>88</v>
      </c>
      <c r="D1986" s="46" t="s">
        <v>178</v>
      </c>
      <c r="E1986" s="46">
        <v>1</v>
      </c>
      <c r="F1986" s="46" t="s">
        <v>61</v>
      </c>
      <c r="G1986" s="46">
        <v>1</v>
      </c>
      <c r="H1986" s="47" t="s">
        <v>67</v>
      </c>
      <c r="I1986" s="47" t="s">
        <v>101</v>
      </c>
      <c r="J1986" s="48">
        <v>1</v>
      </c>
      <c r="K1986" s="48">
        <v>0</v>
      </c>
      <c r="R1986" s="46">
        <f t="shared" ref="R1986:R2049" si="203">IF(J1986=4,1,0)</f>
        <v>0</v>
      </c>
      <c r="S1986" s="46">
        <f t="shared" ref="S1986:S2049" si="204">IF(K1986=3,1,0)</f>
        <v>0</v>
      </c>
      <c r="T1986" s="46">
        <f t="shared" si="202"/>
        <v>20</v>
      </c>
      <c r="U1986" s="46">
        <f t="shared" ref="U1986:U2049" si="205">T1986+M1986*(20) + (SUM(O1986:Q1986)*(10)) - L1986*(5) - N1986*(5)</f>
        <v>20</v>
      </c>
      <c r="V1986" s="54">
        <f t="shared" ref="V1986:V2049" si="206">AVERAGEIFS(U:U,A:A,A1986,F:F,"Pre")</f>
        <v>49.333333333333336</v>
      </c>
    </row>
    <row r="1987" spans="1:22" x14ac:dyDescent="0.2">
      <c r="A1987" s="46" t="s">
        <v>175</v>
      </c>
      <c r="B1987" s="46" t="s">
        <v>48</v>
      </c>
      <c r="C1987" s="46" t="s">
        <v>88</v>
      </c>
      <c r="D1987" s="46" t="s">
        <v>178</v>
      </c>
      <c r="E1987" s="46">
        <v>3</v>
      </c>
      <c r="F1987" s="46" t="s">
        <v>61</v>
      </c>
      <c r="G1987" s="46">
        <v>1</v>
      </c>
      <c r="H1987" s="47" t="s">
        <v>70</v>
      </c>
      <c r="I1987" s="47" t="s">
        <v>101</v>
      </c>
      <c r="J1987" s="48">
        <v>1</v>
      </c>
      <c r="K1987" s="48">
        <v>1</v>
      </c>
      <c r="R1987" s="46">
        <f t="shared" si="203"/>
        <v>0</v>
      </c>
      <c r="S1987" s="46">
        <f t="shared" si="204"/>
        <v>0</v>
      </c>
      <c r="T1987" s="46">
        <f t="shared" si="202"/>
        <v>20</v>
      </c>
      <c r="U1987" s="46">
        <f t="shared" si="205"/>
        <v>20</v>
      </c>
      <c r="V1987" s="54">
        <f t="shared" si="206"/>
        <v>49.333333333333336</v>
      </c>
    </row>
    <row r="1988" spans="1:22" x14ac:dyDescent="0.2">
      <c r="A1988" s="46" t="s">
        <v>175</v>
      </c>
      <c r="B1988" s="46" t="s">
        <v>48</v>
      </c>
      <c r="C1988" s="46" t="s">
        <v>88</v>
      </c>
      <c r="D1988" s="46" t="s">
        <v>178</v>
      </c>
      <c r="E1988" s="46">
        <v>4</v>
      </c>
      <c r="F1988" s="46" t="s">
        <v>61</v>
      </c>
      <c r="G1988" s="46">
        <v>2</v>
      </c>
      <c r="H1988" s="47" t="s">
        <v>76</v>
      </c>
      <c r="I1988" s="47" t="s">
        <v>127</v>
      </c>
      <c r="J1988" s="48">
        <v>1</v>
      </c>
      <c r="K1988" s="48">
        <v>1</v>
      </c>
      <c r="L1988" s="48">
        <v>1</v>
      </c>
      <c r="R1988" s="46">
        <f t="shared" si="203"/>
        <v>0</v>
      </c>
      <c r="S1988" s="46">
        <f t="shared" si="204"/>
        <v>0</v>
      </c>
      <c r="T1988" s="46">
        <f t="shared" si="202"/>
        <v>20</v>
      </c>
      <c r="U1988" s="46">
        <f t="shared" si="205"/>
        <v>15</v>
      </c>
      <c r="V1988" s="54">
        <f t="shared" si="206"/>
        <v>49.333333333333336</v>
      </c>
    </row>
    <row r="1989" spans="1:22" x14ac:dyDescent="0.2">
      <c r="A1989" s="46" t="s">
        <v>175</v>
      </c>
      <c r="B1989" s="46" t="s">
        <v>48</v>
      </c>
      <c r="C1989" s="46" t="s">
        <v>88</v>
      </c>
      <c r="D1989" s="46" t="s">
        <v>178</v>
      </c>
      <c r="E1989" s="46">
        <v>1</v>
      </c>
      <c r="F1989" s="46" t="s">
        <v>60</v>
      </c>
      <c r="G1989" s="46">
        <v>1</v>
      </c>
      <c r="H1989" s="47">
        <v>41</v>
      </c>
      <c r="I1989" s="47" t="s">
        <v>101</v>
      </c>
      <c r="J1989" s="48">
        <v>2</v>
      </c>
      <c r="K1989" s="48">
        <v>2</v>
      </c>
      <c r="O1989" s="48">
        <v>1</v>
      </c>
      <c r="R1989" s="46">
        <f t="shared" si="203"/>
        <v>0</v>
      </c>
      <c r="S1989" s="46">
        <f t="shared" si="204"/>
        <v>0</v>
      </c>
      <c r="T1989" s="46">
        <f t="shared" si="202"/>
        <v>30</v>
      </c>
      <c r="U1989" s="46">
        <f t="shared" si="205"/>
        <v>40</v>
      </c>
      <c r="V1989" s="54">
        <f t="shared" si="206"/>
        <v>49.333333333333336</v>
      </c>
    </row>
    <row r="1990" spans="1:22" x14ac:dyDescent="0.2">
      <c r="A1990" s="46" t="s">
        <v>175</v>
      </c>
      <c r="B1990" s="46" t="s">
        <v>48</v>
      </c>
      <c r="C1990" s="46" t="s">
        <v>88</v>
      </c>
      <c r="D1990" s="46" t="s">
        <v>178</v>
      </c>
      <c r="E1990" s="46">
        <v>1</v>
      </c>
      <c r="F1990" s="46" t="s">
        <v>60</v>
      </c>
      <c r="G1990" s="46">
        <v>1</v>
      </c>
      <c r="H1990" s="47">
        <v>1</v>
      </c>
      <c r="I1990" s="47" t="s">
        <v>101</v>
      </c>
      <c r="J1990" s="48">
        <v>2</v>
      </c>
      <c r="K1990" s="48">
        <v>0</v>
      </c>
      <c r="M1990" s="48">
        <v>1</v>
      </c>
      <c r="R1990" s="46">
        <f t="shared" si="203"/>
        <v>0</v>
      </c>
      <c r="S1990" s="46">
        <f t="shared" si="204"/>
        <v>0</v>
      </c>
      <c r="T1990" s="46">
        <f t="shared" si="202"/>
        <v>40</v>
      </c>
      <c r="U1990" s="46">
        <f t="shared" si="205"/>
        <v>60</v>
      </c>
      <c r="V1990" s="54">
        <f t="shared" si="206"/>
        <v>49.333333333333336</v>
      </c>
    </row>
    <row r="1991" spans="1:22" x14ac:dyDescent="0.2">
      <c r="A1991" s="46" t="s">
        <v>175</v>
      </c>
      <c r="B1991" s="46" t="s">
        <v>48</v>
      </c>
      <c r="C1991" s="46" t="s">
        <v>88</v>
      </c>
      <c r="D1991" s="46" t="s">
        <v>178</v>
      </c>
      <c r="E1991" s="46">
        <v>4</v>
      </c>
      <c r="F1991" s="46" t="s">
        <v>60</v>
      </c>
      <c r="G1991" s="46">
        <v>2</v>
      </c>
      <c r="H1991" s="47">
        <v>26</v>
      </c>
      <c r="I1991" s="47" t="s">
        <v>127</v>
      </c>
      <c r="J1991" s="48">
        <v>2</v>
      </c>
      <c r="K1991" s="48">
        <v>1</v>
      </c>
      <c r="R1991" s="46">
        <f t="shared" si="203"/>
        <v>0</v>
      </c>
      <c r="S1991" s="46">
        <f t="shared" si="204"/>
        <v>0</v>
      </c>
      <c r="T1991" s="46">
        <f t="shared" si="202"/>
        <v>40</v>
      </c>
      <c r="U1991" s="46">
        <f t="shared" si="205"/>
        <v>40</v>
      </c>
      <c r="V1991" s="54">
        <f t="shared" si="206"/>
        <v>49.333333333333336</v>
      </c>
    </row>
    <row r="1992" spans="1:22" x14ac:dyDescent="0.2">
      <c r="A1992" s="46" t="s">
        <v>175</v>
      </c>
      <c r="B1992" s="46" t="s">
        <v>48</v>
      </c>
      <c r="C1992" s="46" t="s">
        <v>88</v>
      </c>
      <c r="D1992" s="46" t="s">
        <v>178</v>
      </c>
      <c r="E1992" s="46">
        <v>4</v>
      </c>
      <c r="F1992" s="46" t="s">
        <v>60</v>
      </c>
      <c r="G1992" s="46">
        <v>3</v>
      </c>
      <c r="H1992" s="47">
        <v>43</v>
      </c>
      <c r="I1992" s="47" t="s">
        <v>159</v>
      </c>
      <c r="J1992" s="48">
        <v>2</v>
      </c>
      <c r="K1992" s="48">
        <v>1</v>
      </c>
      <c r="R1992" s="46">
        <f t="shared" si="203"/>
        <v>0</v>
      </c>
      <c r="S1992" s="46">
        <f t="shared" si="204"/>
        <v>0</v>
      </c>
      <c r="T1992" s="46">
        <f t="shared" si="202"/>
        <v>40</v>
      </c>
      <c r="U1992" s="46">
        <f t="shared" si="205"/>
        <v>40</v>
      </c>
      <c r="V1992" s="54">
        <f t="shared" si="206"/>
        <v>49.333333333333336</v>
      </c>
    </row>
    <row r="1993" spans="1:22" x14ac:dyDescent="0.2">
      <c r="A1993" s="46" t="s">
        <v>175</v>
      </c>
      <c r="B1993" s="46" t="s">
        <v>48</v>
      </c>
      <c r="C1993" s="46" t="s">
        <v>88</v>
      </c>
      <c r="D1993" s="46" t="s">
        <v>178</v>
      </c>
      <c r="E1993" s="46">
        <v>3</v>
      </c>
      <c r="F1993" s="46" t="s">
        <v>60</v>
      </c>
      <c r="G1993" s="46">
        <v>2</v>
      </c>
      <c r="H1993" s="47">
        <v>50</v>
      </c>
      <c r="I1993" s="47" t="s">
        <v>127</v>
      </c>
      <c r="J1993" s="48">
        <v>2</v>
      </c>
      <c r="K1993" s="48">
        <v>1</v>
      </c>
      <c r="R1993" s="46">
        <f t="shared" si="203"/>
        <v>0</v>
      </c>
      <c r="S1993" s="46">
        <f t="shared" si="204"/>
        <v>0</v>
      </c>
      <c r="T1993" s="46">
        <f t="shared" si="202"/>
        <v>40</v>
      </c>
      <c r="U1993" s="46">
        <f t="shared" si="205"/>
        <v>40</v>
      </c>
      <c r="V1993" s="54">
        <f t="shared" si="206"/>
        <v>49.333333333333336</v>
      </c>
    </row>
    <row r="1994" spans="1:22" x14ac:dyDescent="0.2">
      <c r="A1994" s="46" t="s">
        <v>175</v>
      </c>
      <c r="B1994" s="46" t="s">
        <v>48</v>
      </c>
      <c r="C1994" s="46" t="s">
        <v>88</v>
      </c>
      <c r="D1994" s="46" t="s">
        <v>178</v>
      </c>
      <c r="E1994" s="46">
        <v>3</v>
      </c>
      <c r="F1994" s="46" t="s">
        <v>60</v>
      </c>
      <c r="G1994" s="46">
        <v>2</v>
      </c>
      <c r="H1994" s="47">
        <v>14</v>
      </c>
      <c r="I1994" s="47" t="s">
        <v>127</v>
      </c>
      <c r="J1994" s="48">
        <v>3</v>
      </c>
      <c r="K1994" s="48">
        <v>2</v>
      </c>
      <c r="O1994" s="48">
        <v>1</v>
      </c>
      <c r="R1994" s="46">
        <f t="shared" si="203"/>
        <v>0</v>
      </c>
      <c r="S1994" s="46">
        <f t="shared" si="204"/>
        <v>0</v>
      </c>
      <c r="T1994" s="46">
        <f t="shared" si="202"/>
        <v>50</v>
      </c>
      <c r="U1994" s="46">
        <f t="shared" si="205"/>
        <v>60</v>
      </c>
      <c r="V1994" s="54">
        <f t="shared" si="206"/>
        <v>49.333333333333336</v>
      </c>
    </row>
    <row r="1995" spans="1:22" x14ac:dyDescent="0.2">
      <c r="A1995" s="46" t="s">
        <v>175</v>
      </c>
      <c r="B1995" s="46" t="s">
        <v>48</v>
      </c>
      <c r="C1995" s="46" t="s">
        <v>88</v>
      </c>
      <c r="D1995" s="46" t="s">
        <v>178</v>
      </c>
      <c r="E1995" s="46">
        <v>3</v>
      </c>
      <c r="F1995" s="46" t="s">
        <v>60</v>
      </c>
      <c r="G1995" s="46">
        <v>3</v>
      </c>
      <c r="H1995" s="47">
        <v>7</v>
      </c>
      <c r="I1995" s="47" t="s">
        <v>116</v>
      </c>
      <c r="J1995" s="48">
        <v>3</v>
      </c>
      <c r="K1995" s="48">
        <v>1</v>
      </c>
      <c r="R1995" s="46">
        <f t="shared" si="203"/>
        <v>0</v>
      </c>
      <c r="S1995" s="46">
        <f t="shared" si="204"/>
        <v>0</v>
      </c>
      <c r="T1995" s="46">
        <f t="shared" si="202"/>
        <v>60</v>
      </c>
      <c r="U1995" s="46">
        <f t="shared" si="205"/>
        <v>60</v>
      </c>
      <c r="V1995" s="54">
        <f t="shared" si="206"/>
        <v>49.333333333333336</v>
      </c>
    </row>
    <row r="1996" spans="1:22" x14ac:dyDescent="0.2">
      <c r="A1996" s="46" t="s">
        <v>175</v>
      </c>
      <c r="B1996" s="46" t="s">
        <v>48</v>
      </c>
      <c r="C1996" s="46" t="s">
        <v>88</v>
      </c>
      <c r="D1996" s="46" t="s">
        <v>178</v>
      </c>
      <c r="E1996" s="46">
        <v>3</v>
      </c>
      <c r="F1996" s="46" t="s">
        <v>60</v>
      </c>
      <c r="G1996" s="46">
        <v>1</v>
      </c>
      <c r="H1996" s="47">
        <v>25</v>
      </c>
      <c r="I1996" s="47" t="s">
        <v>116</v>
      </c>
      <c r="J1996" s="48">
        <v>3</v>
      </c>
      <c r="K1996" s="48">
        <v>1</v>
      </c>
      <c r="O1996" s="48">
        <v>1</v>
      </c>
      <c r="R1996" s="46">
        <f t="shared" si="203"/>
        <v>0</v>
      </c>
      <c r="S1996" s="46">
        <f t="shared" si="204"/>
        <v>0</v>
      </c>
      <c r="T1996" s="46">
        <f t="shared" si="202"/>
        <v>60</v>
      </c>
      <c r="U1996" s="46">
        <f t="shared" si="205"/>
        <v>70</v>
      </c>
      <c r="V1996" s="54">
        <f t="shared" si="206"/>
        <v>49.333333333333336</v>
      </c>
    </row>
    <row r="1997" spans="1:22" x14ac:dyDescent="0.2">
      <c r="A1997" s="46" t="s">
        <v>175</v>
      </c>
      <c r="B1997" s="46" t="s">
        <v>48</v>
      </c>
      <c r="C1997" s="46" t="s">
        <v>88</v>
      </c>
      <c r="D1997" s="46" t="s">
        <v>178</v>
      </c>
      <c r="E1997" s="46">
        <v>1</v>
      </c>
      <c r="F1997" s="46" t="s">
        <v>60</v>
      </c>
      <c r="G1997" s="46">
        <v>4</v>
      </c>
      <c r="H1997" s="47">
        <v>36</v>
      </c>
      <c r="I1997" s="47" t="s">
        <v>102</v>
      </c>
      <c r="J1997" s="48">
        <v>3</v>
      </c>
      <c r="K1997" s="48">
        <v>0</v>
      </c>
      <c r="R1997" s="46">
        <f t="shared" si="203"/>
        <v>0</v>
      </c>
      <c r="S1997" s="46">
        <f t="shared" si="204"/>
        <v>0</v>
      </c>
      <c r="T1997" s="46">
        <f t="shared" si="202"/>
        <v>60</v>
      </c>
      <c r="U1997" s="46">
        <f t="shared" si="205"/>
        <v>60</v>
      </c>
      <c r="V1997" s="54">
        <f t="shared" si="206"/>
        <v>49.333333333333336</v>
      </c>
    </row>
    <row r="1998" spans="1:22" x14ac:dyDescent="0.2">
      <c r="A1998" s="46" t="s">
        <v>175</v>
      </c>
      <c r="B1998" s="46" t="s">
        <v>48</v>
      </c>
      <c r="C1998" s="46" t="s">
        <v>88</v>
      </c>
      <c r="D1998" s="46" t="s">
        <v>178</v>
      </c>
      <c r="E1998" s="46">
        <v>3</v>
      </c>
      <c r="F1998" s="46" t="s">
        <v>61</v>
      </c>
      <c r="G1998" s="46">
        <v>2</v>
      </c>
      <c r="H1998" s="47" t="s">
        <v>76</v>
      </c>
      <c r="I1998" s="47" t="s">
        <v>127</v>
      </c>
      <c r="J1998" s="48">
        <v>3</v>
      </c>
      <c r="K1998" s="48">
        <v>1</v>
      </c>
      <c r="R1998" s="46">
        <f t="shared" si="203"/>
        <v>0</v>
      </c>
      <c r="S1998" s="46">
        <f t="shared" si="204"/>
        <v>0</v>
      </c>
      <c r="T1998" s="46">
        <f t="shared" si="202"/>
        <v>60</v>
      </c>
      <c r="U1998" s="46">
        <f t="shared" si="205"/>
        <v>60</v>
      </c>
      <c r="V1998" s="54">
        <f t="shared" si="206"/>
        <v>49.333333333333336</v>
      </c>
    </row>
    <row r="1999" spans="1:22" x14ac:dyDescent="0.2">
      <c r="A1999" s="46" t="s">
        <v>175</v>
      </c>
      <c r="B1999" s="46" t="s">
        <v>48</v>
      </c>
      <c r="C1999" s="46" t="s">
        <v>88</v>
      </c>
      <c r="D1999" s="46" t="s">
        <v>178</v>
      </c>
      <c r="E1999" s="46">
        <v>2</v>
      </c>
      <c r="F1999" s="46" t="s">
        <v>61</v>
      </c>
      <c r="G1999" s="46">
        <v>1</v>
      </c>
      <c r="H1999" s="47" t="s">
        <v>78</v>
      </c>
      <c r="I1999" s="47" t="s">
        <v>101</v>
      </c>
      <c r="J1999" s="48">
        <v>3</v>
      </c>
      <c r="K1999" s="48">
        <v>1</v>
      </c>
      <c r="L1999" s="48">
        <v>1</v>
      </c>
      <c r="R1999" s="46">
        <f t="shared" si="203"/>
        <v>0</v>
      </c>
      <c r="S1999" s="46">
        <f t="shared" si="204"/>
        <v>0</v>
      </c>
      <c r="T1999" s="46">
        <f t="shared" si="202"/>
        <v>60</v>
      </c>
      <c r="U1999" s="46">
        <f t="shared" si="205"/>
        <v>55</v>
      </c>
      <c r="V1999" s="54">
        <f t="shared" si="206"/>
        <v>49.333333333333336</v>
      </c>
    </row>
    <row r="2000" spans="1:22" x14ac:dyDescent="0.2">
      <c r="A2000" s="46" t="s">
        <v>175</v>
      </c>
      <c r="B2000" s="46" t="s">
        <v>48</v>
      </c>
      <c r="C2000" s="46" t="s">
        <v>88</v>
      </c>
      <c r="D2000" s="46" t="s">
        <v>178</v>
      </c>
      <c r="E2000" s="46">
        <v>4</v>
      </c>
      <c r="F2000" s="46" t="s">
        <v>60</v>
      </c>
      <c r="G2000" s="46">
        <v>4</v>
      </c>
      <c r="H2000" s="47">
        <v>4</v>
      </c>
      <c r="I2000" s="47" t="s">
        <v>102</v>
      </c>
      <c r="J2000" s="48">
        <v>4</v>
      </c>
      <c r="K2000" s="48">
        <v>0</v>
      </c>
      <c r="O2000" s="48">
        <v>1</v>
      </c>
      <c r="R2000" s="46">
        <f t="shared" si="203"/>
        <v>1</v>
      </c>
      <c r="S2000" s="46">
        <f t="shared" si="204"/>
        <v>0</v>
      </c>
      <c r="T2000" s="46">
        <f t="shared" si="202"/>
        <v>90</v>
      </c>
      <c r="U2000" s="46">
        <f t="shared" si="205"/>
        <v>100</v>
      </c>
      <c r="V2000" s="54">
        <f t="shared" si="206"/>
        <v>49.333333333333336</v>
      </c>
    </row>
    <row r="2001" spans="1:22" x14ac:dyDescent="0.2">
      <c r="A2001" s="46" t="s">
        <v>175</v>
      </c>
      <c r="B2001" s="46" t="s">
        <v>48</v>
      </c>
      <c r="C2001" s="46" t="s">
        <v>88</v>
      </c>
      <c r="D2001" s="46" t="s">
        <v>178</v>
      </c>
      <c r="E2001" s="46">
        <v>2</v>
      </c>
      <c r="F2001" s="46" t="s">
        <v>60</v>
      </c>
      <c r="G2001" s="46">
        <v>3</v>
      </c>
      <c r="H2001" s="47">
        <v>15</v>
      </c>
      <c r="I2001" s="47" t="s">
        <v>116</v>
      </c>
      <c r="J2001" s="48">
        <v>4</v>
      </c>
      <c r="K2001" s="48">
        <v>0</v>
      </c>
      <c r="O2001" s="48">
        <v>1</v>
      </c>
      <c r="R2001" s="46">
        <f t="shared" si="203"/>
        <v>1</v>
      </c>
      <c r="S2001" s="46">
        <f t="shared" si="204"/>
        <v>0</v>
      </c>
      <c r="T2001" s="46">
        <f t="shared" si="202"/>
        <v>90</v>
      </c>
      <c r="U2001" s="46">
        <f t="shared" si="205"/>
        <v>100</v>
      </c>
      <c r="V2001" s="54">
        <f t="shared" si="206"/>
        <v>49.333333333333336</v>
      </c>
    </row>
    <row r="2002" spans="1:22" x14ac:dyDescent="0.2">
      <c r="A2002" s="46" t="s">
        <v>175</v>
      </c>
      <c r="B2002" s="46" t="s">
        <v>48</v>
      </c>
      <c r="C2002" s="46" t="s">
        <v>88</v>
      </c>
      <c r="D2002" s="46" t="s">
        <v>178</v>
      </c>
      <c r="E2002" s="46">
        <v>1</v>
      </c>
      <c r="F2002" s="46" t="s">
        <v>60</v>
      </c>
      <c r="G2002" s="46">
        <v>3</v>
      </c>
      <c r="H2002" s="47">
        <v>19</v>
      </c>
      <c r="I2002" s="47" t="s">
        <v>116</v>
      </c>
      <c r="J2002" s="48">
        <v>4</v>
      </c>
      <c r="K2002" s="48">
        <v>0</v>
      </c>
      <c r="O2002" s="48">
        <v>1</v>
      </c>
      <c r="R2002" s="46">
        <f t="shared" si="203"/>
        <v>1</v>
      </c>
      <c r="S2002" s="46">
        <f t="shared" si="204"/>
        <v>0</v>
      </c>
      <c r="T2002" s="46">
        <f t="shared" ref="T2002:T2033" si="207">quizscore(J2002,K2002)</f>
        <v>90</v>
      </c>
      <c r="U2002" s="46">
        <f t="shared" si="205"/>
        <v>100</v>
      </c>
      <c r="V2002" s="54">
        <f t="shared" si="206"/>
        <v>49.333333333333336</v>
      </c>
    </row>
    <row r="2003" spans="1:22" x14ac:dyDescent="0.2">
      <c r="A2003" s="46" t="s">
        <v>175</v>
      </c>
      <c r="B2003" s="46" t="s">
        <v>48</v>
      </c>
      <c r="C2003" s="46" t="s">
        <v>88</v>
      </c>
      <c r="D2003" s="46" t="s">
        <v>178</v>
      </c>
      <c r="E2003" s="46">
        <v>2</v>
      </c>
      <c r="F2003" s="46" t="s">
        <v>60</v>
      </c>
      <c r="G2003" s="46">
        <v>2</v>
      </c>
      <c r="H2003" s="47">
        <v>22</v>
      </c>
      <c r="I2003" s="47" t="s">
        <v>127</v>
      </c>
      <c r="J2003" s="48">
        <v>4</v>
      </c>
      <c r="K2003" s="48">
        <v>0</v>
      </c>
      <c r="O2003" s="48">
        <v>1</v>
      </c>
      <c r="R2003" s="46">
        <f t="shared" si="203"/>
        <v>1</v>
      </c>
      <c r="S2003" s="46">
        <f t="shared" si="204"/>
        <v>0</v>
      </c>
      <c r="T2003" s="46">
        <f t="shared" si="207"/>
        <v>90</v>
      </c>
      <c r="U2003" s="46">
        <f t="shared" si="205"/>
        <v>100</v>
      </c>
      <c r="V2003" s="54">
        <f t="shared" si="206"/>
        <v>49.333333333333336</v>
      </c>
    </row>
    <row r="2004" spans="1:22" x14ac:dyDescent="0.2">
      <c r="A2004" s="46" t="s">
        <v>175</v>
      </c>
      <c r="B2004" s="46" t="s">
        <v>48</v>
      </c>
      <c r="C2004" s="46" t="s">
        <v>88</v>
      </c>
      <c r="D2004" s="46" t="s">
        <v>178</v>
      </c>
      <c r="E2004" s="46">
        <v>1</v>
      </c>
      <c r="F2004" s="46" t="s">
        <v>60</v>
      </c>
      <c r="G2004" s="46">
        <v>4</v>
      </c>
      <c r="H2004" s="47">
        <v>32</v>
      </c>
      <c r="I2004" s="47" t="s">
        <v>102</v>
      </c>
      <c r="J2004" s="48">
        <v>4</v>
      </c>
      <c r="K2004" s="48">
        <v>0</v>
      </c>
      <c r="O2004" s="48">
        <v>1</v>
      </c>
      <c r="R2004" s="46">
        <f t="shared" si="203"/>
        <v>1</v>
      </c>
      <c r="S2004" s="46">
        <f t="shared" si="204"/>
        <v>0</v>
      </c>
      <c r="T2004" s="46">
        <f t="shared" si="207"/>
        <v>90</v>
      </c>
      <c r="U2004" s="46">
        <f t="shared" si="205"/>
        <v>100</v>
      </c>
      <c r="V2004" s="54">
        <f t="shared" si="206"/>
        <v>49.333333333333336</v>
      </c>
    </row>
    <row r="2005" spans="1:22" x14ac:dyDescent="0.2">
      <c r="A2005" s="46" t="s">
        <v>175</v>
      </c>
      <c r="B2005" s="46" t="s">
        <v>48</v>
      </c>
      <c r="C2005" s="46" t="s">
        <v>88</v>
      </c>
      <c r="D2005" s="46" t="s">
        <v>178</v>
      </c>
      <c r="E2005" s="46">
        <v>2</v>
      </c>
      <c r="F2005" s="46" t="s">
        <v>60</v>
      </c>
      <c r="G2005" s="46">
        <v>4</v>
      </c>
      <c r="H2005" s="47">
        <v>32</v>
      </c>
      <c r="I2005" s="47" t="s">
        <v>102</v>
      </c>
      <c r="J2005" s="48">
        <v>4</v>
      </c>
      <c r="K2005" s="48">
        <v>0</v>
      </c>
      <c r="R2005" s="46">
        <f t="shared" si="203"/>
        <v>1</v>
      </c>
      <c r="S2005" s="46">
        <f t="shared" si="204"/>
        <v>0</v>
      </c>
      <c r="T2005" s="46">
        <f t="shared" si="207"/>
        <v>90</v>
      </c>
      <c r="U2005" s="46">
        <f t="shared" si="205"/>
        <v>90</v>
      </c>
      <c r="V2005" s="54">
        <f t="shared" si="206"/>
        <v>49.333333333333336</v>
      </c>
    </row>
    <row r="2006" spans="1:22" x14ac:dyDescent="0.2">
      <c r="A2006" s="46" t="s">
        <v>175</v>
      </c>
      <c r="B2006" s="46" t="s">
        <v>48</v>
      </c>
      <c r="C2006" s="46" t="s">
        <v>88</v>
      </c>
      <c r="D2006" s="46" t="s">
        <v>178</v>
      </c>
      <c r="E2006" s="46">
        <v>5</v>
      </c>
      <c r="F2006" s="46" t="s">
        <v>60</v>
      </c>
      <c r="G2006" s="46">
        <v>1</v>
      </c>
      <c r="H2006" s="47">
        <v>1</v>
      </c>
      <c r="I2006" s="47" t="s">
        <v>101</v>
      </c>
      <c r="J2006" s="48">
        <v>2</v>
      </c>
      <c r="K2006" s="48">
        <v>0</v>
      </c>
      <c r="R2006" s="46">
        <f t="shared" si="203"/>
        <v>0</v>
      </c>
      <c r="S2006" s="46">
        <f t="shared" si="204"/>
        <v>0</v>
      </c>
      <c r="T2006" s="46">
        <f t="shared" si="207"/>
        <v>40</v>
      </c>
      <c r="U2006" s="46">
        <f t="shared" si="205"/>
        <v>40</v>
      </c>
      <c r="V2006" s="54">
        <f t="shared" si="206"/>
        <v>49.333333333333336</v>
      </c>
    </row>
    <row r="2007" spans="1:22" x14ac:dyDescent="0.2">
      <c r="A2007" s="46" t="s">
        <v>175</v>
      </c>
      <c r="B2007" s="46" t="s">
        <v>48</v>
      </c>
      <c r="C2007" s="46" t="s">
        <v>88</v>
      </c>
      <c r="D2007" s="46" t="s">
        <v>178</v>
      </c>
      <c r="E2007" s="46">
        <v>5</v>
      </c>
      <c r="F2007" s="46" t="s">
        <v>60</v>
      </c>
      <c r="G2007" s="46">
        <v>4</v>
      </c>
      <c r="H2007" s="47">
        <v>8</v>
      </c>
      <c r="I2007" s="47" t="s">
        <v>102</v>
      </c>
      <c r="J2007" s="48">
        <v>2</v>
      </c>
      <c r="K2007" s="48">
        <v>2</v>
      </c>
      <c r="M2007" s="48">
        <v>1</v>
      </c>
      <c r="R2007" s="46">
        <f t="shared" si="203"/>
        <v>0</v>
      </c>
      <c r="S2007" s="46">
        <f t="shared" si="204"/>
        <v>0</v>
      </c>
      <c r="T2007" s="46">
        <f t="shared" si="207"/>
        <v>30</v>
      </c>
      <c r="U2007" s="46">
        <f t="shared" si="205"/>
        <v>50</v>
      </c>
      <c r="V2007" s="54">
        <f t="shared" si="206"/>
        <v>49.333333333333336</v>
      </c>
    </row>
    <row r="2008" spans="1:22" x14ac:dyDescent="0.2">
      <c r="A2008" s="46" t="s">
        <v>175</v>
      </c>
      <c r="B2008" s="46" t="s">
        <v>48</v>
      </c>
      <c r="C2008" s="46" t="s">
        <v>88</v>
      </c>
      <c r="D2008" s="46" t="s">
        <v>178</v>
      </c>
      <c r="E2008" s="46">
        <v>5</v>
      </c>
      <c r="F2008" s="46" t="s">
        <v>60</v>
      </c>
      <c r="G2008" s="46">
        <v>2</v>
      </c>
      <c r="H2008" s="47">
        <v>14</v>
      </c>
      <c r="I2008" s="47" t="s">
        <v>127</v>
      </c>
      <c r="J2008" s="48">
        <v>3</v>
      </c>
      <c r="K2008" s="48">
        <v>1</v>
      </c>
      <c r="R2008" s="46">
        <f t="shared" si="203"/>
        <v>0</v>
      </c>
      <c r="S2008" s="46">
        <f t="shared" si="204"/>
        <v>0</v>
      </c>
      <c r="T2008" s="46">
        <f t="shared" si="207"/>
        <v>60</v>
      </c>
      <c r="U2008" s="46">
        <f t="shared" si="205"/>
        <v>60</v>
      </c>
      <c r="V2008" s="54">
        <f t="shared" si="206"/>
        <v>49.333333333333336</v>
      </c>
    </row>
    <row r="2009" spans="1:22" x14ac:dyDescent="0.2">
      <c r="A2009" s="46" t="s">
        <v>175</v>
      </c>
      <c r="B2009" s="46" t="s">
        <v>48</v>
      </c>
      <c r="C2009" s="46" t="s">
        <v>88</v>
      </c>
      <c r="D2009" s="46" t="s">
        <v>178</v>
      </c>
      <c r="E2009" s="46">
        <v>5</v>
      </c>
      <c r="F2009" s="46" t="s">
        <v>60</v>
      </c>
      <c r="G2009" s="46">
        <v>3</v>
      </c>
      <c r="H2009" s="47">
        <v>27</v>
      </c>
      <c r="I2009" s="47" t="s">
        <v>159</v>
      </c>
      <c r="J2009" s="48">
        <v>4</v>
      </c>
      <c r="K2009" s="48">
        <v>1</v>
      </c>
      <c r="R2009" s="46">
        <f t="shared" si="203"/>
        <v>1</v>
      </c>
      <c r="S2009" s="46">
        <f t="shared" si="204"/>
        <v>0</v>
      </c>
      <c r="T2009" s="46">
        <f t="shared" si="207"/>
        <v>80</v>
      </c>
      <c r="U2009" s="46">
        <f t="shared" si="205"/>
        <v>80</v>
      </c>
      <c r="V2009" s="54">
        <f t="shared" si="206"/>
        <v>49.333333333333336</v>
      </c>
    </row>
    <row r="2010" spans="1:22" x14ac:dyDescent="0.2">
      <c r="A2010" s="46" t="s">
        <v>175</v>
      </c>
      <c r="B2010" s="46" t="s">
        <v>48</v>
      </c>
      <c r="C2010" s="46" t="s">
        <v>88</v>
      </c>
      <c r="D2010" s="46" t="s">
        <v>178</v>
      </c>
      <c r="E2010" s="46">
        <v>5</v>
      </c>
      <c r="F2010" s="46" t="s">
        <v>60</v>
      </c>
      <c r="G2010" s="46">
        <v>3</v>
      </c>
      <c r="H2010" s="47">
        <v>39</v>
      </c>
      <c r="I2010" s="47" t="s">
        <v>159</v>
      </c>
      <c r="J2010" s="48">
        <v>3</v>
      </c>
      <c r="K2010" s="48">
        <v>2</v>
      </c>
      <c r="R2010" s="46">
        <f t="shared" si="203"/>
        <v>0</v>
      </c>
      <c r="S2010" s="46">
        <f t="shared" si="204"/>
        <v>0</v>
      </c>
      <c r="T2010" s="46">
        <f t="shared" si="207"/>
        <v>50</v>
      </c>
      <c r="U2010" s="46">
        <f t="shared" si="205"/>
        <v>50</v>
      </c>
      <c r="V2010" s="54">
        <f t="shared" si="206"/>
        <v>49.333333333333336</v>
      </c>
    </row>
    <row r="2011" spans="1:22" x14ac:dyDescent="0.2">
      <c r="A2011" s="46" t="s">
        <v>175</v>
      </c>
      <c r="B2011" s="46" t="s">
        <v>48</v>
      </c>
      <c r="C2011" s="46" t="s">
        <v>88</v>
      </c>
      <c r="D2011" s="46" t="s">
        <v>178</v>
      </c>
      <c r="E2011" s="46">
        <v>5</v>
      </c>
      <c r="F2011" s="46" t="s">
        <v>60</v>
      </c>
      <c r="G2011" s="46">
        <v>1</v>
      </c>
      <c r="H2011" s="47">
        <v>45</v>
      </c>
      <c r="I2011" s="47" t="s">
        <v>101</v>
      </c>
      <c r="J2011" s="48">
        <v>2</v>
      </c>
      <c r="K2011" s="48">
        <v>2</v>
      </c>
      <c r="R2011" s="46">
        <f t="shared" si="203"/>
        <v>0</v>
      </c>
      <c r="S2011" s="46">
        <f t="shared" si="204"/>
        <v>0</v>
      </c>
      <c r="T2011" s="46">
        <f t="shared" si="207"/>
        <v>30</v>
      </c>
      <c r="U2011" s="46">
        <f t="shared" si="205"/>
        <v>30</v>
      </c>
      <c r="V2011" s="54">
        <f t="shared" si="206"/>
        <v>49.333333333333336</v>
      </c>
    </row>
    <row r="2012" spans="1:22" x14ac:dyDescent="0.2">
      <c r="A2012" s="46" t="s">
        <v>175</v>
      </c>
      <c r="B2012" s="46" t="s">
        <v>48</v>
      </c>
      <c r="C2012" s="46" t="s">
        <v>88</v>
      </c>
      <c r="D2012" s="46" t="s">
        <v>178</v>
      </c>
      <c r="E2012" s="46">
        <v>5</v>
      </c>
      <c r="F2012" s="46" t="s">
        <v>61</v>
      </c>
      <c r="G2012" s="46">
        <v>1</v>
      </c>
      <c r="H2012" s="47" t="s">
        <v>74</v>
      </c>
      <c r="I2012" s="47" t="s">
        <v>101</v>
      </c>
      <c r="J2012" s="48">
        <v>1</v>
      </c>
      <c r="K2012" s="48">
        <v>1</v>
      </c>
      <c r="R2012" s="46">
        <f t="shared" si="203"/>
        <v>0</v>
      </c>
      <c r="S2012" s="46">
        <f t="shared" si="204"/>
        <v>0</v>
      </c>
      <c r="T2012" s="46">
        <f t="shared" si="207"/>
        <v>20</v>
      </c>
      <c r="U2012" s="46">
        <f t="shared" si="205"/>
        <v>20</v>
      </c>
      <c r="V2012" s="54">
        <f t="shared" si="206"/>
        <v>49.333333333333336</v>
      </c>
    </row>
    <row r="2013" spans="1:22" x14ac:dyDescent="0.2">
      <c r="A2013" s="46" t="s">
        <v>175</v>
      </c>
      <c r="B2013" s="46" t="s">
        <v>48</v>
      </c>
      <c r="C2013" s="46" t="s">
        <v>88</v>
      </c>
      <c r="D2013" s="46" t="s">
        <v>178</v>
      </c>
      <c r="E2013" s="46">
        <v>5</v>
      </c>
      <c r="F2013" s="46" t="s">
        <v>61</v>
      </c>
      <c r="G2013" s="46">
        <v>2</v>
      </c>
      <c r="H2013" s="47" t="s">
        <v>76</v>
      </c>
      <c r="I2013" s="47" t="s">
        <v>127</v>
      </c>
      <c r="J2013" s="48">
        <v>4</v>
      </c>
      <c r="K2013" s="48">
        <v>0</v>
      </c>
      <c r="R2013" s="46">
        <f t="shared" si="203"/>
        <v>1</v>
      </c>
      <c r="S2013" s="46">
        <f t="shared" si="204"/>
        <v>0</v>
      </c>
      <c r="T2013" s="46">
        <f t="shared" si="207"/>
        <v>90</v>
      </c>
      <c r="U2013" s="46">
        <f t="shared" si="205"/>
        <v>90</v>
      </c>
      <c r="V2013" s="54">
        <f t="shared" si="206"/>
        <v>49.333333333333336</v>
      </c>
    </row>
    <row r="2014" spans="1:22" x14ac:dyDescent="0.2">
      <c r="A2014" s="46" t="s">
        <v>175</v>
      </c>
      <c r="B2014" s="46" t="s">
        <v>48</v>
      </c>
      <c r="C2014" s="46" t="s">
        <v>88</v>
      </c>
      <c r="D2014" s="46" t="s">
        <v>178</v>
      </c>
      <c r="E2014" s="46">
        <v>5</v>
      </c>
      <c r="F2014" s="46" t="s">
        <v>61</v>
      </c>
      <c r="G2014" s="46">
        <v>2</v>
      </c>
      <c r="H2014" s="47" t="s">
        <v>66</v>
      </c>
      <c r="I2014" s="47" t="s">
        <v>127</v>
      </c>
      <c r="J2014" s="48">
        <v>1</v>
      </c>
      <c r="K2014" s="48">
        <v>1</v>
      </c>
      <c r="R2014" s="46">
        <f t="shared" si="203"/>
        <v>0</v>
      </c>
      <c r="S2014" s="46">
        <f t="shared" si="204"/>
        <v>0</v>
      </c>
      <c r="T2014" s="46">
        <f t="shared" si="207"/>
        <v>20</v>
      </c>
      <c r="U2014" s="46">
        <f t="shared" si="205"/>
        <v>20</v>
      </c>
      <c r="V2014" s="54">
        <f t="shared" si="206"/>
        <v>49.333333333333336</v>
      </c>
    </row>
    <row r="2015" spans="1:22" x14ac:dyDescent="0.2">
      <c r="A2015" s="46" t="s">
        <v>175</v>
      </c>
      <c r="B2015" s="46" t="s">
        <v>48</v>
      </c>
      <c r="C2015" s="46" t="s">
        <v>88</v>
      </c>
      <c r="D2015" s="46" t="s">
        <v>178</v>
      </c>
      <c r="E2015" s="46">
        <v>5</v>
      </c>
      <c r="F2015" s="46" t="s">
        <v>61</v>
      </c>
      <c r="G2015" s="46">
        <v>1</v>
      </c>
      <c r="H2015" s="47" t="s">
        <v>71</v>
      </c>
      <c r="I2015" s="47" t="s">
        <v>101</v>
      </c>
      <c r="J2015" s="48">
        <v>2</v>
      </c>
      <c r="K2015" s="48">
        <v>1</v>
      </c>
      <c r="R2015" s="46">
        <f t="shared" si="203"/>
        <v>0</v>
      </c>
      <c r="S2015" s="46">
        <f t="shared" si="204"/>
        <v>0</v>
      </c>
      <c r="T2015" s="46">
        <f t="shared" si="207"/>
        <v>40</v>
      </c>
      <c r="U2015" s="46">
        <f t="shared" si="205"/>
        <v>40</v>
      </c>
      <c r="V2015" s="54">
        <f t="shared" si="206"/>
        <v>49.333333333333336</v>
      </c>
    </row>
    <row r="2016" spans="1:22" x14ac:dyDescent="0.2">
      <c r="A2016" s="46" t="s">
        <v>29</v>
      </c>
      <c r="B2016" s="46" t="s">
        <v>207</v>
      </c>
      <c r="C2016" s="46" t="s">
        <v>90</v>
      </c>
      <c r="D2016" s="46" t="s">
        <v>178</v>
      </c>
      <c r="E2016" s="46">
        <v>3</v>
      </c>
      <c r="F2016" s="46" t="s">
        <v>60</v>
      </c>
      <c r="G2016" s="46">
        <v>3</v>
      </c>
      <c r="H2016" s="47">
        <v>47</v>
      </c>
      <c r="I2016" s="47" t="s">
        <v>116</v>
      </c>
      <c r="J2016" s="48">
        <v>1</v>
      </c>
      <c r="K2016" s="48">
        <v>2</v>
      </c>
      <c r="R2016" s="46">
        <f t="shared" si="203"/>
        <v>0</v>
      </c>
      <c r="S2016" s="46">
        <f t="shared" si="204"/>
        <v>0</v>
      </c>
      <c r="T2016" s="46">
        <f t="shared" si="207"/>
        <v>10</v>
      </c>
      <c r="U2016" s="46">
        <f t="shared" si="205"/>
        <v>10</v>
      </c>
      <c r="V2016" s="54">
        <f t="shared" si="206"/>
        <v>62.833333333333336</v>
      </c>
    </row>
    <row r="2017" spans="1:22" x14ac:dyDescent="0.2">
      <c r="A2017" s="46" t="s">
        <v>29</v>
      </c>
      <c r="B2017" s="46" t="s">
        <v>207</v>
      </c>
      <c r="C2017" s="46" t="s">
        <v>90</v>
      </c>
      <c r="D2017" s="46" t="s">
        <v>178</v>
      </c>
      <c r="E2017" s="46">
        <v>2</v>
      </c>
      <c r="F2017" s="46" t="s">
        <v>61</v>
      </c>
      <c r="G2017" s="46">
        <v>1</v>
      </c>
      <c r="H2017" s="47" t="s">
        <v>67</v>
      </c>
      <c r="I2017" s="47" t="s">
        <v>101</v>
      </c>
      <c r="J2017" s="48">
        <v>1</v>
      </c>
      <c r="K2017" s="48">
        <v>2</v>
      </c>
      <c r="M2017" s="48">
        <v>1</v>
      </c>
      <c r="R2017" s="46">
        <f t="shared" si="203"/>
        <v>0</v>
      </c>
      <c r="S2017" s="46">
        <f t="shared" si="204"/>
        <v>0</v>
      </c>
      <c r="T2017" s="46">
        <f t="shared" si="207"/>
        <v>10</v>
      </c>
      <c r="U2017" s="46">
        <f t="shared" si="205"/>
        <v>30</v>
      </c>
      <c r="V2017" s="54">
        <f t="shared" si="206"/>
        <v>62.833333333333336</v>
      </c>
    </row>
    <row r="2018" spans="1:22" x14ac:dyDescent="0.2">
      <c r="A2018" s="46" t="s">
        <v>29</v>
      </c>
      <c r="B2018" s="46" t="s">
        <v>207</v>
      </c>
      <c r="C2018" s="46" t="s">
        <v>90</v>
      </c>
      <c r="D2018" s="46" t="s">
        <v>178</v>
      </c>
      <c r="E2018" s="46">
        <v>2</v>
      </c>
      <c r="F2018" s="46" t="s">
        <v>61</v>
      </c>
      <c r="G2018" s="46">
        <v>2</v>
      </c>
      <c r="H2018" s="47" t="s">
        <v>76</v>
      </c>
      <c r="I2018" s="47" t="s">
        <v>127</v>
      </c>
      <c r="J2018" s="48">
        <v>1</v>
      </c>
      <c r="K2018" s="48">
        <v>2</v>
      </c>
      <c r="M2018" s="48">
        <v>1</v>
      </c>
      <c r="R2018" s="46">
        <f t="shared" si="203"/>
        <v>0</v>
      </c>
      <c r="S2018" s="46">
        <f t="shared" si="204"/>
        <v>0</v>
      </c>
      <c r="T2018" s="46">
        <f t="shared" si="207"/>
        <v>10</v>
      </c>
      <c r="U2018" s="46">
        <f t="shared" si="205"/>
        <v>30</v>
      </c>
      <c r="V2018" s="54">
        <f t="shared" si="206"/>
        <v>62.833333333333336</v>
      </c>
    </row>
    <row r="2019" spans="1:22" x14ac:dyDescent="0.2">
      <c r="A2019" s="46" t="s">
        <v>29</v>
      </c>
      <c r="B2019" s="46" t="s">
        <v>207</v>
      </c>
      <c r="C2019" s="46" t="s">
        <v>90</v>
      </c>
      <c r="D2019" s="46" t="s">
        <v>178</v>
      </c>
      <c r="E2019" s="46">
        <v>4</v>
      </c>
      <c r="F2019" s="46" t="s">
        <v>60</v>
      </c>
      <c r="G2019" s="46">
        <v>4</v>
      </c>
      <c r="H2019" s="47">
        <v>28</v>
      </c>
      <c r="I2019" s="47" t="s">
        <v>102</v>
      </c>
      <c r="J2019" s="48">
        <v>2</v>
      </c>
      <c r="K2019" s="48">
        <v>3</v>
      </c>
      <c r="R2019" s="46">
        <f t="shared" si="203"/>
        <v>0</v>
      </c>
      <c r="S2019" s="46">
        <f t="shared" si="204"/>
        <v>1</v>
      </c>
      <c r="T2019" s="46">
        <f t="shared" si="207"/>
        <v>20</v>
      </c>
      <c r="U2019" s="46">
        <f t="shared" si="205"/>
        <v>20</v>
      </c>
      <c r="V2019" s="54">
        <f t="shared" si="206"/>
        <v>62.833333333333336</v>
      </c>
    </row>
    <row r="2020" spans="1:22" x14ac:dyDescent="0.2">
      <c r="A2020" s="46" t="s">
        <v>29</v>
      </c>
      <c r="B2020" s="46" t="s">
        <v>207</v>
      </c>
      <c r="C2020" s="46" t="s">
        <v>90</v>
      </c>
      <c r="D2020" s="46" t="s">
        <v>178</v>
      </c>
      <c r="E2020" s="46">
        <v>4</v>
      </c>
      <c r="F2020" s="46" t="s">
        <v>60</v>
      </c>
      <c r="G2020" s="46">
        <v>2</v>
      </c>
      <c r="H2020" s="47">
        <v>30</v>
      </c>
      <c r="I2020" s="47" t="s">
        <v>127</v>
      </c>
      <c r="J2020" s="48">
        <v>2</v>
      </c>
      <c r="K2020" s="48">
        <v>3</v>
      </c>
      <c r="R2020" s="46">
        <f t="shared" si="203"/>
        <v>0</v>
      </c>
      <c r="S2020" s="46">
        <f t="shared" si="204"/>
        <v>1</v>
      </c>
      <c r="T2020" s="46">
        <f t="shared" si="207"/>
        <v>20</v>
      </c>
      <c r="U2020" s="46">
        <f t="shared" si="205"/>
        <v>20</v>
      </c>
      <c r="V2020" s="54">
        <f t="shared" si="206"/>
        <v>62.833333333333336</v>
      </c>
    </row>
    <row r="2021" spans="1:22" x14ac:dyDescent="0.2">
      <c r="A2021" s="46" t="s">
        <v>29</v>
      </c>
      <c r="B2021" s="46" t="s">
        <v>207</v>
      </c>
      <c r="C2021" s="46" t="s">
        <v>90</v>
      </c>
      <c r="D2021" s="46" t="s">
        <v>178</v>
      </c>
      <c r="E2021" s="46">
        <v>2</v>
      </c>
      <c r="F2021" s="46" t="s">
        <v>60</v>
      </c>
      <c r="G2021" s="46">
        <v>2</v>
      </c>
      <c r="H2021" s="47">
        <v>42</v>
      </c>
      <c r="I2021" s="47" t="s">
        <v>127</v>
      </c>
      <c r="J2021" s="48">
        <v>2</v>
      </c>
      <c r="K2021" s="48">
        <v>2</v>
      </c>
      <c r="R2021" s="46">
        <f t="shared" si="203"/>
        <v>0</v>
      </c>
      <c r="S2021" s="46">
        <f t="shared" si="204"/>
        <v>0</v>
      </c>
      <c r="T2021" s="46">
        <f t="shared" si="207"/>
        <v>30</v>
      </c>
      <c r="U2021" s="46">
        <f t="shared" si="205"/>
        <v>30</v>
      </c>
      <c r="V2021" s="54">
        <f t="shared" si="206"/>
        <v>62.833333333333336</v>
      </c>
    </row>
    <row r="2022" spans="1:22" x14ac:dyDescent="0.2">
      <c r="A2022" s="46" t="s">
        <v>29</v>
      </c>
      <c r="B2022" s="46" t="s">
        <v>207</v>
      </c>
      <c r="C2022" s="46" t="s">
        <v>90</v>
      </c>
      <c r="D2022" s="46" t="s">
        <v>178</v>
      </c>
      <c r="E2022" s="46">
        <v>4</v>
      </c>
      <c r="F2022" s="46" t="s">
        <v>60</v>
      </c>
      <c r="G2022" s="46">
        <v>4</v>
      </c>
      <c r="H2022" s="47">
        <v>20</v>
      </c>
      <c r="I2022" s="47" t="s">
        <v>102</v>
      </c>
      <c r="J2022" s="48">
        <v>2</v>
      </c>
      <c r="K2022" s="48">
        <v>1</v>
      </c>
      <c r="R2022" s="46">
        <f t="shared" si="203"/>
        <v>0</v>
      </c>
      <c r="S2022" s="46">
        <f t="shared" si="204"/>
        <v>0</v>
      </c>
      <c r="T2022" s="46">
        <f t="shared" si="207"/>
        <v>40</v>
      </c>
      <c r="U2022" s="46">
        <f t="shared" si="205"/>
        <v>40</v>
      </c>
      <c r="V2022" s="54">
        <f t="shared" si="206"/>
        <v>62.833333333333336</v>
      </c>
    </row>
    <row r="2023" spans="1:22" x14ac:dyDescent="0.2">
      <c r="A2023" s="46" t="s">
        <v>29</v>
      </c>
      <c r="B2023" s="46" t="s">
        <v>207</v>
      </c>
      <c r="C2023" s="46" t="s">
        <v>90</v>
      </c>
      <c r="D2023" s="46" t="s">
        <v>178</v>
      </c>
      <c r="E2023" s="46">
        <v>3</v>
      </c>
      <c r="F2023" s="46" t="s">
        <v>60</v>
      </c>
      <c r="G2023" s="46">
        <v>4</v>
      </c>
      <c r="H2023" s="47">
        <v>12</v>
      </c>
      <c r="I2023" s="47" t="s">
        <v>102</v>
      </c>
      <c r="J2023" s="48">
        <v>3</v>
      </c>
      <c r="K2023" s="48">
        <v>2</v>
      </c>
      <c r="M2023" s="48">
        <v>1</v>
      </c>
      <c r="R2023" s="46">
        <f t="shared" si="203"/>
        <v>0</v>
      </c>
      <c r="S2023" s="46">
        <f t="shared" si="204"/>
        <v>0</v>
      </c>
      <c r="T2023" s="46">
        <f t="shared" si="207"/>
        <v>50</v>
      </c>
      <c r="U2023" s="46">
        <f t="shared" si="205"/>
        <v>70</v>
      </c>
      <c r="V2023" s="54">
        <f t="shared" si="206"/>
        <v>62.833333333333336</v>
      </c>
    </row>
    <row r="2024" spans="1:22" x14ac:dyDescent="0.2">
      <c r="A2024" s="46" t="s">
        <v>29</v>
      </c>
      <c r="B2024" s="46" t="s">
        <v>207</v>
      </c>
      <c r="C2024" s="46" t="s">
        <v>90</v>
      </c>
      <c r="D2024" s="46" t="s">
        <v>178</v>
      </c>
      <c r="E2024" s="46">
        <v>4</v>
      </c>
      <c r="F2024" s="46" t="s">
        <v>62</v>
      </c>
      <c r="G2024" s="46">
        <v>2</v>
      </c>
      <c r="H2024" s="47" t="s">
        <v>79</v>
      </c>
      <c r="I2024" s="47" t="s">
        <v>127</v>
      </c>
      <c r="J2024" s="48">
        <v>3</v>
      </c>
      <c r="K2024" s="48">
        <v>2</v>
      </c>
      <c r="R2024" s="46">
        <f t="shared" si="203"/>
        <v>0</v>
      </c>
      <c r="S2024" s="46">
        <f t="shared" si="204"/>
        <v>0</v>
      </c>
      <c r="T2024" s="46">
        <f t="shared" si="207"/>
        <v>50</v>
      </c>
      <c r="U2024" s="46">
        <f t="shared" si="205"/>
        <v>50</v>
      </c>
      <c r="V2024" s="54">
        <f t="shared" si="206"/>
        <v>62.833333333333336</v>
      </c>
    </row>
    <row r="2025" spans="1:22" x14ac:dyDescent="0.2">
      <c r="A2025" s="46" t="s">
        <v>29</v>
      </c>
      <c r="B2025" s="46" t="s">
        <v>207</v>
      </c>
      <c r="C2025" s="46" t="s">
        <v>90</v>
      </c>
      <c r="D2025" s="46" t="s">
        <v>178</v>
      </c>
      <c r="E2025" s="46">
        <v>1</v>
      </c>
      <c r="F2025" s="46" t="s">
        <v>61</v>
      </c>
      <c r="G2025" s="46">
        <v>2</v>
      </c>
      <c r="H2025" s="47" t="s">
        <v>76</v>
      </c>
      <c r="I2025" s="47" t="s">
        <v>127</v>
      </c>
      <c r="J2025" s="48">
        <v>3</v>
      </c>
      <c r="K2025" s="48">
        <v>2</v>
      </c>
      <c r="N2025" s="48">
        <v>1</v>
      </c>
      <c r="R2025" s="46">
        <f t="shared" si="203"/>
        <v>0</v>
      </c>
      <c r="S2025" s="46">
        <f t="shared" si="204"/>
        <v>0</v>
      </c>
      <c r="T2025" s="46">
        <f t="shared" si="207"/>
        <v>50</v>
      </c>
      <c r="U2025" s="46">
        <f t="shared" si="205"/>
        <v>45</v>
      </c>
      <c r="V2025" s="54">
        <f t="shared" si="206"/>
        <v>62.833333333333336</v>
      </c>
    </row>
    <row r="2026" spans="1:22" x14ac:dyDescent="0.2">
      <c r="A2026" s="46" t="s">
        <v>29</v>
      </c>
      <c r="B2026" s="46" t="s">
        <v>207</v>
      </c>
      <c r="C2026" s="46" t="s">
        <v>90</v>
      </c>
      <c r="D2026" s="46" t="s">
        <v>178</v>
      </c>
      <c r="E2026" s="46">
        <v>4</v>
      </c>
      <c r="F2026" s="46" t="s">
        <v>60</v>
      </c>
      <c r="G2026" s="46">
        <v>3</v>
      </c>
      <c r="H2026" s="47">
        <v>43</v>
      </c>
      <c r="I2026" s="47" t="s">
        <v>159</v>
      </c>
      <c r="J2026" s="48">
        <v>3</v>
      </c>
      <c r="K2026" s="48">
        <v>1</v>
      </c>
      <c r="N2026" s="48">
        <v>1</v>
      </c>
      <c r="R2026" s="46">
        <f t="shared" si="203"/>
        <v>0</v>
      </c>
      <c r="S2026" s="46">
        <f t="shared" si="204"/>
        <v>0</v>
      </c>
      <c r="T2026" s="46">
        <f t="shared" si="207"/>
        <v>60</v>
      </c>
      <c r="U2026" s="46">
        <f t="shared" si="205"/>
        <v>55</v>
      </c>
      <c r="V2026" s="54">
        <f t="shared" si="206"/>
        <v>62.833333333333336</v>
      </c>
    </row>
    <row r="2027" spans="1:22" x14ac:dyDescent="0.2">
      <c r="A2027" s="46" t="s">
        <v>29</v>
      </c>
      <c r="B2027" s="46" t="s">
        <v>207</v>
      </c>
      <c r="C2027" s="46" t="s">
        <v>90</v>
      </c>
      <c r="D2027" s="46" t="s">
        <v>178</v>
      </c>
      <c r="E2027" s="46">
        <v>4</v>
      </c>
      <c r="F2027" s="46" t="s">
        <v>62</v>
      </c>
      <c r="G2027" s="46">
        <v>2</v>
      </c>
      <c r="H2027" s="47" t="s">
        <v>82</v>
      </c>
      <c r="I2027" s="47" t="s">
        <v>127</v>
      </c>
      <c r="J2027" s="48">
        <v>3</v>
      </c>
      <c r="K2027" s="48">
        <v>1</v>
      </c>
      <c r="R2027" s="46">
        <f t="shared" si="203"/>
        <v>0</v>
      </c>
      <c r="S2027" s="46">
        <f t="shared" si="204"/>
        <v>0</v>
      </c>
      <c r="T2027" s="46">
        <f t="shared" si="207"/>
        <v>60</v>
      </c>
      <c r="U2027" s="46">
        <f t="shared" si="205"/>
        <v>60</v>
      </c>
      <c r="V2027" s="54">
        <f t="shared" si="206"/>
        <v>62.833333333333336</v>
      </c>
    </row>
    <row r="2028" spans="1:22" x14ac:dyDescent="0.2">
      <c r="A2028" s="46" t="s">
        <v>29</v>
      </c>
      <c r="B2028" s="46" t="s">
        <v>207</v>
      </c>
      <c r="C2028" s="46" t="s">
        <v>90</v>
      </c>
      <c r="D2028" s="46" t="s">
        <v>178</v>
      </c>
      <c r="E2028" s="46">
        <v>1</v>
      </c>
      <c r="F2028" s="46" t="s">
        <v>61</v>
      </c>
      <c r="G2028" s="46">
        <v>1</v>
      </c>
      <c r="H2028" s="47" t="s">
        <v>70</v>
      </c>
      <c r="I2028" s="47" t="s">
        <v>101</v>
      </c>
      <c r="J2028" s="48">
        <v>3</v>
      </c>
      <c r="K2028" s="48">
        <v>1</v>
      </c>
      <c r="R2028" s="46">
        <f t="shared" si="203"/>
        <v>0</v>
      </c>
      <c r="S2028" s="46">
        <f t="shared" si="204"/>
        <v>0</v>
      </c>
      <c r="T2028" s="46">
        <f t="shared" si="207"/>
        <v>60</v>
      </c>
      <c r="U2028" s="46">
        <f t="shared" si="205"/>
        <v>60</v>
      </c>
      <c r="V2028" s="54">
        <f t="shared" si="206"/>
        <v>62.833333333333336</v>
      </c>
    </row>
    <row r="2029" spans="1:22" x14ac:dyDescent="0.2">
      <c r="A2029" s="46" t="s">
        <v>29</v>
      </c>
      <c r="B2029" s="46" t="s">
        <v>207</v>
      </c>
      <c r="C2029" s="46" t="s">
        <v>90</v>
      </c>
      <c r="D2029" s="46" t="s">
        <v>178</v>
      </c>
      <c r="E2029" s="46">
        <v>4</v>
      </c>
      <c r="F2029" s="46" t="s">
        <v>60</v>
      </c>
      <c r="G2029" s="46">
        <v>1</v>
      </c>
      <c r="H2029" s="47">
        <v>33</v>
      </c>
      <c r="I2029" s="47" t="s">
        <v>101</v>
      </c>
      <c r="J2029" s="48">
        <v>4</v>
      </c>
      <c r="K2029" s="48">
        <v>2</v>
      </c>
      <c r="R2029" s="46">
        <f t="shared" si="203"/>
        <v>1</v>
      </c>
      <c r="S2029" s="46">
        <f t="shared" si="204"/>
        <v>0</v>
      </c>
      <c r="T2029" s="46">
        <f t="shared" si="207"/>
        <v>70</v>
      </c>
      <c r="U2029" s="46">
        <f t="shared" si="205"/>
        <v>70</v>
      </c>
      <c r="V2029" s="54">
        <f t="shared" si="206"/>
        <v>62.833333333333336</v>
      </c>
    </row>
    <row r="2030" spans="1:22" x14ac:dyDescent="0.2">
      <c r="A2030" s="46" t="s">
        <v>29</v>
      </c>
      <c r="B2030" s="46" t="s">
        <v>207</v>
      </c>
      <c r="C2030" s="46" t="s">
        <v>90</v>
      </c>
      <c r="D2030" s="46" t="s">
        <v>178</v>
      </c>
      <c r="E2030" s="46">
        <v>1</v>
      </c>
      <c r="F2030" s="46" t="s">
        <v>60</v>
      </c>
      <c r="G2030" s="46">
        <v>2</v>
      </c>
      <c r="H2030" s="47">
        <v>2</v>
      </c>
      <c r="I2030" s="47" t="s">
        <v>127</v>
      </c>
      <c r="J2030" s="48">
        <v>4</v>
      </c>
      <c r="K2030" s="48">
        <v>1</v>
      </c>
      <c r="R2030" s="46">
        <f t="shared" si="203"/>
        <v>1</v>
      </c>
      <c r="S2030" s="46">
        <f t="shared" si="204"/>
        <v>0</v>
      </c>
      <c r="T2030" s="46">
        <f t="shared" si="207"/>
        <v>80</v>
      </c>
      <c r="U2030" s="46">
        <f t="shared" si="205"/>
        <v>80</v>
      </c>
      <c r="V2030" s="54">
        <f t="shared" si="206"/>
        <v>62.833333333333336</v>
      </c>
    </row>
    <row r="2031" spans="1:22" x14ac:dyDescent="0.2">
      <c r="A2031" s="46" t="s">
        <v>29</v>
      </c>
      <c r="B2031" s="46" t="s">
        <v>207</v>
      </c>
      <c r="C2031" s="46" t="s">
        <v>90</v>
      </c>
      <c r="D2031" s="46" t="s">
        <v>178</v>
      </c>
      <c r="E2031" s="46">
        <v>4</v>
      </c>
      <c r="F2031" s="46" t="s">
        <v>60</v>
      </c>
      <c r="G2031" s="46">
        <v>2</v>
      </c>
      <c r="H2031" s="47">
        <v>6</v>
      </c>
      <c r="I2031" s="47" t="s">
        <v>127</v>
      </c>
      <c r="J2031" s="48">
        <v>4</v>
      </c>
      <c r="K2031" s="48">
        <v>1</v>
      </c>
      <c r="N2031" s="48">
        <v>1</v>
      </c>
      <c r="R2031" s="46">
        <f t="shared" si="203"/>
        <v>1</v>
      </c>
      <c r="S2031" s="46">
        <f t="shared" si="204"/>
        <v>0</v>
      </c>
      <c r="T2031" s="46">
        <f t="shared" si="207"/>
        <v>80</v>
      </c>
      <c r="U2031" s="46">
        <f t="shared" si="205"/>
        <v>75</v>
      </c>
      <c r="V2031" s="54">
        <f t="shared" si="206"/>
        <v>62.833333333333336</v>
      </c>
    </row>
    <row r="2032" spans="1:22" x14ac:dyDescent="0.2">
      <c r="A2032" s="46" t="s">
        <v>29</v>
      </c>
      <c r="B2032" s="46" t="s">
        <v>207</v>
      </c>
      <c r="C2032" s="46" t="s">
        <v>90</v>
      </c>
      <c r="D2032" s="46" t="s">
        <v>178</v>
      </c>
      <c r="E2032" s="46">
        <v>2</v>
      </c>
      <c r="F2032" s="46" t="s">
        <v>60</v>
      </c>
      <c r="G2032" s="46">
        <v>4</v>
      </c>
      <c r="H2032" s="47">
        <v>8</v>
      </c>
      <c r="I2032" s="47" t="s">
        <v>102</v>
      </c>
      <c r="J2032" s="48">
        <v>4</v>
      </c>
      <c r="K2032" s="48">
        <v>1</v>
      </c>
      <c r="R2032" s="46">
        <f t="shared" si="203"/>
        <v>1</v>
      </c>
      <c r="S2032" s="46">
        <f t="shared" si="204"/>
        <v>0</v>
      </c>
      <c r="T2032" s="46">
        <f t="shared" si="207"/>
        <v>80</v>
      </c>
      <c r="U2032" s="46">
        <f t="shared" si="205"/>
        <v>80</v>
      </c>
      <c r="V2032" s="54">
        <f t="shared" si="206"/>
        <v>62.833333333333336</v>
      </c>
    </row>
    <row r="2033" spans="1:22" x14ac:dyDescent="0.2">
      <c r="A2033" s="46" t="s">
        <v>29</v>
      </c>
      <c r="B2033" s="46" t="s">
        <v>207</v>
      </c>
      <c r="C2033" s="46" t="s">
        <v>90</v>
      </c>
      <c r="D2033" s="46" t="s">
        <v>178</v>
      </c>
      <c r="E2033" s="46">
        <v>3</v>
      </c>
      <c r="F2033" s="46" t="s">
        <v>60</v>
      </c>
      <c r="G2033" s="46">
        <v>2</v>
      </c>
      <c r="H2033" s="47">
        <v>22</v>
      </c>
      <c r="I2033" s="47" t="s">
        <v>127</v>
      </c>
      <c r="J2033" s="48">
        <v>4</v>
      </c>
      <c r="K2033" s="48">
        <v>1</v>
      </c>
      <c r="R2033" s="46">
        <f t="shared" si="203"/>
        <v>1</v>
      </c>
      <c r="S2033" s="46">
        <f t="shared" si="204"/>
        <v>0</v>
      </c>
      <c r="T2033" s="46">
        <f t="shared" si="207"/>
        <v>80</v>
      </c>
      <c r="U2033" s="46">
        <f t="shared" si="205"/>
        <v>80</v>
      </c>
      <c r="V2033" s="54">
        <f t="shared" si="206"/>
        <v>62.833333333333336</v>
      </c>
    </row>
    <row r="2034" spans="1:22" x14ac:dyDescent="0.2">
      <c r="A2034" s="46" t="s">
        <v>29</v>
      </c>
      <c r="B2034" s="46" t="s">
        <v>207</v>
      </c>
      <c r="C2034" s="46" t="s">
        <v>90</v>
      </c>
      <c r="D2034" s="46" t="s">
        <v>178</v>
      </c>
      <c r="E2034" s="46">
        <v>2</v>
      </c>
      <c r="F2034" s="46" t="s">
        <v>60</v>
      </c>
      <c r="G2034" s="46">
        <v>3</v>
      </c>
      <c r="H2034" s="47">
        <v>23</v>
      </c>
      <c r="I2034" s="47" t="s">
        <v>116</v>
      </c>
      <c r="J2034" s="48">
        <v>4</v>
      </c>
      <c r="K2034" s="48">
        <v>1</v>
      </c>
      <c r="R2034" s="46">
        <f t="shared" si="203"/>
        <v>1</v>
      </c>
      <c r="S2034" s="46">
        <f t="shared" si="204"/>
        <v>0</v>
      </c>
      <c r="T2034" s="46">
        <f t="shared" ref="T2034:T2058" si="208">quizscore(J2034,K2034)</f>
        <v>80</v>
      </c>
      <c r="U2034" s="46">
        <f t="shared" si="205"/>
        <v>80</v>
      </c>
      <c r="V2034" s="54">
        <f t="shared" si="206"/>
        <v>62.833333333333336</v>
      </c>
    </row>
    <row r="2035" spans="1:22" x14ac:dyDescent="0.2">
      <c r="A2035" s="46" t="s">
        <v>29</v>
      </c>
      <c r="B2035" s="46" t="s">
        <v>207</v>
      </c>
      <c r="C2035" s="46" t="s">
        <v>90</v>
      </c>
      <c r="D2035" s="46" t="s">
        <v>178</v>
      </c>
      <c r="E2035" s="46">
        <v>1</v>
      </c>
      <c r="F2035" s="46" t="s">
        <v>60</v>
      </c>
      <c r="G2035" s="46">
        <v>1</v>
      </c>
      <c r="H2035" s="47">
        <v>33</v>
      </c>
      <c r="I2035" s="47" t="s">
        <v>101</v>
      </c>
      <c r="J2035" s="48">
        <v>4</v>
      </c>
      <c r="K2035" s="48">
        <v>1</v>
      </c>
      <c r="R2035" s="46">
        <f t="shared" si="203"/>
        <v>1</v>
      </c>
      <c r="S2035" s="46">
        <f t="shared" si="204"/>
        <v>0</v>
      </c>
      <c r="T2035" s="46">
        <f t="shared" si="208"/>
        <v>80</v>
      </c>
      <c r="U2035" s="46">
        <f t="shared" si="205"/>
        <v>80</v>
      </c>
      <c r="V2035" s="54">
        <f t="shared" si="206"/>
        <v>62.833333333333336</v>
      </c>
    </row>
    <row r="2036" spans="1:22" x14ac:dyDescent="0.2">
      <c r="A2036" s="46" t="s">
        <v>29</v>
      </c>
      <c r="B2036" s="46" t="s">
        <v>207</v>
      </c>
      <c r="C2036" s="46" t="s">
        <v>90</v>
      </c>
      <c r="D2036" s="46" t="s">
        <v>178</v>
      </c>
      <c r="E2036" s="46">
        <v>3</v>
      </c>
      <c r="F2036" s="46" t="s">
        <v>60</v>
      </c>
      <c r="G2036" s="46">
        <v>2</v>
      </c>
      <c r="H2036" s="47">
        <v>38</v>
      </c>
      <c r="I2036" s="47" t="s">
        <v>127</v>
      </c>
      <c r="J2036" s="48">
        <v>4</v>
      </c>
      <c r="K2036" s="48">
        <v>1</v>
      </c>
      <c r="R2036" s="46">
        <f t="shared" si="203"/>
        <v>1</v>
      </c>
      <c r="S2036" s="46">
        <f t="shared" si="204"/>
        <v>0</v>
      </c>
      <c r="T2036" s="46">
        <f t="shared" si="208"/>
        <v>80</v>
      </c>
      <c r="U2036" s="46">
        <f t="shared" si="205"/>
        <v>80</v>
      </c>
      <c r="V2036" s="54">
        <f t="shared" si="206"/>
        <v>62.833333333333336</v>
      </c>
    </row>
    <row r="2037" spans="1:22" x14ac:dyDescent="0.2">
      <c r="A2037" s="46" t="s">
        <v>29</v>
      </c>
      <c r="B2037" s="46" t="s">
        <v>207</v>
      </c>
      <c r="C2037" s="46" t="s">
        <v>90</v>
      </c>
      <c r="D2037" s="46" t="s">
        <v>178</v>
      </c>
      <c r="E2037" s="46">
        <v>3</v>
      </c>
      <c r="F2037" s="46" t="s">
        <v>62</v>
      </c>
      <c r="G2037" s="46">
        <v>2</v>
      </c>
      <c r="H2037" s="47" t="s">
        <v>79</v>
      </c>
      <c r="I2037" s="47" t="s">
        <v>127</v>
      </c>
      <c r="J2037" s="48">
        <v>4</v>
      </c>
      <c r="K2037" s="48">
        <v>1</v>
      </c>
      <c r="R2037" s="46">
        <f t="shared" si="203"/>
        <v>1</v>
      </c>
      <c r="S2037" s="46">
        <f t="shared" si="204"/>
        <v>0</v>
      </c>
      <c r="T2037" s="46">
        <f t="shared" si="208"/>
        <v>80</v>
      </c>
      <c r="U2037" s="46">
        <f t="shared" si="205"/>
        <v>80</v>
      </c>
      <c r="V2037" s="54">
        <f t="shared" si="206"/>
        <v>62.833333333333336</v>
      </c>
    </row>
    <row r="2038" spans="1:22" x14ac:dyDescent="0.2">
      <c r="A2038" s="46" t="s">
        <v>29</v>
      </c>
      <c r="B2038" s="46" t="s">
        <v>207</v>
      </c>
      <c r="C2038" s="46" t="s">
        <v>90</v>
      </c>
      <c r="D2038" s="46" t="s">
        <v>178</v>
      </c>
      <c r="E2038" s="46">
        <v>3</v>
      </c>
      <c r="F2038" s="46" t="s">
        <v>62</v>
      </c>
      <c r="G2038" s="46">
        <v>2</v>
      </c>
      <c r="H2038" s="47" t="s">
        <v>82</v>
      </c>
      <c r="I2038" s="47" t="s">
        <v>127</v>
      </c>
      <c r="J2038" s="48">
        <v>4</v>
      </c>
      <c r="K2038" s="48">
        <v>1</v>
      </c>
      <c r="M2038" s="48">
        <v>1</v>
      </c>
      <c r="R2038" s="46">
        <f t="shared" si="203"/>
        <v>1</v>
      </c>
      <c r="S2038" s="46">
        <f t="shared" si="204"/>
        <v>0</v>
      </c>
      <c r="T2038" s="46">
        <f t="shared" si="208"/>
        <v>80</v>
      </c>
      <c r="U2038" s="46">
        <f t="shared" si="205"/>
        <v>100</v>
      </c>
      <c r="V2038" s="54">
        <f t="shared" si="206"/>
        <v>62.833333333333336</v>
      </c>
    </row>
    <row r="2039" spans="1:22" x14ac:dyDescent="0.2">
      <c r="A2039" s="46" t="s">
        <v>29</v>
      </c>
      <c r="B2039" s="46" t="s">
        <v>207</v>
      </c>
      <c r="C2039" s="46" t="s">
        <v>90</v>
      </c>
      <c r="D2039" s="46" t="s">
        <v>178</v>
      </c>
      <c r="E2039" s="46">
        <v>4</v>
      </c>
      <c r="F2039" s="46" t="s">
        <v>62</v>
      </c>
      <c r="G2039" s="46">
        <v>2</v>
      </c>
      <c r="H2039" s="47" t="s">
        <v>86</v>
      </c>
      <c r="I2039" s="47" t="s">
        <v>127</v>
      </c>
      <c r="J2039" s="48">
        <v>4</v>
      </c>
      <c r="K2039" s="48">
        <v>1</v>
      </c>
      <c r="N2039" s="48">
        <v>1</v>
      </c>
      <c r="R2039" s="46">
        <f t="shared" si="203"/>
        <v>1</v>
      </c>
      <c r="S2039" s="46">
        <f t="shared" si="204"/>
        <v>0</v>
      </c>
      <c r="T2039" s="46">
        <f t="shared" si="208"/>
        <v>80</v>
      </c>
      <c r="U2039" s="46">
        <f t="shared" si="205"/>
        <v>75</v>
      </c>
      <c r="V2039" s="54">
        <f t="shared" si="206"/>
        <v>62.833333333333336</v>
      </c>
    </row>
    <row r="2040" spans="1:22" x14ac:dyDescent="0.2">
      <c r="A2040" s="46" t="s">
        <v>29</v>
      </c>
      <c r="B2040" s="46" t="s">
        <v>207</v>
      </c>
      <c r="C2040" s="46" t="s">
        <v>90</v>
      </c>
      <c r="D2040" s="46" t="s">
        <v>178</v>
      </c>
      <c r="E2040" s="46">
        <v>3</v>
      </c>
      <c r="F2040" s="46" t="s">
        <v>60</v>
      </c>
      <c r="G2040" s="46">
        <v>1</v>
      </c>
      <c r="H2040" s="47">
        <v>1</v>
      </c>
      <c r="I2040" s="47" t="s">
        <v>101</v>
      </c>
      <c r="J2040" s="48">
        <v>4</v>
      </c>
      <c r="K2040" s="48">
        <v>0</v>
      </c>
      <c r="R2040" s="46">
        <f t="shared" si="203"/>
        <v>1</v>
      </c>
      <c r="S2040" s="46">
        <f t="shared" si="204"/>
        <v>0</v>
      </c>
      <c r="T2040" s="46">
        <f t="shared" si="208"/>
        <v>90</v>
      </c>
      <c r="U2040" s="46">
        <f t="shared" si="205"/>
        <v>90</v>
      </c>
      <c r="V2040" s="54">
        <f t="shared" si="206"/>
        <v>62.833333333333336</v>
      </c>
    </row>
    <row r="2041" spans="1:22" x14ac:dyDescent="0.2">
      <c r="A2041" s="46" t="s">
        <v>29</v>
      </c>
      <c r="B2041" s="46" t="s">
        <v>207</v>
      </c>
      <c r="C2041" s="46" t="s">
        <v>90</v>
      </c>
      <c r="D2041" s="46" t="s">
        <v>178</v>
      </c>
      <c r="E2041" s="46">
        <v>1</v>
      </c>
      <c r="F2041" s="46" t="s">
        <v>60</v>
      </c>
      <c r="G2041" s="46">
        <v>3</v>
      </c>
      <c r="H2041" s="47">
        <v>11</v>
      </c>
      <c r="I2041" s="47" t="s">
        <v>116</v>
      </c>
      <c r="J2041" s="48">
        <v>4</v>
      </c>
      <c r="K2041" s="48">
        <v>0</v>
      </c>
      <c r="R2041" s="46">
        <f t="shared" si="203"/>
        <v>1</v>
      </c>
      <c r="S2041" s="46">
        <f t="shared" si="204"/>
        <v>0</v>
      </c>
      <c r="T2041" s="46">
        <f t="shared" si="208"/>
        <v>90</v>
      </c>
      <c r="U2041" s="46">
        <f t="shared" si="205"/>
        <v>90</v>
      </c>
      <c r="V2041" s="54">
        <f t="shared" si="206"/>
        <v>62.833333333333336</v>
      </c>
    </row>
    <row r="2042" spans="1:22" x14ac:dyDescent="0.2">
      <c r="A2042" s="46" t="s">
        <v>29</v>
      </c>
      <c r="B2042" s="46" t="s">
        <v>207</v>
      </c>
      <c r="C2042" s="46" t="s">
        <v>90</v>
      </c>
      <c r="D2042" s="46" t="s">
        <v>178</v>
      </c>
      <c r="E2042" s="46">
        <v>2</v>
      </c>
      <c r="F2042" s="46" t="s">
        <v>60</v>
      </c>
      <c r="G2042" s="46">
        <v>1</v>
      </c>
      <c r="H2042" s="47">
        <v>13</v>
      </c>
      <c r="I2042" s="47" t="s">
        <v>101</v>
      </c>
      <c r="J2042" s="48">
        <v>4</v>
      </c>
      <c r="K2042" s="48">
        <v>0</v>
      </c>
      <c r="R2042" s="46">
        <f t="shared" si="203"/>
        <v>1</v>
      </c>
      <c r="S2042" s="46">
        <f t="shared" si="204"/>
        <v>0</v>
      </c>
      <c r="T2042" s="46">
        <f t="shared" si="208"/>
        <v>90</v>
      </c>
      <c r="U2042" s="46">
        <f t="shared" si="205"/>
        <v>90</v>
      </c>
      <c r="V2042" s="54">
        <f t="shared" si="206"/>
        <v>62.833333333333336</v>
      </c>
    </row>
    <row r="2043" spans="1:22" x14ac:dyDescent="0.2">
      <c r="A2043" s="46" t="s">
        <v>29</v>
      </c>
      <c r="B2043" s="46" t="s">
        <v>207</v>
      </c>
      <c r="C2043" s="46" t="s">
        <v>90</v>
      </c>
      <c r="D2043" s="46" t="s">
        <v>178</v>
      </c>
      <c r="E2043" s="46">
        <v>1</v>
      </c>
      <c r="F2043" s="46" t="s">
        <v>60</v>
      </c>
      <c r="G2043" s="46">
        <v>4</v>
      </c>
      <c r="H2043" s="47">
        <v>24</v>
      </c>
      <c r="I2043" s="47" t="s">
        <v>102</v>
      </c>
      <c r="J2043" s="48">
        <v>4</v>
      </c>
      <c r="K2043" s="48">
        <v>0</v>
      </c>
      <c r="R2043" s="46">
        <f t="shared" si="203"/>
        <v>1</v>
      </c>
      <c r="S2043" s="46">
        <f t="shared" si="204"/>
        <v>0</v>
      </c>
      <c r="T2043" s="46">
        <f t="shared" si="208"/>
        <v>90</v>
      </c>
      <c r="U2043" s="46">
        <f t="shared" si="205"/>
        <v>90</v>
      </c>
      <c r="V2043" s="54">
        <f t="shared" si="206"/>
        <v>62.833333333333336</v>
      </c>
    </row>
    <row r="2044" spans="1:22" x14ac:dyDescent="0.2">
      <c r="A2044" s="46" t="s">
        <v>29</v>
      </c>
      <c r="B2044" s="46" t="s">
        <v>207</v>
      </c>
      <c r="C2044" s="46" t="s">
        <v>90</v>
      </c>
      <c r="D2044" s="46" t="s">
        <v>178</v>
      </c>
      <c r="E2044" s="46">
        <v>1</v>
      </c>
      <c r="F2044" s="46" t="s">
        <v>60</v>
      </c>
      <c r="G2044" s="46">
        <v>1</v>
      </c>
      <c r="H2044" s="47">
        <v>29</v>
      </c>
      <c r="I2044" s="47" t="s">
        <v>101</v>
      </c>
      <c r="J2044" s="48">
        <v>4</v>
      </c>
      <c r="K2044" s="48">
        <v>0</v>
      </c>
      <c r="R2044" s="46">
        <f t="shared" si="203"/>
        <v>1</v>
      </c>
      <c r="S2044" s="46">
        <f t="shared" si="204"/>
        <v>0</v>
      </c>
      <c r="T2044" s="46">
        <f t="shared" si="208"/>
        <v>90</v>
      </c>
      <c r="U2044" s="46">
        <f t="shared" si="205"/>
        <v>90</v>
      </c>
      <c r="V2044" s="54">
        <f t="shared" si="206"/>
        <v>62.833333333333336</v>
      </c>
    </row>
    <row r="2045" spans="1:22" x14ac:dyDescent="0.2">
      <c r="A2045" s="46" t="s">
        <v>29</v>
      </c>
      <c r="B2045" s="46" t="s">
        <v>207</v>
      </c>
      <c r="C2045" s="46" t="s">
        <v>90</v>
      </c>
      <c r="D2045" s="46" t="s">
        <v>178</v>
      </c>
      <c r="E2045" s="46">
        <v>3</v>
      </c>
      <c r="F2045" s="46" t="s">
        <v>60</v>
      </c>
      <c r="G2045" s="46">
        <v>3</v>
      </c>
      <c r="H2045" s="47">
        <v>31</v>
      </c>
      <c r="I2045" s="47" t="s">
        <v>116</v>
      </c>
      <c r="J2045" s="48">
        <v>4</v>
      </c>
      <c r="K2045" s="48">
        <v>0</v>
      </c>
      <c r="R2045" s="46">
        <f t="shared" si="203"/>
        <v>1</v>
      </c>
      <c r="S2045" s="46">
        <f t="shared" si="204"/>
        <v>0</v>
      </c>
      <c r="T2045" s="46">
        <f t="shared" si="208"/>
        <v>90</v>
      </c>
      <c r="U2045" s="46">
        <f t="shared" si="205"/>
        <v>90</v>
      </c>
      <c r="V2045" s="54">
        <f t="shared" si="206"/>
        <v>62.833333333333336</v>
      </c>
    </row>
    <row r="2046" spans="1:22" x14ac:dyDescent="0.2">
      <c r="A2046" s="46" t="s">
        <v>29</v>
      </c>
      <c r="B2046" s="46" t="s">
        <v>207</v>
      </c>
      <c r="C2046" s="46" t="s">
        <v>90</v>
      </c>
      <c r="D2046" s="46" t="s">
        <v>178</v>
      </c>
      <c r="E2046" s="46">
        <v>2</v>
      </c>
      <c r="F2046" s="46" t="s">
        <v>60</v>
      </c>
      <c r="G2046" s="46">
        <v>4</v>
      </c>
      <c r="H2046" s="47">
        <v>32</v>
      </c>
      <c r="I2046" s="47" t="s">
        <v>102</v>
      </c>
      <c r="J2046" s="48">
        <v>4</v>
      </c>
      <c r="K2046" s="48">
        <v>0</v>
      </c>
      <c r="R2046" s="46">
        <f t="shared" si="203"/>
        <v>1</v>
      </c>
      <c r="S2046" s="46">
        <f t="shared" si="204"/>
        <v>0</v>
      </c>
      <c r="T2046" s="46">
        <f t="shared" si="208"/>
        <v>90</v>
      </c>
      <c r="U2046" s="46">
        <f t="shared" si="205"/>
        <v>90</v>
      </c>
      <c r="V2046" s="54">
        <f t="shared" si="206"/>
        <v>62.833333333333336</v>
      </c>
    </row>
    <row r="2047" spans="1:22" x14ac:dyDescent="0.2">
      <c r="A2047" s="46" t="s">
        <v>29</v>
      </c>
      <c r="B2047" s="46" t="s">
        <v>207</v>
      </c>
      <c r="C2047" s="46" t="s">
        <v>90</v>
      </c>
      <c r="D2047" s="46" t="s">
        <v>178</v>
      </c>
      <c r="E2047" s="46">
        <v>1</v>
      </c>
      <c r="F2047" s="46" t="s">
        <v>60</v>
      </c>
      <c r="G2047" s="46">
        <v>3</v>
      </c>
      <c r="H2047" s="47">
        <v>47</v>
      </c>
      <c r="I2047" s="47" t="s">
        <v>116</v>
      </c>
      <c r="J2047" s="48">
        <v>4</v>
      </c>
      <c r="K2047" s="48">
        <v>0</v>
      </c>
      <c r="R2047" s="46">
        <f t="shared" si="203"/>
        <v>1</v>
      </c>
      <c r="S2047" s="46">
        <f t="shared" si="204"/>
        <v>0</v>
      </c>
      <c r="T2047" s="46">
        <f t="shared" si="208"/>
        <v>90</v>
      </c>
      <c r="U2047" s="46">
        <f t="shared" si="205"/>
        <v>90</v>
      </c>
      <c r="V2047" s="54">
        <f t="shared" si="206"/>
        <v>62.833333333333336</v>
      </c>
    </row>
    <row r="2048" spans="1:22" x14ac:dyDescent="0.2">
      <c r="A2048" s="46" t="s">
        <v>29</v>
      </c>
      <c r="B2048" s="46" t="s">
        <v>207</v>
      </c>
      <c r="C2048" s="46" t="s">
        <v>90</v>
      </c>
      <c r="D2048" s="46" t="s">
        <v>178</v>
      </c>
      <c r="E2048" s="46">
        <v>2</v>
      </c>
      <c r="F2048" s="46" t="s">
        <v>60</v>
      </c>
      <c r="G2048" s="46">
        <v>3</v>
      </c>
      <c r="H2048" s="47">
        <v>47</v>
      </c>
      <c r="I2048" s="47" t="s">
        <v>116</v>
      </c>
      <c r="J2048" s="48">
        <v>4</v>
      </c>
      <c r="K2048" s="48">
        <v>0</v>
      </c>
      <c r="R2048" s="46">
        <f t="shared" si="203"/>
        <v>1</v>
      </c>
      <c r="S2048" s="46">
        <f t="shared" si="204"/>
        <v>0</v>
      </c>
      <c r="T2048" s="46">
        <f t="shared" si="208"/>
        <v>90</v>
      </c>
      <c r="U2048" s="46">
        <f t="shared" si="205"/>
        <v>90</v>
      </c>
      <c r="V2048" s="54">
        <f t="shared" si="206"/>
        <v>62.833333333333336</v>
      </c>
    </row>
    <row r="2049" spans="1:22" x14ac:dyDescent="0.2">
      <c r="A2049" s="46" t="s">
        <v>29</v>
      </c>
      <c r="B2049" s="46" t="s">
        <v>207</v>
      </c>
      <c r="C2049" s="46" t="s">
        <v>90</v>
      </c>
      <c r="D2049" s="46" t="s">
        <v>178</v>
      </c>
      <c r="E2049" s="46">
        <v>3</v>
      </c>
      <c r="F2049" s="46" t="s">
        <v>62</v>
      </c>
      <c r="G2049" s="46">
        <v>2</v>
      </c>
      <c r="H2049" s="47" t="s">
        <v>83</v>
      </c>
      <c r="I2049" s="47" t="s">
        <v>127</v>
      </c>
      <c r="J2049" s="48">
        <v>4</v>
      </c>
      <c r="K2049" s="48">
        <v>0</v>
      </c>
      <c r="R2049" s="46">
        <f t="shared" si="203"/>
        <v>1</v>
      </c>
      <c r="S2049" s="46">
        <f t="shared" si="204"/>
        <v>0</v>
      </c>
      <c r="T2049" s="46">
        <f t="shared" si="208"/>
        <v>90</v>
      </c>
      <c r="U2049" s="46">
        <f t="shared" si="205"/>
        <v>90</v>
      </c>
      <c r="V2049" s="54">
        <f t="shared" si="206"/>
        <v>62.833333333333336</v>
      </c>
    </row>
    <row r="2050" spans="1:22" x14ac:dyDescent="0.2">
      <c r="A2050" s="46" t="s">
        <v>29</v>
      </c>
      <c r="B2050" s="46" t="s">
        <v>207</v>
      </c>
      <c r="C2050" s="46" t="s">
        <v>90</v>
      </c>
      <c r="D2050" s="46" t="s">
        <v>178</v>
      </c>
      <c r="E2050" s="46">
        <v>4</v>
      </c>
      <c r="F2050" s="46" t="s">
        <v>62</v>
      </c>
      <c r="G2050" s="46">
        <v>2</v>
      </c>
      <c r="H2050" s="47" t="s">
        <v>83</v>
      </c>
      <c r="I2050" s="47" t="s">
        <v>127</v>
      </c>
      <c r="J2050" s="48">
        <v>2</v>
      </c>
      <c r="K2050" s="48">
        <v>3</v>
      </c>
      <c r="R2050" s="46">
        <f t="shared" ref="R2050:R2113" si="209">IF(J2050=4,1,0)</f>
        <v>0</v>
      </c>
      <c r="S2050" s="46">
        <f t="shared" ref="S2050:S2113" si="210">IF(K2050=3,1,0)</f>
        <v>1</v>
      </c>
      <c r="T2050" s="46">
        <f t="shared" si="208"/>
        <v>20</v>
      </c>
      <c r="U2050" s="46">
        <f t="shared" ref="U2050:U2113" si="211">T2050+M2050*(20) + (SUM(O2050:Q2050)*(10)) - L2050*(5) - N2050*(5)</f>
        <v>20</v>
      </c>
      <c r="V2050" s="54">
        <f t="shared" ref="V2050:V2113" si="212">AVERAGEIFS(U:U,A:A,A2050,F:F,"Pre")</f>
        <v>62.833333333333336</v>
      </c>
    </row>
    <row r="2051" spans="1:22" x14ac:dyDescent="0.2">
      <c r="A2051" s="46" t="s">
        <v>29</v>
      </c>
      <c r="B2051" s="46" t="s">
        <v>207</v>
      </c>
      <c r="C2051" s="46" t="s">
        <v>90</v>
      </c>
      <c r="D2051" s="46" t="s">
        <v>178</v>
      </c>
      <c r="E2051" s="46">
        <v>5</v>
      </c>
      <c r="F2051" s="46" t="s">
        <v>60</v>
      </c>
      <c r="G2051" s="46">
        <v>1</v>
      </c>
      <c r="H2051" s="47">
        <v>1</v>
      </c>
      <c r="I2051" s="47" t="s">
        <v>101</v>
      </c>
      <c r="J2051" s="48">
        <v>1</v>
      </c>
      <c r="K2051" s="48">
        <v>1</v>
      </c>
      <c r="R2051" s="46">
        <f t="shared" si="209"/>
        <v>0</v>
      </c>
      <c r="S2051" s="46">
        <f t="shared" si="210"/>
        <v>0</v>
      </c>
      <c r="T2051" s="46">
        <f t="shared" si="208"/>
        <v>20</v>
      </c>
      <c r="U2051" s="46">
        <f t="shared" si="211"/>
        <v>20</v>
      </c>
      <c r="V2051" s="54">
        <f t="shared" si="212"/>
        <v>62.833333333333336</v>
      </c>
    </row>
    <row r="2052" spans="1:22" x14ac:dyDescent="0.2">
      <c r="A2052" s="46" t="s">
        <v>29</v>
      </c>
      <c r="B2052" s="46" t="s">
        <v>207</v>
      </c>
      <c r="C2052" s="46" t="s">
        <v>90</v>
      </c>
      <c r="D2052" s="46" t="s">
        <v>178</v>
      </c>
      <c r="E2052" s="46">
        <v>5</v>
      </c>
      <c r="F2052" s="46" t="s">
        <v>60</v>
      </c>
      <c r="G2052" s="46">
        <v>3</v>
      </c>
      <c r="H2052" s="47">
        <v>11</v>
      </c>
      <c r="I2052" s="47" t="s">
        <v>159</v>
      </c>
      <c r="J2052" s="48">
        <v>2</v>
      </c>
      <c r="K2052" s="48">
        <v>1</v>
      </c>
      <c r="N2052" s="48">
        <v>1</v>
      </c>
      <c r="R2052" s="46">
        <f t="shared" si="209"/>
        <v>0</v>
      </c>
      <c r="S2052" s="46">
        <f t="shared" si="210"/>
        <v>0</v>
      </c>
      <c r="T2052" s="46">
        <f t="shared" si="208"/>
        <v>40</v>
      </c>
      <c r="U2052" s="46">
        <f t="shared" si="211"/>
        <v>35</v>
      </c>
      <c r="V2052" s="54">
        <f t="shared" si="212"/>
        <v>62.833333333333336</v>
      </c>
    </row>
    <row r="2053" spans="1:22" x14ac:dyDescent="0.2">
      <c r="A2053" s="46" t="s">
        <v>29</v>
      </c>
      <c r="B2053" s="46" t="s">
        <v>207</v>
      </c>
      <c r="C2053" s="46" t="s">
        <v>90</v>
      </c>
      <c r="D2053" s="46" t="s">
        <v>178</v>
      </c>
      <c r="E2053" s="46">
        <v>5</v>
      </c>
      <c r="F2053" s="46" t="s">
        <v>60</v>
      </c>
      <c r="G2053" s="46">
        <v>3</v>
      </c>
      <c r="H2053" s="47">
        <v>19</v>
      </c>
      <c r="I2053" s="47" t="s">
        <v>159</v>
      </c>
      <c r="J2053" s="48">
        <v>2</v>
      </c>
      <c r="K2053" s="48">
        <v>3</v>
      </c>
      <c r="R2053" s="46">
        <f t="shared" si="209"/>
        <v>0</v>
      </c>
      <c r="S2053" s="46">
        <f t="shared" si="210"/>
        <v>1</v>
      </c>
      <c r="T2053" s="46">
        <f t="shared" si="208"/>
        <v>20</v>
      </c>
      <c r="U2053" s="46">
        <f t="shared" si="211"/>
        <v>20</v>
      </c>
      <c r="V2053" s="54">
        <f t="shared" si="212"/>
        <v>62.833333333333336</v>
      </c>
    </row>
    <row r="2054" spans="1:22" x14ac:dyDescent="0.2">
      <c r="A2054" s="46" t="s">
        <v>29</v>
      </c>
      <c r="B2054" s="46" t="s">
        <v>207</v>
      </c>
      <c r="C2054" s="46" t="s">
        <v>90</v>
      </c>
      <c r="D2054" s="46" t="s">
        <v>178</v>
      </c>
      <c r="E2054" s="46">
        <v>5</v>
      </c>
      <c r="F2054" s="46" t="s">
        <v>60</v>
      </c>
      <c r="G2054" s="46">
        <v>4</v>
      </c>
      <c r="H2054" s="47">
        <v>32</v>
      </c>
      <c r="I2054" s="47" t="s">
        <v>102</v>
      </c>
      <c r="J2054" s="48">
        <v>4</v>
      </c>
      <c r="K2054" s="48">
        <v>0</v>
      </c>
      <c r="R2054" s="46">
        <f t="shared" si="209"/>
        <v>1</v>
      </c>
      <c r="S2054" s="46">
        <f t="shared" si="210"/>
        <v>0</v>
      </c>
      <c r="T2054" s="46">
        <f t="shared" si="208"/>
        <v>90</v>
      </c>
      <c r="U2054" s="46">
        <f t="shared" si="211"/>
        <v>90</v>
      </c>
      <c r="V2054" s="54">
        <f t="shared" si="212"/>
        <v>62.833333333333336</v>
      </c>
    </row>
    <row r="2055" spans="1:22" x14ac:dyDescent="0.2">
      <c r="A2055" s="46" t="s">
        <v>29</v>
      </c>
      <c r="B2055" s="46" t="s">
        <v>207</v>
      </c>
      <c r="C2055" s="46" t="s">
        <v>90</v>
      </c>
      <c r="D2055" s="46" t="s">
        <v>178</v>
      </c>
      <c r="E2055" s="46">
        <v>5</v>
      </c>
      <c r="F2055" s="46" t="s">
        <v>60</v>
      </c>
      <c r="G2055" s="46">
        <v>2</v>
      </c>
      <c r="H2055" s="47">
        <v>38</v>
      </c>
      <c r="I2055" s="47" t="s">
        <v>127</v>
      </c>
      <c r="J2055" s="48">
        <v>2</v>
      </c>
      <c r="K2055" s="48">
        <v>2</v>
      </c>
      <c r="R2055" s="46">
        <f t="shared" si="209"/>
        <v>0</v>
      </c>
      <c r="S2055" s="46">
        <f t="shared" si="210"/>
        <v>0</v>
      </c>
      <c r="T2055" s="46">
        <f t="shared" si="208"/>
        <v>30</v>
      </c>
      <c r="U2055" s="46">
        <f t="shared" si="211"/>
        <v>30</v>
      </c>
      <c r="V2055" s="54">
        <f t="shared" si="212"/>
        <v>62.833333333333336</v>
      </c>
    </row>
    <row r="2056" spans="1:22" x14ac:dyDescent="0.2">
      <c r="A2056" s="46" t="s">
        <v>29</v>
      </c>
      <c r="B2056" s="46" t="s">
        <v>207</v>
      </c>
      <c r="C2056" s="46" t="s">
        <v>90</v>
      </c>
      <c r="D2056" s="46" t="s">
        <v>178</v>
      </c>
      <c r="E2056" s="46">
        <v>5</v>
      </c>
      <c r="F2056" s="46" t="s">
        <v>60</v>
      </c>
      <c r="G2056" s="46">
        <v>2</v>
      </c>
      <c r="H2056" s="47">
        <v>46</v>
      </c>
      <c r="I2056" s="47" t="s">
        <v>127</v>
      </c>
      <c r="J2056" s="48">
        <v>1</v>
      </c>
      <c r="K2056" s="48">
        <v>2</v>
      </c>
      <c r="R2056" s="46">
        <f t="shared" si="209"/>
        <v>0</v>
      </c>
      <c r="S2056" s="46">
        <f t="shared" si="210"/>
        <v>0</v>
      </c>
      <c r="T2056" s="46">
        <f t="shared" si="208"/>
        <v>10</v>
      </c>
      <c r="U2056" s="46">
        <f t="shared" si="211"/>
        <v>10</v>
      </c>
      <c r="V2056" s="54">
        <f t="shared" si="212"/>
        <v>62.833333333333336</v>
      </c>
    </row>
    <row r="2057" spans="1:22" x14ac:dyDescent="0.2">
      <c r="A2057" s="46" t="s">
        <v>29</v>
      </c>
      <c r="B2057" s="46" t="s">
        <v>207</v>
      </c>
      <c r="C2057" s="46" t="s">
        <v>90</v>
      </c>
      <c r="D2057" s="46" t="s">
        <v>178</v>
      </c>
      <c r="E2057" s="46">
        <v>5</v>
      </c>
      <c r="F2057" s="46" t="s">
        <v>62</v>
      </c>
      <c r="G2057" s="46">
        <v>3</v>
      </c>
      <c r="H2057" s="47" t="s">
        <v>80</v>
      </c>
      <c r="I2057" s="47" t="s">
        <v>219</v>
      </c>
      <c r="J2057" s="48">
        <v>4</v>
      </c>
      <c r="K2057" s="48">
        <v>1</v>
      </c>
      <c r="R2057" s="46">
        <f t="shared" si="209"/>
        <v>1</v>
      </c>
      <c r="S2057" s="46">
        <f t="shared" si="210"/>
        <v>0</v>
      </c>
      <c r="T2057" s="46">
        <f t="shared" si="208"/>
        <v>80</v>
      </c>
      <c r="U2057" s="46">
        <f t="shared" si="211"/>
        <v>80</v>
      </c>
      <c r="V2057" s="54">
        <f t="shared" si="212"/>
        <v>62.833333333333336</v>
      </c>
    </row>
    <row r="2058" spans="1:22" x14ac:dyDescent="0.2">
      <c r="A2058" s="46" t="s">
        <v>29</v>
      </c>
      <c r="B2058" s="46" t="s">
        <v>207</v>
      </c>
      <c r="C2058" s="46" t="s">
        <v>90</v>
      </c>
      <c r="D2058" s="46" t="s">
        <v>178</v>
      </c>
      <c r="E2058" s="46">
        <v>5</v>
      </c>
      <c r="F2058" s="46" t="s">
        <v>62</v>
      </c>
      <c r="G2058" s="46">
        <v>2</v>
      </c>
      <c r="H2058" s="47" t="s">
        <v>82</v>
      </c>
      <c r="I2058" s="47" t="s">
        <v>127</v>
      </c>
      <c r="J2058" s="48">
        <v>4</v>
      </c>
      <c r="K2058" s="48">
        <v>0</v>
      </c>
      <c r="M2058" s="48">
        <v>1</v>
      </c>
      <c r="R2058" s="46">
        <f t="shared" si="209"/>
        <v>1</v>
      </c>
      <c r="S2058" s="46">
        <f t="shared" si="210"/>
        <v>0</v>
      </c>
      <c r="T2058" s="46">
        <f t="shared" si="208"/>
        <v>90</v>
      </c>
      <c r="U2058" s="46">
        <f t="shared" si="211"/>
        <v>110</v>
      </c>
      <c r="V2058" s="54">
        <f t="shared" si="212"/>
        <v>62.833333333333336</v>
      </c>
    </row>
    <row r="2059" spans="1:22" x14ac:dyDescent="0.2">
      <c r="A2059" s="46" t="s">
        <v>29</v>
      </c>
      <c r="B2059" s="46" t="s">
        <v>207</v>
      </c>
      <c r="C2059" s="46" t="str">
        <f>VLOOKUP(B2059,$B$2:$C$3219,2,FALSE)</f>
        <v>Dallas</v>
      </c>
      <c r="D2059" s="46" t="s">
        <v>178</v>
      </c>
      <c r="E2059" s="46">
        <v>5</v>
      </c>
      <c r="F2059" s="46" t="s">
        <v>62</v>
      </c>
      <c r="G2059" s="46">
        <v>3</v>
      </c>
      <c r="H2059" s="47" t="s">
        <v>83</v>
      </c>
      <c r="I2059" s="47" t="s">
        <v>219</v>
      </c>
      <c r="J2059" s="48">
        <v>3</v>
      </c>
      <c r="K2059" s="48">
        <v>2</v>
      </c>
      <c r="R2059" s="46">
        <f t="shared" si="209"/>
        <v>0</v>
      </c>
      <c r="S2059" s="46">
        <f t="shared" si="210"/>
        <v>0</v>
      </c>
      <c r="U2059" s="46">
        <f t="shared" si="211"/>
        <v>0</v>
      </c>
      <c r="V2059" s="54">
        <f t="shared" si="212"/>
        <v>62.833333333333336</v>
      </c>
    </row>
    <row r="2060" spans="1:22" x14ac:dyDescent="0.2">
      <c r="A2060" s="46" t="s">
        <v>37</v>
      </c>
      <c r="B2060" s="46" t="s">
        <v>206</v>
      </c>
      <c r="C2060" s="46" t="s">
        <v>91</v>
      </c>
      <c r="D2060" s="46" t="s">
        <v>178</v>
      </c>
      <c r="E2060" s="46">
        <v>4</v>
      </c>
      <c r="F2060" s="46" t="s">
        <v>60</v>
      </c>
      <c r="G2060" s="46">
        <v>3</v>
      </c>
      <c r="H2060" s="47">
        <v>7</v>
      </c>
      <c r="I2060" s="47" t="s">
        <v>159</v>
      </c>
      <c r="J2060" s="48">
        <v>0</v>
      </c>
      <c r="K2060" s="48">
        <v>2</v>
      </c>
      <c r="R2060" s="46">
        <f t="shared" si="209"/>
        <v>0</v>
      </c>
      <c r="S2060" s="46">
        <f t="shared" si="210"/>
        <v>0</v>
      </c>
      <c r="T2060" s="46">
        <f t="shared" ref="T2060:T2123" si="213">quizscore(J2060,K2060)</f>
        <v>-10</v>
      </c>
      <c r="U2060" s="46">
        <f t="shared" si="211"/>
        <v>-10</v>
      </c>
      <c r="V2060" s="54">
        <f t="shared" si="212"/>
        <v>12.5</v>
      </c>
    </row>
    <row r="2061" spans="1:22" x14ac:dyDescent="0.2">
      <c r="A2061" s="46" t="s">
        <v>37</v>
      </c>
      <c r="B2061" s="46" t="s">
        <v>206</v>
      </c>
      <c r="C2061" s="46" t="s">
        <v>91</v>
      </c>
      <c r="D2061" s="46" t="s">
        <v>178</v>
      </c>
      <c r="E2061" s="46">
        <v>2</v>
      </c>
      <c r="F2061" s="46" t="s">
        <v>60</v>
      </c>
      <c r="G2061" s="46">
        <v>2</v>
      </c>
      <c r="H2061" s="47">
        <v>18</v>
      </c>
      <c r="I2061" s="47" t="s">
        <v>127</v>
      </c>
      <c r="J2061" s="48">
        <v>0</v>
      </c>
      <c r="K2061" s="48">
        <v>2</v>
      </c>
      <c r="R2061" s="46">
        <f t="shared" si="209"/>
        <v>0</v>
      </c>
      <c r="S2061" s="46">
        <f t="shared" si="210"/>
        <v>0</v>
      </c>
      <c r="T2061" s="46">
        <f t="shared" si="213"/>
        <v>-10</v>
      </c>
      <c r="U2061" s="46">
        <f t="shared" si="211"/>
        <v>-10</v>
      </c>
      <c r="V2061" s="54">
        <f t="shared" si="212"/>
        <v>12.5</v>
      </c>
    </row>
    <row r="2062" spans="1:22" x14ac:dyDescent="0.2">
      <c r="A2062" s="46" t="s">
        <v>37</v>
      </c>
      <c r="B2062" s="46" t="s">
        <v>206</v>
      </c>
      <c r="C2062" s="46" t="s">
        <v>91</v>
      </c>
      <c r="D2062" s="46" t="s">
        <v>178</v>
      </c>
      <c r="E2062" s="46">
        <v>3</v>
      </c>
      <c r="F2062" s="46" t="s">
        <v>60</v>
      </c>
      <c r="G2062" s="46">
        <v>3</v>
      </c>
      <c r="H2062" s="47">
        <v>3</v>
      </c>
      <c r="I2062" s="47" t="s">
        <v>116</v>
      </c>
      <c r="J2062" s="48">
        <v>0</v>
      </c>
      <c r="K2062" s="48">
        <v>0</v>
      </c>
      <c r="R2062" s="46">
        <f t="shared" si="209"/>
        <v>0</v>
      </c>
      <c r="S2062" s="46">
        <f t="shared" si="210"/>
        <v>0</v>
      </c>
      <c r="T2062" s="46">
        <f t="shared" si="213"/>
        <v>0</v>
      </c>
      <c r="U2062" s="46">
        <f t="shared" si="211"/>
        <v>0</v>
      </c>
      <c r="V2062" s="54">
        <f t="shared" si="212"/>
        <v>12.5</v>
      </c>
    </row>
    <row r="2063" spans="1:22" x14ac:dyDescent="0.2">
      <c r="A2063" s="46" t="s">
        <v>37</v>
      </c>
      <c r="B2063" s="46" t="s">
        <v>206</v>
      </c>
      <c r="C2063" s="46" t="s">
        <v>91</v>
      </c>
      <c r="D2063" s="46" t="s">
        <v>178</v>
      </c>
      <c r="E2063" s="46">
        <v>1</v>
      </c>
      <c r="F2063" s="46" t="s">
        <v>60</v>
      </c>
      <c r="G2063" s="46">
        <v>1</v>
      </c>
      <c r="H2063" s="47">
        <v>5</v>
      </c>
      <c r="I2063" s="47" t="s">
        <v>101</v>
      </c>
      <c r="J2063" s="48">
        <v>0</v>
      </c>
      <c r="K2063" s="48">
        <v>1</v>
      </c>
      <c r="R2063" s="46">
        <f t="shared" si="209"/>
        <v>0</v>
      </c>
      <c r="S2063" s="46">
        <f t="shared" si="210"/>
        <v>0</v>
      </c>
      <c r="T2063" s="46">
        <f t="shared" si="213"/>
        <v>0</v>
      </c>
      <c r="U2063" s="46">
        <f t="shared" si="211"/>
        <v>0</v>
      </c>
      <c r="V2063" s="54">
        <f t="shared" si="212"/>
        <v>12.5</v>
      </c>
    </row>
    <row r="2064" spans="1:22" x14ac:dyDescent="0.2">
      <c r="A2064" s="46" t="s">
        <v>37</v>
      </c>
      <c r="B2064" s="46" t="s">
        <v>206</v>
      </c>
      <c r="C2064" s="46" t="s">
        <v>91</v>
      </c>
      <c r="D2064" s="46" t="s">
        <v>178</v>
      </c>
      <c r="E2064" s="46">
        <v>2</v>
      </c>
      <c r="F2064" s="46" t="s">
        <v>60</v>
      </c>
      <c r="G2064" s="46">
        <v>1</v>
      </c>
      <c r="H2064" s="47">
        <v>9</v>
      </c>
      <c r="I2064" s="47" t="s">
        <v>101</v>
      </c>
      <c r="J2064" s="48">
        <v>0</v>
      </c>
      <c r="K2064" s="48">
        <v>0</v>
      </c>
      <c r="R2064" s="46">
        <f t="shared" si="209"/>
        <v>0</v>
      </c>
      <c r="S2064" s="46">
        <f t="shared" si="210"/>
        <v>0</v>
      </c>
      <c r="T2064" s="46">
        <f t="shared" si="213"/>
        <v>0</v>
      </c>
      <c r="U2064" s="46">
        <f t="shared" si="211"/>
        <v>0</v>
      </c>
      <c r="V2064" s="54">
        <f t="shared" si="212"/>
        <v>12.5</v>
      </c>
    </row>
    <row r="2065" spans="1:22" x14ac:dyDescent="0.2">
      <c r="A2065" s="46" t="s">
        <v>37</v>
      </c>
      <c r="B2065" s="46" t="s">
        <v>206</v>
      </c>
      <c r="C2065" s="46" t="s">
        <v>91</v>
      </c>
      <c r="D2065" s="46" t="s">
        <v>178</v>
      </c>
      <c r="E2065" s="46">
        <v>4</v>
      </c>
      <c r="F2065" s="46" t="s">
        <v>60</v>
      </c>
      <c r="G2065" s="46">
        <v>2</v>
      </c>
      <c r="H2065" s="47">
        <v>10</v>
      </c>
      <c r="I2065" s="47" t="s">
        <v>127</v>
      </c>
      <c r="J2065" s="48">
        <v>0</v>
      </c>
      <c r="K2065" s="48">
        <v>1</v>
      </c>
      <c r="R2065" s="46">
        <f t="shared" si="209"/>
        <v>0</v>
      </c>
      <c r="S2065" s="46">
        <f t="shared" si="210"/>
        <v>0</v>
      </c>
      <c r="T2065" s="46">
        <f t="shared" si="213"/>
        <v>0</v>
      </c>
      <c r="U2065" s="46">
        <f t="shared" si="211"/>
        <v>0</v>
      </c>
      <c r="V2065" s="54">
        <f t="shared" si="212"/>
        <v>12.5</v>
      </c>
    </row>
    <row r="2066" spans="1:22" x14ac:dyDescent="0.2">
      <c r="A2066" s="46" t="s">
        <v>37</v>
      </c>
      <c r="B2066" s="46" t="s">
        <v>206</v>
      </c>
      <c r="C2066" s="46" t="s">
        <v>91</v>
      </c>
      <c r="D2066" s="46" t="s">
        <v>178</v>
      </c>
      <c r="E2066" s="46">
        <v>1</v>
      </c>
      <c r="F2066" s="46" t="s">
        <v>60</v>
      </c>
      <c r="G2066" s="46">
        <v>4</v>
      </c>
      <c r="H2066" s="47">
        <v>16</v>
      </c>
      <c r="I2066" s="47" t="s">
        <v>102</v>
      </c>
      <c r="J2066" s="48">
        <v>0</v>
      </c>
      <c r="K2066" s="48">
        <v>0</v>
      </c>
      <c r="R2066" s="46">
        <f t="shared" si="209"/>
        <v>0</v>
      </c>
      <c r="S2066" s="46">
        <f t="shared" si="210"/>
        <v>0</v>
      </c>
      <c r="T2066" s="46">
        <f t="shared" si="213"/>
        <v>0</v>
      </c>
      <c r="U2066" s="46">
        <f t="shared" si="211"/>
        <v>0</v>
      </c>
      <c r="V2066" s="54">
        <f t="shared" si="212"/>
        <v>12.5</v>
      </c>
    </row>
    <row r="2067" spans="1:22" x14ac:dyDescent="0.2">
      <c r="A2067" s="46" t="s">
        <v>37</v>
      </c>
      <c r="B2067" s="46" t="s">
        <v>206</v>
      </c>
      <c r="C2067" s="46" t="s">
        <v>91</v>
      </c>
      <c r="D2067" s="46" t="s">
        <v>178</v>
      </c>
      <c r="E2067" s="46">
        <v>3</v>
      </c>
      <c r="F2067" s="46" t="s">
        <v>60</v>
      </c>
      <c r="G2067" s="46">
        <v>3</v>
      </c>
      <c r="H2067" s="47">
        <v>19</v>
      </c>
      <c r="I2067" s="47" t="s">
        <v>116</v>
      </c>
      <c r="J2067" s="48">
        <v>0</v>
      </c>
      <c r="K2067" s="48">
        <v>0</v>
      </c>
      <c r="R2067" s="46">
        <f t="shared" si="209"/>
        <v>0</v>
      </c>
      <c r="S2067" s="46">
        <f t="shared" si="210"/>
        <v>0</v>
      </c>
      <c r="T2067" s="46">
        <f t="shared" si="213"/>
        <v>0</v>
      </c>
      <c r="U2067" s="46">
        <f t="shared" si="211"/>
        <v>0</v>
      </c>
      <c r="V2067" s="54">
        <f t="shared" si="212"/>
        <v>12.5</v>
      </c>
    </row>
    <row r="2068" spans="1:22" x14ac:dyDescent="0.2">
      <c r="A2068" s="46" t="s">
        <v>37</v>
      </c>
      <c r="B2068" s="46" t="s">
        <v>206</v>
      </c>
      <c r="C2068" s="46" t="s">
        <v>91</v>
      </c>
      <c r="D2068" s="46" t="s">
        <v>178</v>
      </c>
      <c r="E2068" s="46">
        <v>4</v>
      </c>
      <c r="F2068" s="46" t="s">
        <v>60</v>
      </c>
      <c r="G2068" s="46">
        <v>4</v>
      </c>
      <c r="H2068" s="47">
        <v>20</v>
      </c>
      <c r="I2068" s="47" t="s">
        <v>102</v>
      </c>
      <c r="J2068" s="48">
        <v>0</v>
      </c>
      <c r="K2068" s="48">
        <v>1</v>
      </c>
      <c r="R2068" s="46">
        <f t="shared" si="209"/>
        <v>0</v>
      </c>
      <c r="S2068" s="46">
        <f t="shared" si="210"/>
        <v>0</v>
      </c>
      <c r="T2068" s="46">
        <f t="shared" si="213"/>
        <v>0</v>
      </c>
      <c r="U2068" s="46">
        <f t="shared" si="211"/>
        <v>0</v>
      </c>
      <c r="V2068" s="54">
        <f t="shared" si="212"/>
        <v>12.5</v>
      </c>
    </row>
    <row r="2069" spans="1:22" x14ac:dyDescent="0.2">
      <c r="A2069" s="46" t="s">
        <v>37</v>
      </c>
      <c r="B2069" s="46" t="s">
        <v>206</v>
      </c>
      <c r="C2069" s="46" t="s">
        <v>91</v>
      </c>
      <c r="D2069" s="46" t="s">
        <v>178</v>
      </c>
      <c r="E2069" s="46">
        <v>4</v>
      </c>
      <c r="F2069" s="46" t="s">
        <v>60</v>
      </c>
      <c r="G2069" s="46">
        <v>1</v>
      </c>
      <c r="H2069" s="47">
        <v>25</v>
      </c>
      <c r="I2069" s="47" t="s">
        <v>101</v>
      </c>
      <c r="J2069" s="48">
        <v>0</v>
      </c>
      <c r="K2069" s="48">
        <v>0</v>
      </c>
      <c r="M2069" s="48">
        <v>1</v>
      </c>
      <c r="R2069" s="46">
        <f t="shared" si="209"/>
        <v>0</v>
      </c>
      <c r="S2069" s="46">
        <f t="shared" si="210"/>
        <v>0</v>
      </c>
      <c r="T2069" s="46">
        <f t="shared" si="213"/>
        <v>0</v>
      </c>
      <c r="U2069" s="46">
        <f t="shared" si="211"/>
        <v>20</v>
      </c>
      <c r="V2069" s="54">
        <f t="shared" si="212"/>
        <v>12.5</v>
      </c>
    </row>
    <row r="2070" spans="1:22" x14ac:dyDescent="0.2">
      <c r="A2070" s="46" t="s">
        <v>37</v>
      </c>
      <c r="B2070" s="46" t="s">
        <v>206</v>
      </c>
      <c r="C2070" s="46" t="s">
        <v>91</v>
      </c>
      <c r="D2070" s="46" t="s">
        <v>178</v>
      </c>
      <c r="E2070" s="46">
        <v>2</v>
      </c>
      <c r="F2070" s="46" t="s">
        <v>60</v>
      </c>
      <c r="G2070" s="46">
        <v>3</v>
      </c>
      <c r="H2070" s="47">
        <v>27</v>
      </c>
      <c r="I2070" s="47" t="s">
        <v>116</v>
      </c>
      <c r="J2070" s="48">
        <v>0</v>
      </c>
      <c r="K2070" s="48">
        <v>0</v>
      </c>
      <c r="R2070" s="46">
        <f t="shared" si="209"/>
        <v>0</v>
      </c>
      <c r="S2070" s="46">
        <f t="shared" si="210"/>
        <v>0</v>
      </c>
      <c r="T2070" s="46">
        <f t="shared" si="213"/>
        <v>0</v>
      </c>
      <c r="U2070" s="46">
        <f t="shared" si="211"/>
        <v>0</v>
      </c>
      <c r="V2070" s="54">
        <f t="shared" si="212"/>
        <v>12.5</v>
      </c>
    </row>
    <row r="2071" spans="1:22" x14ac:dyDescent="0.2">
      <c r="A2071" s="46" t="s">
        <v>37</v>
      </c>
      <c r="B2071" s="46" t="s">
        <v>206</v>
      </c>
      <c r="C2071" s="46" t="s">
        <v>91</v>
      </c>
      <c r="D2071" s="46" t="s">
        <v>178</v>
      </c>
      <c r="E2071" s="46">
        <v>4</v>
      </c>
      <c r="F2071" s="46" t="s">
        <v>60</v>
      </c>
      <c r="G2071" s="46">
        <v>1</v>
      </c>
      <c r="H2071" s="47">
        <v>29</v>
      </c>
      <c r="I2071" s="47" t="s">
        <v>101</v>
      </c>
      <c r="J2071" s="48">
        <v>0</v>
      </c>
      <c r="K2071" s="48">
        <v>0</v>
      </c>
      <c r="R2071" s="46">
        <f t="shared" si="209"/>
        <v>0</v>
      </c>
      <c r="S2071" s="46">
        <f t="shared" si="210"/>
        <v>0</v>
      </c>
      <c r="T2071" s="46">
        <f t="shared" si="213"/>
        <v>0</v>
      </c>
      <c r="U2071" s="46">
        <f t="shared" si="211"/>
        <v>0</v>
      </c>
      <c r="V2071" s="54">
        <f t="shared" si="212"/>
        <v>12.5</v>
      </c>
    </row>
    <row r="2072" spans="1:22" x14ac:dyDescent="0.2">
      <c r="A2072" s="46" t="s">
        <v>37</v>
      </c>
      <c r="B2072" s="46" t="s">
        <v>206</v>
      </c>
      <c r="C2072" s="46" t="s">
        <v>91</v>
      </c>
      <c r="D2072" s="46" t="s">
        <v>178</v>
      </c>
      <c r="E2072" s="46">
        <v>1</v>
      </c>
      <c r="F2072" s="46" t="s">
        <v>60</v>
      </c>
      <c r="G2072" s="46">
        <v>4</v>
      </c>
      <c r="H2072" s="47">
        <v>32</v>
      </c>
      <c r="I2072" s="47" t="s">
        <v>102</v>
      </c>
      <c r="J2072" s="48">
        <v>0</v>
      </c>
      <c r="K2072" s="48">
        <v>0</v>
      </c>
      <c r="R2072" s="46">
        <f t="shared" si="209"/>
        <v>0</v>
      </c>
      <c r="S2072" s="46">
        <f t="shared" si="210"/>
        <v>0</v>
      </c>
      <c r="T2072" s="46">
        <f t="shared" si="213"/>
        <v>0</v>
      </c>
      <c r="U2072" s="46">
        <f t="shared" si="211"/>
        <v>0</v>
      </c>
      <c r="V2072" s="54">
        <f t="shared" si="212"/>
        <v>12.5</v>
      </c>
    </row>
    <row r="2073" spans="1:22" x14ac:dyDescent="0.2">
      <c r="A2073" s="46" t="s">
        <v>37</v>
      </c>
      <c r="B2073" s="46" t="s">
        <v>206</v>
      </c>
      <c r="C2073" s="46" t="s">
        <v>91</v>
      </c>
      <c r="D2073" s="46" t="s">
        <v>178</v>
      </c>
      <c r="E2073" s="46">
        <v>2</v>
      </c>
      <c r="F2073" s="46" t="s">
        <v>60</v>
      </c>
      <c r="G2073" s="46">
        <v>4</v>
      </c>
      <c r="H2073" s="47">
        <v>36</v>
      </c>
      <c r="I2073" s="47" t="s">
        <v>102</v>
      </c>
      <c r="J2073" s="48">
        <v>0</v>
      </c>
      <c r="K2073" s="48">
        <v>0</v>
      </c>
      <c r="N2073" s="48">
        <v>1</v>
      </c>
      <c r="R2073" s="46">
        <f t="shared" si="209"/>
        <v>0</v>
      </c>
      <c r="S2073" s="46">
        <f t="shared" si="210"/>
        <v>0</v>
      </c>
      <c r="T2073" s="46">
        <f t="shared" si="213"/>
        <v>0</v>
      </c>
      <c r="U2073" s="46">
        <f t="shared" si="211"/>
        <v>-5</v>
      </c>
      <c r="V2073" s="54">
        <f t="shared" si="212"/>
        <v>12.5</v>
      </c>
    </row>
    <row r="2074" spans="1:22" x14ac:dyDescent="0.2">
      <c r="A2074" s="46" t="s">
        <v>37</v>
      </c>
      <c r="B2074" s="46" t="s">
        <v>206</v>
      </c>
      <c r="C2074" s="46" t="s">
        <v>91</v>
      </c>
      <c r="D2074" s="46" t="s">
        <v>178</v>
      </c>
      <c r="E2074" s="46">
        <v>4</v>
      </c>
      <c r="F2074" s="46" t="s">
        <v>60</v>
      </c>
      <c r="G2074" s="46">
        <v>4</v>
      </c>
      <c r="H2074" s="47">
        <v>44</v>
      </c>
      <c r="I2074" s="47" t="s">
        <v>102</v>
      </c>
      <c r="J2074" s="48">
        <v>0</v>
      </c>
      <c r="K2074" s="48">
        <v>0</v>
      </c>
      <c r="R2074" s="46">
        <f t="shared" si="209"/>
        <v>0</v>
      </c>
      <c r="S2074" s="46">
        <f t="shared" si="210"/>
        <v>0</v>
      </c>
      <c r="T2074" s="46">
        <f t="shared" si="213"/>
        <v>0</v>
      </c>
      <c r="U2074" s="46">
        <f t="shared" si="211"/>
        <v>0</v>
      </c>
      <c r="V2074" s="54">
        <f t="shared" si="212"/>
        <v>12.5</v>
      </c>
    </row>
    <row r="2075" spans="1:22" x14ac:dyDescent="0.2">
      <c r="A2075" s="46" t="s">
        <v>37</v>
      </c>
      <c r="B2075" s="46" t="s">
        <v>206</v>
      </c>
      <c r="C2075" s="46" t="s">
        <v>91</v>
      </c>
      <c r="D2075" s="46" t="s">
        <v>178</v>
      </c>
      <c r="E2075" s="46">
        <v>3</v>
      </c>
      <c r="F2075" s="46" t="s">
        <v>60</v>
      </c>
      <c r="G2075" s="46">
        <v>1</v>
      </c>
      <c r="H2075" s="47">
        <v>49</v>
      </c>
      <c r="I2075" s="47" t="s">
        <v>101</v>
      </c>
      <c r="J2075" s="48">
        <v>0</v>
      </c>
      <c r="K2075" s="48">
        <v>1</v>
      </c>
      <c r="R2075" s="46">
        <f t="shared" si="209"/>
        <v>0</v>
      </c>
      <c r="S2075" s="46">
        <f t="shared" si="210"/>
        <v>0</v>
      </c>
      <c r="T2075" s="46">
        <f t="shared" si="213"/>
        <v>0</v>
      </c>
      <c r="U2075" s="46">
        <f t="shared" si="211"/>
        <v>0</v>
      </c>
      <c r="V2075" s="54">
        <f t="shared" si="212"/>
        <v>12.5</v>
      </c>
    </row>
    <row r="2076" spans="1:22" x14ac:dyDescent="0.2">
      <c r="A2076" s="46" t="s">
        <v>37</v>
      </c>
      <c r="B2076" s="46" t="s">
        <v>206</v>
      </c>
      <c r="C2076" s="46" t="s">
        <v>91</v>
      </c>
      <c r="D2076" s="46" t="s">
        <v>178</v>
      </c>
      <c r="E2076" s="46">
        <v>1</v>
      </c>
      <c r="F2076" s="46" t="s">
        <v>61</v>
      </c>
      <c r="G2076" s="46">
        <v>1</v>
      </c>
      <c r="H2076" s="47" t="s">
        <v>67</v>
      </c>
      <c r="I2076" s="47" t="s">
        <v>101</v>
      </c>
      <c r="J2076" s="48">
        <v>0</v>
      </c>
      <c r="K2076" s="48">
        <v>0</v>
      </c>
      <c r="R2076" s="46">
        <f t="shared" si="209"/>
        <v>0</v>
      </c>
      <c r="S2076" s="46">
        <f t="shared" si="210"/>
        <v>0</v>
      </c>
      <c r="T2076" s="46">
        <f t="shared" si="213"/>
        <v>0</v>
      </c>
      <c r="U2076" s="46">
        <f t="shared" si="211"/>
        <v>0</v>
      </c>
      <c r="V2076" s="54">
        <f t="shared" si="212"/>
        <v>12.5</v>
      </c>
    </row>
    <row r="2077" spans="1:22" x14ac:dyDescent="0.2">
      <c r="A2077" s="46" t="s">
        <v>37</v>
      </c>
      <c r="B2077" s="46" t="s">
        <v>206</v>
      </c>
      <c r="C2077" s="46" t="s">
        <v>91</v>
      </c>
      <c r="D2077" s="46" t="s">
        <v>178</v>
      </c>
      <c r="E2077" s="46">
        <v>2</v>
      </c>
      <c r="F2077" s="46" t="s">
        <v>62</v>
      </c>
      <c r="G2077" s="46">
        <v>2</v>
      </c>
      <c r="H2077" s="47" t="s">
        <v>82</v>
      </c>
      <c r="I2077" s="47" t="s">
        <v>127</v>
      </c>
      <c r="J2077" s="48">
        <v>0</v>
      </c>
      <c r="K2077" s="48">
        <v>0</v>
      </c>
      <c r="L2077" s="48">
        <v>1</v>
      </c>
      <c r="R2077" s="46">
        <f t="shared" si="209"/>
        <v>0</v>
      </c>
      <c r="S2077" s="46">
        <f t="shared" si="210"/>
        <v>0</v>
      </c>
      <c r="T2077" s="46">
        <f t="shared" si="213"/>
        <v>0</v>
      </c>
      <c r="U2077" s="46">
        <f t="shared" si="211"/>
        <v>-5</v>
      </c>
      <c r="V2077" s="54">
        <f t="shared" si="212"/>
        <v>12.5</v>
      </c>
    </row>
    <row r="2078" spans="1:22" x14ac:dyDescent="0.2">
      <c r="A2078" s="46" t="s">
        <v>37</v>
      </c>
      <c r="B2078" s="46" t="s">
        <v>206</v>
      </c>
      <c r="C2078" s="46" t="s">
        <v>91</v>
      </c>
      <c r="D2078" s="46" t="s">
        <v>178</v>
      </c>
      <c r="E2078" s="46">
        <v>2</v>
      </c>
      <c r="F2078" s="46" t="s">
        <v>62</v>
      </c>
      <c r="G2078" s="46">
        <v>2</v>
      </c>
      <c r="H2078" s="47" t="s">
        <v>86</v>
      </c>
      <c r="I2078" s="47" t="s">
        <v>127</v>
      </c>
      <c r="J2078" s="48">
        <v>0</v>
      </c>
      <c r="K2078" s="48">
        <v>0</v>
      </c>
      <c r="R2078" s="46">
        <f t="shared" si="209"/>
        <v>0</v>
      </c>
      <c r="S2078" s="46">
        <f t="shared" si="210"/>
        <v>0</v>
      </c>
      <c r="T2078" s="46">
        <f t="shared" si="213"/>
        <v>0</v>
      </c>
      <c r="U2078" s="46">
        <f t="shared" si="211"/>
        <v>0</v>
      </c>
      <c r="V2078" s="54">
        <f t="shared" si="212"/>
        <v>12.5</v>
      </c>
    </row>
    <row r="2079" spans="1:22" x14ac:dyDescent="0.2">
      <c r="A2079" s="46" t="s">
        <v>37</v>
      </c>
      <c r="B2079" s="46" t="s">
        <v>206</v>
      </c>
      <c r="C2079" s="46" t="s">
        <v>91</v>
      </c>
      <c r="D2079" s="46" t="s">
        <v>178</v>
      </c>
      <c r="E2079" s="46">
        <v>3</v>
      </c>
      <c r="F2079" s="46" t="s">
        <v>62</v>
      </c>
      <c r="G2079" s="46">
        <v>3</v>
      </c>
      <c r="H2079" s="47" t="s">
        <v>87</v>
      </c>
      <c r="I2079" s="47" t="s">
        <v>116</v>
      </c>
      <c r="J2079" s="48">
        <v>0</v>
      </c>
      <c r="K2079" s="48">
        <v>1</v>
      </c>
      <c r="R2079" s="46">
        <f t="shared" si="209"/>
        <v>0</v>
      </c>
      <c r="S2079" s="46">
        <f t="shared" si="210"/>
        <v>0</v>
      </c>
      <c r="T2079" s="46">
        <f t="shared" si="213"/>
        <v>0</v>
      </c>
      <c r="U2079" s="46">
        <f t="shared" si="211"/>
        <v>0</v>
      </c>
      <c r="V2079" s="54">
        <f t="shared" si="212"/>
        <v>12.5</v>
      </c>
    </row>
    <row r="2080" spans="1:22" x14ac:dyDescent="0.2">
      <c r="A2080" s="46" t="s">
        <v>37</v>
      </c>
      <c r="B2080" s="46" t="s">
        <v>206</v>
      </c>
      <c r="C2080" s="46" t="s">
        <v>91</v>
      </c>
      <c r="D2080" s="46" t="s">
        <v>178</v>
      </c>
      <c r="E2080" s="46">
        <v>4</v>
      </c>
      <c r="F2080" s="46" t="s">
        <v>63</v>
      </c>
      <c r="G2080" s="46">
        <v>4</v>
      </c>
      <c r="H2080" s="47" t="s">
        <v>148</v>
      </c>
      <c r="I2080" s="47" t="s">
        <v>102</v>
      </c>
      <c r="J2080" s="48">
        <v>0</v>
      </c>
      <c r="K2080" s="48">
        <v>0</v>
      </c>
      <c r="R2080" s="46">
        <f t="shared" si="209"/>
        <v>0</v>
      </c>
      <c r="S2080" s="46">
        <f t="shared" si="210"/>
        <v>0</v>
      </c>
      <c r="T2080" s="46">
        <f t="shared" si="213"/>
        <v>0</v>
      </c>
      <c r="U2080" s="46">
        <f t="shared" si="211"/>
        <v>0</v>
      </c>
      <c r="V2080" s="54">
        <f t="shared" si="212"/>
        <v>12.5</v>
      </c>
    </row>
    <row r="2081" spans="1:22" x14ac:dyDescent="0.2">
      <c r="A2081" s="46" t="s">
        <v>37</v>
      </c>
      <c r="B2081" s="46" t="s">
        <v>206</v>
      </c>
      <c r="C2081" s="46" t="s">
        <v>91</v>
      </c>
      <c r="D2081" s="46" t="s">
        <v>178</v>
      </c>
      <c r="E2081" s="46">
        <v>1</v>
      </c>
      <c r="F2081" s="46" t="s">
        <v>61</v>
      </c>
      <c r="G2081" s="46">
        <v>1</v>
      </c>
      <c r="H2081" s="47" t="s">
        <v>68</v>
      </c>
      <c r="I2081" s="47" t="s">
        <v>101</v>
      </c>
      <c r="J2081" s="48">
        <v>0</v>
      </c>
      <c r="K2081" s="48">
        <v>0</v>
      </c>
      <c r="R2081" s="46">
        <f t="shared" si="209"/>
        <v>0</v>
      </c>
      <c r="S2081" s="46">
        <f t="shared" si="210"/>
        <v>0</v>
      </c>
      <c r="T2081" s="46">
        <f t="shared" si="213"/>
        <v>0</v>
      </c>
      <c r="U2081" s="46">
        <f t="shared" si="211"/>
        <v>0</v>
      </c>
      <c r="V2081" s="54">
        <f t="shared" si="212"/>
        <v>12.5</v>
      </c>
    </row>
    <row r="2082" spans="1:22" x14ac:dyDescent="0.2">
      <c r="A2082" s="46" t="s">
        <v>37</v>
      </c>
      <c r="B2082" s="46" t="s">
        <v>206</v>
      </c>
      <c r="C2082" s="46" t="s">
        <v>91</v>
      </c>
      <c r="D2082" s="46" t="s">
        <v>178</v>
      </c>
      <c r="E2082" s="46">
        <v>1</v>
      </c>
      <c r="F2082" s="46" t="s">
        <v>61</v>
      </c>
      <c r="G2082" s="46">
        <v>2</v>
      </c>
      <c r="H2082" s="47" t="s">
        <v>66</v>
      </c>
      <c r="I2082" s="47" t="s">
        <v>127</v>
      </c>
      <c r="J2082" s="48">
        <v>0</v>
      </c>
      <c r="K2082" s="48">
        <v>0</v>
      </c>
      <c r="R2082" s="46">
        <f t="shared" si="209"/>
        <v>0</v>
      </c>
      <c r="S2082" s="46">
        <f t="shared" si="210"/>
        <v>0</v>
      </c>
      <c r="T2082" s="46">
        <f t="shared" si="213"/>
        <v>0</v>
      </c>
      <c r="U2082" s="46">
        <f t="shared" si="211"/>
        <v>0</v>
      </c>
      <c r="V2082" s="54">
        <f t="shared" si="212"/>
        <v>12.5</v>
      </c>
    </row>
    <row r="2083" spans="1:22" x14ac:dyDescent="0.2">
      <c r="A2083" s="46" t="s">
        <v>37</v>
      </c>
      <c r="B2083" s="46" t="s">
        <v>206</v>
      </c>
      <c r="C2083" s="46" t="s">
        <v>91</v>
      </c>
      <c r="D2083" s="46" t="s">
        <v>178</v>
      </c>
      <c r="E2083" s="46">
        <v>1</v>
      </c>
      <c r="F2083" s="46" t="s">
        <v>60</v>
      </c>
      <c r="G2083" s="46">
        <v>1</v>
      </c>
      <c r="H2083" s="47">
        <v>21</v>
      </c>
      <c r="I2083" s="47" t="s">
        <v>101</v>
      </c>
      <c r="J2083" s="48">
        <v>1</v>
      </c>
      <c r="K2083" s="48">
        <v>0</v>
      </c>
      <c r="O2083" s="48">
        <v>1</v>
      </c>
      <c r="R2083" s="46">
        <f t="shared" si="209"/>
        <v>0</v>
      </c>
      <c r="S2083" s="46">
        <f t="shared" si="210"/>
        <v>0</v>
      </c>
      <c r="T2083" s="46">
        <f t="shared" si="213"/>
        <v>20</v>
      </c>
      <c r="U2083" s="46">
        <f t="shared" si="211"/>
        <v>30</v>
      </c>
      <c r="V2083" s="54">
        <f t="shared" si="212"/>
        <v>12.5</v>
      </c>
    </row>
    <row r="2084" spans="1:22" x14ac:dyDescent="0.2">
      <c r="A2084" s="46" t="s">
        <v>37</v>
      </c>
      <c r="B2084" s="46" t="s">
        <v>206</v>
      </c>
      <c r="C2084" s="46" t="s">
        <v>91</v>
      </c>
      <c r="D2084" s="46" t="s">
        <v>178</v>
      </c>
      <c r="E2084" s="46">
        <v>3</v>
      </c>
      <c r="F2084" s="46" t="s">
        <v>60</v>
      </c>
      <c r="G2084" s="46">
        <v>2</v>
      </c>
      <c r="H2084" s="47">
        <v>38</v>
      </c>
      <c r="I2084" s="47" t="s">
        <v>127</v>
      </c>
      <c r="J2084" s="48">
        <v>1</v>
      </c>
      <c r="K2084" s="48">
        <v>0</v>
      </c>
      <c r="R2084" s="46">
        <f t="shared" si="209"/>
        <v>0</v>
      </c>
      <c r="S2084" s="46">
        <f t="shared" si="210"/>
        <v>0</v>
      </c>
      <c r="T2084" s="46">
        <f t="shared" si="213"/>
        <v>20</v>
      </c>
      <c r="U2084" s="46">
        <f t="shared" si="211"/>
        <v>20</v>
      </c>
      <c r="V2084" s="54">
        <f t="shared" si="212"/>
        <v>12.5</v>
      </c>
    </row>
    <row r="2085" spans="1:22" x14ac:dyDescent="0.2">
      <c r="A2085" s="46" t="s">
        <v>37</v>
      </c>
      <c r="B2085" s="46" t="s">
        <v>206</v>
      </c>
      <c r="C2085" s="46" t="s">
        <v>91</v>
      </c>
      <c r="D2085" s="46" t="s">
        <v>178</v>
      </c>
      <c r="E2085" s="46">
        <v>1</v>
      </c>
      <c r="F2085" s="46" t="s">
        <v>60</v>
      </c>
      <c r="G2085" s="46">
        <v>3</v>
      </c>
      <c r="H2085" s="47">
        <v>39</v>
      </c>
      <c r="I2085" s="47" t="s">
        <v>116</v>
      </c>
      <c r="J2085" s="48">
        <v>1</v>
      </c>
      <c r="K2085" s="48">
        <v>0</v>
      </c>
      <c r="R2085" s="46">
        <f t="shared" si="209"/>
        <v>0</v>
      </c>
      <c r="S2085" s="46">
        <f t="shared" si="210"/>
        <v>0</v>
      </c>
      <c r="T2085" s="46">
        <f t="shared" si="213"/>
        <v>20</v>
      </c>
      <c r="U2085" s="46">
        <f t="shared" si="211"/>
        <v>20</v>
      </c>
      <c r="V2085" s="54">
        <f t="shared" si="212"/>
        <v>12.5</v>
      </c>
    </row>
    <row r="2086" spans="1:22" x14ac:dyDescent="0.2">
      <c r="A2086" s="46" t="s">
        <v>37</v>
      </c>
      <c r="B2086" s="46" t="s">
        <v>206</v>
      </c>
      <c r="C2086" s="46" t="s">
        <v>91</v>
      </c>
      <c r="D2086" s="46" t="s">
        <v>178</v>
      </c>
      <c r="E2086" s="46">
        <v>3</v>
      </c>
      <c r="F2086" s="46" t="s">
        <v>60</v>
      </c>
      <c r="G2086" s="46">
        <v>1</v>
      </c>
      <c r="H2086" s="47">
        <v>41</v>
      </c>
      <c r="I2086" s="47" t="s">
        <v>101</v>
      </c>
      <c r="J2086" s="48">
        <v>1</v>
      </c>
      <c r="K2086" s="48">
        <v>0</v>
      </c>
      <c r="R2086" s="46">
        <f t="shared" si="209"/>
        <v>0</v>
      </c>
      <c r="S2086" s="46">
        <f t="shared" si="210"/>
        <v>0</v>
      </c>
      <c r="T2086" s="46">
        <f t="shared" si="213"/>
        <v>20</v>
      </c>
      <c r="U2086" s="46">
        <f t="shared" si="211"/>
        <v>20</v>
      </c>
      <c r="V2086" s="54">
        <f t="shared" si="212"/>
        <v>12.5</v>
      </c>
    </row>
    <row r="2087" spans="1:22" x14ac:dyDescent="0.2">
      <c r="A2087" s="46" t="s">
        <v>37</v>
      </c>
      <c r="B2087" s="46" t="s">
        <v>206</v>
      </c>
      <c r="C2087" s="46" t="s">
        <v>91</v>
      </c>
      <c r="D2087" s="46" t="s">
        <v>178</v>
      </c>
      <c r="E2087" s="46">
        <v>1</v>
      </c>
      <c r="F2087" s="46" t="s">
        <v>60</v>
      </c>
      <c r="G2087" s="46">
        <v>2</v>
      </c>
      <c r="H2087" s="47">
        <v>50</v>
      </c>
      <c r="I2087" s="47" t="s">
        <v>127</v>
      </c>
      <c r="J2087" s="48">
        <v>1</v>
      </c>
      <c r="K2087" s="48">
        <v>0</v>
      </c>
      <c r="R2087" s="46">
        <f t="shared" si="209"/>
        <v>0</v>
      </c>
      <c r="S2087" s="46">
        <f t="shared" si="210"/>
        <v>0</v>
      </c>
      <c r="T2087" s="46">
        <f t="shared" si="213"/>
        <v>20</v>
      </c>
      <c r="U2087" s="46">
        <f t="shared" si="211"/>
        <v>20</v>
      </c>
      <c r="V2087" s="54">
        <f t="shared" si="212"/>
        <v>12.5</v>
      </c>
    </row>
    <row r="2088" spans="1:22" x14ac:dyDescent="0.2">
      <c r="A2088" s="46" t="s">
        <v>37</v>
      </c>
      <c r="B2088" s="46" t="s">
        <v>206</v>
      </c>
      <c r="C2088" s="46" t="s">
        <v>91</v>
      </c>
      <c r="D2088" s="46" t="s">
        <v>178</v>
      </c>
      <c r="E2088" s="46">
        <v>3</v>
      </c>
      <c r="F2088" s="46" t="s">
        <v>62</v>
      </c>
      <c r="G2088" s="46">
        <v>2</v>
      </c>
      <c r="H2088" s="47" t="s">
        <v>79</v>
      </c>
      <c r="I2088" s="47" t="s">
        <v>127</v>
      </c>
      <c r="J2088" s="48">
        <v>1</v>
      </c>
      <c r="K2088" s="48">
        <v>0</v>
      </c>
      <c r="R2088" s="46">
        <f t="shared" si="209"/>
        <v>0</v>
      </c>
      <c r="S2088" s="46">
        <f t="shared" si="210"/>
        <v>0</v>
      </c>
      <c r="T2088" s="46">
        <f t="shared" si="213"/>
        <v>20</v>
      </c>
      <c r="U2088" s="46">
        <f t="shared" si="211"/>
        <v>20</v>
      </c>
      <c r="V2088" s="54">
        <f t="shared" si="212"/>
        <v>12.5</v>
      </c>
    </row>
    <row r="2089" spans="1:22" x14ac:dyDescent="0.2">
      <c r="A2089" s="46" t="s">
        <v>37</v>
      </c>
      <c r="B2089" s="46" t="s">
        <v>206</v>
      </c>
      <c r="C2089" s="46" t="s">
        <v>91</v>
      </c>
      <c r="D2089" s="46" t="s">
        <v>178</v>
      </c>
      <c r="E2089" s="46">
        <v>2</v>
      </c>
      <c r="F2089" s="46" t="s">
        <v>62</v>
      </c>
      <c r="G2089" s="46">
        <v>2</v>
      </c>
      <c r="H2089" s="47" t="s">
        <v>81</v>
      </c>
      <c r="I2089" s="47" t="s">
        <v>127</v>
      </c>
      <c r="J2089" s="48">
        <v>1</v>
      </c>
      <c r="K2089" s="48">
        <v>0</v>
      </c>
      <c r="R2089" s="46">
        <f t="shared" si="209"/>
        <v>0</v>
      </c>
      <c r="S2089" s="46">
        <f t="shared" si="210"/>
        <v>0</v>
      </c>
      <c r="T2089" s="46">
        <f t="shared" si="213"/>
        <v>20</v>
      </c>
      <c r="U2089" s="46">
        <f t="shared" si="211"/>
        <v>20</v>
      </c>
      <c r="V2089" s="54">
        <f t="shared" si="212"/>
        <v>12.5</v>
      </c>
    </row>
    <row r="2090" spans="1:22" x14ac:dyDescent="0.2">
      <c r="A2090" s="46" t="s">
        <v>37</v>
      </c>
      <c r="B2090" s="46" t="s">
        <v>206</v>
      </c>
      <c r="C2090" s="46" t="s">
        <v>91</v>
      </c>
      <c r="D2090" s="46" t="s">
        <v>178</v>
      </c>
      <c r="E2090" s="46">
        <v>3</v>
      </c>
      <c r="F2090" s="46" t="s">
        <v>62</v>
      </c>
      <c r="G2090" s="46">
        <v>3</v>
      </c>
      <c r="H2090" s="47" t="s">
        <v>84</v>
      </c>
      <c r="I2090" s="47" t="s">
        <v>116</v>
      </c>
      <c r="J2090" s="48">
        <v>1</v>
      </c>
      <c r="K2090" s="48">
        <v>1</v>
      </c>
      <c r="O2090" s="48">
        <v>1</v>
      </c>
      <c r="R2090" s="46">
        <f t="shared" si="209"/>
        <v>0</v>
      </c>
      <c r="S2090" s="46">
        <f t="shared" si="210"/>
        <v>0</v>
      </c>
      <c r="T2090" s="46">
        <f t="shared" si="213"/>
        <v>20</v>
      </c>
      <c r="U2090" s="46">
        <f t="shared" si="211"/>
        <v>30</v>
      </c>
      <c r="V2090" s="54">
        <f t="shared" si="212"/>
        <v>12.5</v>
      </c>
    </row>
    <row r="2091" spans="1:22" x14ac:dyDescent="0.2">
      <c r="A2091" s="46" t="s">
        <v>37</v>
      </c>
      <c r="B2091" s="46" t="s">
        <v>206</v>
      </c>
      <c r="C2091" s="46" t="s">
        <v>91</v>
      </c>
      <c r="D2091" s="46" t="s">
        <v>178</v>
      </c>
      <c r="E2091" s="46">
        <v>2</v>
      </c>
      <c r="F2091" s="46" t="s">
        <v>62</v>
      </c>
      <c r="G2091" s="46">
        <v>3</v>
      </c>
      <c r="H2091" s="47" t="s">
        <v>64</v>
      </c>
      <c r="I2091" s="47" t="s">
        <v>116</v>
      </c>
      <c r="J2091" s="48">
        <v>1</v>
      </c>
      <c r="K2091" s="48">
        <v>0</v>
      </c>
      <c r="R2091" s="46">
        <f t="shared" si="209"/>
        <v>0</v>
      </c>
      <c r="S2091" s="46">
        <f t="shared" si="210"/>
        <v>0</v>
      </c>
      <c r="T2091" s="46">
        <f t="shared" si="213"/>
        <v>20</v>
      </c>
      <c r="U2091" s="46">
        <f t="shared" si="211"/>
        <v>20</v>
      </c>
      <c r="V2091" s="54">
        <f t="shared" si="212"/>
        <v>12.5</v>
      </c>
    </row>
    <row r="2092" spans="1:22" x14ac:dyDescent="0.2">
      <c r="A2092" s="46" t="s">
        <v>37</v>
      </c>
      <c r="B2092" s="46" t="s">
        <v>206</v>
      </c>
      <c r="C2092" s="46" t="s">
        <v>91</v>
      </c>
      <c r="D2092" s="46" t="s">
        <v>178</v>
      </c>
      <c r="E2092" s="46">
        <v>4</v>
      </c>
      <c r="F2092" s="46" t="s">
        <v>63</v>
      </c>
      <c r="G2092" s="46">
        <v>4</v>
      </c>
      <c r="H2092" s="47" t="s">
        <v>147</v>
      </c>
      <c r="I2092" s="47" t="s">
        <v>102</v>
      </c>
      <c r="J2092" s="48">
        <v>1</v>
      </c>
      <c r="K2092" s="48">
        <v>1</v>
      </c>
      <c r="O2092" s="48">
        <v>1</v>
      </c>
      <c r="R2092" s="46">
        <f t="shared" si="209"/>
        <v>0</v>
      </c>
      <c r="S2092" s="46">
        <f t="shared" si="210"/>
        <v>0</v>
      </c>
      <c r="T2092" s="46">
        <f t="shared" si="213"/>
        <v>20</v>
      </c>
      <c r="U2092" s="46">
        <f t="shared" si="211"/>
        <v>30</v>
      </c>
      <c r="V2092" s="54">
        <f t="shared" si="212"/>
        <v>12.5</v>
      </c>
    </row>
    <row r="2093" spans="1:22" x14ac:dyDescent="0.2">
      <c r="A2093" s="46" t="s">
        <v>37</v>
      </c>
      <c r="B2093" s="46" t="s">
        <v>206</v>
      </c>
      <c r="C2093" s="46" t="s">
        <v>91</v>
      </c>
      <c r="D2093" s="46" t="s">
        <v>178</v>
      </c>
      <c r="E2093" s="46">
        <v>4</v>
      </c>
      <c r="F2093" s="46" t="s">
        <v>63</v>
      </c>
      <c r="G2093" s="46">
        <v>4</v>
      </c>
      <c r="H2093" s="47" t="s">
        <v>149</v>
      </c>
      <c r="I2093" s="47" t="s">
        <v>102</v>
      </c>
      <c r="J2093" s="48">
        <v>1</v>
      </c>
      <c r="K2093" s="48">
        <v>0</v>
      </c>
      <c r="O2093" s="48">
        <v>1</v>
      </c>
      <c r="R2093" s="46">
        <f t="shared" si="209"/>
        <v>0</v>
      </c>
      <c r="S2093" s="46">
        <f t="shared" si="210"/>
        <v>0</v>
      </c>
      <c r="T2093" s="46">
        <f t="shared" si="213"/>
        <v>20</v>
      </c>
      <c r="U2093" s="46">
        <f t="shared" si="211"/>
        <v>30</v>
      </c>
      <c r="V2093" s="54">
        <f t="shared" si="212"/>
        <v>12.5</v>
      </c>
    </row>
    <row r="2094" spans="1:22" x14ac:dyDescent="0.2">
      <c r="A2094" s="46" t="s">
        <v>37</v>
      </c>
      <c r="B2094" s="46" t="s">
        <v>206</v>
      </c>
      <c r="C2094" s="46" t="s">
        <v>91</v>
      </c>
      <c r="D2094" s="46" t="s">
        <v>178</v>
      </c>
      <c r="E2094" s="46">
        <v>3</v>
      </c>
      <c r="F2094" s="46" t="s">
        <v>60</v>
      </c>
      <c r="G2094" s="46">
        <v>4</v>
      </c>
      <c r="H2094" s="47">
        <v>32</v>
      </c>
      <c r="I2094" s="47" t="s">
        <v>102</v>
      </c>
      <c r="J2094" s="48">
        <v>2</v>
      </c>
      <c r="K2094" s="48">
        <v>2</v>
      </c>
      <c r="R2094" s="46">
        <f t="shared" si="209"/>
        <v>0</v>
      </c>
      <c r="S2094" s="46">
        <f t="shared" si="210"/>
        <v>0</v>
      </c>
      <c r="T2094" s="46">
        <f t="shared" si="213"/>
        <v>30</v>
      </c>
      <c r="U2094" s="46">
        <f t="shared" si="211"/>
        <v>30</v>
      </c>
      <c r="V2094" s="54">
        <f t="shared" si="212"/>
        <v>12.5</v>
      </c>
    </row>
    <row r="2095" spans="1:22" x14ac:dyDescent="0.2">
      <c r="A2095" s="46" t="s">
        <v>37</v>
      </c>
      <c r="B2095" s="46" t="s">
        <v>206</v>
      </c>
      <c r="C2095" s="46" t="s">
        <v>91</v>
      </c>
      <c r="D2095" s="46" t="s">
        <v>178</v>
      </c>
      <c r="E2095" s="46">
        <v>2</v>
      </c>
      <c r="F2095" s="46" t="s">
        <v>60</v>
      </c>
      <c r="G2095" s="46">
        <v>2</v>
      </c>
      <c r="H2095" s="47">
        <v>46</v>
      </c>
      <c r="I2095" s="47" t="s">
        <v>127</v>
      </c>
      <c r="J2095" s="48">
        <v>2</v>
      </c>
      <c r="K2095" s="48">
        <v>0</v>
      </c>
      <c r="R2095" s="46">
        <f t="shared" si="209"/>
        <v>0</v>
      </c>
      <c r="S2095" s="46">
        <f t="shared" si="210"/>
        <v>0</v>
      </c>
      <c r="T2095" s="46">
        <f t="shared" si="213"/>
        <v>40</v>
      </c>
      <c r="U2095" s="46">
        <f t="shared" si="211"/>
        <v>40</v>
      </c>
      <c r="V2095" s="54">
        <f t="shared" si="212"/>
        <v>12.5</v>
      </c>
    </row>
    <row r="2096" spans="1:22" x14ac:dyDescent="0.2">
      <c r="A2096" s="46" t="s">
        <v>37</v>
      </c>
      <c r="B2096" s="46" t="s">
        <v>206</v>
      </c>
      <c r="C2096" s="46" t="s">
        <v>91</v>
      </c>
      <c r="D2096" s="46" t="s">
        <v>178</v>
      </c>
      <c r="E2096" s="46">
        <v>2</v>
      </c>
      <c r="F2096" s="46" t="s">
        <v>60</v>
      </c>
      <c r="G2096" s="46">
        <v>3</v>
      </c>
      <c r="H2096" s="47">
        <v>43</v>
      </c>
      <c r="I2096" s="47" t="s">
        <v>116</v>
      </c>
      <c r="J2096" s="48">
        <v>3</v>
      </c>
      <c r="K2096" s="48">
        <v>0</v>
      </c>
      <c r="R2096" s="46">
        <f t="shared" si="209"/>
        <v>0</v>
      </c>
      <c r="S2096" s="46">
        <f t="shared" si="210"/>
        <v>0</v>
      </c>
      <c r="T2096" s="46">
        <f t="shared" si="213"/>
        <v>60</v>
      </c>
      <c r="U2096" s="46">
        <f t="shared" si="211"/>
        <v>60</v>
      </c>
      <c r="V2096" s="54">
        <f t="shared" si="212"/>
        <v>12.5</v>
      </c>
    </row>
    <row r="2097" spans="1:22" x14ac:dyDescent="0.2">
      <c r="A2097" s="46" t="s">
        <v>37</v>
      </c>
      <c r="B2097" s="46" t="s">
        <v>206</v>
      </c>
      <c r="C2097" s="46" t="s">
        <v>91</v>
      </c>
      <c r="D2097" s="46" t="s">
        <v>178</v>
      </c>
      <c r="E2097" s="46">
        <v>4</v>
      </c>
      <c r="F2097" s="46" t="s">
        <v>63</v>
      </c>
      <c r="G2097" s="46">
        <v>4</v>
      </c>
      <c r="H2097" s="47" t="s">
        <v>172</v>
      </c>
      <c r="I2097" s="47" t="s">
        <v>102</v>
      </c>
      <c r="J2097" s="48">
        <v>0</v>
      </c>
      <c r="K2097" s="48">
        <v>0</v>
      </c>
      <c r="R2097" s="46">
        <f t="shared" si="209"/>
        <v>0</v>
      </c>
      <c r="S2097" s="46">
        <f t="shared" si="210"/>
        <v>0</v>
      </c>
      <c r="T2097" s="46">
        <f t="shared" si="213"/>
        <v>0</v>
      </c>
      <c r="U2097" s="46">
        <f t="shared" si="211"/>
        <v>0</v>
      </c>
      <c r="V2097" s="54">
        <f t="shared" si="212"/>
        <v>12.5</v>
      </c>
    </row>
    <row r="2098" spans="1:22" x14ac:dyDescent="0.2">
      <c r="A2098" s="46" t="s">
        <v>37</v>
      </c>
      <c r="B2098" s="46" t="s">
        <v>206</v>
      </c>
      <c r="C2098" s="46" t="s">
        <v>91</v>
      </c>
      <c r="D2098" s="46" t="s">
        <v>178</v>
      </c>
      <c r="E2098" s="46">
        <v>5</v>
      </c>
      <c r="F2098" s="46" t="s">
        <v>60</v>
      </c>
      <c r="G2098" s="46">
        <v>1</v>
      </c>
      <c r="H2098" s="47">
        <v>9</v>
      </c>
      <c r="I2098" s="47" t="s">
        <v>101</v>
      </c>
      <c r="J2098" s="48">
        <v>1</v>
      </c>
      <c r="K2098" s="48">
        <v>0</v>
      </c>
      <c r="R2098" s="46">
        <f t="shared" si="209"/>
        <v>0</v>
      </c>
      <c r="S2098" s="46">
        <f t="shared" si="210"/>
        <v>0</v>
      </c>
      <c r="T2098" s="46">
        <f t="shared" si="213"/>
        <v>20</v>
      </c>
      <c r="U2098" s="46">
        <f t="shared" si="211"/>
        <v>20</v>
      </c>
      <c r="V2098" s="54">
        <f t="shared" si="212"/>
        <v>12.5</v>
      </c>
    </row>
    <row r="2099" spans="1:22" x14ac:dyDescent="0.2">
      <c r="A2099" s="46" t="s">
        <v>37</v>
      </c>
      <c r="B2099" s="46" t="s">
        <v>206</v>
      </c>
      <c r="C2099" s="46" t="s">
        <v>91</v>
      </c>
      <c r="D2099" s="46" t="s">
        <v>178</v>
      </c>
      <c r="E2099" s="46">
        <v>5</v>
      </c>
      <c r="F2099" s="46" t="s">
        <v>60</v>
      </c>
      <c r="G2099" s="46">
        <v>4</v>
      </c>
      <c r="H2099" s="47">
        <v>20</v>
      </c>
      <c r="I2099" s="47" t="s">
        <v>102</v>
      </c>
      <c r="J2099" s="48">
        <v>2</v>
      </c>
      <c r="K2099" s="48">
        <v>0</v>
      </c>
      <c r="R2099" s="46">
        <f t="shared" si="209"/>
        <v>0</v>
      </c>
      <c r="S2099" s="46">
        <f t="shared" si="210"/>
        <v>0</v>
      </c>
      <c r="T2099" s="46">
        <f t="shared" si="213"/>
        <v>40</v>
      </c>
      <c r="U2099" s="46">
        <f t="shared" si="211"/>
        <v>40</v>
      </c>
      <c r="V2099" s="54">
        <f t="shared" si="212"/>
        <v>12.5</v>
      </c>
    </row>
    <row r="2100" spans="1:22" x14ac:dyDescent="0.2">
      <c r="A2100" s="46" t="s">
        <v>37</v>
      </c>
      <c r="B2100" s="46" t="s">
        <v>206</v>
      </c>
      <c r="C2100" s="46" t="s">
        <v>91</v>
      </c>
      <c r="D2100" s="46" t="s">
        <v>178</v>
      </c>
      <c r="E2100" s="46">
        <v>5</v>
      </c>
      <c r="F2100" s="46" t="s">
        <v>60</v>
      </c>
      <c r="G2100" s="46">
        <v>3</v>
      </c>
      <c r="H2100" s="47">
        <v>27</v>
      </c>
      <c r="I2100" s="47" t="s">
        <v>159</v>
      </c>
      <c r="J2100" s="48">
        <v>1</v>
      </c>
      <c r="K2100" s="48">
        <v>1</v>
      </c>
      <c r="R2100" s="46">
        <f t="shared" si="209"/>
        <v>0</v>
      </c>
      <c r="S2100" s="46">
        <f t="shared" si="210"/>
        <v>0</v>
      </c>
      <c r="T2100" s="46">
        <f t="shared" si="213"/>
        <v>20</v>
      </c>
      <c r="U2100" s="46">
        <f t="shared" si="211"/>
        <v>20</v>
      </c>
      <c r="V2100" s="54">
        <f t="shared" si="212"/>
        <v>12.5</v>
      </c>
    </row>
    <row r="2101" spans="1:22" x14ac:dyDescent="0.2">
      <c r="A2101" s="46" t="s">
        <v>37</v>
      </c>
      <c r="B2101" s="46" t="s">
        <v>206</v>
      </c>
      <c r="C2101" s="46" t="s">
        <v>91</v>
      </c>
      <c r="D2101" s="46" t="s">
        <v>178</v>
      </c>
      <c r="E2101" s="46">
        <v>5</v>
      </c>
      <c r="F2101" s="46" t="s">
        <v>60</v>
      </c>
      <c r="G2101" s="46">
        <v>4</v>
      </c>
      <c r="H2101" s="47">
        <v>36</v>
      </c>
      <c r="I2101" s="47" t="s">
        <v>102</v>
      </c>
      <c r="J2101" s="48">
        <v>0</v>
      </c>
      <c r="K2101" s="48">
        <v>1</v>
      </c>
      <c r="R2101" s="46">
        <f t="shared" si="209"/>
        <v>0</v>
      </c>
      <c r="S2101" s="46">
        <f t="shared" si="210"/>
        <v>0</v>
      </c>
      <c r="T2101" s="46">
        <f t="shared" si="213"/>
        <v>0</v>
      </c>
      <c r="U2101" s="46">
        <f t="shared" si="211"/>
        <v>0</v>
      </c>
      <c r="V2101" s="54">
        <f t="shared" si="212"/>
        <v>12.5</v>
      </c>
    </row>
    <row r="2102" spans="1:22" x14ac:dyDescent="0.2">
      <c r="A2102" s="46" t="s">
        <v>37</v>
      </c>
      <c r="B2102" s="46" t="s">
        <v>206</v>
      </c>
      <c r="C2102" s="46" t="s">
        <v>91</v>
      </c>
      <c r="D2102" s="46" t="s">
        <v>178</v>
      </c>
      <c r="E2102" s="46">
        <v>5</v>
      </c>
      <c r="F2102" s="46" t="s">
        <v>60</v>
      </c>
      <c r="G2102" s="46">
        <v>2</v>
      </c>
      <c r="H2102" s="47">
        <v>42</v>
      </c>
      <c r="I2102" s="47" t="s">
        <v>127</v>
      </c>
      <c r="J2102" s="48">
        <v>0</v>
      </c>
      <c r="K2102" s="48">
        <v>0</v>
      </c>
      <c r="R2102" s="46">
        <f t="shared" si="209"/>
        <v>0</v>
      </c>
      <c r="S2102" s="46">
        <f t="shared" si="210"/>
        <v>0</v>
      </c>
      <c r="T2102" s="46">
        <f t="shared" si="213"/>
        <v>0</v>
      </c>
      <c r="U2102" s="46">
        <f t="shared" si="211"/>
        <v>0</v>
      </c>
      <c r="V2102" s="54">
        <f t="shared" si="212"/>
        <v>12.5</v>
      </c>
    </row>
    <row r="2103" spans="1:22" x14ac:dyDescent="0.2">
      <c r="A2103" s="46" t="s">
        <v>37</v>
      </c>
      <c r="B2103" s="46" t="s">
        <v>206</v>
      </c>
      <c r="C2103" s="46" t="s">
        <v>91</v>
      </c>
      <c r="D2103" s="46" t="s">
        <v>178</v>
      </c>
      <c r="E2103" s="46">
        <v>5</v>
      </c>
      <c r="F2103" s="46" t="s">
        <v>60</v>
      </c>
      <c r="G2103" s="46">
        <v>2</v>
      </c>
      <c r="H2103" s="47">
        <v>50</v>
      </c>
      <c r="I2103" s="47" t="s">
        <v>127</v>
      </c>
      <c r="J2103" s="48">
        <v>3</v>
      </c>
      <c r="K2103" s="48">
        <v>0</v>
      </c>
      <c r="R2103" s="46">
        <f t="shared" si="209"/>
        <v>0</v>
      </c>
      <c r="S2103" s="46">
        <f t="shared" si="210"/>
        <v>0</v>
      </c>
      <c r="T2103" s="46">
        <f t="shared" si="213"/>
        <v>60</v>
      </c>
      <c r="U2103" s="46">
        <f t="shared" si="211"/>
        <v>60</v>
      </c>
      <c r="V2103" s="54">
        <f t="shared" si="212"/>
        <v>12.5</v>
      </c>
    </row>
    <row r="2104" spans="1:22" x14ac:dyDescent="0.2">
      <c r="A2104" s="46" t="s">
        <v>37</v>
      </c>
      <c r="B2104" s="46" t="s">
        <v>206</v>
      </c>
      <c r="C2104" s="46" t="s">
        <v>91</v>
      </c>
      <c r="D2104" s="46" t="s">
        <v>178</v>
      </c>
      <c r="E2104" s="46">
        <v>5</v>
      </c>
      <c r="F2104" s="46" t="s">
        <v>62</v>
      </c>
      <c r="G2104" s="46">
        <v>3</v>
      </c>
      <c r="H2104" s="47" t="s">
        <v>80</v>
      </c>
      <c r="I2104" s="47" t="s">
        <v>219</v>
      </c>
      <c r="J2104" s="48">
        <v>1</v>
      </c>
      <c r="K2104" s="48">
        <v>0</v>
      </c>
      <c r="R2104" s="46">
        <f t="shared" si="209"/>
        <v>0</v>
      </c>
      <c r="S2104" s="46">
        <f t="shared" si="210"/>
        <v>0</v>
      </c>
      <c r="T2104" s="46">
        <f t="shared" si="213"/>
        <v>20</v>
      </c>
      <c r="U2104" s="46">
        <f t="shared" si="211"/>
        <v>20</v>
      </c>
      <c r="V2104" s="54">
        <f t="shared" si="212"/>
        <v>12.5</v>
      </c>
    </row>
    <row r="2105" spans="1:22" x14ac:dyDescent="0.2">
      <c r="A2105" s="46" t="s">
        <v>37</v>
      </c>
      <c r="B2105" s="46" t="s">
        <v>206</v>
      </c>
      <c r="C2105" s="46" t="s">
        <v>91</v>
      </c>
      <c r="D2105" s="46" t="s">
        <v>178</v>
      </c>
      <c r="E2105" s="46">
        <v>5</v>
      </c>
      <c r="F2105" s="46" t="s">
        <v>62</v>
      </c>
      <c r="G2105" s="46">
        <v>3</v>
      </c>
      <c r="H2105" s="47" t="s">
        <v>84</v>
      </c>
      <c r="I2105" s="47" t="s">
        <v>219</v>
      </c>
      <c r="J2105" s="48">
        <v>1</v>
      </c>
      <c r="K2105" s="48">
        <v>1</v>
      </c>
      <c r="R2105" s="46">
        <f t="shared" si="209"/>
        <v>0</v>
      </c>
      <c r="S2105" s="46">
        <f t="shared" si="210"/>
        <v>0</v>
      </c>
      <c r="T2105" s="46">
        <f t="shared" si="213"/>
        <v>20</v>
      </c>
      <c r="U2105" s="46">
        <f t="shared" si="211"/>
        <v>20</v>
      </c>
      <c r="V2105" s="54">
        <f t="shared" si="212"/>
        <v>12.5</v>
      </c>
    </row>
    <row r="2106" spans="1:22" x14ac:dyDescent="0.2">
      <c r="A2106" s="46" t="s">
        <v>37</v>
      </c>
      <c r="B2106" s="46" t="s">
        <v>206</v>
      </c>
      <c r="C2106" s="46" t="s">
        <v>91</v>
      </c>
      <c r="D2106" s="46" t="s">
        <v>178</v>
      </c>
      <c r="E2106" s="46">
        <v>5</v>
      </c>
      <c r="F2106" s="46" t="s">
        <v>62</v>
      </c>
      <c r="G2106" s="46">
        <v>2</v>
      </c>
      <c r="H2106" s="47" t="s">
        <v>86</v>
      </c>
      <c r="I2106" s="47" t="s">
        <v>127</v>
      </c>
      <c r="J2106" s="48">
        <v>0</v>
      </c>
      <c r="K2106" s="48">
        <v>0</v>
      </c>
      <c r="R2106" s="46">
        <f t="shared" si="209"/>
        <v>0</v>
      </c>
      <c r="S2106" s="46">
        <f t="shared" si="210"/>
        <v>0</v>
      </c>
      <c r="T2106" s="46">
        <f t="shared" si="213"/>
        <v>0</v>
      </c>
      <c r="U2106" s="46">
        <f t="shared" si="211"/>
        <v>0</v>
      </c>
      <c r="V2106" s="54">
        <f t="shared" si="212"/>
        <v>12.5</v>
      </c>
    </row>
    <row r="2107" spans="1:22" x14ac:dyDescent="0.2">
      <c r="A2107" s="46" t="s">
        <v>37</v>
      </c>
      <c r="B2107" s="46" t="s">
        <v>206</v>
      </c>
      <c r="C2107" s="46" t="str">
        <f>VLOOKUP(B2107,$B$2:$C$3219,2,FALSE)</f>
        <v>Fox Island</v>
      </c>
      <c r="D2107" s="46" t="s">
        <v>178</v>
      </c>
      <c r="E2107" s="46">
        <v>5</v>
      </c>
      <c r="F2107" s="46" t="s">
        <v>62</v>
      </c>
      <c r="G2107" s="46">
        <v>3</v>
      </c>
      <c r="H2107" s="47" t="s">
        <v>64</v>
      </c>
      <c r="I2107" s="47" t="s">
        <v>219</v>
      </c>
      <c r="J2107" s="48">
        <v>0</v>
      </c>
      <c r="K2107" s="48">
        <v>0</v>
      </c>
      <c r="R2107" s="46">
        <f t="shared" si="209"/>
        <v>0</v>
      </c>
      <c r="S2107" s="46">
        <f t="shared" si="210"/>
        <v>0</v>
      </c>
      <c r="T2107" s="46">
        <f t="shared" si="213"/>
        <v>0</v>
      </c>
      <c r="U2107" s="46">
        <f t="shared" si="211"/>
        <v>0</v>
      </c>
      <c r="V2107" s="54">
        <f t="shared" si="212"/>
        <v>12.5</v>
      </c>
    </row>
    <row r="2108" spans="1:22" x14ac:dyDescent="0.2">
      <c r="A2108" s="46" t="s">
        <v>121</v>
      </c>
      <c r="B2108" s="46" t="s">
        <v>122</v>
      </c>
      <c r="C2108" s="46" t="s">
        <v>95</v>
      </c>
      <c r="D2108" s="46" t="s">
        <v>178</v>
      </c>
      <c r="E2108" s="46">
        <v>4</v>
      </c>
      <c r="F2108" s="46" t="s">
        <v>60</v>
      </c>
      <c r="G2108" s="46">
        <v>2</v>
      </c>
      <c r="H2108" s="47">
        <v>2</v>
      </c>
      <c r="I2108" s="47" t="s">
        <v>127</v>
      </c>
      <c r="J2108" s="48">
        <v>0</v>
      </c>
      <c r="K2108" s="48">
        <v>0</v>
      </c>
      <c r="R2108" s="46">
        <f t="shared" si="209"/>
        <v>0</v>
      </c>
      <c r="S2108" s="46">
        <f t="shared" si="210"/>
        <v>0</v>
      </c>
      <c r="T2108" s="46">
        <f t="shared" si="213"/>
        <v>0</v>
      </c>
      <c r="U2108" s="46">
        <f t="shared" si="211"/>
        <v>0</v>
      </c>
      <c r="V2108" s="54">
        <f t="shared" si="212"/>
        <v>13.166666666666666</v>
      </c>
    </row>
    <row r="2109" spans="1:22" x14ac:dyDescent="0.2">
      <c r="A2109" s="46" t="s">
        <v>121</v>
      </c>
      <c r="B2109" s="46" t="s">
        <v>122</v>
      </c>
      <c r="C2109" s="46" t="s">
        <v>95</v>
      </c>
      <c r="D2109" s="46" t="s">
        <v>178</v>
      </c>
      <c r="E2109" s="46">
        <v>1</v>
      </c>
      <c r="F2109" s="46" t="s">
        <v>60</v>
      </c>
      <c r="G2109" s="46">
        <v>3</v>
      </c>
      <c r="H2109" s="47">
        <v>3</v>
      </c>
      <c r="I2109" s="47" t="s">
        <v>116</v>
      </c>
      <c r="J2109" s="48">
        <v>0</v>
      </c>
      <c r="K2109" s="48">
        <v>0</v>
      </c>
      <c r="L2109" s="48">
        <v>1</v>
      </c>
      <c r="R2109" s="46">
        <f t="shared" si="209"/>
        <v>0</v>
      </c>
      <c r="S2109" s="46">
        <f t="shared" si="210"/>
        <v>0</v>
      </c>
      <c r="T2109" s="46">
        <f t="shared" si="213"/>
        <v>0</v>
      </c>
      <c r="U2109" s="46">
        <f t="shared" si="211"/>
        <v>-5</v>
      </c>
      <c r="V2109" s="54">
        <f t="shared" si="212"/>
        <v>13.166666666666666</v>
      </c>
    </row>
    <row r="2110" spans="1:22" x14ac:dyDescent="0.2">
      <c r="A2110" s="46" t="s">
        <v>121</v>
      </c>
      <c r="B2110" s="46" t="s">
        <v>122</v>
      </c>
      <c r="C2110" s="46" t="s">
        <v>95</v>
      </c>
      <c r="D2110" s="46" t="s">
        <v>178</v>
      </c>
      <c r="E2110" s="46">
        <v>3</v>
      </c>
      <c r="F2110" s="46" t="s">
        <v>60</v>
      </c>
      <c r="G2110" s="46">
        <v>2</v>
      </c>
      <c r="H2110" s="47">
        <v>6</v>
      </c>
      <c r="I2110" s="47" t="s">
        <v>127</v>
      </c>
      <c r="J2110" s="48">
        <v>0</v>
      </c>
      <c r="K2110" s="48">
        <v>0</v>
      </c>
      <c r="R2110" s="46">
        <f t="shared" si="209"/>
        <v>0</v>
      </c>
      <c r="S2110" s="46">
        <f t="shared" si="210"/>
        <v>0</v>
      </c>
      <c r="T2110" s="46">
        <f t="shared" si="213"/>
        <v>0</v>
      </c>
      <c r="U2110" s="46">
        <f t="shared" si="211"/>
        <v>0</v>
      </c>
      <c r="V2110" s="54">
        <f t="shared" si="212"/>
        <v>13.166666666666666</v>
      </c>
    </row>
    <row r="2111" spans="1:22" x14ac:dyDescent="0.2">
      <c r="A2111" s="46" t="s">
        <v>121</v>
      </c>
      <c r="B2111" s="46" t="s">
        <v>122</v>
      </c>
      <c r="C2111" s="46" t="s">
        <v>95</v>
      </c>
      <c r="D2111" s="46" t="s">
        <v>178</v>
      </c>
      <c r="E2111" s="46">
        <v>2</v>
      </c>
      <c r="F2111" s="46" t="s">
        <v>60</v>
      </c>
      <c r="G2111" s="46">
        <v>2</v>
      </c>
      <c r="H2111" s="47">
        <v>10</v>
      </c>
      <c r="I2111" s="47" t="s">
        <v>127</v>
      </c>
      <c r="J2111" s="48">
        <v>0</v>
      </c>
      <c r="K2111" s="48">
        <v>0</v>
      </c>
      <c r="R2111" s="46">
        <f t="shared" si="209"/>
        <v>0</v>
      </c>
      <c r="S2111" s="46">
        <f t="shared" si="210"/>
        <v>0</v>
      </c>
      <c r="T2111" s="46">
        <f t="shared" si="213"/>
        <v>0</v>
      </c>
      <c r="U2111" s="46">
        <f t="shared" si="211"/>
        <v>0</v>
      </c>
      <c r="V2111" s="54">
        <f t="shared" si="212"/>
        <v>13.166666666666666</v>
      </c>
    </row>
    <row r="2112" spans="1:22" x14ac:dyDescent="0.2">
      <c r="A2112" s="46" t="s">
        <v>121</v>
      </c>
      <c r="B2112" s="46" t="s">
        <v>122</v>
      </c>
      <c r="C2112" s="46" t="s">
        <v>95</v>
      </c>
      <c r="D2112" s="46" t="s">
        <v>178</v>
      </c>
      <c r="E2112" s="46">
        <v>1</v>
      </c>
      <c r="F2112" s="46" t="s">
        <v>60</v>
      </c>
      <c r="G2112" s="46">
        <v>3</v>
      </c>
      <c r="H2112" s="47">
        <v>11</v>
      </c>
      <c r="I2112" s="47" t="s">
        <v>116</v>
      </c>
      <c r="J2112" s="48">
        <v>0</v>
      </c>
      <c r="K2112" s="48">
        <v>0</v>
      </c>
      <c r="R2112" s="46">
        <f t="shared" si="209"/>
        <v>0</v>
      </c>
      <c r="S2112" s="46">
        <f t="shared" si="210"/>
        <v>0</v>
      </c>
      <c r="T2112" s="46">
        <f t="shared" si="213"/>
        <v>0</v>
      </c>
      <c r="U2112" s="46">
        <f t="shared" si="211"/>
        <v>0</v>
      </c>
      <c r="V2112" s="54">
        <f t="shared" si="212"/>
        <v>13.166666666666666</v>
      </c>
    </row>
    <row r="2113" spans="1:22" x14ac:dyDescent="0.2">
      <c r="A2113" s="46" t="s">
        <v>121</v>
      </c>
      <c r="B2113" s="46" t="s">
        <v>122</v>
      </c>
      <c r="C2113" s="46" t="s">
        <v>95</v>
      </c>
      <c r="D2113" s="46" t="s">
        <v>178</v>
      </c>
      <c r="E2113" s="46">
        <v>4</v>
      </c>
      <c r="F2113" s="46" t="s">
        <v>60</v>
      </c>
      <c r="G2113" s="46">
        <v>4</v>
      </c>
      <c r="H2113" s="47">
        <v>12</v>
      </c>
      <c r="I2113" s="47" t="s">
        <v>102</v>
      </c>
      <c r="J2113" s="48">
        <v>0</v>
      </c>
      <c r="K2113" s="48">
        <v>1</v>
      </c>
      <c r="R2113" s="46">
        <f t="shared" si="209"/>
        <v>0</v>
      </c>
      <c r="S2113" s="46">
        <f t="shared" si="210"/>
        <v>0</v>
      </c>
      <c r="T2113" s="46">
        <f t="shared" si="213"/>
        <v>0</v>
      </c>
      <c r="U2113" s="46">
        <f t="shared" si="211"/>
        <v>0</v>
      </c>
      <c r="V2113" s="54">
        <f t="shared" si="212"/>
        <v>13.166666666666666</v>
      </c>
    </row>
    <row r="2114" spans="1:22" x14ac:dyDescent="0.2">
      <c r="A2114" s="46" t="s">
        <v>121</v>
      </c>
      <c r="B2114" s="46" t="s">
        <v>122</v>
      </c>
      <c r="C2114" s="46" t="s">
        <v>95</v>
      </c>
      <c r="D2114" s="46" t="s">
        <v>178</v>
      </c>
      <c r="E2114" s="46">
        <v>4</v>
      </c>
      <c r="F2114" s="46" t="s">
        <v>60</v>
      </c>
      <c r="G2114" s="46">
        <v>3</v>
      </c>
      <c r="H2114" s="47">
        <v>27</v>
      </c>
      <c r="I2114" s="47" t="s">
        <v>159</v>
      </c>
      <c r="J2114" s="48">
        <v>0</v>
      </c>
      <c r="K2114" s="48">
        <v>0</v>
      </c>
      <c r="R2114" s="46">
        <f t="shared" ref="R2114:R2177" si="214">IF(J2114=4,1,0)</f>
        <v>0</v>
      </c>
      <c r="S2114" s="46">
        <f t="shared" ref="S2114:S2177" si="215">IF(K2114=3,1,0)</f>
        <v>0</v>
      </c>
      <c r="T2114" s="46">
        <f t="shared" si="213"/>
        <v>0</v>
      </c>
      <c r="U2114" s="46">
        <f t="shared" ref="U2114:U2177" si="216">T2114+M2114*(20) + (SUM(O2114:Q2114)*(10)) - L2114*(5) - N2114*(5)</f>
        <v>0</v>
      </c>
      <c r="V2114" s="54">
        <f t="shared" ref="V2114:V2177" si="217">AVERAGEIFS(U:U,A:A,A2114,F:F,"Pre")</f>
        <v>13.166666666666666</v>
      </c>
    </row>
    <row r="2115" spans="1:22" x14ac:dyDescent="0.2">
      <c r="A2115" s="46" t="s">
        <v>121</v>
      </c>
      <c r="B2115" s="46" t="s">
        <v>122</v>
      </c>
      <c r="C2115" s="46" t="s">
        <v>95</v>
      </c>
      <c r="D2115" s="46" t="s">
        <v>178</v>
      </c>
      <c r="E2115" s="46">
        <v>3</v>
      </c>
      <c r="F2115" s="46" t="s">
        <v>60</v>
      </c>
      <c r="G2115" s="46">
        <v>4</v>
      </c>
      <c r="H2115" s="47">
        <v>32</v>
      </c>
      <c r="I2115" s="47" t="s">
        <v>102</v>
      </c>
      <c r="J2115" s="48">
        <v>0</v>
      </c>
      <c r="K2115" s="48">
        <v>0</v>
      </c>
      <c r="R2115" s="46">
        <f t="shared" si="214"/>
        <v>0</v>
      </c>
      <c r="S2115" s="46">
        <f t="shared" si="215"/>
        <v>0</v>
      </c>
      <c r="T2115" s="46">
        <f t="shared" si="213"/>
        <v>0</v>
      </c>
      <c r="U2115" s="46">
        <f t="shared" si="216"/>
        <v>0</v>
      </c>
      <c r="V2115" s="54">
        <f t="shared" si="217"/>
        <v>13.166666666666666</v>
      </c>
    </row>
    <row r="2116" spans="1:22" x14ac:dyDescent="0.2">
      <c r="A2116" s="46" t="s">
        <v>121</v>
      </c>
      <c r="B2116" s="46" t="s">
        <v>122</v>
      </c>
      <c r="C2116" s="46" t="s">
        <v>95</v>
      </c>
      <c r="D2116" s="46" t="s">
        <v>178</v>
      </c>
      <c r="E2116" s="46">
        <v>4</v>
      </c>
      <c r="F2116" s="46" t="s">
        <v>60</v>
      </c>
      <c r="G2116" s="46">
        <v>4</v>
      </c>
      <c r="H2116" s="47">
        <v>40</v>
      </c>
      <c r="I2116" s="47" t="s">
        <v>102</v>
      </c>
      <c r="J2116" s="48">
        <v>0</v>
      </c>
      <c r="K2116" s="48">
        <v>0</v>
      </c>
      <c r="R2116" s="46">
        <f t="shared" si="214"/>
        <v>0</v>
      </c>
      <c r="S2116" s="46">
        <f t="shared" si="215"/>
        <v>0</v>
      </c>
      <c r="T2116" s="46">
        <f t="shared" si="213"/>
        <v>0</v>
      </c>
      <c r="U2116" s="46">
        <f t="shared" si="216"/>
        <v>0</v>
      </c>
      <c r="V2116" s="54">
        <f t="shared" si="217"/>
        <v>13.166666666666666</v>
      </c>
    </row>
    <row r="2117" spans="1:22" x14ac:dyDescent="0.2">
      <c r="A2117" s="46" t="s">
        <v>121</v>
      </c>
      <c r="B2117" s="46" t="s">
        <v>122</v>
      </c>
      <c r="C2117" s="46" t="s">
        <v>95</v>
      </c>
      <c r="D2117" s="46" t="s">
        <v>178</v>
      </c>
      <c r="E2117" s="46">
        <v>2</v>
      </c>
      <c r="F2117" s="46" t="s">
        <v>60</v>
      </c>
      <c r="G2117" s="46">
        <v>1</v>
      </c>
      <c r="H2117" s="47">
        <v>41</v>
      </c>
      <c r="I2117" s="47" t="s">
        <v>101</v>
      </c>
      <c r="J2117" s="48">
        <v>0</v>
      </c>
      <c r="K2117" s="48">
        <v>0</v>
      </c>
      <c r="R2117" s="46">
        <f t="shared" si="214"/>
        <v>0</v>
      </c>
      <c r="S2117" s="46">
        <f t="shared" si="215"/>
        <v>0</v>
      </c>
      <c r="T2117" s="46">
        <f t="shared" si="213"/>
        <v>0</v>
      </c>
      <c r="U2117" s="46">
        <f t="shared" si="216"/>
        <v>0</v>
      </c>
      <c r="V2117" s="54">
        <f t="shared" si="217"/>
        <v>13.166666666666666</v>
      </c>
    </row>
    <row r="2118" spans="1:22" x14ac:dyDescent="0.2">
      <c r="A2118" s="46" t="s">
        <v>121</v>
      </c>
      <c r="B2118" s="46" t="s">
        <v>122</v>
      </c>
      <c r="C2118" s="46" t="s">
        <v>95</v>
      </c>
      <c r="D2118" s="46" t="s">
        <v>178</v>
      </c>
      <c r="E2118" s="46">
        <v>1</v>
      </c>
      <c r="F2118" s="46" t="s">
        <v>62</v>
      </c>
      <c r="G2118" s="46">
        <v>3</v>
      </c>
      <c r="H2118" s="47" t="s">
        <v>80</v>
      </c>
      <c r="I2118" s="47" t="s">
        <v>116</v>
      </c>
      <c r="J2118" s="48">
        <v>0</v>
      </c>
      <c r="K2118" s="48">
        <v>1</v>
      </c>
      <c r="R2118" s="46">
        <f t="shared" si="214"/>
        <v>0</v>
      </c>
      <c r="S2118" s="46">
        <f t="shared" si="215"/>
        <v>0</v>
      </c>
      <c r="T2118" s="46">
        <f t="shared" si="213"/>
        <v>0</v>
      </c>
      <c r="U2118" s="46">
        <f t="shared" si="216"/>
        <v>0</v>
      </c>
      <c r="V2118" s="54">
        <f t="shared" si="217"/>
        <v>13.166666666666666</v>
      </c>
    </row>
    <row r="2119" spans="1:22" x14ac:dyDescent="0.2">
      <c r="A2119" s="46" t="s">
        <v>121</v>
      </c>
      <c r="B2119" s="46" t="s">
        <v>122</v>
      </c>
      <c r="C2119" s="46" t="s">
        <v>95</v>
      </c>
      <c r="D2119" s="46" t="s">
        <v>178</v>
      </c>
      <c r="E2119" s="46">
        <v>3</v>
      </c>
      <c r="F2119" s="46" t="s">
        <v>62</v>
      </c>
      <c r="G2119" s="46">
        <v>3</v>
      </c>
      <c r="H2119" s="47" t="s">
        <v>80</v>
      </c>
      <c r="I2119" s="47" t="s">
        <v>116</v>
      </c>
      <c r="J2119" s="48">
        <v>0</v>
      </c>
      <c r="K2119" s="48">
        <v>1</v>
      </c>
      <c r="R2119" s="46">
        <f t="shared" si="214"/>
        <v>0</v>
      </c>
      <c r="S2119" s="46">
        <f t="shared" si="215"/>
        <v>0</v>
      </c>
      <c r="T2119" s="46">
        <f t="shared" si="213"/>
        <v>0</v>
      </c>
      <c r="U2119" s="46">
        <f t="shared" si="216"/>
        <v>0</v>
      </c>
      <c r="V2119" s="54">
        <f t="shared" si="217"/>
        <v>13.166666666666666</v>
      </c>
    </row>
    <row r="2120" spans="1:22" x14ac:dyDescent="0.2">
      <c r="A2120" s="46" t="s">
        <v>121</v>
      </c>
      <c r="B2120" s="46" t="s">
        <v>122</v>
      </c>
      <c r="C2120" s="46" t="s">
        <v>95</v>
      </c>
      <c r="D2120" s="46" t="s">
        <v>178</v>
      </c>
      <c r="E2120" s="46">
        <v>4</v>
      </c>
      <c r="F2120" s="46" t="s">
        <v>62</v>
      </c>
      <c r="G2120" s="46">
        <v>3</v>
      </c>
      <c r="H2120" s="47" t="s">
        <v>80</v>
      </c>
      <c r="I2120" s="47" t="s">
        <v>219</v>
      </c>
      <c r="J2120" s="48">
        <v>0</v>
      </c>
      <c r="K2120" s="48">
        <v>1</v>
      </c>
      <c r="R2120" s="46">
        <f t="shared" si="214"/>
        <v>0</v>
      </c>
      <c r="S2120" s="46">
        <f t="shared" si="215"/>
        <v>0</v>
      </c>
      <c r="T2120" s="46">
        <f t="shared" si="213"/>
        <v>0</v>
      </c>
      <c r="U2120" s="46">
        <f t="shared" si="216"/>
        <v>0</v>
      </c>
      <c r="V2120" s="54">
        <f t="shared" si="217"/>
        <v>13.166666666666666</v>
      </c>
    </row>
    <row r="2121" spans="1:22" x14ac:dyDescent="0.2">
      <c r="A2121" s="46" t="s">
        <v>121</v>
      </c>
      <c r="B2121" s="46" t="s">
        <v>122</v>
      </c>
      <c r="C2121" s="46" t="s">
        <v>95</v>
      </c>
      <c r="D2121" s="46" t="s">
        <v>178</v>
      </c>
      <c r="E2121" s="46">
        <v>4</v>
      </c>
      <c r="F2121" s="46" t="s">
        <v>62</v>
      </c>
      <c r="G2121" s="46">
        <v>3</v>
      </c>
      <c r="H2121" s="47" t="s">
        <v>84</v>
      </c>
      <c r="I2121" s="47" t="s">
        <v>219</v>
      </c>
      <c r="J2121" s="48">
        <v>0</v>
      </c>
      <c r="K2121" s="48">
        <v>0</v>
      </c>
      <c r="R2121" s="46">
        <f t="shared" si="214"/>
        <v>0</v>
      </c>
      <c r="S2121" s="46">
        <f t="shared" si="215"/>
        <v>0</v>
      </c>
      <c r="T2121" s="46">
        <f t="shared" si="213"/>
        <v>0</v>
      </c>
      <c r="U2121" s="46">
        <f t="shared" si="216"/>
        <v>0</v>
      </c>
      <c r="V2121" s="54">
        <f t="shared" si="217"/>
        <v>13.166666666666666</v>
      </c>
    </row>
    <row r="2122" spans="1:22" x14ac:dyDescent="0.2">
      <c r="A2122" s="46" t="s">
        <v>121</v>
      </c>
      <c r="B2122" s="46" t="s">
        <v>122</v>
      </c>
      <c r="C2122" s="46" t="s">
        <v>95</v>
      </c>
      <c r="D2122" s="46" t="s">
        <v>178</v>
      </c>
      <c r="E2122" s="46">
        <v>4</v>
      </c>
      <c r="F2122" s="46" t="s">
        <v>62</v>
      </c>
      <c r="G2122" s="46">
        <v>2</v>
      </c>
      <c r="H2122" s="47" t="s">
        <v>86</v>
      </c>
      <c r="I2122" s="47" t="s">
        <v>127</v>
      </c>
      <c r="J2122" s="48">
        <v>0</v>
      </c>
      <c r="K2122" s="48">
        <v>0</v>
      </c>
      <c r="R2122" s="46">
        <f t="shared" si="214"/>
        <v>0</v>
      </c>
      <c r="S2122" s="46">
        <f t="shared" si="215"/>
        <v>0</v>
      </c>
      <c r="T2122" s="46">
        <f t="shared" si="213"/>
        <v>0</v>
      </c>
      <c r="U2122" s="46">
        <f t="shared" si="216"/>
        <v>0</v>
      </c>
      <c r="V2122" s="54">
        <f t="shared" si="217"/>
        <v>13.166666666666666</v>
      </c>
    </row>
    <row r="2123" spans="1:22" x14ac:dyDescent="0.2">
      <c r="A2123" s="46" t="s">
        <v>121</v>
      </c>
      <c r="B2123" s="46" t="s">
        <v>122</v>
      </c>
      <c r="C2123" s="46" t="s">
        <v>95</v>
      </c>
      <c r="D2123" s="46" t="s">
        <v>178</v>
      </c>
      <c r="E2123" s="46">
        <v>4</v>
      </c>
      <c r="F2123" s="46" t="s">
        <v>62</v>
      </c>
      <c r="G2123" s="46">
        <v>3</v>
      </c>
      <c r="H2123" s="47" t="s">
        <v>64</v>
      </c>
      <c r="I2123" s="47" t="s">
        <v>219</v>
      </c>
      <c r="J2123" s="48">
        <v>0</v>
      </c>
      <c r="K2123" s="48">
        <v>0</v>
      </c>
      <c r="R2123" s="46">
        <f t="shared" si="214"/>
        <v>0</v>
      </c>
      <c r="S2123" s="46">
        <f t="shared" si="215"/>
        <v>0</v>
      </c>
      <c r="T2123" s="46">
        <f t="shared" si="213"/>
        <v>0</v>
      </c>
      <c r="U2123" s="46">
        <f t="shared" si="216"/>
        <v>0</v>
      </c>
      <c r="V2123" s="54">
        <f t="shared" si="217"/>
        <v>13.166666666666666</v>
      </c>
    </row>
    <row r="2124" spans="1:22" x14ac:dyDescent="0.2">
      <c r="A2124" s="46" t="s">
        <v>121</v>
      </c>
      <c r="B2124" s="46" t="s">
        <v>122</v>
      </c>
      <c r="C2124" s="46" t="s">
        <v>95</v>
      </c>
      <c r="D2124" s="46" t="s">
        <v>178</v>
      </c>
      <c r="E2124" s="46">
        <v>1</v>
      </c>
      <c r="F2124" s="46" t="s">
        <v>62</v>
      </c>
      <c r="G2124" s="46">
        <v>2</v>
      </c>
      <c r="H2124" s="47" t="s">
        <v>83</v>
      </c>
      <c r="I2124" s="47" t="s">
        <v>127</v>
      </c>
      <c r="J2124" s="48">
        <v>0</v>
      </c>
      <c r="K2124" s="48">
        <v>0</v>
      </c>
      <c r="R2124" s="46">
        <f t="shared" si="214"/>
        <v>0</v>
      </c>
      <c r="S2124" s="46">
        <f t="shared" si="215"/>
        <v>0</v>
      </c>
      <c r="T2124" s="46">
        <f t="shared" ref="T2124:T2187" si="218">quizscore(J2124,K2124)</f>
        <v>0</v>
      </c>
      <c r="U2124" s="46">
        <f t="shared" si="216"/>
        <v>0</v>
      </c>
      <c r="V2124" s="54">
        <f t="shared" si="217"/>
        <v>13.166666666666666</v>
      </c>
    </row>
    <row r="2125" spans="1:22" x14ac:dyDescent="0.2">
      <c r="A2125" s="46" t="s">
        <v>121</v>
      </c>
      <c r="B2125" s="46" t="s">
        <v>122</v>
      </c>
      <c r="C2125" s="46" t="s">
        <v>95</v>
      </c>
      <c r="D2125" s="46" t="s">
        <v>178</v>
      </c>
      <c r="E2125" s="46">
        <v>2</v>
      </c>
      <c r="F2125" s="46" t="s">
        <v>60</v>
      </c>
      <c r="G2125" s="46">
        <v>1</v>
      </c>
      <c r="H2125" s="47">
        <v>1</v>
      </c>
      <c r="I2125" s="47" t="s">
        <v>101</v>
      </c>
      <c r="J2125" s="48">
        <v>1</v>
      </c>
      <c r="K2125" s="48">
        <v>1</v>
      </c>
      <c r="R2125" s="46">
        <f t="shared" si="214"/>
        <v>0</v>
      </c>
      <c r="S2125" s="46">
        <f t="shared" si="215"/>
        <v>0</v>
      </c>
      <c r="T2125" s="46">
        <f t="shared" si="218"/>
        <v>20</v>
      </c>
      <c r="U2125" s="46">
        <f t="shared" si="216"/>
        <v>20</v>
      </c>
      <c r="V2125" s="54">
        <f t="shared" si="217"/>
        <v>13.166666666666666</v>
      </c>
    </row>
    <row r="2126" spans="1:22" x14ac:dyDescent="0.2">
      <c r="A2126" s="46" t="s">
        <v>121</v>
      </c>
      <c r="B2126" s="46" t="s">
        <v>122</v>
      </c>
      <c r="C2126" s="46" t="s">
        <v>95</v>
      </c>
      <c r="D2126" s="46" t="s">
        <v>178</v>
      </c>
      <c r="E2126" s="46">
        <v>3</v>
      </c>
      <c r="F2126" s="46" t="s">
        <v>60</v>
      </c>
      <c r="G2126" s="46">
        <v>3</v>
      </c>
      <c r="H2126" s="47">
        <v>15</v>
      </c>
      <c r="I2126" s="47" t="s">
        <v>116</v>
      </c>
      <c r="J2126" s="48">
        <v>1</v>
      </c>
      <c r="K2126" s="48">
        <v>0</v>
      </c>
      <c r="R2126" s="46">
        <f t="shared" si="214"/>
        <v>0</v>
      </c>
      <c r="S2126" s="46">
        <f t="shared" si="215"/>
        <v>0</v>
      </c>
      <c r="T2126" s="46">
        <f t="shared" si="218"/>
        <v>20</v>
      </c>
      <c r="U2126" s="46">
        <f t="shared" si="216"/>
        <v>20</v>
      </c>
      <c r="V2126" s="54">
        <f t="shared" si="217"/>
        <v>13.166666666666666</v>
      </c>
    </row>
    <row r="2127" spans="1:22" x14ac:dyDescent="0.2">
      <c r="A2127" s="46" t="s">
        <v>121</v>
      </c>
      <c r="B2127" s="46" t="s">
        <v>122</v>
      </c>
      <c r="C2127" s="46" t="s">
        <v>95</v>
      </c>
      <c r="D2127" s="46" t="s">
        <v>178</v>
      </c>
      <c r="E2127" s="46">
        <v>2</v>
      </c>
      <c r="F2127" s="46" t="s">
        <v>60</v>
      </c>
      <c r="G2127" s="46">
        <v>3</v>
      </c>
      <c r="H2127" s="47">
        <v>19</v>
      </c>
      <c r="I2127" s="47" t="s">
        <v>116</v>
      </c>
      <c r="J2127" s="48">
        <v>1</v>
      </c>
      <c r="K2127" s="48">
        <v>1</v>
      </c>
      <c r="R2127" s="46">
        <f t="shared" si="214"/>
        <v>0</v>
      </c>
      <c r="S2127" s="46">
        <f t="shared" si="215"/>
        <v>0</v>
      </c>
      <c r="T2127" s="46">
        <f t="shared" si="218"/>
        <v>20</v>
      </c>
      <c r="U2127" s="46">
        <f t="shared" si="216"/>
        <v>20</v>
      </c>
      <c r="V2127" s="54">
        <f t="shared" si="217"/>
        <v>13.166666666666666</v>
      </c>
    </row>
    <row r="2128" spans="1:22" x14ac:dyDescent="0.2">
      <c r="A2128" s="46" t="s">
        <v>121</v>
      </c>
      <c r="B2128" s="46" t="s">
        <v>122</v>
      </c>
      <c r="C2128" s="46" t="s">
        <v>95</v>
      </c>
      <c r="D2128" s="46" t="s">
        <v>178</v>
      </c>
      <c r="E2128" s="46">
        <v>1</v>
      </c>
      <c r="F2128" s="46" t="s">
        <v>60</v>
      </c>
      <c r="G2128" s="46">
        <v>4</v>
      </c>
      <c r="H2128" s="47">
        <v>20</v>
      </c>
      <c r="I2128" s="47" t="s">
        <v>102</v>
      </c>
      <c r="J2128" s="48">
        <v>1</v>
      </c>
      <c r="K2128" s="48">
        <v>0</v>
      </c>
      <c r="O2128" s="48">
        <v>1</v>
      </c>
      <c r="R2128" s="46">
        <f t="shared" si="214"/>
        <v>0</v>
      </c>
      <c r="S2128" s="46">
        <f t="shared" si="215"/>
        <v>0</v>
      </c>
      <c r="T2128" s="46">
        <f t="shared" si="218"/>
        <v>20</v>
      </c>
      <c r="U2128" s="46">
        <f t="shared" si="216"/>
        <v>30</v>
      </c>
      <c r="V2128" s="54">
        <f t="shared" si="217"/>
        <v>13.166666666666666</v>
      </c>
    </row>
    <row r="2129" spans="1:22" x14ac:dyDescent="0.2">
      <c r="A2129" s="46" t="s">
        <v>121</v>
      </c>
      <c r="B2129" s="46" t="s">
        <v>122</v>
      </c>
      <c r="C2129" s="46" t="s">
        <v>95</v>
      </c>
      <c r="D2129" s="46" t="s">
        <v>178</v>
      </c>
      <c r="E2129" s="46">
        <v>3</v>
      </c>
      <c r="F2129" s="46" t="s">
        <v>60</v>
      </c>
      <c r="G2129" s="46">
        <v>1</v>
      </c>
      <c r="H2129" s="47">
        <v>21</v>
      </c>
      <c r="I2129" s="47" t="s">
        <v>101</v>
      </c>
      <c r="J2129" s="48">
        <v>1</v>
      </c>
      <c r="K2129" s="48">
        <v>0</v>
      </c>
      <c r="R2129" s="46">
        <f t="shared" si="214"/>
        <v>0</v>
      </c>
      <c r="S2129" s="46">
        <f t="shared" si="215"/>
        <v>0</v>
      </c>
      <c r="T2129" s="46">
        <f t="shared" si="218"/>
        <v>20</v>
      </c>
      <c r="U2129" s="46">
        <f t="shared" si="216"/>
        <v>20</v>
      </c>
      <c r="V2129" s="54">
        <f t="shared" si="217"/>
        <v>13.166666666666666</v>
      </c>
    </row>
    <row r="2130" spans="1:22" x14ac:dyDescent="0.2">
      <c r="A2130" s="46" t="s">
        <v>121</v>
      </c>
      <c r="B2130" s="46" t="s">
        <v>122</v>
      </c>
      <c r="C2130" s="46" t="s">
        <v>95</v>
      </c>
      <c r="D2130" s="46" t="s">
        <v>178</v>
      </c>
      <c r="E2130" s="46">
        <v>1</v>
      </c>
      <c r="F2130" s="46" t="s">
        <v>60</v>
      </c>
      <c r="G2130" s="46">
        <v>2</v>
      </c>
      <c r="H2130" s="47">
        <v>26</v>
      </c>
      <c r="I2130" s="47" t="s">
        <v>127</v>
      </c>
      <c r="J2130" s="48">
        <v>1</v>
      </c>
      <c r="K2130" s="48">
        <v>0</v>
      </c>
      <c r="R2130" s="46">
        <f t="shared" si="214"/>
        <v>0</v>
      </c>
      <c r="S2130" s="46">
        <f t="shared" si="215"/>
        <v>0</v>
      </c>
      <c r="T2130" s="46">
        <f t="shared" si="218"/>
        <v>20</v>
      </c>
      <c r="U2130" s="46">
        <f t="shared" si="216"/>
        <v>20</v>
      </c>
      <c r="V2130" s="54">
        <f t="shared" si="217"/>
        <v>13.166666666666666</v>
      </c>
    </row>
    <row r="2131" spans="1:22" x14ac:dyDescent="0.2">
      <c r="A2131" s="46" t="s">
        <v>121</v>
      </c>
      <c r="B2131" s="46" t="s">
        <v>122</v>
      </c>
      <c r="C2131" s="46" t="s">
        <v>95</v>
      </c>
      <c r="D2131" s="46" t="s">
        <v>178</v>
      </c>
      <c r="E2131" s="46">
        <v>2</v>
      </c>
      <c r="F2131" s="46" t="s">
        <v>60</v>
      </c>
      <c r="G2131" s="46">
        <v>2</v>
      </c>
      <c r="H2131" s="47">
        <v>34</v>
      </c>
      <c r="I2131" s="47" t="s">
        <v>127</v>
      </c>
      <c r="J2131" s="48">
        <v>1</v>
      </c>
      <c r="K2131" s="48">
        <v>0</v>
      </c>
      <c r="R2131" s="46">
        <f t="shared" si="214"/>
        <v>0</v>
      </c>
      <c r="S2131" s="46">
        <f t="shared" si="215"/>
        <v>0</v>
      </c>
      <c r="T2131" s="46">
        <f t="shared" si="218"/>
        <v>20</v>
      </c>
      <c r="U2131" s="46">
        <f t="shared" si="216"/>
        <v>20</v>
      </c>
      <c r="V2131" s="54">
        <f t="shared" si="217"/>
        <v>13.166666666666666</v>
      </c>
    </row>
    <row r="2132" spans="1:22" x14ac:dyDescent="0.2">
      <c r="A2132" s="46" t="s">
        <v>121</v>
      </c>
      <c r="B2132" s="46" t="s">
        <v>122</v>
      </c>
      <c r="C2132" s="46" t="s">
        <v>95</v>
      </c>
      <c r="D2132" s="46" t="s">
        <v>178</v>
      </c>
      <c r="E2132" s="46">
        <v>1</v>
      </c>
      <c r="F2132" s="46" t="s">
        <v>60</v>
      </c>
      <c r="G2132" s="46">
        <v>1</v>
      </c>
      <c r="H2132" s="47">
        <v>37</v>
      </c>
      <c r="I2132" s="47" t="s">
        <v>101</v>
      </c>
      <c r="J2132" s="48">
        <v>1</v>
      </c>
      <c r="K2132" s="48">
        <v>1</v>
      </c>
      <c r="R2132" s="46">
        <f t="shared" si="214"/>
        <v>0</v>
      </c>
      <c r="S2132" s="46">
        <f t="shared" si="215"/>
        <v>0</v>
      </c>
      <c r="T2132" s="46">
        <f t="shared" si="218"/>
        <v>20</v>
      </c>
      <c r="U2132" s="46">
        <f t="shared" si="216"/>
        <v>20</v>
      </c>
      <c r="V2132" s="54">
        <f t="shared" si="217"/>
        <v>13.166666666666666</v>
      </c>
    </row>
    <row r="2133" spans="1:22" x14ac:dyDescent="0.2">
      <c r="A2133" s="46" t="s">
        <v>121</v>
      </c>
      <c r="B2133" s="46" t="s">
        <v>122</v>
      </c>
      <c r="C2133" s="46" t="s">
        <v>95</v>
      </c>
      <c r="D2133" s="46" t="s">
        <v>178</v>
      </c>
      <c r="E2133" s="46">
        <v>3</v>
      </c>
      <c r="F2133" s="46" t="s">
        <v>60</v>
      </c>
      <c r="G2133" s="46">
        <v>1</v>
      </c>
      <c r="H2133" s="47">
        <v>37</v>
      </c>
      <c r="I2133" s="47" t="s">
        <v>101</v>
      </c>
      <c r="J2133" s="48">
        <v>1</v>
      </c>
      <c r="K2133" s="48">
        <v>1</v>
      </c>
      <c r="R2133" s="46">
        <f t="shared" si="214"/>
        <v>0</v>
      </c>
      <c r="S2133" s="46">
        <f t="shared" si="215"/>
        <v>0</v>
      </c>
      <c r="T2133" s="46">
        <f t="shared" si="218"/>
        <v>20</v>
      </c>
      <c r="U2133" s="46">
        <f t="shared" si="216"/>
        <v>20</v>
      </c>
      <c r="V2133" s="54">
        <f t="shared" si="217"/>
        <v>13.166666666666666</v>
      </c>
    </row>
    <row r="2134" spans="1:22" x14ac:dyDescent="0.2">
      <c r="A2134" s="46" t="s">
        <v>121</v>
      </c>
      <c r="B2134" s="46" t="s">
        <v>122</v>
      </c>
      <c r="C2134" s="46" t="s">
        <v>95</v>
      </c>
      <c r="D2134" s="46" t="s">
        <v>178</v>
      </c>
      <c r="E2134" s="46">
        <v>4</v>
      </c>
      <c r="F2134" s="46" t="s">
        <v>60</v>
      </c>
      <c r="G2134" s="46">
        <v>1</v>
      </c>
      <c r="H2134" s="47">
        <v>45</v>
      </c>
      <c r="I2134" s="47" t="s">
        <v>101</v>
      </c>
      <c r="J2134" s="48">
        <v>1</v>
      </c>
      <c r="K2134" s="48">
        <v>0</v>
      </c>
      <c r="R2134" s="46">
        <f t="shared" si="214"/>
        <v>0</v>
      </c>
      <c r="S2134" s="46">
        <f t="shared" si="215"/>
        <v>0</v>
      </c>
      <c r="T2134" s="46">
        <f t="shared" si="218"/>
        <v>20</v>
      </c>
      <c r="U2134" s="46">
        <f t="shared" si="216"/>
        <v>20</v>
      </c>
      <c r="V2134" s="54">
        <f t="shared" si="217"/>
        <v>13.166666666666666</v>
      </c>
    </row>
    <row r="2135" spans="1:22" x14ac:dyDescent="0.2">
      <c r="A2135" s="46" t="s">
        <v>121</v>
      </c>
      <c r="B2135" s="46" t="s">
        <v>122</v>
      </c>
      <c r="C2135" s="46" t="s">
        <v>95</v>
      </c>
      <c r="D2135" s="46" t="s">
        <v>178</v>
      </c>
      <c r="E2135" s="46">
        <v>2</v>
      </c>
      <c r="F2135" s="46" t="s">
        <v>62</v>
      </c>
      <c r="G2135" s="46">
        <v>2</v>
      </c>
      <c r="H2135" s="47" t="s">
        <v>79</v>
      </c>
      <c r="I2135" s="47" t="s">
        <v>127</v>
      </c>
      <c r="J2135" s="48">
        <v>1</v>
      </c>
      <c r="K2135" s="48">
        <v>1</v>
      </c>
      <c r="R2135" s="46">
        <f t="shared" si="214"/>
        <v>0</v>
      </c>
      <c r="S2135" s="46">
        <f t="shared" si="215"/>
        <v>0</v>
      </c>
      <c r="T2135" s="46">
        <f t="shared" si="218"/>
        <v>20</v>
      </c>
      <c r="U2135" s="46">
        <f t="shared" si="216"/>
        <v>20</v>
      </c>
      <c r="V2135" s="54">
        <f t="shared" si="217"/>
        <v>13.166666666666666</v>
      </c>
    </row>
    <row r="2136" spans="1:22" x14ac:dyDescent="0.2">
      <c r="A2136" s="46" t="s">
        <v>121</v>
      </c>
      <c r="B2136" s="46" t="s">
        <v>122</v>
      </c>
      <c r="C2136" s="46" t="s">
        <v>95</v>
      </c>
      <c r="D2136" s="46" t="s">
        <v>178</v>
      </c>
      <c r="E2136" s="46">
        <v>1</v>
      </c>
      <c r="F2136" s="46" t="s">
        <v>62</v>
      </c>
      <c r="G2136" s="46">
        <v>2</v>
      </c>
      <c r="H2136" s="47" t="s">
        <v>82</v>
      </c>
      <c r="I2136" s="47" t="s">
        <v>127</v>
      </c>
      <c r="J2136" s="48">
        <v>1</v>
      </c>
      <c r="K2136" s="48">
        <v>0</v>
      </c>
      <c r="O2136" s="48">
        <v>1</v>
      </c>
      <c r="R2136" s="46">
        <f t="shared" si="214"/>
        <v>0</v>
      </c>
      <c r="S2136" s="46">
        <f t="shared" si="215"/>
        <v>0</v>
      </c>
      <c r="T2136" s="46">
        <f t="shared" si="218"/>
        <v>20</v>
      </c>
      <c r="U2136" s="46">
        <f t="shared" si="216"/>
        <v>30</v>
      </c>
      <c r="V2136" s="54">
        <f t="shared" si="217"/>
        <v>13.166666666666666</v>
      </c>
    </row>
    <row r="2137" spans="1:22" x14ac:dyDescent="0.2">
      <c r="A2137" s="46" t="s">
        <v>121</v>
      </c>
      <c r="B2137" s="46" t="s">
        <v>122</v>
      </c>
      <c r="C2137" s="46" t="s">
        <v>95</v>
      </c>
      <c r="D2137" s="46" t="s">
        <v>178</v>
      </c>
      <c r="E2137" s="46">
        <v>3</v>
      </c>
      <c r="F2137" s="46" t="s">
        <v>62</v>
      </c>
      <c r="G2137" s="46">
        <v>3</v>
      </c>
      <c r="H2137" s="47" t="s">
        <v>85</v>
      </c>
      <c r="I2137" s="47" t="s">
        <v>116</v>
      </c>
      <c r="J2137" s="48">
        <v>1</v>
      </c>
      <c r="K2137" s="48">
        <v>0</v>
      </c>
      <c r="R2137" s="46">
        <f t="shared" si="214"/>
        <v>0</v>
      </c>
      <c r="S2137" s="46">
        <f t="shared" si="215"/>
        <v>0</v>
      </c>
      <c r="T2137" s="46">
        <f t="shared" si="218"/>
        <v>20</v>
      </c>
      <c r="U2137" s="46">
        <f t="shared" si="216"/>
        <v>20</v>
      </c>
      <c r="V2137" s="54">
        <f t="shared" si="217"/>
        <v>13.166666666666666</v>
      </c>
    </row>
    <row r="2138" spans="1:22" x14ac:dyDescent="0.2">
      <c r="A2138" s="46" t="s">
        <v>121</v>
      </c>
      <c r="B2138" s="46" t="s">
        <v>122</v>
      </c>
      <c r="C2138" s="46" t="s">
        <v>95</v>
      </c>
      <c r="D2138" s="46" t="s">
        <v>178</v>
      </c>
      <c r="E2138" s="46">
        <v>2</v>
      </c>
      <c r="F2138" s="46" t="s">
        <v>62</v>
      </c>
      <c r="G2138" s="46">
        <v>3</v>
      </c>
      <c r="H2138" s="47" t="s">
        <v>87</v>
      </c>
      <c r="I2138" s="47" t="s">
        <v>116</v>
      </c>
      <c r="J2138" s="48">
        <v>1</v>
      </c>
      <c r="K2138" s="48">
        <v>0</v>
      </c>
      <c r="O2138" s="48">
        <v>1</v>
      </c>
      <c r="R2138" s="46">
        <f t="shared" si="214"/>
        <v>0</v>
      </c>
      <c r="S2138" s="46">
        <f t="shared" si="215"/>
        <v>0</v>
      </c>
      <c r="T2138" s="46">
        <f t="shared" si="218"/>
        <v>20</v>
      </c>
      <c r="U2138" s="46">
        <f t="shared" si="216"/>
        <v>30</v>
      </c>
      <c r="V2138" s="54">
        <f t="shared" si="217"/>
        <v>13.166666666666666</v>
      </c>
    </row>
    <row r="2139" spans="1:22" x14ac:dyDescent="0.2">
      <c r="A2139" s="46" t="s">
        <v>121</v>
      </c>
      <c r="B2139" s="46" t="s">
        <v>122</v>
      </c>
      <c r="C2139" s="46" t="s">
        <v>95</v>
      </c>
      <c r="D2139" s="46" t="s">
        <v>178</v>
      </c>
      <c r="E2139" s="46">
        <v>4</v>
      </c>
      <c r="F2139" s="46" t="s">
        <v>60</v>
      </c>
      <c r="G2139" s="46">
        <v>3</v>
      </c>
      <c r="H2139" s="47">
        <v>19</v>
      </c>
      <c r="I2139" s="47" t="s">
        <v>159</v>
      </c>
      <c r="J2139" s="48">
        <v>2</v>
      </c>
      <c r="K2139" s="48">
        <v>0</v>
      </c>
      <c r="R2139" s="46">
        <f t="shared" si="214"/>
        <v>0</v>
      </c>
      <c r="S2139" s="46">
        <f t="shared" si="215"/>
        <v>0</v>
      </c>
      <c r="T2139" s="46">
        <f t="shared" si="218"/>
        <v>40</v>
      </c>
      <c r="U2139" s="46">
        <f t="shared" si="216"/>
        <v>40</v>
      </c>
      <c r="V2139" s="54">
        <f t="shared" si="217"/>
        <v>13.166666666666666</v>
      </c>
    </row>
    <row r="2140" spans="1:22" x14ac:dyDescent="0.2">
      <c r="A2140" s="46" t="s">
        <v>121</v>
      </c>
      <c r="B2140" s="46" t="s">
        <v>122</v>
      </c>
      <c r="C2140" s="46" t="s">
        <v>95</v>
      </c>
      <c r="D2140" s="46" t="s">
        <v>178</v>
      </c>
      <c r="E2140" s="46">
        <v>2</v>
      </c>
      <c r="F2140" s="46" t="s">
        <v>60</v>
      </c>
      <c r="G2140" s="46">
        <v>4</v>
      </c>
      <c r="H2140" s="47">
        <v>28</v>
      </c>
      <c r="I2140" s="47" t="s">
        <v>102</v>
      </c>
      <c r="J2140" s="48">
        <v>2</v>
      </c>
      <c r="K2140" s="48">
        <v>0</v>
      </c>
      <c r="R2140" s="46">
        <f t="shared" si="214"/>
        <v>0</v>
      </c>
      <c r="S2140" s="46">
        <f t="shared" si="215"/>
        <v>0</v>
      </c>
      <c r="T2140" s="46">
        <f t="shared" si="218"/>
        <v>40</v>
      </c>
      <c r="U2140" s="46">
        <f t="shared" si="216"/>
        <v>40</v>
      </c>
      <c r="V2140" s="54">
        <f t="shared" si="217"/>
        <v>13.166666666666666</v>
      </c>
    </row>
    <row r="2141" spans="1:22" x14ac:dyDescent="0.2">
      <c r="A2141" s="46" t="s">
        <v>121</v>
      </c>
      <c r="B2141" s="46" t="s">
        <v>122</v>
      </c>
      <c r="C2141" s="46" t="s">
        <v>95</v>
      </c>
      <c r="D2141" s="46" t="s">
        <v>178</v>
      </c>
      <c r="E2141" s="46">
        <v>1</v>
      </c>
      <c r="F2141" s="46" t="s">
        <v>60</v>
      </c>
      <c r="G2141" s="46">
        <v>2</v>
      </c>
      <c r="H2141" s="47">
        <v>46</v>
      </c>
      <c r="I2141" s="47" t="s">
        <v>127</v>
      </c>
      <c r="J2141" s="48">
        <v>2</v>
      </c>
      <c r="K2141" s="48">
        <v>1</v>
      </c>
      <c r="O2141" s="48">
        <v>1</v>
      </c>
      <c r="R2141" s="46">
        <f t="shared" si="214"/>
        <v>0</v>
      </c>
      <c r="S2141" s="46">
        <f t="shared" si="215"/>
        <v>0</v>
      </c>
      <c r="T2141" s="46">
        <f t="shared" si="218"/>
        <v>40</v>
      </c>
      <c r="U2141" s="46">
        <f t="shared" si="216"/>
        <v>50</v>
      </c>
      <c r="V2141" s="54">
        <f t="shared" si="217"/>
        <v>13.166666666666666</v>
      </c>
    </row>
    <row r="2142" spans="1:22" x14ac:dyDescent="0.2">
      <c r="A2142" s="46" t="s">
        <v>121</v>
      </c>
      <c r="B2142" s="46" t="s">
        <v>122</v>
      </c>
      <c r="C2142" s="46" t="s">
        <v>95</v>
      </c>
      <c r="D2142" s="46" t="s">
        <v>178</v>
      </c>
      <c r="E2142" s="46">
        <v>3</v>
      </c>
      <c r="F2142" s="46" t="s">
        <v>60</v>
      </c>
      <c r="G2142" s="46">
        <v>4</v>
      </c>
      <c r="H2142" s="47">
        <v>48</v>
      </c>
      <c r="I2142" s="47" t="s">
        <v>102</v>
      </c>
      <c r="J2142" s="48">
        <v>2</v>
      </c>
      <c r="K2142" s="48">
        <v>0</v>
      </c>
      <c r="R2142" s="46">
        <f t="shared" si="214"/>
        <v>0</v>
      </c>
      <c r="S2142" s="46">
        <f t="shared" si="215"/>
        <v>0</v>
      </c>
      <c r="T2142" s="46">
        <f t="shared" si="218"/>
        <v>40</v>
      </c>
      <c r="U2142" s="46">
        <f t="shared" si="216"/>
        <v>40</v>
      </c>
      <c r="V2142" s="54">
        <f t="shared" si="217"/>
        <v>13.166666666666666</v>
      </c>
    </row>
    <row r="2143" spans="1:22" x14ac:dyDescent="0.2">
      <c r="A2143" s="46" t="s">
        <v>121</v>
      </c>
      <c r="B2143" s="46" t="s">
        <v>122</v>
      </c>
      <c r="C2143" s="46" t="s">
        <v>95</v>
      </c>
      <c r="D2143" s="46" t="s">
        <v>178</v>
      </c>
      <c r="E2143" s="46">
        <v>2</v>
      </c>
      <c r="F2143" s="46" t="s">
        <v>62</v>
      </c>
      <c r="G2143" s="46">
        <v>3</v>
      </c>
      <c r="H2143" s="47" t="s">
        <v>85</v>
      </c>
      <c r="I2143" s="47" t="s">
        <v>116</v>
      </c>
      <c r="J2143" s="48">
        <v>4</v>
      </c>
      <c r="K2143" s="48">
        <v>0</v>
      </c>
      <c r="R2143" s="46">
        <f t="shared" si="214"/>
        <v>1</v>
      </c>
      <c r="S2143" s="46">
        <f t="shared" si="215"/>
        <v>0</v>
      </c>
      <c r="T2143" s="46">
        <f t="shared" si="218"/>
        <v>90</v>
      </c>
      <c r="U2143" s="46">
        <f t="shared" si="216"/>
        <v>90</v>
      </c>
      <c r="V2143" s="54">
        <f t="shared" si="217"/>
        <v>13.166666666666666</v>
      </c>
    </row>
    <row r="2144" spans="1:22" x14ac:dyDescent="0.2">
      <c r="A2144" s="46" t="s">
        <v>121</v>
      </c>
      <c r="B2144" s="46" t="s">
        <v>122</v>
      </c>
      <c r="C2144" s="46" t="s">
        <v>95</v>
      </c>
      <c r="D2144" s="46" t="s">
        <v>178</v>
      </c>
      <c r="E2144" s="46">
        <v>5</v>
      </c>
      <c r="F2144" s="46" t="s">
        <v>60</v>
      </c>
      <c r="G2144" s="46">
        <v>2</v>
      </c>
      <c r="H2144" s="47">
        <v>6</v>
      </c>
      <c r="I2144" s="47" t="s">
        <v>127</v>
      </c>
      <c r="J2144" s="48">
        <v>0</v>
      </c>
      <c r="K2144" s="48">
        <v>0</v>
      </c>
      <c r="R2144" s="46">
        <f t="shared" si="214"/>
        <v>0</v>
      </c>
      <c r="S2144" s="46">
        <f t="shared" si="215"/>
        <v>0</v>
      </c>
      <c r="T2144" s="46">
        <f t="shared" si="218"/>
        <v>0</v>
      </c>
      <c r="U2144" s="46">
        <f t="shared" si="216"/>
        <v>0</v>
      </c>
      <c r="V2144" s="54">
        <f t="shared" si="217"/>
        <v>13.166666666666666</v>
      </c>
    </row>
    <row r="2145" spans="1:22" x14ac:dyDescent="0.2">
      <c r="A2145" s="46" t="s">
        <v>121</v>
      </c>
      <c r="B2145" s="46" t="s">
        <v>122</v>
      </c>
      <c r="C2145" s="46" t="s">
        <v>95</v>
      </c>
      <c r="D2145" s="46" t="s">
        <v>178</v>
      </c>
      <c r="E2145" s="46">
        <v>5</v>
      </c>
      <c r="F2145" s="46" t="s">
        <v>60</v>
      </c>
      <c r="G2145" s="46">
        <v>3</v>
      </c>
      <c r="H2145" s="47">
        <v>15</v>
      </c>
      <c r="I2145" s="47" t="s">
        <v>159</v>
      </c>
      <c r="J2145" s="48">
        <v>0</v>
      </c>
      <c r="K2145" s="48">
        <v>1</v>
      </c>
      <c r="R2145" s="46">
        <f t="shared" si="214"/>
        <v>0</v>
      </c>
      <c r="S2145" s="46">
        <f t="shared" si="215"/>
        <v>0</v>
      </c>
      <c r="T2145" s="46">
        <f t="shared" si="218"/>
        <v>0</v>
      </c>
      <c r="U2145" s="46">
        <f t="shared" si="216"/>
        <v>0</v>
      </c>
      <c r="V2145" s="54">
        <f t="shared" si="217"/>
        <v>13.166666666666666</v>
      </c>
    </row>
    <row r="2146" spans="1:22" x14ac:dyDescent="0.2">
      <c r="A2146" s="46" t="s">
        <v>121</v>
      </c>
      <c r="B2146" s="46" t="s">
        <v>122</v>
      </c>
      <c r="C2146" s="46" t="s">
        <v>95</v>
      </c>
      <c r="D2146" s="46" t="s">
        <v>178</v>
      </c>
      <c r="E2146" s="46">
        <v>5</v>
      </c>
      <c r="F2146" s="46" t="s">
        <v>60</v>
      </c>
      <c r="G2146" s="46">
        <v>2</v>
      </c>
      <c r="H2146" s="47">
        <v>22</v>
      </c>
      <c r="I2146" s="47" t="s">
        <v>127</v>
      </c>
      <c r="J2146" s="48">
        <v>0</v>
      </c>
      <c r="K2146" s="48">
        <v>0</v>
      </c>
      <c r="R2146" s="46">
        <f t="shared" si="214"/>
        <v>0</v>
      </c>
      <c r="S2146" s="46">
        <f t="shared" si="215"/>
        <v>0</v>
      </c>
      <c r="T2146" s="46">
        <f t="shared" si="218"/>
        <v>0</v>
      </c>
      <c r="U2146" s="46">
        <f t="shared" si="216"/>
        <v>0</v>
      </c>
      <c r="V2146" s="54">
        <f t="shared" si="217"/>
        <v>13.166666666666666</v>
      </c>
    </row>
    <row r="2147" spans="1:22" x14ac:dyDescent="0.2">
      <c r="A2147" s="46" t="s">
        <v>121</v>
      </c>
      <c r="B2147" s="46" t="s">
        <v>122</v>
      </c>
      <c r="C2147" s="46" t="s">
        <v>95</v>
      </c>
      <c r="D2147" s="46" t="s">
        <v>178</v>
      </c>
      <c r="E2147" s="46">
        <v>5</v>
      </c>
      <c r="F2147" s="46" t="s">
        <v>60</v>
      </c>
      <c r="G2147" s="46">
        <v>3</v>
      </c>
      <c r="H2147" s="47">
        <v>31</v>
      </c>
      <c r="I2147" s="47" t="s">
        <v>159</v>
      </c>
      <c r="J2147" s="48">
        <v>0</v>
      </c>
      <c r="K2147" s="48">
        <v>0</v>
      </c>
      <c r="R2147" s="46">
        <f t="shared" si="214"/>
        <v>0</v>
      </c>
      <c r="S2147" s="46">
        <f t="shared" si="215"/>
        <v>0</v>
      </c>
      <c r="T2147" s="46">
        <f t="shared" si="218"/>
        <v>0</v>
      </c>
      <c r="U2147" s="46">
        <f t="shared" si="216"/>
        <v>0</v>
      </c>
      <c r="V2147" s="54">
        <f t="shared" si="217"/>
        <v>13.166666666666666</v>
      </c>
    </row>
    <row r="2148" spans="1:22" x14ac:dyDescent="0.2">
      <c r="A2148" s="46" t="s">
        <v>121</v>
      </c>
      <c r="B2148" s="46" t="s">
        <v>122</v>
      </c>
      <c r="C2148" s="46" t="s">
        <v>95</v>
      </c>
      <c r="D2148" s="46" t="s">
        <v>178</v>
      </c>
      <c r="E2148" s="46">
        <v>5</v>
      </c>
      <c r="F2148" s="46" t="s">
        <v>60</v>
      </c>
      <c r="G2148" s="46">
        <v>1</v>
      </c>
      <c r="H2148" s="47">
        <v>33</v>
      </c>
      <c r="I2148" s="47" t="s">
        <v>101</v>
      </c>
      <c r="J2148" s="48">
        <v>0</v>
      </c>
      <c r="K2148" s="48">
        <v>0</v>
      </c>
      <c r="R2148" s="46">
        <f t="shared" si="214"/>
        <v>0</v>
      </c>
      <c r="S2148" s="46">
        <f t="shared" si="215"/>
        <v>0</v>
      </c>
      <c r="T2148" s="46">
        <f t="shared" si="218"/>
        <v>0</v>
      </c>
      <c r="U2148" s="46">
        <f t="shared" si="216"/>
        <v>0</v>
      </c>
      <c r="V2148" s="54">
        <f t="shared" si="217"/>
        <v>13.166666666666666</v>
      </c>
    </row>
    <row r="2149" spans="1:22" x14ac:dyDescent="0.2">
      <c r="A2149" s="46" t="s">
        <v>121</v>
      </c>
      <c r="B2149" s="46" t="s">
        <v>122</v>
      </c>
      <c r="C2149" s="46" t="s">
        <v>95</v>
      </c>
      <c r="D2149" s="46" t="s">
        <v>178</v>
      </c>
      <c r="E2149" s="46">
        <v>5</v>
      </c>
      <c r="F2149" s="46" t="s">
        <v>60</v>
      </c>
      <c r="G2149" s="46">
        <v>4</v>
      </c>
      <c r="H2149" s="47">
        <v>44</v>
      </c>
      <c r="I2149" s="47" t="s">
        <v>102</v>
      </c>
      <c r="J2149" s="48">
        <v>1</v>
      </c>
      <c r="K2149" s="48">
        <v>0</v>
      </c>
      <c r="R2149" s="46">
        <f t="shared" si="214"/>
        <v>0</v>
      </c>
      <c r="S2149" s="46">
        <f t="shared" si="215"/>
        <v>0</v>
      </c>
      <c r="T2149" s="46">
        <f t="shared" si="218"/>
        <v>20</v>
      </c>
      <c r="U2149" s="46">
        <f t="shared" si="216"/>
        <v>20</v>
      </c>
      <c r="V2149" s="54">
        <f t="shared" si="217"/>
        <v>13.166666666666666</v>
      </c>
    </row>
    <row r="2150" spans="1:22" x14ac:dyDescent="0.2">
      <c r="A2150" s="46" t="s">
        <v>121</v>
      </c>
      <c r="B2150" s="46" t="s">
        <v>122</v>
      </c>
      <c r="C2150" s="46" t="s">
        <v>95</v>
      </c>
      <c r="D2150" s="46" t="s">
        <v>178</v>
      </c>
      <c r="E2150" s="46">
        <v>5</v>
      </c>
      <c r="F2150" s="46" t="s">
        <v>62</v>
      </c>
      <c r="G2150" s="46">
        <v>2</v>
      </c>
      <c r="H2150" s="47" t="s">
        <v>79</v>
      </c>
      <c r="I2150" s="47" t="s">
        <v>127</v>
      </c>
      <c r="J2150" s="48">
        <v>0</v>
      </c>
      <c r="K2150" s="48">
        <v>0</v>
      </c>
      <c r="R2150" s="46">
        <f t="shared" si="214"/>
        <v>0</v>
      </c>
      <c r="S2150" s="46">
        <f t="shared" si="215"/>
        <v>0</v>
      </c>
      <c r="T2150" s="46">
        <f t="shared" si="218"/>
        <v>0</v>
      </c>
      <c r="U2150" s="46">
        <f t="shared" si="216"/>
        <v>0</v>
      </c>
      <c r="V2150" s="54">
        <f t="shared" si="217"/>
        <v>13.166666666666666</v>
      </c>
    </row>
    <row r="2151" spans="1:22" x14ac:dyDescent="0.2">
      <c r="A2151" s="46" t="s">
        <v>121</v>
      </c>
      <c r="B2151" s="46" t="s">
        <v>122</v>
      </c>
      <c r="C2151" s="46" t="s">
        <v>95</v>
      </c>
      <c r="D2151" s="46" t="s">
        <v>178</v>
      </c>
      <c r="E2151" s="46">
        <v>5</v>
      </c>
      <c r="F2151" s="46" t="s">
        <v>62</v>
      </c>
      <c r="G2151" s="46">
        <v>3</v>
      </c>
      <c r="H2151" s="47" t="s">
        <v>85</v>
      </c>
      <c r="I2151" s="47" t="s">
        <v>219</v>
      </c>
      <c r="J2151" s="48">
        <v>0</v>
      </c>
      <c r="K2151" s="48">
        <v>0</v>
      </c>
      <c r="R2151" s="46">
        <f t="shared" si="214"/>
        <v>0</v>
      </c>
      <c r="S2151" s="46">
        <f t="shared" si="215"/>
        <v>0</v>
      </c>
      <c r="T2151" s="46">
        <f t="shared" si="218"/>
        <v>0</v>
      </c>
      <c r="U2151" s="46">
        <f t="shared" si="216"/>
        <v>0</v>
      </c>
      <c r="V2151" s="54">
        <f t="shared" si="217"/>
        <v>13.166666666666666</v>
      </c>
    </row>
    <row r="2152" spans="1:22" x14ac:dyDescent="0.2">
      <c r="A2152" s="46" t="s">
        <v>121</v>
      </c>
      <c r="B2152" s="46" t="s">
        <v>122</v>
      </c>
      <c r="C2152" s="46" t="str">
        <f>VLOOKUP(B2152,$B$2:$C$3219,2,FALSE)</f>
        <v>Tacoma</v>
      </c>
      <c r="D2152" s="46" t="s">
        <v>178</v>
      </c>
      <c r="E2152" s="46">
        <v>5</v>
      </c>
      <c r="F2152" s="46" t="s">
        <v>62</v>
      </c>
      <c r="G2152" s="46">
        <v>3</v>
      </c>
      <c r="H2152" s="47" t="s">
        <v>87</v>
      </c>
      <c r="I2152" s="47" t="s">
        <v>219</v>
      </c>
      <c r="J2152" s="48">
        <v>0</v>
      </c>
      <c r="K2152" s="48">
        <v>0</v>
      </c>
      <c r="R2152" s="46">
        <f t="shared" si="214"/>
        <v>0</v>
      </c>
      <c r="S2152" s="46">
        <f t="shared" si="215"/>
        <v>0</v>
      </c>
      <c r="T2152" s="46">
        <f t="shared" si="218"/>
        <v>0</v>
      </c>
      <c r="U2152" s="46">
        <f t="shared" si="216"/>
        <v>0</v>
      </c>
      <c r="V2152" s="54">
        <f t="shared" si="217"/>
        <v>13.166666666666666</v>
      </c>
    </row>
    <row r="2153" spans="1:22" x14ac:dyDescent="0.2">
      <c r="A2153" s="46" t="s">
        <v>192</v>
      </c>
      <c r="B2153" s="46" t="s">
        <v>53</v>
      </c>
      <c r="C2153" s="46" t="s">
        <v>92</v>
      </c>
      <c r="D2153" s="46" t="s">
        <v>178</v>
      </c>
      <c r="E2153" s="46">
        <v>4</v>
      </c>
      <c r="F2153" s="46" t="s">
        <v>60</v>
      </c>
      <c r="G2153" s="46">
        <v>1</v>
      </c>
      <c r="H2153" s="47">
        <v>1</v>
      </c>
      <c r="I2153" s="47" t="s">
        <v>101</v>
      </c>
      <c r="J2153" s="48">
        <v>0</v>
      </c>
      <c r="K2153" s="48">
        <v>0</v>
      </c>
      <c r="R2153" s="46">
        <f t="shared" si="214"/>
        <v>0</v>
      </c>
      <c r="S2153" s="46">
        <f t="shared" si="215"/>
        <v>0</v>
      </c>
      <c r="T2153" s="46">
        <f t="shared" si="218"/>
        <v>0</v>
      </c>
      <c r="U2153" s="46">
        <f t="shared" si="216"/>
        <v>0</v>
      </c>
      <c r="V2153" s="54">
        <f t="shared" si="217"/>
        <v>0.83333333333333337</v>
      </c>
    </row>
    <row r="2154" spans="1:22" x14ac:dyDescent="0.2">
      <c r="A2154" s="46" t="s">
        <v>192</v>
      </c>
      <c r="B2154" s="46" t="s">
        <v>53</v>
      </c>
      <c r="C2154" s="46" t="s">
        <v>92</v>
      </c>
      <c r="D2154" s="46" t="s">
        <v>178</v>
      </c>
      <c r="E2154" s="46">
        <v>2</v>
      </c>
      <c r="F2154" s="46" t="s">
        <v>60</v>
      </c>
      <c r="G2154" s="46">
        <v>3</v>
      </c>
      <c r="H2154" s="47">
        <v>3</v>
      </c>
      <c r="I2154" s="47" t="s">
        <v>116</v>
      </c>
      <c r="J2154" s="48">
        <v>0</v>
      </c>
      <c r="K2154" s="48">
        <v>1</v>
      </c>
      <c r="R2154" s="46">
        <f t="shared" si="214"/>
        <v>0</v>
      </c>
      <c r="S2154" s="46">
        <f t="shared" si="215"/>
        <v>0</v>
      </c>
      <c r="T2154" s="46">
        <f t="shared" si="218"/>
        <v>0</v>
      </c>
      <c r="U2154" s="46">
        <f t="shared" si="216"/>
        <v>0</v>
      </c>
      <c r="V2154" s="54">
        <f t="shared" si="217"/>
        <v>0.83333333333333337</v>
      </c>
    </row>
    <row r="2155" spans="1:22" x14ac:dyDescent="0.2">
      <c r="A2155" s="46" t="s">
        <v>192</v>
      </c>
      <c r="B2155" s="46" t="s">
        <v>53</v>
      </c>
      <c r="C2155" s="46" t="s">
        <v>92</v>
      </c>
      <c r="D2155" s="46" t="s">
        <v>178</v>
      </c>
      <c r="E2155" s="46">
        <v>1</v>
      </c>
      <c r="F2155" s="46" t="s">
        <v>60</v>
      </c>
      <c r="G2155" s="46">
        <v>2</v>
      </c>
      <c r="H2155" s="47">
        <v>10</v>
      </c>
      <c r="I2155" s="47" t="s">
        <v>127</v>
      </c>
      <c r="J2155" s="48">
        <v>0</v>
      </c>
      <c r="K2155" s="48">
        <v>1</v>
      </c>
      <c r="R2155" s="46">
        <f t="shared" si="214"/>
        <v>0</v>
      </c>
      <c r="S2155" s="46">
        <f t="shared" si="215"/>
        <v>0</v>
      </c>
      <c r="T2155" s="46">
        <f t="shared" si="218"/>
        <v>0</v>
      </c>
      <c r="U2155" s="46">
        <f t="shared" si="216"/>
        <v>0</v>
      </c>
      <c r="V2155" s="54">
        <f t="shared" si="217"/>
        <v>0.83333333333333337</v>
      </c>
    </row>
    <row r="2156" spans="1:22" x14ac:dyDescent="0.2">
      <c r="A2156" s="46" t="s">
        <v>192</v>
      </c>
      <c r="B2156" s="46" t="s">
        <v>53</v>
      </c>
      <c r="C2156" s="46" t="s">
        <v>92</v>
      </c>
      <c r="D2156" s="46" t="s">
        <v>178</v>
      </c>
      <c r="E2156" s="46">
        <v>2</v>
      </c>
      <c r="F2156" s="46" t="s">
        <v>60</v>
      </c>
      <c r="G2156" s="46">
        <v>2</v>
      </c>
      <c r="H2156" s="47">
        <v>10</v>
      </c>
      <c r="I2156" s="47" t="s">
        <v>127</v>
      </c>
      <c r="J2156" s="48">
        <v>0</v>
      </c>
      <c r="K2156" s="48">
        <v>0</v>
      </c>
      <c r="R2156" s="46">
        <f t="shared" si="214"/>
        <v>0</v>
      </c>
      <c r="S2156" s="46">
        <f t="shared" si="215"/>
        <v>0</v>
      </c>
      <c r="T2156" s="46">
        <f t="shared" si="218"/>
        <v>0</v>
      </c>
      <c r="U2156" s="46">
        <f t="shared" si="216"/>
        <v>0</v>
      </c>
      <c r="V2156" s="54">
        <f t="shared" si="217"/>
        <v>0.83333333333333337</v>
      </c>
    </row>
    <row r="2157" spans="1:22" x14ac:dyDescent="0.2">
      <c r="A2157" s="46" t="s">
        <v>192</v>
      </c>
      <c r="B2157" s="46" t="s">
        <v>53</v>
      </c>
      <c r="C2157" s="46" t="s">
        <v>92</v>
      </c>
      <c r="D2157" s="46" t="s">
        <v>178</v>
      </c>
      <c r="E2157" s="46">
        <v>4</v>
      </c>
      <c r="F2157" s="46" t="s">
        <v>60</v>
      </c>
      <c r="G2157" s="46">
        <v>4</v>
      </c>
      <c r="H2157" s="47">
        <v>12</v>
      </c>
      <c r="I2157" s="47" t="s">
        <v>102</v>
      </c>
      <c r="J2157" s="48">
        <v>0</v>
      </c>
      <c r="K2157" s="48">
        <v>0</v>
      </c>
      <c r="R2157" s="46">
        <f t="shared" si="214"/>
        <v>0</v>
      </c>
      <c r="S2157" s="46">
        <f t="shared" si="215"/>
        <v>0</v>
      </c>
      <c r="T2157" s="46">
        <f t="shared" si="218"/>
        <v>0</v>
      </c>
      <c r="U2157" s="46">
        <f t="shared" si="216"/>
        <v>0</v>
      </c>
      <c r="V2157" s="54">
        <f t="shared" si="217"/>
        <v>0.83333333333333337</v>
      </c>
    </row>
    <row r="2158" spans="1:22" x14ac:dyDescent="0.2">
      <c r="A2158" s="46" t="s">
        <v>192</v>
      </c>
      <c r="B2158" s="46" t="s">
        <v>53</v>
      </c>
      <c r="C2158" s="46" t="s">
        <v>92</v>
      </c>
      <c r="D2158" s="46" t="s">
        <v>178</v>
      </c>
      <c r="E2158" s="46">
        <v>1</v>
      </c>
      <c r="F2158" s="46" t="s">
        <v>60</v>
      </c>
      <c r="G2158" s="46">
        <v>1</v>
      </c>
      <c r="H2158" s="47">
        <v>17</v>
      </c>
      <c r="I2158" s="47" t="s">
        <v>101</v>
      </c>
      <c r="J2158" s="48">
        <v>0</v>
      </c>
      <c r="K2158" s="48">
        <v>0</v>
      </c>
      <c r="R2158" s="46">
        <f t="shared" si="214"/>
        <v>0</v>
      </c>
      <c r="S2158" s="46">
        <f t="shared" si="215"/>
        <v>0</v>
      </c>
      <c r="T2158" s="46">
        <f t="shared" si="218"/>
        <v>0</v>
      </c>
      <c r="U2158" s="46">
        <f t="shared" si="216"/>
        <v>0</v>
      </c>
      <c r="V2158" s="54">
        <f t="shared" si="217"/>
        <v>0.83333333333333337</v>
      </c>
    </row>
    <row r="2159" spans="1:22" x14ac:dyDescent="0.2">
      <c r="A2159" s="46" t="s">
        <v>192</v>
      </c>
      <c r="B2159" s="46" t="s">
        <v>53</v>
      </c>
      <c r="C2159" s="46" t="s">
        <v>92</v>
      </c>
      <c r="D2159" s="46" t="s">
        <v>178</v>
      </c>
      <c r="E2159" s="46">
        <v>4</v>
      </c>
      <c r="F2159" s="46" t="s">
        <v>60</v>
      </c>
      <c r="G2159" s="46">
        <v>4</v>
      </c>
      <c r="H2159" s="47">
        <v>20</v>
      </c>
      <c r="I2159" s="47" t="s">
        <v>102</v>
      </c>
      <c r="J2159" s="48">
        <v>0</v>
      </c>
      <c r="K2159" s="48">
        <v>1</v>
      </c>
      <c r="R2159" s="46">
        <f t="shared" si="214"/>
        <v>0</v>
      </c>
      <c r="S2159" s="46">
        <f t="shared" si="215"/>
        <v>0</v>
      </c>
      <c r="T2159" s="46">
        <f t="shared" si="218"/>
        <v>0</v>
      </c>
      <c r="U2159" s="46">
        <f t="shared" si="216"/>
        <v>0</v>
      </c>
      <c r="V2159" s="54">
        <f t="shared" si="217"/>
        <v>0.83333333333333337</v>
      </c>
    </row>
    <row r="2160" spans="1:22" x14ac:dyDescent="0.2">
      <c r="A2160" s="46" t="s">
        <v>192</v>
      </c>
      <c r="B2160" s="46" t="s">
        <v>53</v>
      </c>
      <c r="C2160" s="46" t="s">
        <v>92</v>
      </c>
      <c r="D2160" s="46" t="s">
        <v>178</v>
      </c>
      <c r="E2160" s="46">
        <v>2</v>
      </c>
      <c r="F2160" s="46" t="s">
        <v>60</v>
      </c>
      <c r="G2160" s="46">
        <v>3</v>
      </c>
      <c r="H2160" s="47">
        <v>23</v>
      </c>
      <c r="I2160" s="47" t="s">
        <v>116</v>
      </c>
      <c r="J2160" s="48">
        <v>0</v>
      </c>
      <c r="K2160" s="48">
        <v>0</v>
      </c>
      <c r="R2160" s="46">
        <f t="shared" si="214"/>
        <v>0</v>
      </c>
      <c r="S2160" s="46">
        <f t="shared" si="215"/>
        <v>0</v>
      </c>
      <c r="T2160" s="46">
        <f t="shared" si="218"/>
        <v>0</v>
      </c>
      <c r="U2160" s="46">
        <f t="shared" si="216"/>
        <v>0</v>
      </c>
      <c r="V2160" s="54">
        <f t="shared" si="217"/>
        <v>0.83333333333333337</v>
      </c>
    </row>
    <row r="2161" spans="1:22" x14ac:dyDescent="0.2">
      <c r="A2161" s="46" t="s">
        <v>192</v>
      </c>
      <c r="B2161" s="46" t="s">
        <v>53</v>
      </c>
      <c r="C2161" s="46" t="s">
        <v>92</v>
      </c>
      <c r="D2161" s="46" t="s">
        <v>178</v>
      </c>
      <c r="E2161" s="46">
        <v>1</v>
      </c>
      <c r="F2161" s="46" t="s">
        <v>60</v>
      </c>
      <c r="G2161" s="46">
        <v>4</v>
      </c>
      <c r="H2161" s="47">
        <v>24</v>
      </c>
      <c r="I2161" s="47" t="s">
        <v>102</v>
      </c>
      <c r="J2161" s="48">
        <v>0</v>
      </c>
      <c r="K2161" s="48">
        <v>0</v>
      </c>
      <c r="R2161" s="46">
        <f t="shared" si="214"/>
        <v>0</v>
      </c>
      <c r="S2161" s="46">
        <f t="shared" si="215"/>
        <v>0</v>
      </c>
      <c r="T2161" s="46">
        <f t="shared" si="218"/>
        <v>0</v>
      </c>
      <c r="U2161" s="46">
        <f t="shared" si="216"/>
        <v>0</v>
      </c>
      <c r="V2161" s="54">
        <f t="shared" si="217"/>
        <v>0.83333333333333337</v>
      </c>
    </row>
    <row r="2162" spans="1:22" x14ac:dyDescent="0.2">
      <c r="A2162" s="46" t="s">
        <v>192</v>
      </c>
      <c r="B2162" s="46" t="s">
        <v>53</v>
      </c>
      <c r="C2162" s="46" t="s">
        <v>92</v>
      </c>
      <c r="D2162" s="46" t="s">
        <v>178</v>
      </c>
      <c r="E2162" s="46">
        <v>2</v>
      </c>
      <c r="F2162" s="46" t="s">
        <v>60</v>
      </c>
      <c r="G2162" s="46">
        <v>2</v>
      </c>
      <c r="H2162" s="47">
        <v>30</v>
      </c>
      <c r="I2162" s="47" t="s">
        <v>127</v>
      </c>
      <c r="J2162" s="48">
        <v>0</v>
      </c>
      <c r="K2162" s="48">
        <v>0</v>
      </c>
      <c r="R2162" s="46">
        <f t="shared" si="214"/>
        <v>0</v>
      </c>
      <c r="S2162" s="46">
        <f t="shared" si="215"/>
        <v>0</v>
      </c>
      <c r="T2162" s="46">
        <f t="shared" si="218"/>
        <v>0</v>
      </c>
      <c r="U2162" s="46">
        <f t="shared" si="216"/>
        <v>0</v>
      </c>
      <c r="V2162" s="54">
        <f t="shared" si="217"/>
        <v>0.83333333333333337</v>
      </c>
    </row>
    <row r="2163" spans="1:22" x14ac:dyDescent="0.2">
      <c r="A2163" s="46" t="s">
        <v>192</v>
      </c>
      <c r="B2163" s="46" t="s">
        <v>53</v>
      </c>
      <c r="C2163" s="46" t="s">
        <v>92</v>
      </c>
      <c r="D2163" s="46" t="s">
        <v>178</v>
      </c>
      <c r="E2163" s="46">
        <v>1</v>
      </c>
      <c r="F2163" s="46" t="s">
        <v>60</v>
      </c>
      <c r="G2163" s="46">
        <v>3</v>
      </c>
      <c r="H2163" s="47">
        <v>31</v>
      </c>
      <c r="I2163" s="47" t="s">
        <v>116</v>
      </c>
      <c r="J2163" s="48">
        <v>0</v>
      </c>
      <c r="K2163" s="48">
        <v>1</v>
      </c>
      <c r="R2163" s="46">
        <f t="shared" si="214"/>
        <v>0</v>
      </c>
      <c r="S2163" s="46">
        <f t="shared" si="215"/>
        <v>0</v>
      </c>
      <c r="T2163" s="46">
        <f t="shared" si="218"/>
        <v>0</v>
      </c>
      <c r="U2163" s="46">
        <f t="shared" si="216"/>
        <v>0</v>
      </c>
      <c r="V2163" s="54">
        <f t="shared" si="217"/>
        <v>0.83333333333333337</v>
      </c>
    </row>
    <row r="2164" spans="1:22" x14ac:dyDescent="0.2">
      <c r="A2164" s="46" t="s">
        <v>192</v>
      </c>
      <c r="B2164" s="46" t="s">
        <v>53</v>
      </c>
      <c r="C2164" s="46" t="s">
        <v>92</v>
      </c>
      <c r="D2164" s="46" t="s">
        <v>178</v>
      </c>
      <c r="E2164" s="46">
        <v>4</v>
      </c>
      <c r="F2164" s="46" t="s">
        <v>60</v>
      </c>
      <c r="G2164" s="46">
        <v>3</v>
      </c>
      <c r="H2164" s="47">
        <v>31</v>
      </c>
      <c r="I2164" s="47" t="s">
        <v>159</v>
      </c>
      <c r="J2164" s="48">
        <v>0</v>
      </c>
      <c r="K2164" s="48">
        <v>0</v>
      </c>
      <c r="R2164" s="46">
        <f t="shared" si="214"/>
        <v>0</v>
      </c>
      <c r="S2164" s="46">
        <f t="shared" si="215"/>
        <v>0</v>
      </c>
      <c r="T2164" s="46">
        <f t="shared" si="218"/>
        <v>0</v>
      </c>
      <c r="U2164" s="46">
        <f t="shared" si="216"/>
        <v>0</v>
      </c>
      <c r="V2164" s="54">
        <f t="shared" si="217"/>
        <v>0.83333333333333337</v>
      </c>
    </row>
    <row r="2165" spans="1:22" x14ac:dyDescent="0.2">
      <c r="A2165" s="46" t="s">
        <v>192</v>
      </c>
      <c r="B2165" s="46" t="s">
        <v>53</v>
      </c>
      <c r="C2165" s="46" t="s">
        <v>92</v>
      </c>
      <c r="D2165" s="46" t="s">
        <v>178</v>
      </c>
      <c r="E2165" s="46">
        <v>2</v>
      </c>
      <c r="F2165" s="46" t="s">
        <v>60</v>
      </c>
      <c r="G2165" s="46">
        <v>1</v>
      </c>
      <c r="H2165" s="47">
        <v>33</v>
      </c>
      <c r="I2165" s="47" t="s">
        <v>101</v>
      </c>
      <c r="J2165" s="48">
        <v>0</v>
      </c>
      <c r="K2165" s="48">
        <v>0</v>
      </c>
      <c r="R2165" s="46">
        <f t="shared" si="214"/>
        <v>0</v>
      </c>
      <c r="S2165" s="46">
        <f t="shared" si="215"/>
        <v>0</v>
      </c>
      <c r="T2165" s="46">
        <f t="shared" si="218"/>
        <v>0</v>
      </c>
      <c r="U2165" s="46">
        <f t="shared" si="216"/>
        <v>0</v>
      </c>
      <c r="V2165" s="54">
        <f t="shared" si="217"/>
        <v>0.83333333333333337</v>
      </c>
    </row>
    <row r="2166" spans="1:22" x14ac:dyDescent="0.2">
      <c r="A2166" s="46" t="s">
        <v>192</v>
      </c>
      <c r="B2166" s="46" t="s">
        <v>53</v>
      </c>
      <c r="C2166" s="46" t="s">
        <v>92</v>
      </c>
      <c r="D2166" s="46" t="s">
        <v>178</v>
      </c>
      <c r="E2166" s="46">
        <v>1</v>
      </c>
      <c r="F2166" s="46" t="s">
        <v>60</v>
      </c>
      <c r="G2166" s="46">
        <v>3</v>
      </c>
      <c r="H2166" s="47">
        <v>35</v>
      </c>
      <c r="I2166" s="47" t="s">
        <v>116</v>
      </c>
      <c r="J2166" s="48">
        <v>0</v>
      </c>
      <c r="K2166" s="48">
        <v>1</v>
      </c>
      <c r="R2166" s="46">
        <f t="shared" si="214"/>
        <v>0</v>
      </c>
      <c r="S2166" s="46">
        <f t="shared" si="215"/>
        <v>0</v>
      </c>
      <c r="T2166" s="46">
        <f t="shared" si="218"/>
        <v>0</v>
      </c>
      <c r="U2166" s="46">
        <f t="shared" si="216"/>
        <v>0</v>
      </c>
      <c r="V2166" s="54">
        <f t="shared" si="217"/>
        <v>0.83333333333333337</v>
      </c>
    </row>
    <row r="2167" spans="1:22" x14ac:dyDescent="0.2">
      <c r="A2167" s="46" t="s">
        <v>192</v>
      </c>
      <c r="B2167" s="46" t="s">
        <v>53</v>
      </c>
      <c r="C2167" s="46" t="s">
        <v>92</v>
      </c>
      <c r="D2167" s="46" t="s">
        <v>178</v>
      </c>
      <c r="E2167" s="46">
        <v>4</v>
      </c>
      <c r="F2167" s="46" t="s">
        <v>60</v>
      </c>
      <c r="G2167" s="46">
        <v>1</v>
      </c>
      <c r="H2167" s="47">
        <v>41</v>
      </c>
      <c r="I2167" s="47" t="s">
        <v>101</v>
      </c>
      <c r="J2167" s="48">
        <v>0</v>
      </c>
      <c r="K2167" s="48">
        <v>0</v>
      </c>
      <c r="R2167" s="46">
        <f t="shared" si="214"/>
        <v>0</v>
      </c>
      <c r="S2167" s="46">
        <f t="shared" si="215"/>
        <v>0</v>
      </c>
      <c r="T2167" s="46">
        <f t="shared" si="218"/>
        <v>0</v>
      </c>
      <c r="U2167" s="46">
        <f t="shared" si="216"/>
        <v>0</v>
      </c>
      <c r="V2167" s="54">
        <f t="shared" si="217"/>
        <v>0.83333333333333337</v>
      </c>
    </row>
    <row r="2168" spans="1:22" x14ac:dyDescent="0.2">
      <c r="A2168" s="46" t="s">
        <v>192</v>
      </c>
      <c r="B2168" s="46" t="s">
        <v>53</v>
      </c>
      <c r="C2168" s="46" t="s">
        <v>92</v>
      </c>
      <c r="D2168" s="46" t="s">
        <v>178</v>
      </c>
      <c r="E2168" s="46">
        <v>1</v>
      </c>
      <c r="F2168" s="46" t="s">
        <v>60</v>
      </c>
      <c r="G2168" s="46">
        <v>2</v>
      </c>
      <c r="H2168" s="47">
        <v>46</v>
      </c>
      <c r="I2168" s="47" t="s">
        <v>127</v>
      </c>
      <c r="J2168" s="48">
        <v>0</v>
      </c>
      <c r="K2168" s="48">
        <v>0</v>
      </c>
      <c r="R2168" s="46">
        <f t="shared" si="214"/>
        <v>0</v>
      </c>
      <c r="S2168" s="46">
        <f t="shared" si="215"/>
        <v>0</v>
      </c>
      <c r="T2168" s="46">
        <f t="shared" si="218"/>
        <v>0</v>
      </c>
      <c r="U2168" s="46">
        <f t="shared" si="216"/>
        <v>0</v>
      </c>
      <c r="V2168" s="54">
        <f t="shared" si="217"/>
        <v>0.83333333333333337</v>
      </c>
    </row>
    <row r="2169" spans="1:22" x14ac:dyDescent="0.2">
      <c r="A2169" s="46" t="s">
        <v>192</v>
      </c>
      <c r="B2169" s="46" t="s">
        <v>53</v>
      </c>
      <c r="C2169" s="46" t="s">
        <v>92</v>
      </c>
      <c r="D2169" s="46" t="s">
        <v>178</v>
      </c>
      <c r="E2169" s="46">
        <v>2</v>
      </c>
      <c r="F2169" s="46" t="s">
        <v>60</v>
      </c>
      <c r="G2169" s="46">
        <v>4</v>
      </c>
      <c r="H2169" s="47">
        <v>48</v>
      </c>
      <c r="I2169" s="47" t="s">
        <v>102</v>
      </c>
      <c r="J2169" s="48">
        <v>0</v>
      </c>
      <c r="K2169" s="48">
        <v>0</v>
      </c>
      <c r="R2169" s="46">
        <f t="shared" si="214"/>
        <v>0</v>
      </c>
      <c r="S2169" s="46">
        <f t="shared" si="215"/>
        <v>0</v>
      </c>
      <c r="T2169" s="46">
        <f t="shared" si="218"/>
        <v>0</v>
      </c>
      <c r="U2169" s="46">
        <f t="shared" si="216"/>
        <v>0</v>
      </c>
      <c r="V2169" s="54">
        <f t="shared" si="217"/>
        <v>0.83333333333333337</v>
      </c>
    </row>
    <row r="2170" spans="1:22" x14ac:dyDescent="0.2">
      <c r="A2170" s="46" t="s">
        <v>192</v>
      </c>
      <c r="B2170" s="46" t="s">
        <v>53</v>
      </c>
      <c r="C2170" s="46" t="s">
        <v>92</v>
      </c>
      <c r="D2170" s="46" t="s">
        <v>178</v>
      </c>
      <c r="E2170" s="46">
        <v>4</v>
      </c>
      <c r="F2170" s="46" t="s">
        <v>60</v>
      </c>
      <c r="G2170" s="46">
        <v>2</v>
      </c>
      <c r="H2170" s="47">
        <v>50</v>
      </c>
      <c r="I2170" s="47" t="s">
        <v>127</v>
      </c>
      <c r="J2170" s="48">
        <v>0</v>
      </c>
      <c r="K2170" s="48">
        <v>0</v>
      </c>
      <c r="R2170" s="46">
        <f t="shared" si="214"/>
        <v>0</v>
      </c>
      <c r="S2170" s="46">
        <f t="shared" si="215"/>
        <v>0</v>
      </c>
      <c r="T2170" s="46">
        <f t="shared" si="218"/>
        <v>0</v>
      </c>
      <c r="U2170" s="46">
        <f t="shared" si="216"/>
        <v>0</v>
      </c>
      <c r="V2170" s="54">
        <f t="shared" si="217"/>
        <v>0.83333333333333337</v>
      </c>
    </row>
    <row r="2171" spans="1:22" x14ac:dyDescent="0.2">
      <c r="A2171" s="46" t="s">
        <v>192</v>
      </c>
      <c r="B2171" s="46" t="s">
        <v>53</v>
      </c>
      <c r="C2171" s="46" t="s">
        <v>92</v>
      </c>
      <c r="D2171" s="46" t="s">
        <v>178</v>
      </c>
      <c r="E2171" s="46">
        <v>4</v>
      </c>
      <c r="F2171" s="46" t="s">
        <v>62</v>
      </c>
      <c r="G2171" s="46">
        <v>3</v>
      </c>
      <c r="H2171" s="47" t="s">
        <v>80</v>
      </c>
      <c r="I2171" s="47" t="s">
        <v>219</v>
      </c>
      <c r="J2171" s="48">
        <v>0</v>
      </c>
      <c r="K2171" s="48">
        <v>0</v>
      </c>
      <c r="R2171" s="46">
        <f t="shared" si="214"/>
        <v>0</v>
      </c>
      <c r="S2171" s="46">
        <f t="shared" si="215"/>
        <v>0</v>
      </c>
      <c r="T2171" s="46">
        <f t="shared" si="218"/>
        <v>0</v>
      </c>
      <c r="U2171" s="46">
        <f t="shared" si="216"/>
        <v>0</v>
      </c>
      <c r="V2171" s="54">
        <f t="shared" si="217"/>
        <v>0.83333333333333337</v>
      </c>
    </row>
    <row r="2172" spans="1:22" x14ac:dyDescent="0.2">
      <c r="A2172" s="46" t="s">
        <v>192</v>
      </c>
      <c r="B2172" s="46" t="s">
        <v>53</v>
      </c>
      <c r="C2172" s="46" t="s">
        <v>92</v>
      </c>
      <c r="D2172" s="46" t="s">
        <v>178</v>
      </c>
      <c r="E2172" s="46">
        <v>1</v>
      </c>
      <c r="F2172" s="46" t="s">
        <v>62</v>
      </c>
      <c r="G2172" s="46">
        <v>2</v>
      </c>
      <c r="H2172" s="47" t="s">
        <v>81</v>
      </c>
      <c r="I2172" s="47" t="s">
        <v>127</v>
      </c>
      <c r="J2172" s="48">
        <v>0</v>
      </c>
      <c r="K2172" s="48">
        <v>1</v>
      </c>
      <c r="R2172" s="46">
        <f t="shared" si="214"/>
        <v>0</v>
      </c>
      <c r="S2172" s="46">
        <f t="shared" si="215"/>
        <v>0</v>
      </c>
      <c r="T2172" s="46">
        <f t="shared" si="218"/>
        <v>0</v>
      </c>
      <c r="U2172" s="46">
        <f t="shared" si="216"/>
        <v>0</v>
      </c>
      <c r="V2172" s="54">
        <f t="shared" si="217"/>
        <v>0.83333333333333337</v>
      </c>
    </row>
    <row r="2173" spans="1:22" x14ac:dyDescent="0.2">
      <c r="A2173" s="46" t="s">
        <v>192</v>
      </c>
      <c r="B2173" s="46" t="s">
        <v>53</v>
      </c>
      <c r="C2173" s="46" t="s">
        <v>92</v>
      </c>
      <c r="D2173" s="46" t="s">
        <v>178</v>
      </c>
      <c r="E2173" s="46">
        <v>1</v>
      </c>
      <c r="F2173" s="46" t="s">
        <v>62</v>
      </c>
      <c r="G2173" s="46">
        <v>2</v>
      </c>
      <c r="H2173" s="47" t="s">
        <v>82</v>
      </c>
      <c r="I2173" s="47" t="s">
        <v>127</v>
      </c>
      <c r="J2173" s="48">
        <v>0</v>
      </c>
      <c r="K2173" s="48">
        <v>1</v>
      </c>
      <c r="R2173" s="46">
        <f t="shared" si="214"/>
        <v>0</v>
      </c>
      <c r="S2173" s="46">
        <f t="shared" si="215"/>
        <v>0</v>
      </c>
      <c r="T2173" s="46">
        <f t="shared" si="218"/>
        <v>0</v>
      </c>
      <c r="U2173" s="46">
        <f t="shared" si="216"/>
        <v>0</v>
      </c>
      <c r="V2173" s="54">
        <f t="shared" si="217"/>
        <v>0.83333333333333337</v>
      </c>
    </row>
    <row r="2174" spans="1:22" x14ac:dyDescent="0.2">
      <c r="A2174" s="46" t="s">
        <v>192</v>
      </c>
      <c r="B2174" s="46" t="s">
        <v>53</v>
      </c>
      <c r="C2174" s="46" t="s">
        <v>92</v>
      </c>
      <c r="D2174" s="46" t="s">
        <v>178</v>
      </c>
      <c r="E2174" s="46">
        <v>4</v>
      </c>
      <c r="F2174" s="46" t="s">
        <v>62</v>
      </c>
      <c r="G2174" s="46">
        <v>2</v>
      </c>
      <c r="H2174" s="47" t="s">
        <v>82</v>
      </c>
      <c r="I2174" s="47" t="s">
        <v>127</v>
      </c>
      <c r="J2174" s="48">
        <v>0</v>
      </c>
      <c r="K2174" s="48">
        <v>0</v>
      </c>
      <c r="R2174" s="46">
        <f t="shared" si="214"/>
        <v>0</v>
      </c>
      <c r="S2174" s="46">
        <f t="shared" si="215"/>
        <v>0</v>
      </c>
      <c r="T2174" s="46">
        <f t="shared" si="218"/>
        <v>0</v>
      </c>
      <c r="U2174" s="46">
        <f t="shared" si="216"/>
        <v>0</v>
      </c>
      <c r="V2174" s="54">
        <f t="shared" si="217"/>
        <v>0.83333333333333337</v>
      </c>
    </row>
    <row r="2175" spans="1:22" x14ac:dyDescent="0.2">
      <c r="A2175" s="46" t="s">
        <v>192</v>
      </c>
      <c r="B2175" s="46" t="s">
        <v>53</v>
      </c>
      <c r="C2175" s="46" t="s">
        <v>92</v>
      </c>
      <c r="D2175" s="46" t="s">
        <v>178</v>
      </c>
      <c r="E2175" s="46">
        <v>1</v>
      </c>
      <c r="F2175" s="46" t="s">
        <v>62</v>
      </c>
      <c r="G2175" s="46">
        <v>2</v>
      </c>
      <c r="H2175" s="47" t="s">
        <v>86</v>
      </c>
      <c r="I2175" s="47" t="s">
        <v>127</v>
      </c>
      <c r="J2175" s="48">
        <v>0</v>
      </c>
      <c r="K2175" s="48">
        <v>0</v>
      </c>
      <c r="R2175" s="46">
        <f t="shared" si="214"/>
        <v>0</v>
      </c>
      <c r="S2175" s="46">
        <f t="shared" si="215"/>
        <v>0</v>
      </c>
      <c r="T2175" s="46">
        <f t="shared" si="218"/>
        <v>0</v>
      </c>
      <c r="U2175" s="46">
        <f t="shared" si="216"/>
        <v>0</v>
      </c>
      <c r="V2175" s="54">
        <f t="shared" si="217"/>
        <v>0.83333333333333337</v>
      </c>
    </row>
    <row r="2176" spans="1:22" x14ac:dyDescent="0.2">
      <c r="A2176" s="46" t="s">
        <v>192</v>
      </c>
      <c r="B2176" s="46" t="s">
        <v>53</v>
      </c>
      <c r="C2176" s="46" t="s">
        <v>92</v>
      </c>
      <c r="D2176" s="46" t="s">
        <v>178</v>
      </c>
      <c r="E2176" s="46">
        <v>1</v>
      </c>
      <c r="F2176" s="46" t="s">
        <v>62</v>
      </c>
      <c r="G2176" s="46">
        <v>3</v>
      </c>
      <c r="H2176" s="47" t="s">
        <v>64</v>
      </c>
      <c r="I2176" s="47" t="s">
        <v>116</v>
      </c>
      <c r="J2176" s="48">
        <v>0</v>
      </c>
      <c r="K2176" s="48">
        <v>0</v>
      </c>
      <c r="R2176" s="46">
        <f t="shared" si="214"/>
        <v>0</v>
      </c>
      <c r="S2176" s="46">
        <f t="shared" si="215"/>
        <v>0</v>
      </c>
      <c r="T2176" s="46">
        <f t="shared" si="218"/>
        <v>0</v>
      </c>
      <c r="U2176" s="46">
        <f t="shared" si="216"/>
        <v>0</v>
      </c>
      <c r="V2176" s="54">
        <f t="shared" si="217"/>
        <v>0.83333333333333337</v>
      </c>
    </row>
    <row r="2177" spans="1:22" x14ac:dyDescent="0.2">
      <c r="A2177" s="46" t="s">
        <v>192</v>
      </c>
      <c r="B2177" s="46" t="s">
        <v>53</v>
      </c>
      <c r="C2177" s="46" t="s">
        <v>92</v>
      </c>
      <c r="D2177" s="46" t="s">
        <v>178</v>
      </c>
      <c r="E2177" s="46">
        <v>1</v>
      </c>
      <c r="F2177" s="46" t="s">
        <v>62</v>
      </c>
      <c r="G2177" s="46">
        <v>2</v>
      </c>
      <c r="H2177" s="47" t="s">
        <v>83</v>
      </c>
      <c r="I2177" s="47" t="s">
        <v>127</v>
      </c>
      <c r="J2177" s="48">
        <v>0</v>
      </c>
      <c r="K2177" s="48">
        <v>0</v>
      </c>
      <c r="L2177" s="48">
        <v>1</v>
      </c>
      <c r="R2177" s="46">
        <f t="shared" si="214"/>
        <v>0</v>
      </c>
      <c r="S2177" s="46">
        <f t="shared" si="215"/>
        <v>0</v>
      </c>
      <c r="T2177" s="46">
        <f t="shared" si="218"/>
        <v>0</v>
      </c>
      <c r="U2177" s="46">
        <f t="shared" si="216"/>
        <v>-5</v>
      </c>
      <c r="V2177" s="54">
        <f t="shared" si="217"/>
        <v>0.83333333333333337</v>
      </c>
    </row>
    <row r="2178" spans="1:22" x14ac:dyDescent="0.2">
      <c r="A2178" s="46" t="s">
        <v>192</v>
      </c>
      <c r="B2178" s="46" t="s">
        <v>53</v>
      </c>
      <c r="C2178" s="46" t="s">
        <v>92</v>
      </c>
      <c r="D2178" s="46" t="s">
        <v>178</v>
      </c>
      <c r="E2178" s="46">
        <v>2</v>
      </c>
      <c r="F2178" s="46" t="s">
        <v>61</v>
      </c>
      <c r="G2178" s="46">
        <v>1</v>
      </c>
      <c r="H2178" s="47" t="s">
        <v>74</v>
      </c>
      <c r="I2178" s="47" t="s">
        <v>101</v>
      </c>
      <c r="J2178" s="48">
        <v>0</v>
      </c>
      <c r="K2178" s="48">
        <v>0</v>
      </c>
      <c r="R2178" s="46">
        <f t="shared" ref="R2178:R2241" si="219">IF(J2178=4,1,0)</f>
        <v>0</v>
      </c>
      <c r="S2178" s="46">
        <f t="shared" ref="S2178:S2241" si="220">IF(K2178=3,1,0)</f>
        <v>0</v>
      </c>
      <c r="T2178" s="46">
        <f t="shared" si="218"/>
        <v>0</v>
      </c>
      <c r="U2178" s="46">
        <f t="shared" ref="U2178:U2241" si="221">T2178+M2178*(20) + (SUM(O2178:Q2178)*(10)) - L2178*(5) - N2178*(5)</f>
        <v>0</v>
      </c>
      <c r="V2178" s="54">
        <f t="shared" ref="V2178:V2241" si="222">AVERAGEIFS(U:U,A:A,A2178,F:F,"Pre")</f>
        <v>0.83333333333333337</v>
      </c>
    </row>
    <row r="2179" spans="1:22" x14ac:dyDescent="0.2">
      <c r="A2179" s="46" t="s">
        <v>192</v>
      </c>
      <c r="B2179" s="46" t="s">
        <v>53</v>
      </c>
      <c r="C2179" s="46" t="s">
        <v>92</v>
      </c>
      <c r="D2179" s="46" t="s">
        <v>178</v>
      </c>
      <c r="E2179" s="46">
        <v>2</v>
      </c>
      <c r="F2179" s="46" t="s">
        <v>61</v>
      </c>
      <c r="G2179" s="46">
        <v>2</v>
      </c>
      <c r="H2179" s="47" t="s">
        <v>76</v>
      </c>
      <c r="I2179" s="47" t="s">
        <v>127</v>
      </c>
      <c r="J2179" s="48">
        <v>0</v>
      </c>
      <c r="K2179" s="48">
        <v>0</v>
      </c>
      <c r="R2179" s="46">
        <f t="shared" si="219"/>
        <v>0</v>
      </c>
      <c r="S2179" s="46">
        <f t="shared" si="220"/>
        <v>0</v>
      </c>
      <c r="T2179" s="46">
        <f t="shared" si="218"/>
        <v>0</v>
      </c>
      <c r="U2179" s="46">
        <f t="shared" si="221"/>
        <v>0</v>
      </c>
      <c r="V2179" s="54">
        <f t="shared" si="222"/>
        <v>0.83333333333333337</v>
      </c>
    </row>
    <row r="2180" spans="1:22" x14ac:dyDescent="0.2">
      <c r="A2180" s="46" t="s">
        <v>192</v>
      </c>
      <c r="B2180" s="46" t="s">
        <v>53</v>
      </c>
      <c r="C2180" s="46" t="s">
        <v>92</v>
      </c>
      <c r="D2180" s="46" t="s">
        <v>178</v>
      </c>
      <c r="E2180" s="46">
        <v>4</v>
      </c>
      <c r="F2180" s="46" t="s">
        <v>62</v>
      </c>
      <c r="G2180" s="46">
        <v>2</v>
      </c>
      <c r="H2180" s="47" t="s">
        <v>83</v>
      </c>
      <c r="I2180" s="47" t="s">
        <v>127</v>
      </c>
      <c r="J2180" s="48">
        <v>0</v>
      </c>
      <c r="K2180" s="48">
        <v>0</v>
      </c>
      <c r="R2180" s="46">
        <f t="shared" si="219"/>
        <v>0</v>
      </c>
      <c r="S2180" s="46">
        <f t="shared" si="220"/>
        <v>0</v>
      </c>
      <c r="T2180" s="46">
        <f t="shared" si="218"/>
        <v>0</v>
      </c>
      <c r="U2180" s="46">
        <f t="shared" si="221"/>
        <v>0</v>
      </c>
      <c r="V2180" s="54">
        <f t="shared" si="222"/>
        <v>0.83333333333333337</v>
      </c>
    </row>
    <row r="2181" spans="1:22" x14ac:dyDescent="0.2">
      <c r="A2181" s="46" t="s">
        <v>192</v>
      </c>
      <c r="B2181" s="46" t="s">
        <v>53</v>
      </c>
      <c r="C2181" s="46" t="s">
        <v>92</v>
      </c>
      <c r="D2181" s="46" t="s">
        <v>178</v>
      </c>
      <c r="E2181" s="46">
        <v>5</v>
      </c>
      <c r="F2181" s="46" t="s">
        <v>60</v>
      </c>
      <c r="G2181" s="46">
        <v>4</v>
      </c>
      <c r="H2181" s="47">
        <v>4</v>
      </c>
      <c r="I2181" s="47" t="s">
        <v>102</v>
      </c>
      <c r="J2181" s="48">
        <v>0</v>
      </c>
      <c r="K2181" s="48">
        <v>0</v>
      </c>
      <c r="R2181" s="46">
        <f t="shared" si="219"/>
        <v>0</v>
      </c>
      <c r="S2181" s="46">
        <f t="shared" si="220"/>
        <v>0</v>
      </c>
      <c r="T2181" s="46">
        <f t="shared" si="218"/>
        <v>0</v>
      </c>
      <c r="U2181" s="46">
        <f t="shared" si="221"/>
        <v>0</v>
      </c>
      <c r="V2181" s="54">
        <f t="shared" si="222"/>
        <v>0.83333333333333337</v>
      </c>
    </row>
    <row r="2182" spans="1:22" x14ac:dyDescent="0.2">
      <c r="A2182" s="46" t="s">
        <v>192</v>
      </c>
      <c r="B2182" s="46" t="s">
        <v>53</v>
      </c>
      <c r="C2182" s="46" t="s">
        <v>92</v>
      </c>
      <c r="D2182" s="46" t="s">
        <v>178</v>
      </c>
      <c r="E2182" s="46">
        <v>5</v>
      </c>
      <c r="F2182" s="46" t="s">
        <v>60</v>
      </c>
      <c r="G2182" s="46">
        <v>3</v>
      </c>
      <c r="H2182" s="47">
        <v>11</v>
      </c>
      <c r="I2182" s="47" t="s">
        <v>159</v>
      </c>
      <c r="J2182" s="48">
        <v>0</v>
      </c>
      <c r="K2182" s="48">
        <v>0</v>
      </c>
      <c r="R2182" s="46">
        <f t="shared" si="219"/>
        <v>0</v>
      </c>
      <c r="S2182" s="46">
        <f t="shared" si="220"/>
        <v>0</v>
      </c>
      <c r="T2182" s="46">
        <f t="shared" si="218"/>
        <v>0</v>
      </c>
      <c r="U2182" s="46">
        <f t="shared" si="221"/>
        <v>0</v>
      </c>
      <c r="V2182" s="54">
        <f t="shared" si="222"/>
        <v>0.83333333333333337</v>
      </c>
    </row>
    <row r="2183" spans="1:22" x14ac:dyDescent="0.2">
      <c r="A2183" s="46" t="s">
        <v>192</v>
      </c>
      <c r="B2183" s="46" t="s">
        <v>53</v>
      </c>
      <c r="C2183" s="46" t="s">
        <v>92</v>
      </c>
      <c r="D2183" s="46" t="s">
        <v>178</v>
      </c>
      <c r="E2183" s="46">
        <v>5</v>
      </c>
      <c r="F2183" s="46" t="s">
        <v>60</v>
      </c>
      <c r="G2183" s="46">
        <v>2</v>
      </c>
      <c r="H2183" s="47">
        <v>18</v>
      </c>
      <c r="I2183" s="47" t="s">
        <v>127</v>
      </c>
      <c r="J2183" s="48">
        <v>0</v>
      </c>
      <c r="K2183" s="48">
        <v>1</v>
      </c>
      <c r="R2183" s="46">
        <f t="shared" si="219"/>
        <v>0</v>
      </c>
      <c r="S2183" s="46">
        <f t="shared" si="220"/>
        <v>0</v>
      </c>
      <c r="T2183" s="46">
        <f t="shared" si="218"/>
        <v>0</v>
      </c>
      <c r="U2183" s="46">
        <f t="shared" si="221"/>
        <v>0</v>
      </c>
      <c r="V2183" s="54">
        <f t="shared" si="222"/>
        <v>0.83333333333333337</v>
      </c>
    </row>
    <row r="2184" spans="1:22" x14ac:dyDescent="0.2">
      <c r="A2184" s="46" t="s">
        <v>192</v>
      </c>
      <c r="B2184" s="46" t="s">
        <v>53</v>
      </c>
      <c r="C2184" s="46" t="s">
        <v>92</v>
      </c>
      <c r="D2184" s="46" t="s">
        <v>178</v>
      </c>
      <c r="E2184" s="46">
        <v>5</v>
      </c>
      <c r="F2184" s="46" t="s">
        <v>60</v>
      </c>
      <c r="G2184" s="46">
        <v>1</v>
      </c>
      <c r="H2184" s="47">
        <v>29</v>
      </c>
      <c r="I2184" s="47" t="s">
        <v>101</v>
      </c>
      <c r="J2184" s="48">
        <v>0</v>
      </c>
      <c r="K2184" s="48">
        <v>0</v>
      </c>
      <c r="R2184" s="46">
        <f t="shared" si="219"/>
        <v>0</v>
      </c>
      <c r="S2184" s="46">
        <f t="shared" si="220"/>
        <v>0</v>
      </c>
      <c r="T2184" s="46">
        <f t="shared" si="218"/>
        <v>0</v>
      </c>
      <c r="U2184" s="46">
        <f t="shared" si="221"/>
        <v>0</v>
      </c>
      <c r="V2184" s="54">
        <f t="shared" si="222"/>
        <v>0.83333333333333337</v>
      </c>
    </row>
    <row r="2185" spans="1:22" x14ac:dyDescent="0.2">
      <c r="A2185" s="46" t="s">
        <v>192</v>
      </c>
      <c r="B2185" s="46" t="s">
        <v>53</v>
      </c>
      <c r="C2185" s="46" t="s">
        <v>92</v>
      </c>
      <c r="D2185" s="46" t="s">
        <v>178</v>
      </c>
      <c r="E2185" s="46">
        <v>5</v>
      </c>
      <c r="F2185" s="46" t="s">
        <v>60</v>
      </c>
      <c r="G2185" s="46">
        <v>3</v>
      </c>
      <c r="H2185" s="47">
        <v>43</v>
      </c>
      <c r="I2185" s="47" t="s">
        <v>159</v>
      </c>
      <c r="J2185" s="48">
        <v>1</v>
      </c>
      <c r="K2185" s="48">
        <v>1</v>
      </c>
      <c r="R2185" s="46">
        <f t="shared" si="219"/>
        <v>0</v>
      </c>
      <c r="S2185" s="46">
        <f t="shared" si="220"/>
        <v>0</v>
      </c>
      <c r="T2185" s="46">
        <f t="shared" si="218"/>
        <v>20</v>
      </c>
      <c r="U2185" s="46">
        <f t="shared" si="221"/>
        <v>20</v>
      </c>
      <c r="V2185" s="54">
        <f t="shared" si="222"/>
        <v>0.83333333333333337</v>
      </c>
    </row>
    <row r="2186" spans="1:22" x14ac:dyDescent="0.2">
      <c r="A2186" s="46" t="s">
        <v>192</v>
      </c>
      <c r="B2186" s="46" t="s">
        <v>53</v>
      </c>
      <c r="C2186" s="46" t="s">
        <v>92</v>
      </c>
      <c r="D2186" s="46" t="s">
        <v>178</v>
      </c>
      <c r="E2186" s="46">
        <v>5</v>
      </c>
      <c r="F2186" s="46" t="s">
        <v>60</v>
      </c>
      <c r="G2186" s="46">
        <v>2</v>
      </c>
      <c r="H2186" s="47">
        <v>50</v>
      </c>
      <c r="I2186" s="47" t="s">
        <v>127</v>
      </c>
      <c r="J2186" s="48">
        <v>0</v>
      </c>
      <c r="K2186" s="48">
        <v>0</v>
      </c>
      <c r="R2186" s="46">
        <f t="shared" si="219"/>
        <v>0</v>
      </c>
      <c r="S2186" s="46">
        <f t="shared" si="220"/>
        <v>0</v>
      </c>
      <c r="T2186" s="46">
        <f t="shared" si="218"/>
        <v>0</v>
      </c>
      <c r="U2186" s="46">
        <f t="shared" si="221"/>
        <v>0</v>
      </c>
      <c r="V2186" s="54">
        <f t="shared" si="222"/>
        <v>0.83333333333333337</v>
      </c>
    </row>
    <row r="2187" spans="1:22" x14ac:dyDescent="0.2">
      <c r="A2187" s="46" t="s">
        <v>192</v>
      </c>
      <c r="B2187" s="46" t="s">
        <v>53</v>
      </c>
      <c r="C2187" s="46" t="s">
        <v>92</v>
      </c>
      <c r="D2187" s="46" t="s">
        <v>178</v>
      </c>
      <c r="E2187" s="46">
        <v>5</v>
      </c>
      <c r="F2187" s="46" t="s">
        <v>61</v>
      </c>
      <c r="G2187" s="46">
        <v>1</v>
      </c>
      <c r="H2187" s="47" t="s">
        <v>74</v>
      </c>
      <c r="I2187" s="47" t="s">
        <v>101</v>
      </c>
      <c r="J2187" s="48">
        <v>0</v>
      </c>
      <c r="K2187" s="48">
        <v>0</v>
      </c>
      <c r="R2187" s="46">
        <f t="shared" si="219"/>
        <v>0</v>
      </c>
      <c r="S2187" s="46">
        <f t="shared" si="220"/>
        <v>0</v>
      </c>
      <c r="T2187" s="46">
        <f t="shared" si="218"/>
        <v>0</v>
      </c>
      <c r="U2187" s="46">
        <f t="shared" si="221"/>
        <v>0</v>
      </c>
      <c r="V2187" s="54">
        <f t="shared" si="222"/>
        <v>0.83333333333333337</v>
      </c>
    </row>
    <row r="2188" spans="1:22" x14ac:dyDescent="0.2">
      <c r="A2188" s="46" t="s">
        <v>192</v>
      </c>
      <c r="B2188" s="46" t="s">
        <v>53</v>
      </c>
      <c r="C2188" s="46" t="s">
        <v>92</v>
      </c>
      <c r="D2188" s="46" t="s">
        <v>178</v>
      </c>
      <c r="E2188" s="46">
        <v>5</v>
      </c>
      <c r="F2188" s="46" t="s">
        <v>61</v>
      </c>
      <c r="G2188" s="46">
        <v>1</v>
      </c>
      <c r="H2188" s="47" t="s">
        <v>68</v>
      </c>
      <c r="I2188" s="47" t="s">
        <v>101</v>
      </c>
      <c r="J2188" s="48">
        <v>0</v>
      </c>
      <c r="K2188" s="48">
        <v>0</v>
      </c>
      <c r="R2188" s="46">
        <f t="shared" si="219"/>
        <v>0</v>
      </c>
      <c r="S2188" s="46">
        <f t="shared" si="220"/>
        <v>0</v>
      </c>
      <c r="T2188" s="46">
        <f t="shared" ref="T2188:T2251" si="223">quizscore(J2188,K2188)</f>
        <v>0</v>
      </c>
      <c r="U2188" s="46">
        <f t="shared" si="221"/>
        <v>0</v>
      </c>
      <c r="V2188" s="54">
        <f t="shared" si="222"/>
        <v>0.83333333333333337</v>
      </c>
    </row>
    <row r="2189" spans="1:22" x14ac:dyDescent="0.2">
      <c r="A2189" s="46" t="s">
        <v>192</v>
      </c>
      <c r="B2189" s="46" t="s">
        <v>53</v>
      </c>
      <c r="C2189" s="46" t="s">
        <v>92</v>
      </c>
      <c r="D2189" s="46" t="s">
        <v>178</v>
      </c>
      <c r="E2189" s="46">
        <v>5</v>
      </c>
      <c r="F2189" s="46" t="s">
        <v>61</v>
      </c>
      <c r="G2189" s="46">
        <v>2</v>
      </c>
      <c r="H2189" s="47" t="s">
        <v>66</v>
      </c>
      <c r="I2189" s="47" t="s">
        <v>127</v>
      </c>
      <c r="J2189" s="48">
        <v>0</v>
      </c>
      <c r="K2189" s="48">
        <v>0</v>
      </c>
      <c r="R2189" s="46">
        <f t="shared" si="219"/>
        <v>0</v>
      </c>
      <c r="S2189" s="46">
        <f t="shared" si="220"/>
        <v>0</v>
      </c>
      <c r="T2189" s="46">
        <f t="shared" si="223"/>
        <v>0</v>
      </c>
      <c r="U2189" s="46">
        <f t="shared" si="221"/>
        <v>0</v>
      </c>
      <c r="V2189" s="54">
        <f t="shared" si="222"/>
        <v>0.83333333333333337</v>
      </c>
    </row>
    <row r="2190" spans="1:22" x14ac:dyDescent="0.2">
      <c r="A2190" s="46" t="s">
        <v>140</v>
      </c>
      <c r="B2190" s="46" t="s">
        <v>55</v>
      </c>
      <c r="C2190" s="46" t="s">
        <v>90</v>
      </c>
      <c r="D2190" s="46" t="s">
        <v>178</v>
      </c>
      <c r="E2190" s="46">
        <v>3</v>
      </c>
      <c r="F2190" s="46" t="s">
        <v>60</v>
      </c>
      <c r="G2190" s="46">
        <v>1</v>
      </c>
      <c r="H2190" s="47">
        <v>5</v>
      </c>
      <c r="I2190" s="47" t="s">
        <v>101</v>
      </c>
      <c r="J2190" s="48">
        <v>0</v>
      </c>
      <c r="K2190" s="48">
        <v>0</v>
      </c>
      <c r="R2190" s="46">
        <f t="shared" si="219"/>
        <v>0</v>
      </c>
      <c r="S2190" s="46">
        <f t="shared" si="220"/>
        <v>0</v>
      </c>
      <c r="T2190" s="46">
        <f t="shared" si="223"/>
        <v>0</v>
      </c>
      <c r="U2190" s="46">
        <f t="shared" si="221"/>
        <v>0</v>
      </c>
      <c r="V2190" s="54">
        <f t="shared" si="222"/>
        <v>10</v>
      </c>
    </row>
    <row r="2191" spans="1:22" x14ac:dyDescent="0.2">
      <c r="A2191" s="46" t="s">
        <v>140</v>
      </c>
      <c r="B2191" s="46" t="s">
        <v>55</v>
      </c>
      <c r="C2191" s="46" t="s">
        <v>90</v>
      </c>
      <c r="D2191" s="46" t="s">
        <v>178</v>
      </c>
      <c r="E2191" s="46">
        <v>1</v>
      </c>
      <c r="F2191" s="46" t="s">
        <v>60</v>
      </c>
      <c r="G2191" s="46">
        <v>2</v>
      </c>
      <c r="H2191" s="47">
        <v>10</v>
      </c>
      <c r="I2191" s="47" t="s">
        <v>127</v>
      </c>
      <c r="J2191" s="48">
        <v>0</v>
      </c>
      <c r="K2191" s="48">
        <v>1</v>
      </c>
      <c r="R2191" s="46">
        <f t="shared" si="219"/>
        <v>0</v>
      </c>
      <c r="S2191" s="46">
        <f t="shared" si="220"/>
        <v>0</v>
      </c>
      <c r="T2191" s="46">
        <f t="shared" si="223"/>
        <v>0</v>
      </c>
      <c r="U2191" s="46">
        <f t="shared" si="221"/>
        <v>0</v>
      </c>
      <c r="V2191" s="54">
        <f t="shared" si="222"/>
        <v>10</v>
      </c>
    </row>
    <row r="2192" spans="1:22" x14ac:dyDescent="0.2">
      <c r="A2192" s="46" t="s">
        <v>140</v>
      </c>
      <c r="B2192" s="46" t="s">
        <v>55</v>
      </c>
      <c r="C2192" s="46" t="s">
        <v>90</v>
      </c>
      <c r="D2192" s="46" t="s">
        <v>178</v>
      </c>
      <c r="E2192" s="46">
        <v>1</v>
      </c>
      <c r="F2192" s="46" t="s">
        <v>60</v>
      </c>
      <c r="G2192" s="46">
        <v>3</v>
      </c>
      <c r="H2192" s="47">
        <v>15</v>
      </c>
      <c r="I2192" s="47" t="s">
        <v>116</v>
      </c>
      <c r="J2192" s="48">
        <v>0</v>
      </c>
      <c r="K2192" s="48">
        <v>1</v>
      </c>
      <c r="R2192" s="46">
        <f t="shared" si="219"/>
        <v>0</v>
      </c>
      <c r="S2192" s="46">
        <f t="shared" si="220"/>
        <v>0</v>
      </c>
      <c r="T2192" s="46">
        <f t="shared" si="223"/>
        <v>0</v>
      </c>
      <c r="U2192" s="46">
        <f t="shared" si="221"/>
        <v>0</v>
      </c>
      <c r="V2192" s="54">
        <f t="shared" si="222"/>
        <v>10</v>
      </c>
    </row>
    <row r="2193" spans="1:22" x14ac:dyDescent="0.2">
      <c r="A2193" s="46" t="s">
        <v>140</v>
      </c>
      <c r="B2193" s="46" t="s">
        <v>55</v>
      </c>
      <c r="C2193" s="46" t="s">
        <v>90</v>
      </c>
      <c r="D2193" s="46" t="s">
        <v>178</v>
      </c>
      <c r="E2193" s="46">
        <v>2</v>
      </c>
      <c r="F2193" s="46" t="s">
        <v>60</v>
      </c>
      <c r="G2193" s="46">
        <v>1</v>
      </c>
      <c r="H2193" s="47">
        <v>21</v>
      </c>
      <c r="I2193" s="47" t="s">
        <v>101</v>
      </c>
      <c r="J2193" s="48">
        <v>0</v>
      </c>
      <c r="K2193" s="48">
        <v>0</v>
      </c>
      <c r="R2193" s="46">
        <f t="shared" si="219"/>
        <v>0</v>
      </c>
      <c r="S2193" s="46">
        <f t="shared" si="220"/>
        <v>0</v>
      </c>
      <c r="T2193" s="46">
        <f t="shared" si="223"/>
        <v>0</v>
      </c>
      <c r="U2193" s="46">
        <f t="shared" si="221"/>
        <v>0</v>
      </c>
      <c r="V2193" s="54">
        <f t="shared" si="222"/>
        <v>10</v>
      </c>
    </row>
    <row r="2194" spans="1:22" x14ac:dyDescent="0.2">
      <c r="A2194" s="46" t="s">
        <v>140</v>
      </c>
      <c r="B2194" s="46" t="s">
        <v>55</v>
      </c>
      <c r="C2194" s="46" t="s">
        <v>90</v>
      </c>
      <c r="D2194" s="46" t="s">
        <v>178</v>
      </c>
      <c r="E2194" s="46">
        <v>3</v>
      </c>
      <c r="F2194" s="46" t="s">
        <v>60</v>
      </c>
      <c r="G2194" s="46">
        <v>2</v>
      </c>
      <c r="H2194" s="47">
        <v>22</v>
      </c>
      <c r="I2194" s="47" t="s">
        <v>127</v>
      </c>
      <c r="J2194" s="48">
        <v>0</v>
      </c>
      <c r="K2194" s="48">
        <v>0</v>
      </c>
      <c r="R2194" s="46">
        <f t="shared" si="219"/>
        <v>0</v>
      </c>
      <c r="S2194" s="46">
        <f t="shared" si="220"/>
        <v>0</v>
      </c>
      <c r="T2194" s="46">
        <f t="shared" si="223"/>
        <v>0</v>
      </c>
      <c r="U2194" s="46">
        <f t="shared" si="221"/>
        <v>0</v>
      </c>
      <c r="V2194" s="54">
        <f t="shared" si="222"/>
        <v>10</v>
      </c>
    </row>
    <row r="2195" spans="1:22" x14ac:dyDescent="0.2">
      <c r="A2195" s="46" t="s">
        <v>140</v>
      </c>
      <c r="B2195" s="46" t="s">
        <v>55</v>
      </c>
      <c r="C2195" s="46" t="s">
        <v>90</v>
      </c>
      <c r="D2195" s="46" t="s">
        <v>178</v>
      </c>
      <c r="E2195" s="46">
        <v>4</v>
      </c>
      <c r="F2195" s="46" t="s">
        <v>60</v>
      </c>
      <c r="G2195" s="46">
        <v>4</v>
      </c>
      <c r="H2195" s="47">
        <v>24</v>
      </c>
      <c r="I2195" s="47" t="s">
        <v>102</v>
      </c>
      <c r="J2195" s="48">
        <v>0</v>
      </c>
      <c r="K2195" s="48">
        <v>0</v>
      </c>
      <c r="R2195" s="46">
        <f t="shared" si="219"/>
        <v>0</v>
      </c>
      <c r="S2195" s="46">
        <f t="shared" si="220"/>
        <v>0</v>
      </c>
      <c r="T2195" s="46">
        <f t="shared" si="223"/>
        <v>0</v>
      </c>
      <c r="U2195" s="46">
        <f t="shared" si="221"/>
        <v>0</v>
      </c>
      <c r="V2195" s="54">
        <f t="shared" si="222"/>
        <v>10</v>
      </c>
    </row>
    <row r="2196" spans="1:22" x14ac:dyDescent="0.2">
      <c r="A2196" s="46" t="s">
        <v>140</v>
      </c>
      <c r="B2196" s="46" t="s">
        <v>55</v>
      </c>
      <c r="C2196" s="46" t="s">
        <v>90</v>
      </c>
      <c r="D2196" s="46" t="s">
        <v>178</v>
      </c>
      <c r="E2196" s="46">
        <v>1</v>
      </c>
      <c r="F2196" s="46" t="s">
        <v>60</v>
      </c>
      <c r="G2196" s="46">
        <v>2</v>
      </c>
      <c r="H2196" s="47">
        <v>26</v>
      </c>
      <c r="I2196" s="47" t="s">
        <v>127</v>
      </c>
      <c r="J2196" s="48">
        <v>0</v>
      </c>
      <c r="K2196" s="48">
        <v>1</v>
      </c>
      <c r="R2196" s="46">
        <f t="shared" si="219"/>
        <v>0</v>
      </c>
      <c r="S2196" s="46">
        <f t="shared" si="220"/>
        <v>0</v>
      </c>
      <c r="T2196" s="46">
        <f t="shared" si="223"/>
        <v>0</v>
      </c>
      <c r="U2196" s="46">
        <f t="shared" si="221"/>
        <v>0</v>
      </c>
      <c r="V2196" s="54">
        <f t="shared" si="222"/>
        <v>10</v>
      </c>
    </row>
    <row r="2197" spans="1:22" x14ac:dyDescent="0.2">
      <c r="A2197" s="46" t="s">
        <v>140</v>
      </c>
      <c r="B2197" s="46" t="s">
        <v>55</v>
      </c>
      <c r="C2197" s="46" t="s">
        <v>90</v>
      </c>
      <c r="D2197" s="46" t="s">
        <v>178</v>
      </c>
      <c r="E2197" s="46">
        <v>3</v>
      </c>
      <c r="F2197" s="46" t="s">
        <v>60</v>
      </c>
      <c r="G2197" s="46">
        <v>1</v>
      </c>
      <c r="H2197" s="47">
        <v>29</v>
      </c>
      <c r="I2197" s="47" t="s">
        <v>101</v>
      </c>
      <c r="J2197" s="48">
        <v>0</v>
      </c>
      <c r="K2197" s="48">
        <v>0</v>
      </c>
      <c r="R2197" s="46">
        <f t="shared" si="219"/>
        <v>0</v>
      </c>
      <c r="S2197" s="46">
        <f t="shared" si="220"/>
        <v>0</v>
      </c>
      <c r="T2197" s="46">
        <f t="shared" si="223"/>
        <v>0</v>
      </c>
      <c r="U2197" s="46">
        <f t="shared" si="221"/>
        <v>0</v>
      </c>
      <c r="V2197" s="54">
        <f t="shared" si="222"/>
        <v>10</v>
      </c>
    </row>
    <row r="2198" spans="1:22" x14ac:dyDescent="0.2">
      <c r="A2198" s="46" t="s">
        <v>140</v>
      </c>
      <c r="B2198" s="46" t="s">
        <v>55</v>
      </c>
      <c r="C2198" s="46" t="s">
        <v>90</v>
      </c>
      <c r="D2198" s="46" t="s">
        <v>178</v>
      </c>
      <c r="E2198" s="46">
        <v>4</v>
      </c>
      <c r="F2198" s="46" t="s">
        <v>60</v>
      </c>
      <c r="G2198" s="46">
        <v>2</v>
      </c>
      <c r="H2198" s="47">
        <v>34</v>
      </c>
      <c r="I2198" s="47" t="s">
        <v>127</v>
      </c>
      <c r="J2198" s="48">
        <v>0</v>
      </c>
      <c r="K2198" s="48">
        <v>0</v>
      </c>
      <c r="R2198" s="46">
        <f t="shared" si="219"/>
        <v>0</v>
      </c>
      <c r="S2198" s="46">
        <f t="shared" si="220"/>
        <v>0</v>
      </c>
      <c r="T2198" s="46">
        <f t="shared" si="223"/>
        <v>0</v>
      </c>
      <c r="U2198" s="46">
        <f t="shared" si="221"/>
        <v>0</v>
      </c>
      <c r="V2198" s="54">
        <f t="shared" si="222"/>
        <v>10</v>
      </c>
    </row>
    <row r="2199" spans="1:22" x14ac:dyDescent="0.2">
      <c r="A2199" s="46" t="s">
        <v>140</v>
      </c>
      <c r="B2199" s="46" t="s">
        <v>55</v>
      </c>
      <c r="C2199" s="46" t="s">
        <v>90</v>
      </c>
      <c r="D2199" s="46" t="s">
        <v>178</v>
      </c>
      <c r="E2199" s="46">
        <v>2</v>
      </c>
      <c r="F2199" s="46" t="s">
        <v>60</v>
      </c>
      <c r="G2199" s="46">
        <v>2</v>
      </c>
      <c r="H2199" s="47">
        <v>38</v>
      </c>
      <c r="I2199" s="47" t="s">
        <v>127</v>
      </c>
      <c r="J2199" s="48">
        <v>0</v>
      </c>
      <c r="K2199" s="48">
        <v>0</v>
      </c>
      <c r="R2199" s="46">
        <f t="shared" si="219"/>
        <v>0</v>
      </c>
      <c r="S2199" s="46">
        <f t="shared" si="220"/>
        <v>0</v>
      </c>
      <c r="T2199" s="46">
        <f t="shared" si="223"/>
        <v>0</v>
      </c>
      <c r="U2199" s="46">
        <f t="shared" si="221"/>
        <v>0</v>
      </c>
      <c r="V2199" s="54">
        <f t="shared" si="222"/>
        <v>10</v>
      </c>
    </row>
    <row r="2200" spans="1:22" x14ac:dyDescent="0.2">
      <c r="A2200" s="46" t="s">
        <v>140</v>
      </c>
      <c r="B2200" s="46" t="s">
        <v>55</v>
      </c>
      <c r="C2200" s="46" t="s">
        <v>90</v>
      </c>
      <c r="D2200" s="46" t="s">
        <v>178</v>
      </c>
      <c r="E2200" s="46">
        <v>3</v>
      </c>
      <c r="F2200" s="46" t="s">
        <v>60</v>
      </c>
      <c r="G2200" s="46">
        <v>3</v>
      </c>
      <c r="H2200" s="47">
        <v>39</v>
      </c>
      <c r="I2200" s="47" t="s">
        <v>116</v>
      </c>
      <c r="J2200" s="48">
        <v>0</v>
      </c>
      <c r="K2200" s="48">
        <v>0</v>
      </c>
      <c r="R2200" s="46">
        <f t="shared" si="219"/>
        <v>0</v>
      </c>
      <c r="S2200" s="46">
        <f t="shared" si="220"/>
        <v>0</v>
      </c>
      <c r="T2200" s="46">
        <f t="shared" si="223"/>
        <v>0</v>
      </c>
      <c r="U2200" s="46">
        <f t="shared" si="221"/>
        <v>0</v>
      </c>
      <c r="V2200" s="54">
        <f t="shared" si="222"/>
        <v>10</v>
      </c>
    </row>
    <row r="2201" spans="1:22" x14ac:dyDescent="0.2">
      <c r="A2201" s="46" t="s">
        <v>140</v>
      </c>
      <c r="B2201" s="46" t="s">
        <v>55</v>
      </c>
      <c r="C2201" s="46" t="s">
        <v>90</v>
      </c>
      <c r="D2201" s="46" t="s">
        <v>178</v>
      </c>
      <c r="E2201" s="46">
        <v>4</v>
      </c>
      <c r="F2201" s="46" t="s">
        <v>60</v>
      </c>
      <c r="G2201" s="46">
        <v>2</v>
      </c>
      <c r="H2201" s="47">
        <v>42</v>
      </c>
      <c r="I2201" s="47" t="s">
        <v>127</v>
      </c>
      <c r="J2201" s="48">
        <v>0</v>
      </c>
      <c r="K2201" s="48">
        <v>1</v>
      </c>
      <c r="R2201" s="46">
        <f t="shared" si="219"/>
        <v>0</v>
      </c>
      <c r="S2201" s="46">
        <f t="shared" si="220"/>
        <v>0</v>
      </c>
      <c r="T2201" s="46">
        <f t="shared" si="223"/>
        <v>0</v>
      </c>
      <c r="U2201" s="46">
        <f t="shared" si="221"/>
        <v>0</v>
      </c>
      <c r="V2201" s="54">
        <f t="shared" si="222"/>
        <v>10</v>
      </c>
    </row>
    <row r="2202" spans="1:22" x14ac:dyDescent="0.2">
      <c r="A2202" s="46" t="s">
        <v>140</v>
      </c>
      <c r="B2202" s="46" t="s">
        <v>55</v>
      </c>
      <c r="C2202" s="46" t="s">
        <v>90</v>
      </c>
      <c r="D2202" s="46" t="s">
        <v>178</v>
      </c>
      <c r="E2202" s="46">
        <v>2</v>
      </c>
      <c r="F2202" s="46" t="s">
        <v>60</v>
      </c>
      <c r="G2202" s="46">
        <v>1</v>
      </c>
      <c r="H2202" s="47">
        <v>45</v>
      </c>
      <c r="I2202" s="47" t="s">
        <v>101</v>
      </c>
      <c r="J2202" s="48">
        <v>0</v>
      </c>
      <c r="K2202" s="48">
        <v>1</v>
      </c>
      <c r="R2202" s="46">
        <f t="shared" si="219"/>
        <v>0</v>
      </c>
      <c r="S2202" s="46">
        <f t="shared" si="220"/>
        <v>0</v>
      </c>
      <c r="T2202" s="46">
        <f t="shared" si="223"/>
        <v>0</v>
      </c>
      <c r="U2202" s="46">
        <f t="shared" si="221"/>
        <v>0</v>
      </c>
      <c r="V2202" s="54">
        <f t="shared" si="222"/>
        <v>10</v>
      </c>
    </row>
    <row r="2203" spans="1:22" x14ac:dyDescent="0.2">
      <c r="A2203" s="46" t="s">
        <v>140</v>
      </c>
      <c r="B2203" s="46" t="s">
        <v>55</v>
      </c>
      <c r="C2203" s="46" t="s">
        <v>90</v>
      </c>
      <c r="D2203" s="46" t="s">
        <v>178</v>
      </c>
      <c r="E2203" s="46">
        <v>3</v>
      </c>
      <c r="F2203" s="46" t="s">
        <v>60</v>
      </c>
      <c r="G2203" s="46">
        <v>2</v>
      </c>
      <c r="H2203" s="47">
        <v>46</v>
      </c>
      <c r="I2203" s="47" t="s">
        <v>127</v>
      </c>
      <c r="J2203" s="48">
        <v>0</v>
      </c>
      <c r="K2203" s="48">
        <v>1</v>
      </c>
      <c r="R2203" s="46">
        <f t="shared" si="219"/>
        <v>0</v>
      </c>
      <c r="S2203" s="46">
        <f t="shared" si="220"/>
        <v>0</v>
      </c>
      <c r="T2203" s="46">
        <f t="shared" si="223"/>
        <v>0</v>
      </c>
      <c r="U2203" s="46">
        <f t="shared" si="221"/>
        <v>0</v>
      </c>
      <c r="V2203" s="54">
        <f t="shared" si="222"/>
        <v>10</v>
      </c>
    </row>
    <row r="2204" spans="1:22" x14ac:dyDescent="0.2">
      <c r="A2204" s="46" t="s">
        <v>140</v>
      </c>
      <c r="B2204" s="46" t="s">
        <v>55</v>
      </c>
      <c r="C2204" s="46" t="s">
        <v>90</v>
      </c>
      <c r="D2204" s="46" t="s">
        <v>178</v>
      </c>
      <c r="E2204" s="46">
        <v>4</v>
      </c>
      <c r="F2204" s="46" t="s">
        <v>60</v>
      </c>
      <c r="G2204" s="46">
        <v>1</v>
      </c>
      <c r="H2204" s="47">
        <v>49</v>
      </c>
      <c r="I2204" s="47" t="s">
        <v>101</v>
      </c>
      <c r="J2204" s="48">
        <v>0</v>
      </c>
      <c r="K2204" s="48">
        <v>0</v>
      </c>
      <c r="R2204" s="46">
        <f t="shared" si="219"/>
        <v>0</v>
      </c>
      <c r="S2204" s="46">
        <f t="shared" si="220"/>
        <v>0</v>
      </c>
      <c r="T2204" s="46">
        <f t="shared" si="223"/>
        <v>0</v>
      </c>
      <c r="U2204" s="46">
        <f t="shared" si="221"/>
        <v>0</v>
      </c>
      <c r="V2204" s="54">
        <f t="shared" si="222"/>
        <v>10</v>
      </c>
    </row>
    <row r="2205" spans="1:22" x14ac:dyDescent="0.2">
      <c r="A2205" s="46" t="s">
        <v>140</v>
      </c>
      <c r="B2205" s="46" t="s">
        <v>55</v>
      </c>
      <c r="C2205" s="46" t="s">
        <v>90</v>
      </c>
      <c r="D2205" s="46" t="s">
        <v>178</v>
      </c>
      <c r="E2205" s="46">
        <v>3</v>
      </c>
      <c r="F2205" s="46" t="s">
        <v>61</v>
      </c>
      <c r="G2205" s="46">
        <v>1</v>
      </c>
      <c r="H2205" s="47" t="s">
        <v>67</v>
      </c>
      <c r="I2205" s="47" t="s">
        <v>101</v>
      </c>
      <c r="J2205" s="48">
        <v>0</v>
      </c>
      <c r="K2205" s="48">
        <v>0</v>
      </c>
      <c r="R2205" s="46">
        <f t="shared" si="219"/>
        <v>0</v>
      </c>
      <c r="S2205" s="46">
        <f t="shared" si="220"/>
        <v>0</v>
      </c>
      <c r="T2205" s="46">
        <f t="shared" si="223"/>
        <v>0</v>
      </c>
      <c r="U2205" s="46">
        <f t="shared" si="221"/>
        <v>0</v>
      </c>
      <c r="V2205" s="54">
        <f t="shared" si="222"/>
        <v>10</v>
      </c>
    </row>
    <row r="2206" spans="1:22" x14ac:dyDescent="0.2">
      <c r="A2206" s="46" t="s">
        <v>140</v>
      </c>
      <c r="B2206" s="46" t="s">
        <v>55</v>
      </c>
      <c r="C2206" s="46" t="s">
        <v>90</v>
      </c>
      <c r="D2206" s="46" t="s">
        <v>178</v>
      </c>
      <c r="E2206" s="46">
        <v>4</v>
      </c>
      <c r="F2206" s="46" t="s">
        <v>61</v>
      </c>
      <c r="G2206" s="46">
        <v>1</v>
      </c>
      <c r="H2206" s="47" t="s">
        <v>67</v>
      </c>
      <c r="I2206" s="47" t="s">
        <v>101</v>
      </c>
      <c r="J2206" s="48">
        <v>0</v>
      </c>
      <c r="K2206" s="48">
        <v>0</v>
      </c>
      <c r="R2206" s="46">
        <f t="shared" si="219"/>
        <v>0</v>
      </c>
      <c r="S2206" s="46">
        <f t="shared" si="220"/>
        <v>0</v>
      </c>
      <c r="T2206" s="46">
        <f t="shared" si="223"/>
        <v>0</v>
      </c>
      <c r="U2206" s="46">
        <f t="shared" si="221"/>
        <v>0</v>
      </c>
      <c r="V2206" s="54">
        <f t="shared" si="222"/>
        <v>10</v>
      </c>
    </row>
    <row r="2207" spans="1:22" x14ac:dyDescent="0.2">
      <c r="A2207" s="46" t="s">
        <v>140</v>
      </c>
      <c r="B2207" s="46" t="s">
        <v>55</v>
      </c>
      <c r="C2207" s="46" t="s">
        <v>90</v>
      </c>
      <c r="D2207" s="46" t="s">
        <v>178</v>
      </c>
      <c r="E2207" s="46">
        <v>1</v>
      </c>
      <c r="F2207" s="46" t="s">
        <v>61</v>
      </c>
      <c r="G2207" s="46">
        <v>1</v>
      </c>
      <c r="H2207" s="47" t="s">
        <v>70</v>
      </c>
      <c r="I2207" s="47" t="s">
        <v>101</v>
      </c>
      <c r="J2207" s="48">
        <v>0</v>
      </c>
      <c r="K2207" s="48">
        <v>0</v>
      </c>
      <c r="M2207" s="48">
        <v>1</v>
      </c>
      <c r="R2207" s="46">
        <f t="shared" si="219"/>
        <v>0</v>
      </c>
      <c r="S2207" s="46">
        <f t="shared" si="220"/>
        <v>0</v>
      </c>
      <c r="T2207" s="46">
        <f t="shared" si="223"/>
        <v>0</v>
      </c>
      <c r="U2207" s="46">
        <f t="shared" si="221"/>
        <v>20</v>
      </c>
      <c r="V2207" s="54">
        <f t="shared" si="222"/>
        <v>10</v>
      </c>
    </row>
    <row r="2208" spans="1:22" x14ac:dyDescent="0.2">
      <c r="A2208" s="46" t="s">
        <v>140</v>
      </c>
      <c r="B2208" s="46" t="s">
        <v>55</v>
      </c>
      <c r="C2208" s="46" t="s">
        <v>90</v>
      </c>
      <c r="D2208" s="46" t="s">
        <v>178</v>
      </c>
      <c r="E2208" s="46">
        <v>2</v>
      </c>
      <c r="F2208" s="46" t="s">
        <v>61</v>
      </c>
      <c r="G2208" s="46">
        <v>1</v>
      </c>
      <c r="H2208" s="47" t="s">
        <v>70</v>
      </c>
      <c r="I2208" s="47" t="s">
        <v>101</v>
      </c>
      <c r="J2208" s="48">
        <v>0</v>
      </c>
      <c r="K2208" s="48">
        <v>0</v>
      </c>
      <c r="R2208" s="46">
        <f t="shared" si="219"/>
        <v>0</v>
      </c>
      <c r="S2208" s="46">
        <f t="shared" si="220"/>
        <v>0</v>
      </c>
      <c r="T2208" s="46">
        <f t="shared" si="223"/>
        <v>0</v>
      </c>
      <c r="U2208" s="46">
        <f t="shared" si="221"/>
        <v>0</v>
      </c>
      <c r="V2208" s="54">
        <f t="shared" si="222"/>
        <v>10</v>
      </c>
    </row>
    <row r="2209" spans="1:22" x14ac:dyDescent="0.2">
      <c r="A2209" s="46" t="s">
        <v>140</v>
      </c>
      <c r="B2209" s="46" t="s">
        <v>55</v>
      </c>
      <c r="C2209" s="46" t="s">
        <v>90</v>
      </c>
      <c r="D2209" s="46" t="s">
        <v>178</v>
      </c>
      <c r="E2209" s="46">
        <v>1</v>
      </c>
      <c r="F2209" s="46" t="s">
        <v>61</v>
      </c>
      <c r="G2209" s="46">
        <v>1</v>
      </c>
      <c r="H2209" s="47" t="s">
        <v>75</v>
      </c>
      <c r="I2209" s="47" t="s">
        <v>101</v>
      </c>
      <c r="J2209" s="48">
        <v>0</v>
      </c>
      <c r="K2209" s="48">
        <v>1</v>
      </c>
      <c r="R2209" s="46">
        <f t="shared" si="219"/>
        <v>0</v>
      </c>
      <c r="S2209" s="46">
        <f t="shared" si="220"/>
        <v>0</v>
      </c>
      <c r="T2209" s="46">
        <f t="shared" si="223"/>
        <v>0</v>
      </c>
      <c r="U2209" s="46">
        <f t="shared" si="221"/>
        <v>0</v>
      </c>
      <c r="V2209" s="54">
        <f t="shared" si="222"/>
        <v>10</v>
      </c>
    </row>
    <row r="2210" spans="1:22" x14ac:dyDescent="0.2">
      <c r="A2210" s="46" t="s">
        <v>140</v>
      </c>
      <c r="B2210" s="46" t="s">
        <v>55</v>
      </c>
      <c r="C2210" s="46" t="s">
        <v>90</v>
      </c>
      <c r="D2210" s="46" t="s">
        <v>178</v>
      </c>
      <c r="E2210" s="46">
        <v>2</v>
      </c>
      <c r="F2210" s="46" t="s">
        <v>61</v>
      </c>
      <c r="G2210" s="46">
        <v>2</v>
      </c>
      <c r="H2210" s="47" t="s">
        <v>76</v>
      </c>
      <c r="I2210" s="47" t="s">
        <v>127</v>
      </c>
      <c r="J2210" s="48">
        <v>0</v>
      </c>
      <c r="K2210" s="48">
        <v>1</v>
      </c>
      <c r="R2210" s="46">
        <f t="shared" si="219"/>
        <v>0</v>
      </c>
      <c r="S2210" s="46">
        <f t="shared" si="220"/>
        <v>0</v>
      </c>
      <c r="T2210" s="46">
        <f t="shared" si="223"/>
        <v>0</v>
      </c>
      <c r="U2210" s="46">
        <f t="shared" si="221"/>
        <v>0</v>
      </c>
      <c r="V2210" s="54">
        <f t="shared" si="222"/>
        <v>10</v>
      </c>
    </row>
    <row r="2211" spans="1:22" x14ac:dyDescent="0.2">
      <c r="A2211" s="46" t="s">
        <v>140</v>
      </c>
      <c r="B2211" s="46" t="s">
        <v>55</v>
      </c>
      <c r="C2211" s="46" t="s">
        <v>90</v>
      </c>
      <c r="D2211" s="46" t="s">
        <v>178</v>
      </c>
      <c r="E2211" s="46">
        <v>3</v>
      </c>
      <c r="F2211" s="46" t="s">
        <v>61</v>
      </c>
      <c r="G2211" s="46">
        <v>2</v>
      </c>
      <c r="H2211" s="47" t="s">
        <v>76</v>
      </c>
      <c r="I2211" s="47" t="s">
        <v>127</v>
      </c>
      <c r="J2211" s="48">
        <v>0</v>
      </c>
      <c r="K2211" s="48">
        <v>0</v>
      </c>
      <c r="M2211" s="48">
        <v>1</v>
      </c>
      <c r="R2211" s="46">
        <f t="shared" si="219"/>
        <v>0</v>
      </c>
      <c r="S2211" s="46">
        <f t="shared" si="220"/>
        <v>0</v>
      </c>
      <c r="T2211" s="46">
        <f t="shared" si="223"/>
        <v>0</v>
      </c>
      <c r="U2211" s="46">
        <f t="shared" si="221"/>
        <v>20</v>
      </c>
      <c r="V2211" s="54">
        <f t="shared" si="222"/>
        <v>10</v>
      </c>
    </row>
    <row r="2212" spans="1:22" x14ac:dyDescent="0.2">
      <c r="A2212" s="46" t="s">
        <v>140</v>
      </c>
      <c r="B2212" s="46" t="s">
        <v>55</v>
      </c>
      <c r="C2212" s="46" t="s">
        <v>90</v>
      </c>
      <c r="D2212" s="46" t="s">
        <v>178</v>
      </c>
      <c r="E2212" s="46">
        <v>4</v>
      </c>
      <c r="F2212" s="46" t="s">
        <v>61</v>
      </c>
      <c r="G2212" s="46">
        <v>2</v>
      </c>
      <c r="H2212" s="47" t="s">
        <v>76</v>
      </c>
      <c r="I2212" s="47" t="s">
        <v>127</v>
      </c>
      <c r="J2212" s="48">
        <v>0</v>
      </c>
      <c r="K2212" s="48">
        <v>0</v>
      </c>
      <c r="R2212" s="46">
        <f t="shared" si="219"/>
        <v>0</v>
      </c>
      <c r="S2212" s="46">
        <f t="shared" si="220"/>
        <v>0</v>
      </c>
      <c r="T2212" s="46">
        <f t="shared" si="223"/>
        <v>0</v>
      </c>
      <c r="U2212" s="46">
        <f t="shared" si="221"/>
        <v>0</v>
      </c>
      <c r="V2212" s="54">
        <f t="shared" si="222"/>
        <v>10</v>
      </c>
    </row>
    <row r="2213" spans="1:22" x14ac:dyDescent="0.2">
      <c r="A2213" s="46" t="s">
        <v>140</v>
      </c>
      <c r="B2213" s="46" t="s">
        <v>55</v>
      </c>
      <c r="C2213" s="46" t="s">
        <v>90</v>
      </c>
      <c r="D2213" s="46" t="s">
        <v>178</v>
      </c>
      <c r="E2213" s="46">
        <v>2</v>
      </c>
      <c r="F2213" s="46" t="s">
        <v>61</v>
      </c>
      <c r="G2213" s="46">
        <v>2</v>
      </c>
      <c r="H2213" s="47" t="s">
        <v>66</v>
      </c>
      <c r="I2213" s="47" t="s">
        <v>127</v>
      </c>
      <c r="J2213" s="48">
        <v>0</v>
      </c>
      <c r="K2213" s="48">
        <v>0</v>
      </c>
      <c r="R2213" s="46">
        <f t="shared" si="219"/>
        <v>0</v>
      </c>
      <c r="S2213" s="46">
        <f t="shared" si="220"/>
        <v>0</v>
      </c>
      <c r="T2213" s="46">
        <f t="shared" si="223"/>
        <v>0</v>
      </c>
      <c r="U2213" s="46">
        <f t="shared" si="221"/>
        <v>0</v>
      </c>
      <c r="V2213" s="54">
        <f t="shared" si="222"/>
        <v>10</v>
      </c>
    </row>
    <row r="2214" spans="1:22" x14ac:dyDescent="0.2">
      <c r="A2214" s="46" t="s">
        <v>140</v>
      </c>
      <c r="B2214" s="46" t="s">
        <v>55</v>
      </c>
      <c r="C2214" s="46" t="s">
        <v>90</v>
      </c>
      <c r="D2214" s="46" t="s">
        <v>178</v>
      </c>
      <c r="E2214" s="46">
        <v>3</v>
      </c>
      <c r="F2214" s="46" t="s">
        <v>61</v>
      </c>
      <c r="G2214" s="46">
        <v>2</v>
      </c>
      <c r="H2214" s="47" t="s">
        <v>66</v>
      </c>
      <c r="I2214" s="47" t="s">
        <v>127</v>
      </c>
      <c r="J2214" s="48">
        <v>0</v>
      </c>
      <c r="K2214" s="48">
        <v>0</v>
      </c>
      <c r="R2214" s="46">
        <f t="shared" si="219"/>
        <v>0</v>
      </c>
      <c r="S2214" s="46">
        <f t="shared" si="220"/>
        <v>0</v>
      </c>
      <c r="T2214" s="46">
        <f t="shared" si="223"/>
        <v>0</v>
      </c>
      <c r="U2214" s="46">
        <f t="shared" si="221"/>
        <v>0</v>
      </c>
      <c r="V2214" s="54">
        <f t="shared" si="222"/>
        <v>10</v>
      </c>
    </row>
    <row r="2215" spans="1:22" x14ac:dyDescent="0.2">
      <c r="A2215" s="46" t="s">
        <v>140</v>
      </c>
      <c r="B2215" s="46" t="s">
        <v>55</v>
      </c>
      <c r="C2215" s="46" t="s">
        <v>90</v>
      </c>
      <c r="D2215" s="46" t="s">
        <v>178</v>
      </c>
      <c r="E2215" s="46">
        <v>4</v>
      </c>
      <c r="F2215" s="46" t="s">
        <v>61</v>
      </c>
      <c r="G2215" s="46">
        <v>2</v>
      </c>
      <c r="H2215" s="47" t="s">
        <v>66</v>
      </c>
      <c r="I2215" s="47" t="s">
        <v>127</v>
      </c>
      <c r="J2215" s="48">
        <v>0</v>
      </c>
      <c r="K2215" s="48">
        <v>0</v>
      </c>
      <c r="R2215" s="46">
        <f t="shared" si="219"/>
        <v>0</v>
      </c>
      <c r="S2215" s="46">
        <f t="shared" si="220"/>
        <v>0</v>
      </c>
      <c r="T2215" s="46">
        <f t="shared" si="223"/>
        <v>0</v>
      </c>
      <c r="U2215" s="46">
        <f t="shared" si="221"/>
        <v>0</v>
      </c>
      <c r="V2215" s="54">
        <f t="shared" si="222"/>
        <v>10</v>
      </c>
    </row>
    <row r="2216" spans="1:22" x14ac:dyDescent="0.2">
      <c r="A2216" s="46" t="s">
        <v>140</v>
      </c>
      <c r="B2216" s="46" t="s">
        <v>55</v>
      </c>
      <c r="C2216" s="46" t="s">
        <v>90</v>
      </c>
      <c r="D2216" s="46" t="s">
        <v>178</v>
      </c>
      <c r="E2216" s="46">
        <v>4</v>
      </c>
      <c r="F2216" s="46" t="s">
        <v>61</v>
      </c>
      <c r="G2216" s="46">
        <v>1</v>
      </c>
      <c r="H2216" s="47" t="s">
        <v>71</v>
      </c>
      <c r="I2216" s="47" t="s">
        <v>101</v>
      </c>
      <c r="J2216" s="48">
        <v>0</v>
      </c>
      <c r="K2216" s="48">
        <v>0</v>
      </c>
      <c r="R2216" s="46">
        <f t="shared" si="219"/>
        <v>0</v>
      </c>
      <c r="S2216" s="46">
        <f t="shared" si="220"/>
        <v>0</v>
      </c>
      <c r="T2216" s="46">
        <f t="shared" si="223"/>
        <v>0</v>
      </c>
      <c r="U2216" s="46">
        <f t="shared" si="221"/>
        <v>0</v>
      </c>
      <c r="V2216" s="54">
        <f t="shared" si="222"/>
        <v>10</v>
      </c>
    </row>
    <row r="2217" spans="1:22" x14ac:dyDescent="0.2">
      <c r="A2217" s="46" t="s">
        <v>140</v>
      </c>
      <c r="B2217" s="46" t="s">
        <v>55</v>
      </c>
      <c r="C2217" s="46" t="s">
        <v>90</v>
      </c>
      <c r="D2217" s="46" t="s">
        <v>178</v>
      </c>
      <c r="E2217" s="46">
        <v>1</v>
      </c>
      <c r="F2217" s="46" t="s">
        <v>61</v>
      </c>
      <c r="G2217" s="46">
        <v>1</v>
      </c>
      <c r="H2217" s="47" t="s">
        <v>78</v>
      </c>
      <c r="I2217" s="47" t="s">
        <v>101</v>
      </c>
      <c r="J2217" s="48">
        <v>0</v>
      </c>
      <c r="K2217" s="48">
        <v>0</v>
      </c>
      <c r="M2217" s="48">
        <v>1</v>
      </c>
      <c r="R2217" s="46">
        <f t="shared" si="219"/>
        <v>0</v>
      </c>
      <c r="S2217" s="46">
        <f t="shared" si="220"/>
        <v>0</v>
      </c>
      <c r="T2217" s="46">
        <f t="shared" si="223"/>
        <v>0</v>
      </c>
      <c r="U2217" s="46">
        <f t="shared" si="221"/>
        <v>20</v>
      </c>
      <c r="V2217" s="54">
        <f t="shared" si="222"/>
        <v>10</v>
      </c>
    </row>
    <row r="2218" spans="1:22" x14ac:dyDescent="0.2">
      <c r="A2218" s="46" t="s">
        <v>140</v>
      </c>
      <c r="B2218" s="46" t="s">
        <v>55</v>
      </c>
      <c r="C2218" s="46" t="s">
        <v>90</v>
      </c>
      <c r="D2218" s="46" t="s">
        <v>178</v>
      </c>
      <c r="E2218" s="46">
        <v>1</v>
      </c>
      <c r="F2218" s="46" t="s">
        <v>61</v>
      </c>
      <c r="G2218" s="46">
        <v>1</v>
      </c>
      <c r="H2218" s="47" t="s">
        <v>78</v>
      </c>
      <c r="I2218" s="47" t="s">
        <v>101</v>
      </c>
      <c r="J2218" s="48">
        <v>0</v>
      </c>
      <c r="K2218" s="48">
        <v>1</v>
      </c>
      <c r="R2218" s="46">
        <f t="shared" si="219"/>
        <v>0</v>
      </c>
      <c r="S2218" s="46">
        <f t="shared" si="220"/>
        <v>0</v>
      </c>
      <c r="T2218" s="46">
        <f t="shared" si="223"/>
        <v>0</v>
      </c>
      <c r="U2218" s="46">
        <f t="shared" si="221"/>
        <v>0</v>
      </c>
      <c r="V2218" s="54">
        <f t="shared" si="222"/>
        <v>10</v>
      </c>
    </row>
    <row r="2219" spans="1:22" x14ac:dyDescent="0.2">
      <c r="A2219" s="46" t="s">
        <v>140</v>
      </c>
      <c r="B2219" s="46" t="s">
        <v>55</v>
      </c>
      <c r="C2219" s="46" t="s">
        <v>90</v>
      </c>
      <c r="D2219" s="46" t="s">
        <v>178</v>
      </c>
      <c r="E2219" s="46">
        <v>1</v>
      </c>
      <c r="F2219" s="46" t="s">
        <v>61</v>
      </c>
      <c r="G2219" s="46">
        <v>1</v>
      </c>
      <c r="H2219" s="47" t="s">
        <v>78</v>
      </c>
      <c r="I2219" s="47" t="s">
        <v>101</v>
      </c>
      <c r="J2219" s="48">
        <v>0</v>
      </c>
      <c r="K2219" s="48">
        <v>0</v>
      </c>
      <c r="R2219" s="46">
        <f t="shared" si="219"/>
        <v>0</v>
      </c>
      <c r="S2219" s="46">
        <f t="shared" si="220"/>
        <v>0</v>
      </c>
      <c r="T2219" s="46">
        <f t="shared" si="223"/>
        <v>0</v>
      </c>
      <c r="U2219" s="46">
        <f t="shared" si="221"/>
        <v>0</v>
      </c>
      <c r="V2219" s="54">
        <f t="shared" si="222"/>
        <v>10</v>
      </c>
    </row>
    <row r="2220" spans="1:22" x14ac:dyDescent="0.2">
      <c r="A2220" s="46" t="s">
        <v>140</v>
      </c>
      <c r="B2220" s="46" t="s">
        <v>55</v>
      </c>
      <c r="C2220" s="46" t="s">
        <v>90</v>
      </c>
      <c r="D2220" s="46" t="s">
        <v>178</v>
      </c>
      <c r="E2220" s="46">
        <v>2</v>
      </c>
      <c r="F2220" s="46" t="s">
        <v>60</v>
      </c>
      <c r="G2220" s="46">
        <v>4</v>
      </c>
      <c r="H2220" s="47">
        <v>8</v>
      </c>
      <c r="I2220" s="47" t="s">
        <v>102</v>
      </c>
      <c r="J2220" s="48">
        <v>1</v>
      </c>
      <c r="K2220" s="48">
        <v>2</v>
      </c>
      <c r="O2220" s="48">
        <v>1</v>
      </c>
      <c r="R2220" s="46">
        <f t="shared" si="219"/>
        <v>0</v>
      </c>
      <c r="S2220" s="46">
        <f t="shared" si="220"/>
        <v>0</v>
      </c>
      <c r="T2220" s="46">
        <f t="shared" si="223"/>
        <v>10</v>
      </c>
      <c r="U2220" s="46">
        <f t="shared" si="221"/>
        <v>20</v>
      </c>
      <c r="V2220" s="54">
        <f t="shared" si="222"/>
        <v>10</v>
      </c>
    </row>
    <row r="2221" spans="1:22" x14ac:dyDescent="0.2">
      <c r="A2221" s="46" t="s">
        <v>140</v>
      </c>
      <c r="B2221" s="46" t="s">
        <v>55</v>
      </c>
      <c r="C2221" s="46" t="s">
        <v>90</v>
      </c>
      <c r="D2221" s="46" t="s">
        <v>178</v>
      </c>
      <c r="E2221" s="46">
        <v>1</v>
      </c>
      <c r="F2221" s="46" t="s">
        <v>60</v>
      </c>
      <c r="G2221" s="46">
        <v>1</v>
      </c>
      <c r="H2221" s="47">
        <v>33</v>
      </c>
      <c r="I2221" s="47" t="s">
        <v>101</v>
      </c>
      <c r="J2221" s="48">
        <v>1</v>
      </c>
      <c r="K2221" s="48">
        <v>2</v>
      </c>
      <c r="R2221" s="46">
        <f t="shared" si="219"/>
        <v>0</v>
      </c>
      <c r="S2221" s="46">
        <f t="shared" si="220"/>
        <v>0</v>
      </c>
      <c r="T2221" s="46">
        <f t="shared" si="223"/>
        <v>10</v>
      </c>
      <c r="U2221" s="46">
        <f t="shared" si="221"/>
        <v>10</v>
      </c>
      <c r="V2221" s="54">
        <f t="shared" si="222"/>
        <v>10</v>
      </c>
    </row>
    <row r="2222" spans="1:22" x14ac:dyDescent="0.2">
      <c r="A2222" s="46" t="s">
        <v>140</v>
      </c>
      <c r="B2222" s="46" t="s">
        <v>55</v>
      </c>
      <c r="C2222" s="46" t="s">
        <v>90</v>
      </c>
      <c r="D2222" s="46" t="s">
        <v>178</v>
      </c>
      <c r="E2222" s="46">
        <v>4</v>
      </c>
      <c r="F2222" s="46" t="s">
        <v>60</v>
      </c>
      <c r="G2222" s="46">
        <v>3</v>
      </c>
      <c r="H2222" s="47">
        <v>7</v>
      </c>
      <c r="I2222" s="47" t="s">
        <v>159</v>
      </c>
      <c r="J2222" s="48">
        <v>1</v>
      </c>
      <c r="K2222" s="48">
        <v>0</v>
      </c>
      <c r="O2222" s="48">
        <v>1</v>
      </c>
      <c r="R2222" s="46">
        <f t="shared" si="219"/>
        <v>0</v>
      </c>
      <c r="S2222" s="46">
        <f t="shared" si="220"/>
        <v>0</v>
      </c>
      <c r="T2222" s="46">
        <f t="shared" si="223"/>
        <v>20</v>
      </c>
      <c r="U2222" s="46">
        <f t="shared" si="221"/>
        <v>30</v>
      </c>
      <c r="V2222" s="54">
        <f t="shared" si="222"/>
        <v>10</v>
      </c>
    </row>
    <row r="2223" spans="1:22" x14ac:dyDescent="0.2">
      <c r="A2223" s="46" t="s">
        <v>140</v>
      </c>
      <c r="B2223" s="46" t="s">
        <v>55</v>
      </c>
      <c r="C2223" s="46" t="s">
        <v>90</v>
      </c>
      <c r="D2223" s="46" t="s">
        <v>178</v>
      </c>
      <c r="E2223" s="46">
        <v>3</v>
      </c>
      <c r="F2223" s="46" t="s">
        <v>60</v>
      </c>
      <c r="G2223" s="46">
        <v>3</v>
      </c>
      <c r="H2223" s="47">
        <v>15</v>
      </c>
      <c r="I2223" s="47" t="s">
        <v>116</v>
      </c>
      <c r="J2223" s="48">
        <v>1</v>
      </c>
      <c r="K2223" s="48">
        <v>1</v>
      </c>
      <c r="O2223" s="48">
        <v>1</v>
      </c>
      <c r="R2223" s="46">
        <f t="shared" si="219"/>
        <v>0</v>
      </c>
      <c r="S2223" s="46">
        <f t="shared" si="220"/>
        <v>0</v>
      </c>
      <c r="T2223" s="46">
        <f t="shared" si="223"/>
        <v>20</v>
      </c>
      <c r="U2223" s="46">
        <f t="shared" si="221"/>
        <v>30</v>
      </c>
      <c r="V2223" s="54">
        <f t="shared" si="222"/>
        <v>10</v>
      </c>
    </row>
    <row r="2224" spans="1:22" x14ac:dyDescent="0.2">
      <c r="A2224" s="46" t="s">
        <v>140</v>
      </c>
      <c r="B2224" s="46" t="s">
        <v>55</v>
      </c>
      <c r="C2224" s="46" t="s">
        <v>90</v>
      </c>
      <c r="D2224" s="46" t="s">
        <v>178</v>
      </c>
      <c r="E2224" s="46">
        <v>4</v>
      </c>
      <c r="F2224" s="46" t="s">
        <v>60</v>
      </c>
      <c r="G2224" s="46">
        <v>4</v>
      </c>
      <c r="H2224" s="47">
        <v>16</v>
      </c>
      <c r="I2224" s="47" t="s">
        <v>102</v>
      </c>
      <c r="J2224" s="48">
        <v>1</v>
      </c>
      <c r="K2224" s="48">
        <v>0</v>
      </c>
      <c r="R2224" s="46">
        <f t="shared" si="219"/>
        <v>0</v>
      </c>
      <c r="S2224" s="46">
        <f t="shared" si="220"/>
        <v>0</v>
      </c>
      <c r="T2224" s="46">
        <f t="shared" si="223"/>
        <v>20</v>
      </c>
      <c r="U2224" s="46">
        <f t="shared" si="221"/>
        <v>20</v>
      </c>
      <c r="V2224" s="54">
        <f t="shared" si="222"/>
        <v>10</v>
      </c>
    </row>
    <row r="2225" spans="1:22" x14ac:dyDescent="0.2">
      <c r="A2225" s="46" t="s">
        <v>140</v>
      </c>
      <c r="B2225" s="46" t="s">
        <v>55</v>
      </c>
      <c r="C2225" s="46" t="s">
        <v>90</v>
      </c>
      <c r="D2225" s="46" t="s">
        <v>178</v>
      </c>
      <c r="E2225" s="46">
        <v>2</v>
      </c>
      <c r="F2225" s="46" t="s">
        <v>60</v>
      </c>
      <c r="G2225" s="46">
        <v>3</v>
      </c>
      <c r="H2225" s="47">
        <v>31</v>
      </c>
      <c r="I2225" s="47" t="s">
        <v>116</v>
      </c>
      <c r="J2225" s="48">
        <v>1</v>
      </c>
      <c r="K2225" s="48">
        <v>0</v>
      </c>
      <c r="O2225" s="48">
        <v>1</v>
      </c>
      <c r="R2225" s="46">
        <f t="shared" si="219"/>
        <v>0</v>
      </c>
      <c r="S2225" s="46">
        <f t="shared" si="220"/>
        <v>0</v>
      </c>
      <c r="T2225" s="46">
        <f t="shared" si="223"/>
        <v>20</v>
      </c>
      <c r="U2225" s="46">
        <f t="shared" si="221"/>
        <v>30</v>
      </c>
      <c r="V2225" s="54">
        <f t="shared" si="222"/>
        <v>10</v>
      </c>
    </row>
    <row r="2226" spans="1:22" x14ac:dyDescent="0.2">
      <c r="A2226" s="46" t="s">
        <v>140</v>
      </c>
      <c r="B2226" s="46" t="s">
        <v>55</v>
      </c>
      <c r="C2226" s="46" t="s">
        <v>90</v>
      </c>
      <c r="D2226" s="46" t="s">
        <v>178</v>
      </c>
      <c r="E2226" s="46">
        <v>1</v>
      </c>
      <c r="F2226" s="46" t="s">
        <v>60</v>
      </c>
      <c r="G2226" s="46">
        <v>3</v>
      </c>
      <c r="H2226" s="47">
        <v>43</v>
      </c>
      <c r="I2226" s="47" t="s">
        <v>116</v>
      </c>
      <c r="J2226" s="48">
        <v>1</v>
      </c>
      <c r="K2226" s="48">
        <v>1</v>
      </c>
      <c r="R2226" s="46">
        <f t="shared" si="219"/>
        <v>0</v>
      </c>
      <c r="S2226" s="46">
        <f t="shared" si="220"/>
        <v>0</v>
      </c>
      <c r="T2226" s="46">
        <f t="shared" si="223"/>
        <v>20</v>
      </c>
      <c r="U2226" s="46">
        <f t="shared" si="221"/>
        <v>20</v>
      </c>
      <c r="V2226" s="54">
        <f t="shared" si="222"/>
        <v>10</v>
      </c>
    </row>
    <row r="2227" spans="1:22" x14ac:dyDescent="0.2">
      <c r="A2227" s="46" t="s">
        <v>140</v>
      </c>
      <c r="B2227" s="46" t="s">
        <v>55</v>
      </c>
      <c r="C2227" s="46" t="s">
        <v>90</v>
      </c>
      <c r="D2227" s="46" t="s">
        <v>178</v>
      </c>
      <c r="E2227" s="46">
        <v>1</v>
      </c>
      <c r="F2227" s="46" t="s">
        <v>61</v>
      </c>
      <c r="G2227" s="46">
        <v>1</v>
      </c>
      <c r="H2227" s="47" t="s">
        <v>78</v>
      </c>
      <c r="I2227" s="47" t="s">
        <v>101</v>
      </c>
      <c r="J2227" s="48">
        <v>1</v>
      </c>
      <c r="K2227" s="48">
        <v>0</v>
      </c>
      <c r="R2227" s="46">
        <f t="shared" si="219"/>
        <v>0</v>
      </c>
      <c r="S2227" s="46">
        <f t="shared" si="220"/>
        <v>0</v>
      </c>
      <c r="T2227" s="46">
        <f t="shared" si="223"/>
        <v>20</v>
      </c>
      <c r="U2227" s="46">
        <f t="shared" si="221"/>
        <v>20</v>
      </c>
      <c r="V2227" s="54">
        <f t="shared" si="222"/>
        <v>10</v>
      </c>
    </row>
    <row r="2228" spans="1:22" x14ac:dyDescent="0.2">
      <c r="A2228" s="46" t="s">
        <v>140</v>
      </c>
      <c r="B2228" s="46" t="s">
        <v>55</v>
      </c>
      <c r="C2228" s="46" t="s">
        <v>90</v>
      </c>
      <c r="D2228" s="46" t="s">
        <v>178</v>
      </c>
      <c r="E2228" s="46">
        <v>1</v>
      </c>
      <c r="F2228" s="46" t="s">
        <v>60</v>
      </c>
      <c r="G2228" s="46">
        <v>4</v>
      </c>
      <c r="H2228" s="47">
        <v>4</v>
      </c>
      <c r="I2228" s="47" t="s">
        <v>102</v>
      </c>
      <c r="J2228" s="48">
        <v>2</v>
      </c>
      <c r="K2228" s="48">
        <v>0</v>
      </c>
      <c r="R2228" s="46">
        <f t="shared" si="219"/>
        <v>0</v>
      </c>
      <c r="S2228" s="46">
        <f t="shared" si="220"/>
        <v>0</v>
      </c>
      <c r="T2228" s="46">
        <f t="shared" si="223"/>
        <v>40</v>
      </c>
      <c r="U2228" s="46">
        <f t="shared" si="221"/>
        <v>40</v>
      </c>
      <c r="V2228" s="54">
        <f t="shared" si="222"/>
        <v>10</v>
      </c>
    </row>
    <row r="2229" spans="1:22" x14ac:dyDescent="0.2">
      <c r="A2229" s="46" t="s">
        <v>140</v>
      </c>
      <c r="B2229" s="46" t="s">
        <v>55</v>
      </c>
      <c r="C2229" s="46" t="s">
        <v>90</v>
      </c>
      <c r="D2229" s="46" t="s">
        <v>178</v>
      </c>
      <c r="E2229" s="46">
        <v>2</v>
      </c>
      <c r="F2229" s="46" t="s">
        <v>60</v>
      </c>
      <c r="G2229" s="46">
        <v>2</v>
      </c>
      <c r="H2229" s="47">
        <v>14</v>
      </c>
      <c r="I2229" s="47" t="s">
        <v>127</v>
      </c>
      <c r="J2229" s="48">
        <v>2</v>
      </c>
      <c r="K2229" s="48">
        <v>0</v>
      </c>
      <c r="O2229" s="48">
        <v>1</v>
      </c>
      <c r="R2229" s="46">
        <f t="shared" si="219"/>
        <v>0</v>
      </c>
      <c r="S2229" s="46">
        <f t="shared" si="220"/>
        <v>0</v>
      </c>
      <c r="T2229" s="46">
        <f t="shared" si="223"/>
        <v>40</v>
      </c>
      <c r="U2229" s="46">
        <f t="shared" si="221"/>
        <v>50</v>
      </c>
      <c r="V2229" s="54">
        <f t="shared" si="222"/>
        <v>10</v>
      </c>
    </row>
    <row r="2230" spans="1:22" x14ac:dyDescent="0.2">
      <c r="A2230" s="46" t="s">
        <v>140</v>
      </c>
      <c r="B2230" s="46" t="s">
        <v>55</v>
      </c>
      <c r="C2230" s="46" t="s">
        <v>90</v>
      </c>
      <c r="D2230" s="46" t="s">
        <v>178</v>
      </c>
      <c r="E2230" s="46">
        <v>5</v>
      </c>
      <c r="F2230" s="46" t="s">
        <v>60</v>
      </c>
      <c r="G2230" s="46">
        <v>3</v>
      </c>
      <c r="H2230" s="47">
        <v>11</v>
      </c>
      <c r="I2230" s="47" t="s">
        <v>159</v>
      </c>
      <c r="J2230" s="48">
        <v>0</v>
      </c>
      <c r="K2230" s="48">
        <v>0</v>
      </c>
      <c r="M2230" s="48">
        <v>1</v>
      </c>
      <c r="R2230" s="46">
        <f t="shared" si="219"/>
        <v>0</v>
      </c>
      <c r="S2230" s="46">
        <f t="shared" si="220"/>
        <v>0</v>
      </c>
      <c r="T2230" s="46">
        <f t="shared" si="223"/>
        <v>0</v>
      </c>
      <c r="U2230" s="46">
        <f t="shared" si="221"/>
        <v>20</v>
      </c>
      <c r="V2230" s="54">
        <f t="shared" si="222"/>
        <v>10</v>
      </c>
    </row>
    <row r="2231" spans="1:22" x14ac:dyDescent="0.2">
      <c r="A2231" s="46" t="s">
        <v>140</v>
      </c>
      <c r="B2231" s="46" t="s">
        <v>55</v>
      </c>
      <c r="C2231" s="46" t="s">
        <v>90</v>
      </c>
      <c r="D2231" s="46" t="s">
        <v>178</v>
      </c>
      <c r="E2231" s="46">
        <v>5</v>
      </c>
      <c r="F2231" s="46" t="s">
        <v>60</v>
      </c>
      <c r="G2231" s="46">
        <v>3</v>
      </c>
      <c r="H2231" s="47">
        <v>23</v>
      </c>
      <c r="I2231" s="47" t="s">
        <v>159</v>
      </c>
      <c r="J2231" s="48">
        <v>1</v>
      </c>
      <c r="K2231" s="48">
        <v>0</v>
      </c>
      <c r="O2231" s="48">
        <v>1</v>
      </c>
      <c r="R2231" s="46">
        <f t="shared" si="219"/>
        <v>0</v>
      </c>
      <c r="S2231" s="46">
        <f t="shared" si="220"/>
        <v>0</v>
      </c>
      <c r="T2231" s="46">
        <f t="shared" si="223"/>
        <v>20</v>
      </c>
      <c r="U2231" s="46">
        <f t="shared" si="221"/>
        <v>30</v>
      </c>
      <c r="V2231" s="54">
        <f t="shared" si="222"/>
        <v>10</v>
      </c>
    </row>
    <row r="2232" spans="1:22" x14ac:dyDescent="0.2">
      <c r="A2232" s="46" t="s">
        <v>140</v>
      </c>
      <c r="B2232" s="46" t="s">
        <v>55</v>
      </c>
      <c r="C2232" s="46" t="s">
        <v>90</v>
      </c>
      <c r="D2232" s="46" t="s">
        <v>178</v>
      </c>
      <c r="E2232" s="46">
        <v>5</v>
      </c>
      <c r="F2232" s="46" t="s">
        <v>60</v>
      </c>
      <c r="G2232" s="46">
        <v>4</v>
      </c>
      <c r="H2232" s="47">
        <v>28</v>
      </c>
      <c r="I2232" s="47" t="s">
        <v>102</v>
      </c>
      <c r="J2232" s="48">
        <v>0</v>
      </c>
      <c r="K2232" s="48">
        <v>0</v>
      </c>
      <c r="R2232" s="46">
        <f t="shared" si="219"/>
        <v>0</v>
      </c>
      <c r="S2232" s="46">
        <f t="shared" si="220"/>
        <v>0</v>
      </c>
      <c r="T2232" s="46">
        <f t="shared" si="223"/>
        <v>0</v>
      </c>
      <c r="U2232" s="46">
        <f t="shared" si="221"/>
        <v>0</v>
      </c>
      <c r="V2232" s="54">
        <f t="shared" si="222"/>
        <v>10</v>
      </c>
    </row>
    <row r="2233" spans="1:22" x14ac:dyDescent="0.2">
      <c r="A2233" s="46" t="s">
        <v>140</v>
      </c>
      <c r="B2233" s="46" t="s">
        <v>55</v>
      </c>
      <c r="C2233" s="46" t="s">
        <v>90</v>
      </c>
      <c r="D2233" s="46" t="s">
        <v>178</v>
      </c>
      <c r="E2233" s="46">
        <v>5</v>
      </c>
      <c r="F2233" s="46" t="s">
        <v>60</v>
      </c>
      <c r="G2233" s="46">
        <v>1</v>
      </c>
      <c r="H2233" s="47">
        <v>33</v>
      </c>
      <c r="I2233" s="47" t="s">
        <v>101</v>
      </c>
      <c r="J2233" s="48">
        <v>0</v>
      </c>
      <c r="K2233" s="48">
        <v>1</v>
      </c>
      <c r="R2233" s="46">
        <f t="shared" si="219"/>
        <v>0</v>
      </c>
      <c r="S2233" s="46">
        <f t="shared" si="220"/>
        <v>0</v>
      </c>
      <c r="T2233" s="46">
        <f t="shared" si="223"/>
        <v>0</v>
      </c>
      <c r="U2233" s="46">
        <f t="shared" si="221"/>
        <v>0</v>
      </c>
      <c r="V2233" s="54">
        <f t="shared" si="222"/>
        <v>10</v>
      </c>
    </row>
    <row r="2234" spans="1:22" x14ac:dyDescent="0.2">
      <c r="A2234" s="46" t="s">
        <v>140</v>
      </c>
      <c r="B2234" s="46" t="s">
        <v>55</v>
      </c>
      <c r="C2234" s="46" t="s">
        <v>90</v>
      </c>
      <c r="D2234" s="46" t="s">
        <v>178</v>
      </c>
      <c r="E2234" s="46">
        <v>5</v>
      </c>
      <c r="F2234" s="46" t="s">
        <v>60</v>
      </c>
      <c r="G2234" s="46">
        <v>2</v>
      </c>
      <c r="H2234" s="47">
        <v>42</v>
      </c>
      <c r="I2234" s="47" t="s">
        <v>127</v>
      </c>
      <c r="J2234" s="48">
        <v>0</v>
      </c>
      <c r="K2234" s="48">
        <v>0</v>
      </c>
      <c r="R2234" s="46">
        <f t="shared" si="219"/>
        <v>0</v>
      </c>
      <c r="S2234" s="46">
        <f t="shared" si="220"/>
        <v>0</v>
      </c>
      <c r="T2234" s="46">
        <f t="shared" si="223"/>
        <v>0</v>
      </c>
      <c r="U2234" s="46">
        <f t="shared" si="221"/>
        <v>0</v>
      </c>
      <c r="V2234" s="54">
        <f t="shared" si="222"/>
        <v>10</v>
      </c>
    </row>
    <row r="2235" spans="1:22" x14ac:dyDescent="0.2">
      <c r="A2235" s="46" t="s">
        <v>140</v>
      </c>
      <c r="B2235" s="46" t="s">
        <v>55</v>
      </c>
      <c r="C2235" s="46" t="s">
        <v>90</v>
      </c>
      <c r="D2235" s="46" t="s">
        <v>178</v>
      </c>
      <c r="E2235" s="46">
        <v>5</v>
      </c>
      <c r="F2235" s="46" t="s">
        <v>60</v>
      </c>
      <c r="G2235" s="46">
        <v>1</v>
      </c>
      <c r="H2235" s="47">
        <v>49</v>
      </c>
      <c r="I2235" s="47" t="s">
        <v>101</v>
      </c>
      <c r="J2235" s="48">
        <v>0</v>
      </c>
      <c r="K2235" s="48">
        <v>0</v>
      </c>
      <c r="R2235" s="46">
        <f t="shared" si="219"/>
        <v>0</v>
      </c>
      <c r="S2235" s="46">
        <f t="shared" si="220"/>
        <v>0</v>
      </c>
      <c r="T2235" s="46">
        <f t="shared" si="223"/>
        <v>0</v>
      </c>
      <c r="U2235" s="46">
        <f t="shared" si="221"/>
        <v>0</v>
      </c>
      <c r="V2235" s="54">
        <f t="shared" si="222"/>
        <v>10</v>
      </c>
    </row>
    <row r="2236" spans="1:22" x14ac:dyDescent="0.2">
      <c r="A2236" s="46" t="s">
        <v>140</v>
      </c>
      <c r="B2236" s="46" t="s">
        <v>55</v>
      </c>
      <c r="C2236" s="46" t="s">
        <v>90</v>
      </c>
      <c r="D2236" s="46" t="s">
        <v>178</v>
      </c>
      <c r="E2236" s="46">
        <v>5</v>
      </c>
      <c r="F2236" s="46" t="s">
        <v>61</v>
      </c>
      <c r="G2236" s="46">
        <v>1</v>
      </c>
      <c r="H2236" s="47" t="s">
        <v>70</v>
      </c>
      <c r="I2236" s="47" t="s">
        <v>101</v>
      </c>
      <c r="J2236" s="48">
        <v>0</v>
      </c>
      <c r="K2236" s="48">
        <v>0</v>
      </c>
      <c r="R2236" s="46">
        <f t="shared" si="219"/>
        <v>0</v>
      </c>
      <c r="S2236" s="46">
        <f t="shared" si="220"/>
        <v>0</v>
      </c>
      <c r="T2236" s="46">
        <f t="shared" si="223"/>
        <v>0</v>
      </c>
      <c r="U2236" s="46">
        <f t="shared" si="221"/>
        <v>0</v>
      </c>
      <c r="V2236" s="54">
        <f t="shared" si="222"/>
        <v>10</v>
      </c>
    </row>
    <row r="2237" spans="1:22" x14ac:dyDescent="0.2">
      <c r="A2237" s="46" t="s">
        <v>140</v>
      </c>
      <c r="B2237" s="46" t="s">
        <v>55</v>
      </c>
      <c r="C2237" s="46" t="s">
        <v>90</v>
      </c>
      <c r="D2237" s="46" t="s">
        <v>178</v>
      </c>
      <c r="E2237" s="46">
        <v>5</v>
      </c>
      <c r="F2237" s="46" t="s">
        <v>61</v>
      </c>
      <c r="G2237" s="46">
        <v>2</v>
      </c>
      <c r="H2237" s="47" t="s">
        <v>76</v>
      </c>
      <c r="I2237" s="47" t="s">
        <v>127</v>
      </c>
      <c r="J2237" s="48">
        <v>0</v>
      </c>
      <c r="K2237" s="48">
        <v>1</v>
      </c>
      <c r="R2237" s="46">
        <f t="shared" si="219"/>
        <v>0</v>
      </c>
      <c r="S2237" s="46">
        <f t="shared" si="220"/>
        <v>0</v>
      </c>
      <c r="T2237" s="46">
        <f t="shared" si="223"/>
        <v>0</v>
      </c>
      <c r="U2237" s="46">
        <f t="shared" si="221"/>
        <v>0</v>
      </c>
      <c r="V2237" s="54">
        <f t="shared" si="222"/>
        <v>10</v>
      </c>
    </row>
    <row r="2238" spans="1:22" x14ac:dyDescent="0.2">
      <c r="A2238" s="46" t="s">
        <v>135</v>
      </c>
      <c r="B2238" s="46" t="s">
        <v>56</v>
      </c>
      <c r="C2238" s="46" t="s">
        <v>89</v>
      </c>
      <c r="D2238" s="46" t="s">
        <v>178</v>
      </c>
      <c r="E2238" s="46">
        <v>2</v>
      </c>
      <c r="F2238" s="46" t="s">
        <v>60</v>
      </c>
      <c r="G2238" s="46">
        <v>4</v>
      </c>
      <c r="H2238" s="47">
        <v>4</v>
      </c>
      <c r="I2238" s="47" t="s">
        <v>102</v>
      </c>
      <c r="J2238" s="48">
        <v>0</v>
      </c>
      <c r="K2238" s="48">
        <v>3</v>
      </c>
      <c r="R2238" s="46">
        <f t="shared" si="219"/>
        <v>0</v>
      </c>
      <c r="S2238" s="46">
        <f t="shared" si="220"/>
        <v>1</v>
      </c>
      <c r="T2238" s="46">
        <f t="shared" si="223"/>
        <v>-20</v>
      </c>
      <c r="U2238" s="46">
        <f t="shared" si="221"/>
        <v>-20</v>
      </c>
      <c r="V2238" s="54">
        <f t="shared" si="222"/>
        <v>20.172413793103448</v>
      </c>
    </row>
    <row r="2239" spans="1:22" x14ac:dyDescent="0.2">
      <c r="A2239" s="46" t="s">
        <v>135</v>
      </c>
      <c r="B2239" s="46" t="s">
        <v>56</v>
      </c>
      <c r="C2239" s="46" t="s">
        <v>89</v>
      </c>
      <c r="D2239" s="46" t="s">
        <v>178</v>
      </c>
      <c r="E2239" s="46">
        <v>3</v>
      </c>
      <c r="F2239" s="46" t="s">
        <v>60</v>
      </c>
      <c r="G2239" s="46">
        <v>4</v>
      </c>
      <c r="H2239" s="47">
        <v>4</v>
      </c>
      <c r="I2239" s="47" t="s">
        <v>102</v>
      </c>
      <c r="J2239" s="48">
        <v>0</v>
      </c>
      <c r="K2239" s="48">
        <v>2</v>
      </c>
      <c r="R2239" s="46">
        <f t="shared" si="219"/>
        <v>0</v>
      </c>
      <c r="S2239" s="46">
        <f t="shared" si="220"/>
        <v>0</v>
      </c>
      <c r="T2239" s="46">
        <f t="shared" si="223"/>
        <v>-10</v>
      </c>
      <c r="U2239" s="46">
        <f t="shared" si="221"/>
        <v>-10</v>
      </c>
      <c r="V2239" s="54">
        <f t="shared" si="222"/>
        <v>20.172413793103448</v>
      </c>
    </row>
    <row r="2240" spans="1:22" x14ac:dyDescent="0.2">
      <c r="A2240" s="46" t="s">
        <v>135</v>
      </c>
      <c r="B2240" s="46" t="s">
        <v>56</v>
      </c>
      <c r="C2240" s="46" t="s">
        <v>89</v>
      </c>
      <c r="D2240" s="46" t="s">
        <v>178</v>
      </c>
      <c r="E2240" s="46">
        <v>1</v>
      </c>
      <c r="F2240" s="46" t="s">
        <v>60</v>
      </c>
      <c r="G2240" s="46">
        <v>4</v>
      </c>
      <c r="H2240" s="47">
        <v>8</v>
      </c>
      <c r="I2240" s="47" t="s">
        <v>102</v>
      </c>
      <c r="J2240" s="48">
        <v>0</v>
      </c>
      <c r="K2240" s="48">
        <v>0</v>
      </c>
      <c r="R2240" s="46">
        <f t="shared" si="219"/>
        <v>0</v>
      </c>
      <c r="S2240" s="46">
        <f t="shared" si="220"/>
        <v>0</v>
      </c>
      <c r="T2240" s="46">
        <f t="shared" si="223"/>
        <v>0</v>
      </c>
      <c r="U2240" s="46">
        <f t="shared" si="221"/>
        <v>0</v>
      </c>
      <c r="V2240" s="54">
        <f t="shared" si="222"/>
        <v>20.172413793103448</v>
      </c>
    </row>
    <row r="2241" spans="1:22" x14ac:dyDescent="0.2">
      <c r="A2241" s="46" t="s">
        <v>135</v>
      </c>
      <c r="B2241" s="46" t="s">
        <v>56</v>
      </c>
      <c r="C2241" s="46" t="s">
        <v>89</v>
      </c>
      <c r="D2241" s="46" t="s">
        <v>178</v>
      </c>
      <c r="E2241" s="46">
        <v>2</v>
      </c>
      <c r="F2241" s="46" t="s">
        <v>60</v>
      </c>
      <c r="G2241" s="46">
        <v>3</v>
      </c>
      <c r="H2241" s="47">
        <v>11</v>
      </c>
      <c r="I2241" s="47" t="s">
        <v>116</v>
      </c>
      <c r="J2241" s="48">
        <v>0</v>
      </c>
      <c r="K2241" s="48">
        <v>1</v>
      </c>
      <c r="R2241" s="46">
        <f t="shared" si="219"/>
        <v>0</v>
      </c>
      <c r="S2241" s="46">
        <f t="shared" si="220"/>
        <v>0</v>
      </c>
      <c r="T2241" s="46">
        <f t="shared" si="223"/>
        <v>0</v>
      </c>
      <c r="U2241" s="46">
        <f t="shared" si="221"/>
        <v>0</v>
      </c>
      <c r="V2241" s="54">
        <f t="shared" si="222"/>
        <v>20.172413793103448</v>
      </c>
    </row>
    <row r="2242" spans="1:22" x14ac:dyDescent="0.2">
      <c r="A2242" s="46" t="s">
        <v>135</v>
      </c>
      <c r="B2242" s="46" t="s">
        <v>56</v>
      </c>
      <c r="C2242" s="46" t="s">
        <v>89</v>
      </c>
      <c r="D2242" s="46" t="s">
        <v>178</v>
      </c>
      <c r="E2242" s="46">
        <v>3</v>
      </c>
      <c r="F2242" s="46" t="s">
        <v>60</v>
      </c>
      <c r="G2242" s="46">
        <v>2</v>
      </c>
      <c r="H2242" s="47">
        <v>18</v>
      </c>
      <c r="I2242" s="47" t="s">
        <v>127</v>
      </c>
      <c r="J2242" s="48">
        <v>0</v>
      </c>
      <c r="K2242" s="48">
        <v>1</v>
      </c>
      <c r="R2242" s="46">
        <f t="shared" ref="R2242:R2305" si="224">IF(J2242=4,1,0)</f>
        <v>0</v>
      </c>
      <c r="S2242" s="46">
        <f t="shared" ref="S2242:S2305" si="225">IF(K2242=3,1,0)</f>
        <v>0</v>
      </c>
      <c r="T2242" s="46">
        <f t="shared" si="223"/>
        <v>0</v>
      </c>
      <c r="U2242" s="46">
        <f t="shared" ref="U2242:U2305" si="226">T2242+M2242*(20) + (SUM(O2242:Q2242)*(10)) - L2242*(5) - N2242*(5)</f>
        <v>0</v>
      </c>
      <c r="V2242" s="54">
        <f t="shared" ref="V2242:V2305" si="227">AVERAGEIFS(U:U,A:A,A2242,F:F,"Pre")</f>
        <v>20.172413793103448</v>
      </c>
    </row>
    <row r="2243" spans="1:22" x14ac:dyDescent="0.2">
      <c r="A2243" s="46" t="s">
        <v>135</v>
      </c>
      <c r="B2243" s="46" t="s">
        <v>56</v>
      </c>
      <c r="C2243" s="46" t="s">
        <v>89</v>
      </c>
      <c r="D2243" s="46" t="s">
        <v>178</v>
      </c>
      <c r="E2243" s="46">
        <v>4</v>
      </c>
      <c r="F2243" s="46" t="s">
        <v>60</v>
      </c>
      <c r="G2243" s="46">
        <v>4</v>
      </c>
      <c r="H2243" s="47">
        <v>24</v>
      </c>
      <c r="I2243" s="47" t="s">
        <v>102</v>
      </c>
      <c r="J2243" s="48">
        <v>0</v>
      </c>
      <c r="K2243" s="48">
        <v>1</v>
      </c>
      <c r="R2243" s="46">
        <f t="shared" si="224"/>
        <v>0</v>
      </c>
      <c r="S2243" s="46">
        <f t="shared" si="225"/>
        <v>0</v>
      </c>
      <c r="T2243" s="46">
        <f t="shared" si="223"/>
        <v>0</v>
      </c>
      <c r="U2243" s="46">
        <f t="shared" si="226"/>
        <v>0</v>
      </c>
      <c r="V2243" s="54">
        <f t="shared" si="227"/>
        <v>20.172413793103448</v>
      </c>
    </row>
    <row r="2244" spans="1:22" x14ac:dyDescent="0.2">
      <c r="A2244" s="46" t="s">
        <v>135</v>
      </c>
      <c r="B2244" s="46" t="s">
        <v>56</v>
      </c>
      <c r="C2244" s="46" t="s">
        <v>89</v>
      </c>
      <c r="D2244" s="46" t="s">
        <v>178</v>
      </c>
      <c r="E2244" s="46">
        <v>4</v>
      </c>
      <c r="F2244" s="46" t="s">
        <v>60</v>
      </c>
      <c r="G2244" s="46">
        <v>2</v>
      </c>
      <c r="H2244" s="47">
        <v>30</v>
      </c>
      <c r="I2244" s="47" t="s">
        <v>127</v>
      </c>
      <c r="J2244" s="48">
        <v>0</v>
      </c>
      <c r="K2244" s="48">
        <v>0</v>
      </c>
      <c r="R2244" s="46">
        <f t="shared" si="224"/>
        <v>0</v>
      </c>
      <c r="S2244" s="46">
        <f t="shared" si="225"/>
        <v>0</v>
      </c>
      <c r="T2244" s="46">
        <f t="shared" si="223"/>
        <v>0</v>
      </c>
      <c r="U2244" s="46">
        <f t="shared" si="226"/>
        <v>0</v>
      </c>
      <c r="V2244" s="54">
        <f t="shared" si="227"/>
        <v>20.172413793103448</v>
      </c>
    </row>
    <row r="2245" spans="1:22" x14ac:dyDescent="0.2">
      <c r="A2245" s="46" t="s">
        <v>135</v>
      </c>
      <c r="B2245" s="46" t="s">
        <v>56</v>
      </c>
      <c r="C2245" s="46" t="s">
        <v>89</v>
      </c>
      <c r="D2245" s="46" t="s">
        <v>178</v>
      </c>
      <c r="E2245" s="46">
        <v>3</v>
      </c>
      <c r="F2245" s="46" t="s">
        <v>60</v>
      </c>
      <c r="G2245" s="46">
        <v>1</v>
      </c>
      <c r="H2245" s="47">
        <v>33</v>
      </c>
      <c r="I2245" s="47" t="s">
        <v>101</v>
      </c>
      <c r="J2245" s="48">
        <v>0</v>
      </c>
      <c r="K2245" s="48">
        <v>0</v>
      </c>
      <c r="R2245" s="46">
        <f t="shared" si="224"/>
        <v>0</v>
      </c>
      <c r="S2245" s="46">
        <f t="shared" si="225"/>
        <v>0</v>
      </c>
      <c r="T2245" s="46">
        <f t="shared" si="223"/>
        <v>0</v>
      </c>
      <c r="U2245" s="46">
        <f t="shared" si="226"/>
        <v>0</v>
      </c>
      <c r="V2245" s="54">
        <f t="shared" si="227"/>
        <v>20.172413793103448</v>
      </c>
    </row>
    <row r="2246" spans="1:22" x14ac:dyDescent="0.2">
      <c r="A2246" s="46" t="s">
        <v>135</v>
      </c>
      <c r="B2246" s="46" t="s">
        <v>56</v>
      </c>
      <c r="C2246" s="46" t="s">
        <v>89</v>
      </c>
      <c r="D2246" s="46" t="s">
        <v>178</v>
      </c>
      <c r="E2246" s="46">
        <v>4</v>
      </c>
      <c r="F2246" s="46" t="s">
        <v>60</v>
      </c>
      <c r="G2246" s="46">
        <v>1</v>
      </c>
      <c r="H2246" s="47">
        <v>37</v>
      </c>
      <c r="I2246" s="47" t="s">
        <v>101</v>
      </c>
      <c r="J2246" s="48">
        <v>0</v>
      </c>
      <c r="K2246" s="48">
        <v>1</v>
      </c>
      <c r="R2246" s="46">
        <f t="shared" si="224"/>
        <v>0</v>
      </c>
      <c r="S2246" s="46">
        <f t="shared" si="225"/>
        <v>0</v>
      </c>
      <c r="T2246" s="46">
        <f t="shared" si="223"/>
        <v>0</v>
      </c>
      <c r="U2246" s="46">
        <f t="shared" si="226"/>
        <v>0</v>
      </c>
      <c r="V2246" s="54">
        <f t="shared" si="227"/>
        <v>20.172413793103448</v>
      </c>
    </row>
    <row r="2247" spans="1:22" x14ac:dyDescent="0.2">
      <c r="A2247" s="46" t="s">
        <v>135</v>
      </c>
      <c r="B2247" s="46" t="s">
        <v>56</v>
      </c>
      <c r="C2247" s="46" t="s">
        <v>89</v>
      </c>
      <c r="D2247" s="46" t="s">
        <v>178</v>
      </c>
      <c r="E2247" s="46">
        <v>2</v>
      </c>
      <c r="F2247" s="46" t="s">
        <v>60</v>
      </c>
      <c r="G2247" s="46">
        <v>2</v>
      </c>
      <c r="H2247" s="47">
        <v>46</v>
      </c>
      <c r="I2247" s="47" t="s">
        <v>127</v>
      </c>
      <c r="J2247" s="48">
        <v>0</v>
      </c>
      <c r="K2247" s="48">
        <v>1</v>
      </c>
      <c r="M2247" s="48">
        <v>1</v>
      </c>
      <c r="R2247" s="46">
        <f t="shared" si="224"/>
        <v>0</v>
      </c>
      <c r="S2247" s="46">
        <f t="shared" si="225"/>
        <v>0</v>
      </c>
      <c r="T2247" s="46">
        <f t="shared" si="223"/>
        <v>0</v>
      </c>
      <c r="U2247" s="46">
        <f t="shared" si="226"/>
        <v>20</v>
      </c>
      <c r="V2247" s="54">
        <f t="shared" si="227"/>
        <v>20.172413793103448</v>
      </c>
    </row>
    <row r="2248" spans="1:22" x14ac:dyDescent="0.2">
      <c r="A2248" s="46" t="s">
        <v>135</v>
      </c>
      <c r="B2248" s="46" t="s">
        <v>56</v>
      </c>
      <c r="C2248" s="46" t="s">
        <v>89</v>
      </c>
      <c r="D2248" s="46" t="s">
        <v>178</v>
      </c>
      <c r="E2248" s="46">
        <v>4</v>
      </c>
      <c r="F2248" s="46" t="s">
        <v>62</v>
      </c>
      <c r="G2248" s="46">
        <v>2</v>
      </c>
      <c r="H2248" s="47" t="s">
        <v>81</v>
      </c>
      <c r="I2248" s="47" t="s">
        <v>127</v>
      </c>
      <c r="J2248" s="48">
        <v>0</v>
      </c>
      <c r="K2248" s="48">
        <v>1</v>
      </c>
      <c r="R2248" s="46">
        <f t="shared" si="224"/>
        <v>0</v>
      </c>
      <c r="S2248" s="46">
        <f t="shared" si="225"/>
        <v>0</v>
      </c>
      <c r="T2248" s="46">
        <f t="shared" si="223"/>
        <v>0</v>
      </c>
      <c r="U2248" s="46">
        <f t="shared" si="226"/>
        <v>0</v>
      </c>
      <c r="V2248" s="54">
        <f t="shared" si="227"/>
        <v>20.172413793103448</v>
      </c>
    </row>
    <row r="2249" spans="1:22" x14ac:dyDescent="0.2">
      <c r="A2249" s="46" t="s">
        <v>135</v>
      </c>
      <c r="B2249" s="46" t="s">
        <v>56</v>
      </c>
      <c r="C2249" s="46" t="s">
        <v>89</v>
      </c>
      <c r="D2249" s="46" t="s">
        <v>178</v>
      </c>
      <c r="E2249" s="46">
        <v>1</v>
      </c>
      <c r="F2249" s="46" t="s">
        <v>62</v>
      </c>
      <c r="G2249" s="46">
        <v>3</v>
      </c>
      <c r="H2249" s="47" t="s">
        <v>84</v>
      </c>
      <c r="I2249" s="47" t="s">
        <v>116</v>
      </c>
      <c r="J2249" s="48">
        <v>1</v>
      </c>
      <c r="K2249" s="48">
        <v>3</v>
      </c>
      <c r="R2249" s="46">
        <f t="shared" si="224"/>
        <v>0</v>
      </c>
      <c r="S2249" s="46">
        <f t="shared" si="225"/>
        <v>1</v>
      </c>
      <c r="T2249" s="46">
        <f t="shared" si="223"/>
        <v>0</v>
      </c>
      <c r="U2249" s="46">
        <f t="shared" si="226"/>
        <v>0</v>
      </c>
      <c r="V2249" s="54">
        <f t="shared" si="227"/>
        <v>20.172413793103448</v>
      </c>
    </row>
    <row r="2250" spans="1:22" x14ac:dyDescent="0.2">
      <c r="A2250" s="46" t="s">
        <v>135</v>
      </c>
      <c r="B2250" s="46" t="s">
        <v>56</v>
      </c>
      <c r="C2250" s="46" t="s">
        <v>89</v>
      </c>
      <c r="D2250" s="46" t="s">
        <v>178</v>
      </c>
      <c r="E2250" s="46">
        <v>4</v>
      </c>
      <c r="F2250" s="46" t="s">
        <v>62</v>
      </c>
      <c r="G2250" s="46">
        <v>3</v>
      </c>
      <c r="H2250" s="47" t="s">
        <v>84</v>
      </c>
      <c r="I2250" s="47" t="s">
        <v>219</v>
      </c>
      <c r="J2250" s="48">
        <v>0</v>
      </c>
      <c r="K2250" s="48">
        <v>0</v>
      </c>
      <c r="L2250" s="48">
        <v>1</v>
      </c>
      <c r="R2250" s="46">
        <f t="shared" si="224"/>
        <v>0</v>
      </c>
      <c r="S2250" s="46">
        <f t="shared" si="225"/>
        <v>0</v>
      </c>
      <c r="T2250" s="46">
        <f t="shared" si="223"/>
        <v>0</v>
      </c>
      <c r="U2250" s="46">
        <f t="shared" si="226"/>
        <v>-5</v>
      </c>
      <c r="V2250" s="54">
        <f t="shared" si="227"/>
        <v>20.172413793103448</v>
      </c>
    </row>
    <row r="2251" spans="1:22" x14ac:dyDescent="0.2">
      <c r="A2251" s="46" t="s">
        <v>135</v>
      </c>
      <c r="B2251" s="46" t="s">
        <v>56</v>
      </c>
      <c r="C2251" s="46" t="s">
        <v>89</v>
      </c>
      <c r="D2251" s="46" t="s">
        <v>178</v>
      </c>
      <c r="E2251" s="46">
        <v>4</v>
      </c>
      <c r="F2251" s="46" t="s">
        <v>62</v>
      </c>
      <c r="G2251" s="46">
        <v>3</v>
      </c>
      <c r="H2251" s="47" t="s">
        <v>87</v>
      </c>
      <c r="I2251" s="47" t="s">
        <v>219</v>
      </c>
      <c r="J2251" s="48">
        <v>0</v>
      </c>
      <c r="K2251" s="48">
        <v>0</v>
      </c>
      <c r="R2251" s="46">
        <f t="shared" si="224"/>
        <v>0</v>
      </c>
      <c r="S2251" s="46">
        <f t="shared" si="225"/>
        <v>0</v>
      </c>
      <c r="T2251" s="46">
        <f t="shared" si="223"/>
        <v>0</v>
      </c>
      <c r="U2251" s="46">
        <f t="shared" si="226"/>
        <v>0</v>
      </c>
      <c r="V2251" s="54">
        <f t="shared" si="227"/>
        <v>20.172413793103448</v>
      </c>
    </row>
    <row r="2252" spans="1:22" x14ac:dyDescent="0.2">
      <c r="A2252" s="46" t="s">
        <v>135</v>
      </c>
      <c r="B2252" s="46" t="s">
        <v>56</v>
      </c>
      <c r="C2252" s="46" t="s">
        <v>89</v>
      </c>
      <c r="D2252" s="46" t="s">
        <v>178</v>
      </c>
      <c r="E2252" s="46">
        <v>4</v>
      </c>
      <c r="F2252" s="46" t="s">
        <v>60</v>
      </c>
      <c r="G2252" s="46">
        <v>2</v>
      </c>
      <c r="H2252" s="47">
        <v>10</v>
      </c>
      <c r="I2252" s="47" t="s">
        <v>127</v>
      </c>
      <c r="J2252" s="48">
        <v>1</v>
      </c>
      <c r="K2252" s="48">
        <v>2</v>
      </c>
      <c r="O2252" s="48">
        <v>1</v>
      </c>
      <c r="R2252" s="46">
        <f t="shared" si="224"/>
        <v>0</v>
      </c>
      <c r="S2252" s="46">
        <f t="shared" si="225"/>
        <v>0</v>
      </c>
      <c r="T2252" s="46">
        <f t="shared" ref="T2252:T2315" si="228">quizscore(J2252,K2252)</f>
        <v>10</v>
      </c>
      <c r="U2252" s="46">
        <f t="shared" si="226"/>
        <v>20</v>
      </c>
      <c r="V2252" s="54">
        <f t="shared" si="227"/>
        <v>20.172413793103448</v>
      </c>
    </row>
    <row r="2253" spans="1:22" x14ac:dyDescent="0.2">
      <c r="A2253" s="46" t="s">
        <v>135</v>
      </c>
      <c r="B2253" s="46" t="s">
        <v>56</v>
      </c>
      <c r="C2253" s="46" t="s">
        <v>89</v>
      </c>
      <c r="D2253" s="46" t="s">
        <v>178</v>
      </c>
      <c r="E2253" s="46">
        <v>4</v>
      </c>
      <c r="F2253" s="46" t="s">
        <v>60</v>
      </c>
      <c r="G2253" s="46">
        <v>3</v>
      </c>
      <c r="H2253" s="47">
        <v>15</v>
      </c>
      <c r="I2253" s="47" t="s">
        <v>159</v>
      </c>
      <c r="J2253" s="48">
        <v>1</v>
      </c>
      <c r="K2253" s="48">
        <v>1</v>
      </c>
      <c r="R2253" s="46">
        <f t="shared" si="224"/>
        <v>0</v>
      </c>
      <c r="S2253" s="46">
        <f t="shared" si="225"/>
        <v>0</v>
      </c>
      <c r="T2253" s="46">
        <f t="shared" si="228"/>
        <v>20</v>
      </c>
      <c r="U2253" s="46">
        <f t="shared" si="226"/>
        <v>20</v>
      </c>
      <c r="V2253" s="54">
        <f t="shared" si="227"/>
        <v>20.172413793103448</v>
      </c>
    </row>
    <row r="2254" spans="1:22" x14ac:dyDescent="0.2">
      <c r="A2254" s="46" t="s">
        <v>135</v>
      </c>
      <c r="B2254" s="46" t="s">
        <v>56</v>
      </c>
      <c r="C2254" s="46" t="s">
        <v>89</v>
      </c>
      <c r="D2254" s="46" t="s">
        <v>178</v>
      </c>
      <c r="E2254" s="46">
        <v>4</v>
      </c>
      <c r="F2254" s="46" t="s">
        <v>60</v>
      </c>
      <c r="G2254" s="46">
        <v>4</v>
      </c>
      <c r="H2254" s="47">
        <v>48</v>
      </c>
      <c r="I2254" s="47" t="s">
        <v>102</v>
      </c>
      <c r="J2254" s="48">
        <v>1</v>
      </c>
      <c r="K2254" s="48">
        <v>1</v>
      </c>
      <c r="O2254" s="48">
        <v>1</v>
      </c>
      <c r="R2254" s="46">
        <f t="shared" si="224"/>
        <v>0</v>
      </c>
      <c r="S2254" s="46">
        <f t="shared" si="225"/>
        <v>0</v>
      </c>
      <c r="T2254" s="46">
        <f t="shared" si="228"/>
        <v>20</v>
      </c>
      <c r="U2254" s="46">
        <f t="shared" si="226"/>
        <v>30</v>
      </c>
      <c r="V2254" s="54">
        <f t="shared" si="227"/>
        <v>20.172413793103448</v>
      </c>
    </row>
    <row r="2255" spans="1:22" x14ac:dyDescent="0.2">
      <c r="A2255" s="46" t="s">
        <v>135</v>
      </c>
      <c r="B2255" s="46" t="s">
        <v>56</v>
      </c>
      <c r="C2255" s="46" t="s">
        <v>89</v>
      </c>
      <c r="D2255" s="46" t="s">
        <v>178</v>
      </c>
      <c r="E2255" s="46">
        <v>1</v>
      </c>
      <c r="F2255" s="46" t="s">
        <v>62</v>
      </c>
      <c r="G2255" s="46">
        <v>3</v>
      </c>
      <c r="H2255" s="47" t="s">
        <v>87</v>
      </c>
      <c r="I2255" s="47" t="s">
        <v>116</v>
      </c>
      <c r="J2255" s="48">
        <v>1</v>
      </c>
      <c r="K2255" s="48">
        <v>1</v>
      </c>
      <c r="R2255" s="46">
        <f t="shared" si="224"/>
        <v>0</v>
      </c>
      <c r="S2255" s="46">
        <f t="shared" si="225"/>
        <v>0</v>
      </c>
      <c r="T2255" s="46">
        <f t="shared" si="228"/>
        <v>20</v>
      </c>
      <c r="U2255" s="46">
        <f t="shared" si="226"/>
        <v>20</v>
      </c>
      <c r="V2255" s="54">
        <f t="shared" si="227"/>
        <v>20.172413793103448</v>
      </c>
    </row>
    <row r="2256" spans="1:22" x14ac:dyDescent="0.2">
      <c r="A2256" s="46" t="s">
        <v>135</v>
      </c>
      <c r="B2256" s="46" t="s">
        <v>56</v>
      </c>
      <c r="C2256" s="46" t="s">
        <v>89</v>
      </c>
      <c r="D2256" s="46" t="s">
        <v>178</v>
      </c>
      <c r="E2256" s="46">
        <v>1</v>
      </c>
      <c r="F2256" s="46" t="s">
        <v>60</v>
      </c>
      <c r="G2256" s="46">
        <v>2</v>
      </c>
      <c r="H2256" s="47">
        <v>14</v>
      </c>
      <c r="I2256" s="47" t="s">
        <v>127</v>
      </c>
      <c r="J2256" s="48">
        <v>2</v>
      </c>
      <c r="K2256" s="48">
        <v>2</v>
      </c>
      <c r="R2256" s="46">
        <f t="shared" si="224"/>
        <v>0</v>
      </c>
      <c r="S2256" s="46">
        <f t="shared" si="225"/>
        <v>0</v>
      </c>
      <c r="T2256" s="46">
        <f t="shared" si="228"/>
        <v>30</v>
      </c>
      <c r="U2256" s="46">
        <f t="shared" si="226"/>
        <v>30</v>
      </c>
      <c r="V2256" s="54">
        <f t="shared" si="227"/>
        <v>20.172413793103448</v>
      </c>
    </row>
    <row r="2257" spans="1:22" x14ac:dyDescent="0.2">
      <c r="A2257" s="46" t="s">
        <v>135</v>
      </c>
      <c r="B2257" s="46" t="s">
        <v>56</v>
      </c>
      <c r="C2257" s="46" t="s">
        <v>89</v>
      </c>
      <c r="D2257" s="46" t="s">
        <v>178</v>
      </c>
      <c r="E2257" s="46">
        <v>2</v>
      </c>
      <c r="F2257" s="46" t="s">
        <v>62</v>
      </c>
      <c r="G2257" s="46">
        <v>2</v>
      </c>
      <c r="H2257" s="47" t="s">
        <v>83</v>
      </c>
      <c r="I2257" s="47" t="s">
        <v>127</v>
      </c>
      <c r="J2257" s="48">
        <v>2</v>
      </c>
      <c r="K2257" s="48">
        <v>2</v>
      </c>
      <c r="R2257" s="46">
        <f t="shared" si="224"/>
        <v>0</v>
      </c>
      <c r="S2257" s="46">
        <f t="shared" si="225"/>
        <v>0</v>
      </c>
      <c r="T2257" s="46">
        <f t="shared" si="228"/>
        <v>30</v>
      </c>
      <c r="U2257" s="46">
        <f t="shared" si="226"/>
        <v>30</v>
      </c>
      <c r="V2257" s="54">
        <f t="shared" si="227"/>
        <v>20.172413793103448</v>
      </c>
    </row>
    <row r="2258" spans="1:22" x14ac:dyDescent="0.2">
      <c r="A2258" s="46" t="s">
        <v>135</v>
      </c>
      <c r="B2258" s="46" t="s">
        <v>56</v>
      </c>
      <c r="C2258" s="46" t="s">
        <v>89</v>
      </c>
      <c r="D2258" s="46" t="s">
        <v>178</v>
      </c>
      <c r="E2258" s="46">
        <v>1</v>
      </c>
      <c r="F2258" s="46" t="s">
        <v>60</v>
      </c>
      <c r="G2258" s="46">
        <v>3</v>
      </c>
      <c r="H2258" s="47">
        <v>27</v>
      </c>
      <c r="I2258" s="47" t="s">
        <v>116</v>
      </c>
      <c r="J2258" s="48">
        <v>2</v>
      </c>
      <c r="K2258" s="48">
        <v>0</v>
      </c>
      <c r="R2258" s="46">
        <f t="shared" si="224"/>
        <v>0</v>
      </c>
      <c r="S2258" s="46">
        <f t="shared" si="225"/>
        <v>0</v>
      </c>
      <c r="T2258" s="46">
        <f t="shared" si="228"/>
        <v>40</v>
      </c>
      <c r="U2258" s="46">
        <f t="shared" si="226"/>
        <v>40</v>
      </c>
      <c r="V2258" s="54">
        <f t="shared" si="227"/>
        <v>20.172413793103448</v>
      </c>
    </row>
    <row r="2259" spans="1:22" x14ac:dyDescent="0.2">
      <c r="A2259" s="46" t="s">
        <v>135</v>
      </c>
      <c r="B2259" s="46" t="s">
        <v>56</v>
      </c>
      <c r="C2259" s="46" t="s">
        <v>89</v>
      </c>
      <c r="D2259" s="46" t="s">
        <v>178</v>
      </c>
      <c r="E2259" s="46">
        <v>3</v>
      </c>
      <c r="F2259" s="46" t="s">
        <v>60</v>
      </c>
      <c r="G2259" s="46">
        <v>3</v>
      </c>
      <c r="H2259" s="47">
        <v>27</v>
      </c>
      <c r="I2259" s="47" t="s">
        <v>116</v>
      </c>
      <c r="J2259" s="48">
        <v>2</v>
      </c>
      <c r="K2259" s="48">
        <v>0</v>
      </c>
      <c r="O2259" s="48">
        <v>1</v>
      </c>
      <c r="R2259" s="46">
        <f t="shared" si="224"/>
        <v>0</v>
      </c>
      <c r="S2259" s="46">
        <f t="shared" si="225"/>
        <v>0</v>
      </c>
      <c r="T2259" s="46">
        <f t="shared" si="228"/>
        <v>40</v>
      </c>
      <c r="U2259" s="46">
        <f t="shared" si="226"/>
        <v>50</v>
      </c>
      <c r="V2259" s="54">
        <f t="shared" si="227"/>
        <v>20.172413793103448</v>
      </c>
    </row>
    <row r="2260" spans="1:22" x14ac:dyDescent="0.2">
      <c r="A2260" s="46" t="s">
        <v>135</v>
      </c>
      <c r="B2260" s="46" t="s">
        <v>56</v>
      </c>
      <c r="C2260" s="46" t="s">
        <v>89</v>
      </c>
      <c r="D2260" s="46" t="s">
        <v>178</v>
      </c>
      <c r="E2260" s="46">
        <v>1</v>
      </c>
      <c r="F2260" s="46" t="s">
        <v>60</v>
      </c>
      <c r="G2260" s="46">
        <v>4</v>
      </c>
      <c r="H2260" s="47">
        <v>36</v>
      </c>
      <c r="I2260" s="47" t="s">
        <v>102</v>
      </c>
      <c r="J2260" s="48">
        <v>3</v>
      </c>
      <c r="K2260" s="48">
        <v>3</v>
      </c>
      <c r="R2260" s="46">
        <f t="shared" si="224"/>
        <v>0</v>
      </c>
      <c r="S2260" s="46">
        <f t="shared" si="225"/>
        <v>1</v>
      </c>
      <c r="T2260" s="46">
        <f t="shared" si="228"/>
        <v>40</v>
      </c>
      <c r="U2260" s="46">
        <f t="shared" si="226"/>
        <v>40</v>
      </c>
      <c r="V2260" s="54">
        <f t="shared" si="227"/>
        <v>20.172413793103448</v>
      </c>
    </row>
    <row r="2261" spans="1:22" x14ac:dyDescent="0.2">
      <c r="A2261" s="46" t="s">
        <v>135</v>
      </c>
      <c r="B2261" s="46" t="s">
        <v>56</v>
      </c>
      <c r="C2261" s="46" t="s">
        <v>89</v>
      </c>
      <c r="D2261" s="46" t="s">
        <v>178</v>
      </c>
      <c r="E2261" s="46">
        <v>1</v>
      </c>
      <c r="F2261" s="46" t="s">
        <v>60</v>
      </c>
      <c r="G2261" s="46">
        <v>1</v>
      </c>
      <c r="H2261" s="47">
        <v>49</v>
      </c>
      <c r="I2261" s="47" t="s">
        <v>101</v>
      </c>
      <c r="J2261" s="48">
        <v>3</v>
      </c>
      <c r="K2261" s="48">
        <v>3</v>
      </c>
      <c r="R2261" s="46">
        <f t="shared" si="224"/>
        <v>0</v>
      </c>
      <c r="S2261" s="46">
        <f t="shared" si="225"/>
        <v>1</v>
      </c>
      <c r="T2261" s="46">
        <f t="shared" si="228"/>
        <v>40</v>
      </c>
      <c r="U2261" s="46">
        <f t="shared" si="226"/>
        <v>40</v>
      </c>
      <c r="V2261" s="54">
        <f t="shared" si="227"/>
        <v>20.172413793103448</v>
      </c>
    </row>
    <row r="2262" spans="1:22" x14ac:dyDescent="0.2">
      <c r="A2262" s="46" t="s">
        <v>135</v>
      </c>
      <c r="B2262" s="46" t="s">
        <v>56</v>
      </c>
      <c r="C2262" s="46" t="s">
        <v>89</v>
      </c>
      <c r="D2262" s="46" t="s">
        <v>178</v>
      </c>
      <c r="E2262" s="46">
        <v>2</v>
      </c>
      <c r="F2262" s="46" t="s">
        <v>62</v>
      </c>
      <c r="G2262" s="46">
        <v>2</v>
      </c>
      <c r="H2262" s="47" t="s">
        <v>79</v>
      </c>
      <c r="I2262" s="47" t="s">
        <v>127</v>
      </c>
      <c r="J2262" s="48">
        <v>2</v>
      </c>
      <c r="K2262" s="48">
        <v>1</v>
      </c>
      <c r="R2262" s="46">
        <f t="shared" si="224"/>
        <v>0</v>
      </c>
      <c r="S2262" s="46">
        <f t="shared" si="225"/>
        <v>0</v>
      </c>
      <c r="T2262" s="46">
        <f t="shared" si="228"/>
        <v>40</v>
      </c>
      <c r="U2262" s="46">
        <f t="shared" si="226"/>
        <v>40</v>
      </c>
      <c r="V2262" s="54">
        <f t="shared" si="227"/>
        <v>20.172413793103448</v>
      </c>
    </row>
    <row r="2263" spans="1:22" x14ac:dyDescent="0.2">
      <c r="A2263" s="46" t="s">
        <v>135</v>
      </c>
      <c r="B2263" s="46" t="s">
        <v>56</v>
      </c>
      <c r="C2263" s="46" t="s">
        <v>89</v>
      </c>
      <c r="D2263" s="46" t="s">
        <v>178</v>
      </c>
      <c r="E2263" s="46">
        <v>2</v>
      </c>
      <c r="F2263" s="46" t="s">
        <v>62</v>
      </c>
      <c r="G2263" s="46">
        <v>2</v>
      </c>
      <c r="H2263" s="47" t="s">
        <v>82</v>
      </c>
      <c r="I2263" s="47" t="s">
        <v>127</v>
      </c>
      <c r="J2263" s="48">
        <v>2</v>
      </c>
      <c r="K2263" s="48">
        <v>1</v>
      </c>
      <c r="M2263" s="48">
        <v>1</v>
      </c>
      <c r="R2263" s="46">
        <f t="shared" si="224"/>
        <v>0</v>
      </c>
      <c r="S2263" s="46">
        <f t="shared" si="225"/>
        <v>0</v>
      </c>
      <c r="T2263" s="46">
        <f t="shared" si="228"/>
        <v>40</v>
      </c>
      <c r="U2263" s="46">
        <f t="shared" si="226"/>
        <v>60</v>
      </c>
      <c r="V2263" s="54">
        <f t="shared" si="227"/>
        <v>20.172413793103448</v>
      </c>
    </row>
    <row r="2264" spans="1:22" x14ac:dyDescent="0.2">
      <c r="A2264" s="46" t="s">
        <v>135</v>
      </c>
      <c r="B2264" s="46" t="s">
        <v>56</v>
      </c>
      <c r="C2264" s="46" t="s">
        <v>89</v>
      </c>
      <c r="D2264" s="46" t="s">
        <v>178</v>
      </c>
      <c r="E2264" s="46">
        <v>1</v>
      </c>
      <c r="F2264" s="46" t="s">
        <v>60</v>
      </c>
      <c r="G2264" s="46">
        <v>3</v>
      </c>
      <c r="H2264" s="47">
        <v>43</v>
      </c>
      <c r="I2264" s="47" t="s">
        <v>116</v>
      </c>
      <c r="J2264" s="48">
        <v>3</v>
      </c>
      <c r="K2264" s="48">
        <v>2</v>
      </c>
      <c r="R2264" s="46">
        <f t="shared" si="224"/>
        <v>0</v>
      </c>
      <c r="S2264" s="46">
        <f t="shared" si="225"/>
        <v>0</v>
      </c>
      <c r="T2264" s="46">
        <f t="shared" si="228"/>
        <v>50</v>
      </c>
      <c r="U2264" s="46">
        <f t="shared" si="226"/>
        <v>50</v>
      </c>
      <c r="V2264" s="54">
        <f t="shared" si="227"/>
        <v>20.172413793103448</v>
      </c>
    </row>
    <row r="2265" spans="1:22" x14ac:dyDescent="0.2">
      <c r="A2265" s="46" t="s">
        <v>135</v>
      </c>
      <c r="B2265" s="46" t="s">
        <v>56</v>
      </c>
      <c r="C2265" s="46" t="s">
        <v>89</v>
      </c>
      <c r="D2265" s="46" t="s">
        <v>178</v>
      </c>
      <c r="E2265" s="46">
        <v>3</v>
      </c>
      <c r="F2265" s="46" t="s">
        <v>60</v>
      </c>
      <c r="G2265" s="46">
        <v>4</v>
      </c>
      <c r="H2265" s="47">
        <v>12</v>
      </c>
      <c r="I2265" s="47" t="s">
        <v>102</v>
      </c>
      <c r="J2265" s="48">
        <v>3</v>
      </c>
      <c r="K2265" s="48">
        <v>1</v>
      </c>
      <c r="R2265" s="46">
        <f t="shared" si="224"/>
        <v>0</v>
      </c>
      <c r="S2265" s="46">
        <f t="shared" si="225"/>
        <v>0</v>
      </c>
      <c r="T2265" s="46">
        <f t="shared" si="228"/>
        <v>60</v>
      </c>
      <c r="U2265" s="46">
        <f t="shared" si="226"/>
        <v>60</v>
      </c>
      <c r="V2265" s="54">
        <f t="shared" si="227"/>
        <v>20.172413793103448</v>
      </c>
    </row>
    <row r="2266" spans="1:22" x14ac:dyDescent="0.2">
      <c r="A2266" s="46" t="s">
        <v>135</v>
      </c>
      <c r="B2266" s="46" t="s">
        <v>56</v>
      </c>
      <c r="C2266" s="46" t="s">
        <v>89</v>
      </c>
      <c r="D2266" s="46" t="s">
        <v>178</v>
      </c>
      <c r="E2266" s="46">
        <v>2</v>
      </c>
      <c r="F2266" s="46" t="s">
        <v>60</v>
      </c>
      <c r="G2266" s="46">
        <v>1</v>
      </c>
      <c r="H2266" s="47">
        <v>29</v>
      </c>
      <c r="I2266" s="47" t="s">
        <v>101</v>
      </c>
      <c r="J2266" s="48">
        <v>3</v>
      </c>
      <c r="K2266" s="48">
        <v>1</v>
      </c>
      <c r="R2266" s="46">
        <f t="shared" si="224"/>
        <v>0</v>
      </c>
      <c r="S2266" s="46">
        <f t="shared" si="225"/>
        <v>0</v>
      </c>
      <c r="T2266" s="46">
        <f t="shared" si="228"/>
        <v>60</v>
      </c>
      <c r="U2266" s="46">
        <f t="shared" si="226"/>
        <v>60</v>
      </c>
      <c r="V2266" s="54">
        <f t="shared" si="227"/>
        <v>20.172413793103448</v>
      </c>
    </row>
    <row r="2267" spans="1:22" x14ac:dyDescent="0.2">
      <c r="A2267" s="46" t="s">
        <v>135</v>
      </c>
      <c r="B2267" s="46" t="s">
        <v>56</v>
      </c>
      <c r="C2267" s="46" t="s">
        <v>89</v>
      </c>
      <c r="D2267" s="46" t="s">
        <v>178</v>
      </c>
      <c r="E2267" s="46">
        <v>2</v>
      </c>
      <c r="F2267" s="46" t="s">
        <v>60</v>
      </c>
      <c r="G2267" s="46">
        <v>4</v>
      </c>
      <c r="H2267" s="47">
        <v>40</v>
      </c>
      <c r="I2267" s="47" t="s">
        <v>102</v>
      </c>
      <c r="J2267" s="48">
        <v>3</v>
      </c>
      <c r="K2267" s="48">
        <v>1</v>
      </c>
      <c r="L2267" s="48">
        <v>1</v>
      </c>
      <c r="R2267" s="46">
        <f t="shared" si="224"/>
        <v>0</v>
      </c>
      <c r="S2267" s="46">
        <f t="shared" si="225"/>
        <v>0</v>
      </c>
      <c r="T2267" s="46">
        <f t="shared" si="228"/>
        <v>60</v>
      </c>
      <c r="U2267" s="46">
        <f t="shared" si="226"/>
        <v>55</v>
      </c>
      <c r="V2267" s="54">
        <f t="shared" si="227"/>
        <v>20.172413793103448</v>
      </c>
    </row>
    <row r="2268" spans="1:22" x14ac:dyDescent="0.2">
      <c r="A2268" s="46" t="s">
        <v>135</v>
      </c>
      <c r="B2268" s="46" t="s">
        <v>56</v>
      </c>
      <c r="C2268" s="46" t="s">
        <v>89</v>
      </c>
      <c r="D2268" s="46" t="s">
        <v>178</v>
      </c>
      <c r="E2268" s="46">
        <v>2</v>
      </c>
      <c r="F2268" s="46" t="s">
        <v>60</v>
      </c>
      <c r="G2268" s="46">
        <v>3</v>
      </c>
      <c r="H2268" s="47">
        <v>19</v>
      </c>
      <c r="I2268" s="47" t="s">
        <v>116</v>
      </c>
      <c r="J2268" s="48">
        <v>4</v>
      </c>
      <c r="K2268" s="48">
        <v>0</v>
      </c>
      <c r="R2268" s="46">
        <f t="shared" si="224"/>
        <v>1</v>
      </c>
      <c r="S2268" s="46">
        <f t="shared" si="225"/>
        <v>0</v>
      </c>
      <c r="T2268" s="46">
        <f t="shared" si="228"/>
        <v>90</v>
      </c>
      <c r="U2268" s="46">
        <f t="shared" si="226"/>
        <v>90</v>
      </c>
      <c r="V2268" s="54">
        <f t="shared" si="227"/>
        <v>20.172413793103448</v>
      </c>
    </row>
    <row r="2269" spans="1:22" x14ac:dyDescent="0.2">
      <c r="A2269" s="46" t="s">
        <v>135</v>
      </c>
      <c r="B2269" s="46" t="s">
        <v>56</v>
      </c>
      <c r="C2269" s="46" t="s">
        <v>89</v>
      </c>
      <c r="D2269" s="46" t="s">
        <v>178</v>
      </c>
      <c r="E2269" s="46">
        <v>1</v>
      </c>
      <c r="F2269" s="46" t="s">
        <v>62</v>
      </c>
      <c r="G2269" s="46">
        <v>2</v>
      </c>
      <c r="H2269" s="47" t="s">
        <v>79</v>
      </c>
      <c r="I2269" s="47" t="s">
        <v>127</v>
      </c>
      <c r="J2269" s="48">
        <v>4</v>
      </c>
      <c r="K2269" s="48">
        <v>0</v>
      </c>
      <c r="R2269" s="46">
        <f t="shared" si="224"/>
        <v>1</v>
      </c>
      <c r="S2269" s="46">
        <f t="shared" si="225"/>
        <v>0</v>
      </c>
      <c r="T2269" s="46">
        <f t="shared" si="228"/>
        <v>90</v>
      </c>
      <c r="U2269" s="46">
        <f t="shared" si="226"/>
        <v>90</v>
      </c>
      <c r="V2269" s="54">
        <f t="shared" si="227"/>
        <v>20.172413793103448</v>
      </c>
    </row>
    <row r="2270" spans="1:22" x14ac:dyDescent="0.2">
      <c r="A2270" s="46" t="s">
        <v>135</v>
      </c>
      <c r="B2270" s="46" t="s">
        <v>56</v>
      </c>
      <c r="C2270" s="46" t="s">
        <v>89</v>
      </c>
      <c r="D2270" s="46" t="s">
        <v>178</v>
      </c>
      <c r="E2270" s="46">
        <v>5</v>
      </c>
      <c r="F2270" s="46" t="s">
        <v>60</v>
      </c>
      <c r="G2270" s="46">
        <v>1</v>
      </c>
      <c r="H2270" s="47">
        <v>5</v>
      </c>
      <c r="I2270" s="47" t="s">
        <v>101</v>
      </c>
      <c r="J2270" s="48">
        <v>0</v>
      </c>
      <c r="K2270" s="48">
        <v>0</v>
      </c>
      <c r="R2270" s="46">
        <f t="shared" si="224"/>
        <v>0</v>
      </c>
      <c r="S2270" s="46">
        <f t="shared" si="225"/>
        <v>0</v>
      </c>
      <c r="T2270" s="46">
        <f t="shared" si="228"/>
        <v>0</v>
      </c>
      <c r="U2270" s="46">
        <f t="shared" si="226"/>
        <v>0</v>
      </c>
      <c r="V2270" s="54">
        <f t="shared" si="227"/>
        <v>20.172413793103448</v>
      </c>
    </row>
    <row r="2271" spans="1:22" x14ac:dyDescent="0.2">
      <c r="A2271" s="46" t="s">
        <v>135</v>
      </c>
      <c r="B2271" s="46" t="s">
        <v>56</v>
      </c>
      <c r="C2271" s="46" t="s">
        <v>89</v>
      </c>
      <c r="D2271" s="46" t="s">
        <v>178</v>
      </c>
      <c r="E2271" s="46">
        <v>5</v>
      </c>
      <c r="F2271" s="46" t="s">
        <v>60</v>
      </c>
      <c r="G2271" s="46">
        <v>4</v>
      </c>
      <c r="H2271" s="47">
        <v>20</v>
      </c>
      <c r="I2271" s="47" t="s">
        <v>102</v>
      </c>
      <c r="J2271" s="48">
        <v>0</v>
      </c>
      <c r="K2271" s="48">
        <v>0</v>
      </c>
      <c r="R2271" s="46">
        <f t="shared" si="224"/>
        <v>0</v>
      </c>
      <c r="S2271" s="46">
        <f t="shared" si="225"/>
        <v>0</v>
      </c>
      <c r="T2271" s="46">
        <f t="shared" si="228"/>
        <v>0</v>
      </c>
      <c r="U2271" s="46">
        <f t="shared" si="226"/>
        <v>0</v>
      </c>
      <c r="V2271" s="54">
        <f t="shared" si="227"/>
        <v>20.172413793103448</v>
      </c>
    </row>
    <row r="2272" spans="1:22" x14ac:dyDescent="0.2">
      <c r="A2272" s="46" t="s">
        <v>135</v>
      </c>
      <c r="B2272" s="46" t="s">
        <v>56</v>
      </c>
      <c r="C2272" s="46" t="s">
        <v>89</v>
      </c>
      <c r="D2272" s="46" t="s">
        <v>178</v>
      </c>
      <c r="E2272" s="46">
        <v>5</v>
      </c>
      <c r="F2272" s="46" t="s">
        <v>60</v>
      </c>
      <c r="G2272" s="46">
        <v>2</v>
      </c>
      <c r="H2272" s="47">
        <v>26</v>
      </c>
      <c r="I2272" s="47" t="s">
        <v>127</v>
      </c>
      <c r="J2272" s="48">
        <v>0</v>
      </c>
      <c r="K2272" s="48">
        <v>1</v>
      </c>
      <c r="R2272" s="46">
        <f t="shared" si="224"/>
        <v>0</v>
      </c>
      <c r="S2272" s="46">
        <f t="shared" si="225"/>
        <v>0</v>
      </c>
      <c r="T2272" s="46">
        <f t="shared" si="228"/>
        <v>0</v>
      </c>
      <c r="U2272" s="46">
        <f t="shared" si="226"/>
        <v>0</v>
      </c>
      <c r="V2272" s="54">
        <f t="shared" si="227"/>
        <v>20.172413793103448</v>
      </c>
    </row>
    <row r="2273" spans="1:22" x14ac:dyDescent="0.2">
      <c r="A2273" s="46" t="s">
        <v>135</v>
      </c>
      <c r="B2273" s="46" t="s">
        <v>56</v>
      </c>
      <c r="C2273" s="46" t="s">
        <v>89</v>
      </c>
      <c r="D2273" s="46" t="s">
        <v>178</v>
      </c>
      <c r="E2273" s="46">
        <v>5</v>
      </c>
      <c r="F2273" s="46" t="s">
        <v>60</v>
      </c>
      <c r="G2273" s="46">
        <v>2</v>
      </c>
      <c r="H2273" s="47">
        <v>34</v>
      </c>
      <c r="I2273" s="47" t="s">
        <v>127</v>
      </c>
      <c r="J2273" s="48">
        <v>0</v>
      </c>
      <c r="K2273" s="48">
        <v>2</v>
      </c>
      <c r="R2273" s="46">
        <f t="shared" si="224"/>
        <v>0</v>
      </c>
      <c r="S2273" s="46">
        <f t="shared" si="225"/>
        <v>0</v>
      </c>
      <c r="T2273" s="46">
        <f t="shared" si="228"/>
        <v>-10</v>
      </c>
      <c r="U2273" s="46">
        <f t="shared" si="226"/>
        <v>-10</v>
      </c>
      <c r="V2273" s="54">
        <f t="shared" si="227"/>
        <v>20.172413793103448</v>
      </c>
    </row>
    <row r="2274" spans="1:22" x14ac:dyDescent="0.2">
      <c r="A2274" s="46" t="s">
        <v>135</v>
      </c>
      <c r="B2274" s="46" t="s">
        <v>56</v>
      </c>
      <c r="C2274" s="46" t="s">
        <v>89</v>
      </c>
      <c r="D2274" s="46" t="s">
        <v>178</v>
      </c>
      <c r="E2274" s="46">
        <v>5</v>
      </c>
      <c r="F2274" s="46" t="s">
        <v>60</v>
      </c>
      <c r="G2274" s="46">
        <v>3</v>
      </c>
      <c r="H2274" s="47">
        <v>39</v>
      </c>
      <c r="I2274" s="47" t="s">
        <v>159</v>
      </c>
      <c r="J2274" s="48">
        <v>0</v>
      </c>
      <c r="K2274" s="48">
        <v>0</v>
      </c>
      <c r="R2274" s="46">
        <f t="shared" si="224"/>
        <v>0</v>
      </c>
      <c r="S2274" s="46">
        <f t="shared" si="225"/>
        <v>0</v>
      </c>
      <c r="T2274" s="46">
        <f t="shared" si="228"/>
        <v>0</v>
      </c>
      <c r="U2274" s="46">
        <f t="shared" si="226"/>
        <v>0</v>
      </c>
      <c r="V2274" s="54">
        <f t="shared" si="227"/>
        <v>20.172413793103448</v>
      </c>
    </row>
    <row r="2275" spans="1:22" x14ac:dyDescent="0.2">
      <c r="A2275" s="46" t="s">
        <v>135</v>
      </c>
      <c r="B2275" s="46" t="s">
        <v>56</v>
      </c>
      <c r="C2275" s="46" t="s">
        <v>89</v>
      </c>
      <c r="D2275" s="46" t="s">
        <v>178</v>
      </c>
      <c r="E2275" s="46">
        <v>5</v>
      </c>
      <c r="F2275" s="46" t="s">
        <v>60</v>
      </c>
      <c r="G2275" s="46">
        <v>4</v>
      </c>
      <c r="H2275" s="47">
        <v>48</v>
      </c>
      <c r="I2275" s="47" t="s">
        <v>102</v>
      </c>
      <c r="J2275" s="48">
        <v>1</v>
      </c>
      <c r="K2275" s="48">
        <v>1</v>
      </c>
      <c r="R2275" s="46">
        <f t="shared" si="224"/>
        <v>0</v>
      </c>
      <c r="S2275" s="46">
        <f t="shared" si="225"/>
        <v>0</v>
      </c>
      <c r="T2275" s="46">
        <f t="shared" si="228"/>
        <v>20</v>
      </c>
      <c r="U2275" s="46">
        <f t="shared" si="226"/>
        <v>20</v>
      </c>
      <c r="V2275" s="54">
        <f t="shared" si="227"/>
        <v>20.172413793103448</v>
      </c>
    </row>
    <row r="2276" spans="1:22" x14ac:dyDescent="0.2">
      <c r="A2276" s="46" t="s">
        <v>135</v>
      </c>
      <c r="B2276" s="46" t="s">
        <v>56</v>
      </c>
      <c r="C2276" s="46" t="s">
        <v>89</v>
      </c>
      <c r="D2276" s="46" t="s">
        <v>178</v>
      </c>
      <c r="E2276" s="46">
        <v>5</v>
      </c>
      <c r="F2276" s="46" t="s">
        <v>62</v>
      </c>
      <c r="G2276" s="46">
        <v>2</v>
      </c>
      <c r="H2276" s="47" t="s">
        <v>81</v>
      </c>
      <c r="I2276" s="47" t="s">
        <v>127</v>
      </c>
      <c r="J2276" s="48">
        <v>0</v>
      </c>
      <c r="K2276" s="48">
        <v>0</v>
      </c>
      <c r="R2276" s="46">
        <f t="shared" si="224"/>
        <v>0</v>
      </c>
      <c r="S2276" s="46">
        <f t="shared" si="225"/>
        <v>0</v>
      </c>
      <c r="T2276" s="46">
        <f t="shared" si="228"/>
        <v>0</v>
      </c>
      <c r="U2276" s="46">
        <f t="shared" si="226"/>
        <v>0</v>
      </c>
      <c r="V2276" s="54">
        <f t="shared" si="227"/>
        <v>20.172413793103448</v>
      </c>
    </row>
    <row r="2277" spans="1:22" x14ac:dyDescent="0.2">
      <c r="A2277" s="46" t="s">
        <v>135</v>
      </c>
      <c r="B2277" s="46" t="s">
        <v>56</v>
      </c>
      <c r="C2277" s="46" t="s">
        <v>89</v>
      </c>
      <c r="D2277" s="46" t="s">
        <v>178</v>
      </c>
      <c r="E2277" s="46">
        <v>5</v>
      </c>
      <c r="F2277" s="46" t="s">
        <v>62</v>
      </c>
      <c r="G2277" s="46">
        <v>3</v>
      </c>
      <c r="H2277" s="47" t="s">
        <v>84</v>
      </c>
      <c r="I2277" s="47" t="s">
        <v>219</v>
      </c>
      <c r="J2277" s="48">
        <v>0</v>
      </c>
      <c r="K2277" s="48">
        <v>0</v>
      </c>
      <c r="R2277" s="46">
        <f t="shared" si="224"/>
        <v>0</v>
      </c>
      <c r="S2277" s="46">
        <f t="shared" si="225"/>
        <v>0</v>
      </c>
      <c r="T2277" s="46">
        <f t="shared" si="228"/>
        <v>0</v>
      </c>
      <c r="U2277" s="46">
        <f t="shared" si="226"/>
        <v>0</v>
      </c>
      <c r="V2277" s="54">
        <f t="shared" si="227"/>
        <v>20.172413793103448</v>
      </c>
    </row>
    <row r="2278" spans="1:22" x14ac:dyDescent="0.2">
      <c r="A2278" s="46" t="s">
        <v>135</v>
      </c>
      <c r="B2278" s="46" t="s">
        <v>56</v>
      </c>
      <c r="C2278" s="46" t="s">
        <v>89</v>
      </c>
      <c r="D2278" s="46" t="s">
        <v>178</v>
      </c>
      <c r="E2278" s="46">
        <v>5</v>
      </c>
      <c r="F2278" s="46" t="s">
        <v>62</v>
      </c>
      <c r="G2278" s="46">
        <v>3</v>
      </c>
      <c r="H2278" s="47" t="s">
        <v>87</v>
      </c>
      <c r="I2278" s="47" t="s">
        <v>219</v>
      </c>
      <c r="J2278" s="48">
        <v>1</v>
      </c>
      <c r="K2278" s="48">
        <v>1</v>
      </c>
      <c r="R2278" s="46">
        <f t="shared" si="224"/>
        <v>0</v>
      </c>
      <c r="S2278" s="46">
        <f t="shared" si="225"/>
        <v>0</v>
      </c>
      <c r="T2278" s="46">
        <f t="shared" si="228"/>
        <v>20</v>
      </c>
      <c r="U2278" s="46">
        <f t="shared" si="226"/>
        <v>20</v>
      </c>
      <c r="V2278" s="54">
        <f t="shared" si="227"/>
        <v>20.172413793103448</v>
      </c>
    </row>
    <row r="2279" spans="1:22" x14ac:dyDescent="0.2">
      <c r="A2279" s="46" t="s">
        <v>135</v>
      </c>
      <c r="B2279" s="46" t="s">
        <v>56</v>
      </c>
      <c r="C2279" s="46" t="str">
        <f>VLOOKUP(B2279,$B$2:$C$3219,2,FALSE)</f>
        <v>Chapel Hill</v>
      </c>
      <c r="D2279" s="46" t="s">
        <v>178</v>
      </c>
      <c r="E2279" s="46">
        <v>5</v>
      </c>
      <c r="F2279" s="46" t="s">
        <v>62</v>
      </c>
      <c r="G2279" s="46">
        <v>3</v>
      </c>
      <c r="H2279" s="47" t="s">
        <v>64</v>
      </c>
      <c r="I2279" s="47" t="s">
        <v>219</v>
      </c>
      <c r="J2279" s="48">
        <v>0</v>
      </c>
      <c r="K2279" s="48">
        <v>1</v>
      </c>
      <c r="R2279" s="46">
        <f t="shared" si="224"/>
        <v>0</v>
      </c>
      <c r="S2279" s="46">
        <f t="shared" si="225"/>
        <v>0</v>
      </c>
      <c r="T2279" s="46">
        <f t="shared" si="228"/>
        <v>0</v>
      </c>
      <c r="U2279" s="46">
        <f t="shared" si="226"/>
        <v>0</v>
      </c>
      <c r="V2279" s="54">
        <f t="shared" si="227"/>
        <v>20.172413793103448</v>
      </c>
    </row>
    <row r="2280" spans="1:22" x14ac:dyDescent="0.2">
      <c r="A2280" s="46" t="s">
        <v>197</v>
      </c>
      <c r="B2280" s="46" t="s">
        <v>52</v>
      </c>
      <c r="C2280" s="46" t="s">
        <v>90</v>
      </c>
      <c r="D2280" s="46" t="s">
        <v>178</v>
      </c>
      <c r="E2280" s="46">
        <v>4</v>
      </c>
      <c r="F2280" s="46" t="s">
        <v>60</v>
      </c>
      <c r="G2280" s="46">
        <v>1</v>
      </c>
      <c r="H2280" s="47">
        <v>41</v>
      </c>
      <c r="I2280" s="47" t="s">
        <v>101</v>
      </c>
      <c r="J2280" s="48">
        <v>0</v>
      </c>
      <c r="K2280" s="48">
        <v>3</v>
      </c>
      <c r="R2280" s="46">
        <f t="shared" si="224"/>
        <v>0</v>
      </c>
      <c r="S2280" s="46">
        <f t="shared" si="225"/>
        <v>1</v>
      </c>
      <c r="T2280" s="46">
        <f t="shared" si="228"/>
        <v>-20</v>
      </c>
      <c r="U2280" s="46">
        <f t="shared" si="226"/>
        <v>-20</v>
      </c>
      <c r="V2280" s="54">
        <f t="shared" si="227"/>
        <v>6.25</v>
      </c>
    </row>
    <row r="2281" spans="1:22" x14ac:dyDescent="0.2">
      <c r="A2281" s="46" t="s">
        <v>197</v>
      </c>
      <c r="B2281" s="46" t="s">
        <v>207</v>
      </c>
      <c r="C2281" s="46" t="s">
        <v>90</v>
      </c>
      <c r="D2281" s="46" t="s">
        <v>178</v>
      </c>
      <c r="E2281" s="46">
        <v>1</v>
      </c>
      <c r="F2281" s="46" t="s">
        <v>60</v>
      </c>
      <c r="G2281" s="46">
        <v>2</v>
      </c>
      <c r="H2281" s="47">
        <v>2</v>
      </c>
      <c r="I2281" s="47" t="s">
        <v>127</v>
      </c>
      <c r="J2281" s="48">
        <v>0</v>
      </c>
      <c r="K2281" s="48">
        <v>0</v>
      </c>
      <c r="R2281" s="46">
        <f t="shared" si="224"/>
        <v>0</v>
      </c>
      <c r="S2281" s="46">
        <f t="shared" si="225"/>
        <v>0</v>
      </c>
      <c r="T2281" s="46">
        <f t="shared" si="228"/>
        <v>0</v>
      </c>
      <c r="U2281" s="46">
        <f t="shared" si="226"/>
        <v>0</v>
      </c>
      <c r="V2281" s="54">
        <f t="shared" si="227"/>
        <v>6.25</v>
      </c>
    </row>
    <row r="2282" spans="1:22" x14ac:dyDescent="0.2">
      <c r="A2282" s="46" t="s">
        <v>197</v>
      </c>
      <c r="B2282" s="46" t="s">
        <v>52</v>
      </c>
      <c r="C2282" s="46" t="s">
        <v>90</v>
      </c>
      <c r="D2282" s="46" t="s">
        <v>178</v>
      </c>
      <c r="E2282" s="46">
        <v>4</v>
      </c>
      <c r="F2282" s="46" t="s">
        <v>60</v>
      </c>
      <c r="G2282" s="46">
        <v>2</v>
      </c>
      <c r="H2282" s="47">
        <v>6</v>
      </c>
      <c r="I2282" s="47" t="s">
        <v>127</v>
      </c>
      <c r="J2282" s="48">
        <v>0</v>
      </c>
      <c r="K2282" s="48">
        <v>0</v>
      </c>
      <c r="R2282" s="46">
        <f t="shared" si="224"/>
        <v>0</v>
      </c>
      <c r="S2282" s="46">
        <f t="shared" si="225"/>
        <v>0</v>
      </c>
      <c r="T2282" s="46">
        <f t="shared" si="228"/>
        <v>0</v>
      </c>
      <c r="U2282" s="46">
        <f t="shared" si="226"/>
        <v>0</v>
      </c>
      <c r="V2282" s="54">
        <f t="shared" si="227"/>
        <v>6.25</v>
      </c>
    </row>
    <row r="2283" spans="1:22" x14ac:dyDescent="0.2">
      <c r="A2283" s="46" t="s">
        <v>197</v>
      </c>
      <c r="B2283" s="46" t="s">
        <v>207</v>
      </c>
      <c r="C2283" s="46" t="s">
        <v>90</v>
      </c>
      <c r="D2283" s="46" t="s">
        <v>178</v>
      </c>
      <c r="E2283" s="46">
        <v>2</v>
      </c>
      <c r="F2283" s="46" t="s">
        <v>60</v>
      </c>
      <c r="G2283" s="46">
        <v>4</v>
      </c>
      <c r="H2283" s="47">
        <v>8</v>
      </c>
      <c r="I2283" s="47" t="s">
        <v>102</v>
      </c>
      <c r="J2283" s="48">
        <v>0</v>
      </c>
      <c r="K2283" s="48">
        <v>0</v>
      </c>
      <c r="R2283" s="46">
        <f t="shared" si="224"/>
        <v>0</v>
      </c>
      <c r="S2283" s="46">
        <f t="shared" si="225"/>
        <v>0</v>
      </c>
      <c r="T2283" s="46">
        <f t="shared" si="228"/>
        <v>0</v>
      </c>
      <c r="U2283" s="46">
        <f t="shared" si="226"/>
        <v>0</v>
      </c>
      <c r="V2283" s="54">
        <f t="shared" si="227"/>
        <v>6.25</v>
      </c>
    </row>
    <row r="2284" spans="1:22" x14ac:dyDescent="0.2">
      <c r="A2284" s="46" t="s">
        <v>197</v>
      </c>
      <c r="B2284" s="46" t="s">
        <v>52</v>
      </c>
      <c r="C2284" s="46" t="s">
        <v>90</v>
      </c>
      <c r="D2284" s="46" t="s">
        <v>178</v>
      </c>
      <c r="E2284" s="46">
        <v>3</v>
      </c>
      <c r="F2284" s="46" t="s">
        <v>60</v>
      </c>
      <c r="G2284" s="46">
        <v>2</v>
      </c>
      <c r="H2284" s="47">
        <v>10</v>
      </c>
      <c r="I2284" s="47" t="s">
        <v>127</v>
      </c>
      <c r="J2284" s="48">
        <v>0</v>
      </c>
      <c r="K2284" s="48">
        <v>0</v>
      </c>
      <c r="R2284" s="46">
        <f t="shared" si="224"/>
        <v>0</v>
      </c>
      <c r="S2284" s="46">
        <f t="shared" si="225"/>
        <v>0</v>
      </c>
      <c r="T2284" s="46">
        <f t="shared" si="228"/>
        <v>0</v>
      </c>
      <c r="U2284" s="46">
        <f t="shared" si="226"/>
        <v>0</v>
      </c>
      <c r="V2284" s="54">
        <f t="shared" si="227"/>
        <v>6.25</v>
      </c>
    </row>
    <row r="2285" spans="1:22" x14ac:dyDescent="0.2">
      <c r="A2285" s="46" t="s">
        <v>197</v>
      </c>
      <c r="B2285" s="46" t="s">
        <v>207</v>
      </c>
      <c r="C2285" s="46" t="s">
        <v>90</v>
      </c>
      <c r="D2285" s="46" t="s">
        <v>178</v>
      </c>
      <c r="E2285" s="46">
        <v>1</v>
      </c>
      <c r="F2285" s="46" t="s">
        <v>60</v>
      </c>
      <c r="G2285" s="46">
        <v>3</v>
      </c>
      <c r="H2285" s="47">
        <v>11</v>
      </c>
      <c r="I2285" s="47" t="s">
        <v>116</v>
      </c>
      <c r="J2285" s="48">
        <v>0</v>
      </c>
      <c r="K2285" s="48">
        <v>0</v>
      </c>
      <c r="R2285" s="46">
        <f t="shared" si="224"/>
        <v>0</v>
      </c>
      <c r="S2285" s="46">
        <f t="shared" si="225"/>
        <v>0</v>
      </c>
      <c r="T2285" s="46">
        <f t="shared" si="228"/>
        <v>0</v>
      </c>
      <c r="U2285" s="46">
        <f t="shared" si="226"/>
        <v>0</v>
      </c>
      <c r="V2285" s="54">
        <f t="shared" si="227"/>
        <v>6.25</v>
      </c>
    </row>
    <row r="2286" spans="1:22" x14ac:dyDescent="0.2">
      <c r="A2286" s="46" t="s">
        <v>197</v>
      </c>
      <c r="B2286" s="46" t="s">
        <v>52</v>
      </c>
      <c r="C2286" s="46" t="s">
        <v>90</v>
      </c>
      <c r="D2286" s="46" t="s">
        <v>178</v>
      </c>
      <c r="E2286" s="46">
        <v>3</v>
      </c>
      <c r="F2286" s="46" t="s">
        <v>60</v>
      </c>
      <c r="G2286" s="46">
        <v>1</v>
      </c>
      <c r="H2286" s="47">
        <v>17</v>
      </c>
      <c r="I2286" s="47" t="s">
        <v>101</v>
      </c>
      <c r="J2286" s="48">
        <v>0</v>
      </c>
      <c r="K2286" s="48">
        <v>0</v>
      </c>
      <c r="R2286" s="46">
        <f t="shared" si="224"/>
        <v>0</v>
      </c>
      <c r="S2286" s="46">
        <f t="shared" si="225"/>
        <v>0</v>
      </c>
      <c r="T2286" s="46">
        <f t="shared" si="228"/>
        <v>0</v>
      </c>
      <c r="U2286" s="46">
        <f t="shared" si="226"/>
        <v>0</v>
      </c>
      <c r="V2286" s="54">
        <f t="shared" si="227"/>
        <v>6.25</v>
      </c>
    </row>
    <row r="2287" spans="1:22" x14ac:dyDescent="0.2">
      <c r="A2287" s="46" t="s">
        <v>197</v>
      </c>
      <c r="B2287" s="46" t="s">
        <v>207</v>
      </c>
      <c r="C2287" s="46" t="s">
        <v>90</v>
      </c>
      <c r="D2287" s="46" t="s">
        <v>178</v>
      </c>
      <c r="E2287" s="46">
        <v>2</v>
      </c>
      <c r="F2287" s="46" t="s">
        <v>60</v>
      </c>
      <c r="G2287" s="46">
        <v>3</v>
      </c>
      <c r="H2287" s="47">
        <v>23</v>
      </c>
      <c r="I2287" s="47" t="s">
        <v>116</v>
      </c>
      <c r="J2287" s="48">
        <v>0</v>
      </c>
      <c r="K2287" s="48">
        <v>0</v>
      </c>
      <c r="R2287" s="46">
        <f t="shared" si="224"/>
        <v>0</v>
      </c>
      <c r="S2287" s="46">
        <f t="shared" si="225"/>
        <v>0</v>
      </c>
      <c r="T2287" s="46">
        <f t="shared" si="228"/>
        <v>0</v>
      </c>
      <c r="U2287" s="46">
        <f t="shared" si="226"/>
        <v>0</v>
      </c>
      <c r="V2287" s="54">
        <f t="shared" si="227"/>
        <v>6.25</v>
      </c>
    </row>
    <row r="2288" spans="1:22" x14ac:dyDescent="0.2">
      <c r="A2288" s="46" t="s">
        <v>197</v>
      </c>
      <c r="B2288" s="46" t="s">
        <v>207</v>
      </c>
      <c r="C2288" s="46" t="s">
        <v>90</v>
      </c>
      <c r="D2288" s="46" t="s">
        <v>178</v>
      </c>
      <c r="E2288" s="46">
        <v>1</v>
      </c>
      <c r="F2288" s="46" t="s">
        <v>60</v>
      </c>
      <c r="G2288" s="46">
        <v>4</v>
      </c>
      <c r="H2288" s="47">
        <v>24</v>
      </c>
      <c r="I2288" s="47" t="s">
        <v>102</v>
      </c>
      <c r="J2288" s="48">
        <v>0</v>
      </c>
      <c r="K2288" s="48">
        <v>0</v>
      </c>
      <c r="R2288" s="46">
        <f t="shared" si="224"/>
        <v>0</v>
      </c>
      <c r="S2288" s="46">
        <f t="shared" si="225"/>
        <v>0</v>
      </c>
      <c r="T2288" s="46">
        <f t="shared" si="228"/>
        <v>0</v>
      </c>
      <c r="U2288" s="46">
        <f t="shared" si="226"/>
        <v>0</v>
      </c>
      <c r="V2288" s="54">
        <f t="shared" si="227"/>
        <v>6.25</v>
      </c>
    </row>
    <row r="2289" spans="1:22" x14ac:dyDescent="0.2">
      <c r="A2289" s="46" t="s">
        <v>197</v>
      </c>
      <c r="B2289" s="46" t="s">
        <v>207</v>
      </c>
      <c r="C2289" s="46" t="s">
        <v>90</v>
      </c>
      <c r="D2289" s="46" t="s">
        <v>178</v>
      </c>
      <c r="E2289" s="46">
        <v>1</v>
      </c>
      <c r="F2289" s="46" t="s">
        <v>60</v>
      </c>
      <c r="G2289" s="46">
        <v>1</v>
      </c>
      <c r="H2289" s="47">
        <v>29</v>
      </c>
      <c r="I2289" s="47" t="s">
        <v>101</v>
      </c>
      <c r="J2289" s="48">
        <v>0</v>
      </c>
      <c r="K2289" s="48">
        <v>0</v>
      </c>
      <c r="R2289" s="46">
        <f t="shared" si="224"/>
        <v>0</v>
      </c>
      <c r="S2289" s="46">
        <f t="shared" si="225"/>
        <v>0</v>
      </c>
      <c r="T2289" s="46">
        <f t="shared" si="228"/>
        <v>0</v>
      </c>
      <c r="U2289" s="46">
        <f t="shared" si="226"/>
        <v>0</v>
      </c>
      <c r="V2289" s="54">
        <f t="shared" si="227"/>
        <v>6.25</v>
      </c>
    </row>
    <row r="2290" spans="1:22" x14ac:dyDescent="0.2">
      <c r="A2290" s="46" t="s">
        <v>197</v>
      </c>
      <c r="B2290" s="46" t="s">
        <v>52</v>
      </c>
      <c r="C2290" s="46" t="s">
        <v>90</v>
      </c>
      <c r="D2290" s="46" t="s">
        <v>178</v>
      </c>
      <c r="E2290" s="46">
        <v>4</v>
      </c>
      <c r="F2290" s="46" t="s">
        <v>60</v>
      </c>
      <c r="G2290" s="46">
        <v>1</v>
      </c>
      <c r="H2290" s="47">
        <v>29</v>
      </c>
      <c r="I2290" s="47" t="s">
        <v>101</v>
      </c>
      <c r="J2290" s="48">
        <v>0</v>
      </c>
      <c r="K2290" s="48">
        <v>0</v>
      </c>
      <c r="R2290" s="46">
        <f t="shared" si="224"/>
        <v>0</v>
      </c>
      <c r="S2290" s="46">
        <f t="shared" si="225"/>
        <v>0</v>
      </c>
      <c r="T2290" s="46">
        <f t="shared" si="228"/>
        <v>0</v>
      </c>
      <c r="U2290" s="46">
        <f t="shared" si="226"/>
        <v>0</v>
      </c>
      <c r="V2290" s="54">
        <f t="shared" si="227"/>
        <v>6.25</v>
      </c>
    </row>
    <row r="2291" spans="1:22" x14ac:dyDescent="0.2">
      <c r="A2291" s="46" t="s">
        <v>197</v>
      </c>
      <c r="B2291" s="46" t="s">
        <v>207</v>
      </c>
      <c r="C2291" s="46" t="s">
        <v>90</v>
      </c>
      <c r="D2291" s="46" t="s">
        <v>178</v>
      </c>
      <c r="E2291" s="46">
        <v>2</v>
      </c>
      <c r="F2291" s="46" t="s">
        <v>60</v>
      </c>
      <c r="G2291" s="46">
        <v>4</v>
      </c>
      <c r="H2291" s="47">
        <v>32</v>
      </c>
      <c r="I2291" s="47" t="s">
        <v>102</v>
      </c>
      <c r="J2291" s="48">
        <v>0</v>
      </c>
      <c r="K2291" s="48">
        <v>0</v>
      </c>
      <c r="R2291" s="46">
        <f t="shared" si="224"/>
        <v>0</v>
      </c>
      <c r="S2291" s="46">
        <f t="shared" si="225"/>
        <v>0</v>
      </c>
      <c r="T2291" s="46">
        <f t="shared" si="228"/>
        <v>0</v>
      </c>
      <c r="U2291" s="46">
        <f t="shared" si="226"/>
        <v>0</v>
      </c>
      <c r="V2291" s="54">
        <f t="shared" si="227"/>
        <v>6.25</v>
      </c>
    </row>
    <row r="2292" spans="1:22" x14ac:dyDescent="0.2">
      <c r="A2292" s="46" t="s">
        <v>197</v>
      </c>
      <c r="B2292" s="46" t="s">
        <v>207</v>
      </c>
      <c r="C2292" s="46" t="s">
        <v>90</v>
      </c>
      <c r="D2292" s="46" t="s">
        <v>178</v>
      </c>
      <c r="E2292" s="46">
        <v>1</v>
      </c>
      <c r="F2292" s="46" t="s">
        <v>60</v>
      </c>
      <c r="G2292" s="46">
        <v>1</v>
      </c>
      <c r="H2292" s="47">
        <v>33</v>
      </c>
      <c r="I2292" s="47" t="s">
        <v>101</v>
      </c>
      <c r="J2292" s="48">
        <v>0</v>
      </c>
      <c r="K2292" s="48">
        <v>0</v>
      </c>
      <c r="R2292" s="46">
        <f t="shared" si="224"/>
        <v>0</v>
      </c>
      <c r="S2292" s="46">
        <f t="shared" si="225"/>
        <v>0</v>
      </c>
      <c r="T2292" s="46">
        <f t="shared" si="228"/>
        <v>0</v>
      </c>
      <c r="U2292" s="46">
        <f t="shared" si="226"/>
        <v>0</v>
      </c>
      <c r="V2292" s="54">
        <f t="shared" si="227"/>
        <v>6.25</v>
      </c>
    </row>
    <row r="2293" spans="1:22" x14ac:dyDescent="0.2">
      <c r="A2293" s="46" t="s">
        <v>197</v>
      </c>
      <c r="B2293" s="46" t="s">
        <v>52</v>
      </c>
      <c r="C2293" s="46" t="s">
        <v>90</v>
      </c>
      <c r="D2293" s="46" t="s">
        <v>178</v>
      </c>
      <c r="E2293" s="46">
        <v>3</v>
      </c>
      <c r="F2293" s="46" t="s">
        <v>60</v>
      </c>
      <c r="G2293" s="46">
        <v>4</v>
      </c>
      <c r="H2293" s="47">
        <v>36</v>
      </c>
      <c r="I2293" s="47" t="s">
        <v>102</v>
      </c>
      <c r="J2293" s="48">
        <v>0</v>
      </c>
      <c r="K2293" s="48">
        <v>0</v>
      </c>
      <c r="R2293" s="46">
        <f t="shared" si="224"/>
        <v>0</v>
      </c>
      <c r="S2293" s="46">
        <f t="shared" si="225"/>
        <v>0</v>
      </c>
      <c r="T2293" s="46">
        <f t="shared" si="228"/>
        <v>0</v>
      </c>
      <c r="U2293" s="46">
        <f t="shared" si="226"/>
        <v>0</v>
      </c>
      <c r="V2293" s="54">
        <f t="shared" si="227"/>
        <v>6.25</v>
      </c>
    </row>
    <row r="2294" spans="1:22" x14ac:dyDescent="0.2">
      <c r="A2294" s="46" t="s">
        <v>197</v>
      </c>
      <c r="B2294" s="46" t="s">
        <v>52</v>
      </c>
      <c r="C2294" s="46" t="s">
        <v>90</v>
      </c>
      <c r="D2294" s="46" t="s">
        <v>178</v>
      </c>
      <c r="E2294" s="46">
        <v>3</v>
      </c>
      <c r="F2294" s="46" t="s">
        <v>60</v>
      </c>
      <c r="G2294" s="46">
        <v>3</v>
      </c>
      <c r="H2294" s="47">
        <v>39</v>
      </c>
      <c r="I2294" s="47" t="s">
        <v>116</v>
      </c>
      <c r="J2294" s="48">
        <v>0</v>
      </c>
      <c r="K2294" s="48">
        <v>0</v>
      </c>
      <c r="R2294" s="46">
        <f t="shared" si="224"/>
        <v>0</v>
      </c>
      <c r="S2294" s="46">
        <f t="shared" si="225"/>
        <v>0</v>
      </c>
      <c r="T2294" s="46">
        <f t="shared" si="228"/>
        <v>0</v>
      </c>
      <c r="U2294" s="46">
        <f t="shared" si="226"/>
        <v>0</v>
      </c>
      <c r="V2294" s="54">
        <f t="shared" si="227"/>
        <v>6.25</v>
      </c>
    </row>
    <row r="2295" spans="1:22" x14ac:dyDescent="0.2">
      <c r="A2295" s="46" t="s">
        <v>197</v>
      </c>
      <c r="B2295" s="46" t="s">
        <v>207</v>
      </c>
      <c r="C2295" s="46" t="s">
        <v>90</v>
      </c>
      <c r="D2295" s="46" t="s">
        <v>178</v>
      </c>
      <c r="E2295" s="46">
        <v>2</v>
      </c>
      <c r="F2295" s="46" t="s">
        <v>60</v>
      </c>
      <c r="G2295" s="46">
        <v>2</v>
      </c>
      <c r="H2295" s="47">
        <v>42</v>
      </c>
      <c r="I2295" s="47" t="s">
        <v>127</v>
      </c>
      <c r="J2295" s="48">
        <v>0</v>
      </c>
      <c r="K2295" s="48">
        <v>0</v>
      </c>
      <c r="R2295" s="46">
        <f t="shared" si="224"/>
        <v>0</v>
      </c>
      <c r="S2295" s="46">
        <f t="shared" si="225"/>
        <v>0</v>
      </c>
      <c r="T2295" s="46">
        <f t="shared" si="228"/>
        <v>0</v>
      </c>
      <c r="U2295" s="46">
        <f t="shared" si="226"/>
        <v>0</v>
      </c>
      <c r="V2295" s="54">
        <f t="shared" si="227"/>
        <v>6.25</v>
      </c>
    </row>
    <row r="2296" spans="1:22" x14ac:dyDescent="0.2">
      <c r="A2296" s="46" t="s">
        <v>197</v>
      </c>
      <c r="B2296" s="46" t="s">
        <v>207</v>
      </c>
      <c r="C2296" s="46" t="s">
        <v>90</v>
      </c>
      <c r="D2296" s="46" t="s">
        <v>178</v>
      </c>
      <c r="E2296" s="46">
        <v>1</v>
      </c>
      <c r="F2296" s="46" t="s">
        <v>60</v>
      </c>
      <c r="G2296" s="46">
        <v>3</v>
      </c>
      <c r="H2296" s="47">
        <v>47</v>
      </c>
      <c r="I2296" s="47" t="s">
        <v>116</v>
      </c>
      <c r="J2296" s="48">
        <v>0</v>
      </c>
      <c r="K2296" s="48">
        <v>0</v>
      </c>
      <c r="R2296" s="46">
        <f t="shared" si="224"/>
        <v>0</v>
      </c>
      <c r="S2296" s="46">
        <f t="shared" si="225"/>
        <v>0</v>
      </c>
      <c r="T2296" s="46">
        <f t="shared" si="228"/>
        <v>0</v>
      </c>
      <c r="U2296" s="46">
        <f t="shared" si="226"/>
        <v>0</v>
      </c>
      <c r="V2296" s="54">
        <f t="shared" si="227"/>
        <v>6.25</v>
      </c>
    </row>
    <row r="2297" spans="1:22" x14ac:dyDescent="0.2">
      <c r="A2297" s="46" t="s">
        <v>197</v>
      </c>
      <c r="B2297" s="46" t="s">
        <v>52</v>
      </c>
      <c r="C2297" s="46" t="s">
        <v>90</v>
      </c>
      <c r="D2297" s="46" t="s">
        <v>178</v>
      </c>
      <c r="E2297" s="46">
        <v>4</v>
      </c>
      <c r="F2297" s="46" t="s">
        <v>60</v>
      </c>
      <c r="G2297" s="46">
        <v>4</v>
      </c>
      <c r="H2297" s="47">
        <v>48</v>
      </c>
      <c r="I2297" s="47" t="s">
        <v>102</v>
      </c>
      <c r="J2297" s="48">
        <v>0</v>
      </c>
      <c r="K2297" s="48">
        <v>0</v>
      </c>
      <c r="R2297" s="46">
        <f t="shared" si="224"/>
        <v>0</v>
      </c>
      <c r="S2297" s="46">
        <f t="shared" si="225"/>
        <v>0</v>
      </c>
      <c r="T2297" s="46">
        <f t="shared" si="228"/>
        <v>0</v>
      </c>
      <c r="U2297" s="46">
        <f t="shared" si="226"/>
        <v>0</v>
      </c>
      <c r="V2297" s="54">
        <f t="shared" si="227"/>
        <v>6.25</v>
      </c>
    </row>
    <row r="2298" spans="1:22" x14ac:dyDescent="0.2">
      <c r="A2298" s="46" t="s">
        <v>197</v>
      </c>
      <c r="B2298" s="46" t="s">
        <v>52</v>
      </c>
      <c r="C2298" s="46" t="s">
        <v>90</v>
      </c>
      <c r="D2298" s="46" t="s">
        <v>178</v>
      </c>
      <c r="E2298" s="46">
        <v>3</v>
      </c>
      <c r="F2298" s="46" t="s">
        <v>60</v>
      </c>
      <c r="G2298" s="46">
        <v>1</v>
      </c>
      <c r="H2298" s="47">
        <v>49</v>
      </c>
      <c r="I2298" s="47" t="s">
        <v>101</v>
      </c>
      <c r="J2298" s="48">
        <v>0</v>
      </c>
      <c r="K2298" s="48">
        <v>1</v>
      </c>
      <c r="R2298" s="46">
        <f t="shared" si="224"/>
        <v>0</v>
      </c>
      <c r="S2298" s="46">
        <f t="shared" si="225"/>
        <v>0</v>
      </c>
      <c r="T2298" s="46">
        <f t="shared" si="228"/>
        <v>0</v>
      </c>
      <c r="U2298" s="46">
        <f t="shared" si="226"/>
        <v>0</v>
      </c>
      <c r="V2298" s="54">
        <f t="shared" si="227"/>
        <v>6.25</v>
      </c>
    </row>
    <row r="2299" spans="1:22" x14ac:dyDescent="0.2">
      <c r="A2299" s="46" t="s">
        <v>197</v>
      </c>
      <c r="B2299" s="46" t="s">
        <v>207</v>
      </c>
      <c r="C2299" s="46" t="s">
        <v>90</v>
      </c>
      <c r="D2299" s="46" t="s">
        <v>178</v>
      </c>
      <c r="E2299" s="46">
        <v>2</v>
      </c>
      <c r="F2299" s="46" t="s">
        <v>61</v>
      </c>
      <c r="G2299" s="46">
        <v>1</v>
      </c>
      <c r="H2299" s="47" t="s">
        <v>67</v>
      </c>
      <c r="I2299" s="47" t="s">
        <v>101</v>
      </c>
      <c r="J2299" s="48">
        <v>0</v>
      </c>
      <c r="K2299" s="48">
        <v>0</v>
      </c>
      <c r="R2299" s="46">
        <f t="shared" si="224"/>
        <v>0</v>
      </c>
      <c r="S2299" s="46">
        <f t="shared" si="225"/>
        <v>0</v>
      </c>
      <c r="T2299" s="46">
        <f t="shared" si="228"/>
        <v>0</v>
      </c>
      <c r="U2299" s="46">
        <f t="shared" si="226"/>
        <v>0</v>
      </c>
      <c r="V2299" s="54">
        <f t="shared" si="227"/>
        <v>6.25</v>
      </c>
    </row>
    <row r="2300" spans="1:22" x14ac:dyDescent="0.2">
      <c r="A2300" s="46" t="s">
        <v>197</v>
      </c>
      <c r="B2300" s="46" t="s">
        <v>207</v>
      </c>
      <c r="C2300" s="46" t="s">
        <v>90</v>
      </c>
      <c r="D2300" s="46" t="s">
        <v>178</v>
      </c>
      <c r="E2300" s="46">
        <v>1</v>
      </c>
      <c r="F2300" s="46" t="s">
        <v>61</v>
      </c>
      <c r="G2300" s="46">
        <v>1</v>
      </c>
      <c r="H2300" s="47" t="s">
        <v>70</v>
      </c>
      <c r="I2300" s="47" t="s">
        <v>101</v>
      </c>
      <c r="J2300" s="48">
        <v>0</v>
      </c>
      <c r="K2300" s="48">
        <v>0</v>
      </c>
      <c r="R2300" s="46">
        <f t="shared" si="224"/>
        <v>0</v>
      </c>
      <c r="S2300" s="46">
        <f t="shared" si="225"/>
        <v>0</v>
      </c>
      <c r="T2300" s="46">
        <f t="shared" si="228"/>
        <v>0</v>
      </c>
      <c r="U2300" s="46">
        <f t="shared" si="226"/>
        <v>0</v>
      </c>
      <c r="V2300" s="54">
        <f t="shared" si="227"/>
        <v>6.25</v>
      </c>
    </row>
    <row r="2301" spans="1:22" x14ac:dyDescent="0.2">
      <c r="A2301" s="46" t="s">
        <v>197</v>
      </c>
      <c r="B2301" s="46" t="s">
        <v>52</v>
      </c>
      <c r="C2301" s="46" t="s">
        <v>90</v>
      </c>
      <c r="D2301" s="46" t="s">
        <v>178</v>
      </c>
      <c r="E2301" s="46">
        <v>3</v>
      </c>
      <c r="F2301" s="46" t="s">
        <v>61</v>
      </c>
      <c r="G2301" s="46">
        <v>1</v>
      </c>
      <c r="H2301" s="47" t="s">
        <v>70</v>
      </c>
      <c r="I2301" s="47" t="s">
        <v>101</v>
      </c>
      <c r="J2301" s="48">
        <v>0</v>
      </c>
      <c r="K2301" s="48">
        <v>0</v>
      </c>
      <c r="R2301" s="46">
        <f t="shared" si="224"/>
        <v>0</v>
      </c>
      <c r="S2301" s="46">
        <f t="shared" si="225"/>
        <v>0</v>
      </c>
      <c r="T2301" s="46">
        <f t="shared" si="228"/>
        <v>0</v>
      </c>
      <c r="U2301" s="46">
        <f t="shared" si="226"/>
        <v>0</v>
      </c>
      <c r="V2301" s="54">
        <f t="shared" si="227"/>
        <v>6.25</v>
      </c>
    </row>
    <row r="2302" spans="1:22" x14ac:dyDescent="0.2">
      <c r="A2302" s="46" t="s">
        <v>197</v>
      </c>
      <c r="B2302" s="46" t="s">
        <v>52</v>
      </c>
      <c r="C2302" s="46" t="s">
        <v>90</v>
      </c>
      <c r="D2302" s="46" t="s">
        <v>178</v>
      </c>
      <c r="E2302" s="46">
        <v>4</v>
      </c>
      <c r="F2302" s="46" t="s">
        <v>61</v>
      </c>
      <c r="G2302" s="46">
        <v>1</v>
      </c>
      <c r="H2302" s="47" t="s">
        <v>74</v>
      </c>
      <c r="I2302" s="47" t="s">
        <v>101</v>
      </c>
      <c r="J2302" s="48">
        <v>0</v>
      </c>
      <c r="K2302" s="48">
        <v>0</v>
      </c>
      <c r="R2302" s="46">
        <f t="shared" si="224"/>
        <v>0</v>
      </c>
      <c r="S2302" s="46">
        <f t="shared" si="225"/>
        <v>0</v>
      </c>
      <c r="T2302" s="46">
        <f t="shared" si="228"/>
        <v>0</v>
      </c>
      <c r="U2302" s="46">
        <f t="shared" si="226"/>
        <v>0</v>
      </c>
      <c r="V2302" s="54">
        <f t="shared" si="227"/>
        <v>6.25</v>
      </c>
    </row>
    <row r="2303" spans="1:22" x14ac:dyDescent="0.2">
      <c r="A2303" s="46" t="s">
        <v>197</v>
      </c>
      <c r="B2303" s="46" t="s">
        <v>52</v>
      </c>
      <c r="C2303" s="46" t="s">
        <v>90</v>
      </c>
      <c r="D2303" s="46" t="s">
        <v>178</v>
      </c>
      <c r="E2303" s="46">
        <v>3</v>
      </c>
      <c r="F2303" s="46" t="s">
        <v>61</v>
      </c>
      <c r="G2303" s="46">
        <v>1</v>
      </c>
      <c r="H2303" s="47" t="s">
        <v>75</v>
      </c>
      <c r="I2303" s="47" t="s">
        <v>101</v>
      </c>
      <c r="J2303" s="48">
        <v>0</v>
      </c>
      <c r="K2303" s="48">
        <v>0</v>
      </c>
      <c r="R2303" s="46">
        <f t="shared" si="224"/>
        <v>0</v>
      </c>
      <c r="S2303" s="46">
        <f t="shared" si="225"/>
        <v>0</v>
      </c>
      <c r="T2303" s="46">
        <f t="shared" si="228"/>
        <v>0</v>
      </c>
      <c r="U2303" s="46">
        <f t="shared" si="226"/>
        <v>0</v>
      </c>
      <c r="V2303" s="54">
        <f t="shared" si="227"/>
        <v>6.25</v>
      </c>
    </row>
    <row r="2304" spans="1:22" x14ac:dyDescent="0.2">
      <c r="A2304" s="46" t="s">
        <v>197</v>
      </c>
      <c r="B2304" s="46" t="s">
        <v>52</v>
      </c>
      <c r="C2304" s="46" t="s">
        <v>90</v>
      </c>
      <c r="D2304" s="46" t="s">
        <v>178</v>
      </c>
      <c r="E2304" s="46">
        <v>4</v>
      </c>
      <c r="F2304" s="46" t="s">
        <v>61</v>
      </c>
      <c r="G2304" s="46">
        <v>1</v>
      </c>
      <c r="H2304" s="47" t="s">
        <v>75</v>
      </c>
      <c r="I2304" s="47" t="s">
        <v>101</v>
      </c>
      <c r="J2304" s="48">
        <v>0</v>
      </c>
      <c r="K2304" s="48">
        <v>0</v>
      </c>
      <c r="R2304" s="46">
        <f t="shared" si="224"/>
        <v>0</v>
      </c>
      <c r="S2304" s="46">
        <f t="shared" si="225"/>
        <v>0</v>
      </c>
      <c r="T2304" s="46">
        <f t="shared" si="228"/>
        <v>0</v>
      </c>
      <c r="U2304" s="46">
        <f t="shared" si="226"/>
        <v>0</v>
      </c>
      <c r="V2304" s="54">
        <f t="shared" si="227"/>
        <v>6.25</v>
      </c>
    </row>
    <row r="2305" spans="1:22" x14ac:dyDescent="0.2">
      <c r="A2305" s="46" t="s">
        <v>197</v>
      </c>
      <c r="B2305" s="46" t="s">
        <v>207</v>
      </c>
      <c r="C2305" s="46" t="s">
        <v>90</v>
      </c>
      <c r="D2305" s="46" t="s">
        <v>178</v>
      </c>
      <c r="E2305" s="46">
        <v>1</v>
      </c>
      <c r="F2305" s="46" t="s">
        <v>61</v>
      </c>
      <c r="G2305" s="46">
        <v>2</v>
      </c>
      <c r="H2305" s="47" t="s">
        <v>76</v>
      </c>
      <c r="I2305" s="47" t="s">
        <v>127</v>
      </c>
      <c r="J2305" s="48">
        <v>0</v>
      </c>
      <c r="K2305" s="48">
        <v>0</v>
      </c>
      <c r="R2305" s="46">
        <f t="shared" si="224"/>
        <v>0</v>
      </c>
      <c r="S2305" s="46">
        <f t="shared" si="225"/>
        <v>0</v>
      </c>
      <c r="T2305" s="46">
        <f t="shared" si="228"/>
        <v>0</v>
      </c>
      <c r="U2305" s="46">
        <f t="shared" si="226"/>
        <v>0</v>
      </c>
      <c r="V2305" s="54">
        <f t="shared" si="227"/>
        <v>6.25</v>
      </c>
    </row>
    <row r="2306" spans="1:22" x14ac:dyDescent="0.2">
      <c r="A2306" s="46" t="s">
        <v>197</v>
      </c>
      <c r="B2306" s="46" t="s">
        <v>207</v>
      </c>
      <c r="C2306" s="46" t="s">
        <v>90</v>
      </c>
      <c r="D2306" s="46" t="s">
        <v>178</v>
      </c>
      <c r="E2306" s="46">
        <v>2</v>
      </c>
      <c r="F2306" s="46" t="s">
        <v>61</v>
      </c>
      <c r="G2306" s="46">
        <v>2</v>
      </c>
      <c r="H2306" s="47" t="s">
        <v>76</v>
      </c>
      <c r="I2306" s="47" t="s">
        <v>127</v>
      </c>
      <c r="J2306" s="48">
        <v>0</v>
      </c>
      <c r="K2306" s="48">
        <v>0</v>
      </c>
      <c r="R2306" s="46">
        <f t="shared" ref="R2306:R2369" si="229">IF(J2306=4,1,0)</f>
        <v>0</v>
      </c>
      <c r="S2306" s="46">
        <f t="shared" ref="S2306:S2369" si="230">IF(K2306=3,1,0)</f>
        <v>0</v>
      </c>
      <c r="T2306" s="46">
        <f t="shared" si="228"/>
        <v>0</v>
      </c>
      <c r="U2306" s="46">
        <f t="shared" ref="U2306:U2369" si="231">T2306+M2306*(20) + (SUM(O2306:Q2306)*(10)) - L2306*(5) - N2306*(5)</f>
        <v>0</v>
      </c>
      <c r="V2306" s="54">
        <f t="shared" ref="V2306:V2369" si="232">AVERAGEIFS(U:U,A:A,A2306,F:F,"Pre")</f>
        <v>6.25</v>
      </c>
    </row>
    <row r="2307" spans="1:22" x14ac:dyDescent="0.2">
      <c r="A2307" s="46" t="s">
        <v>197</v>
      </c>
      <c r="B2307" s="46" t="s">
        <v>52</v>
      </c>
      <c r="C2307" s="46" t="s">
        <v>90</v>
      </c>
      <c r="D2307" s="46" t="s">
        <v>178</v>
      </c>
      <c r="E2307" s="46">
        <v>4</v>
      </c>
      <c r="F2307" s="46" t="s">
        <v>61</v>
      </c>
      <c r="G2307" s="46">
        <v>1</v>
      </c>
      <c r="H2307" s="47" t="s">
        <v>69</v>
      </c>
      <c r="I2307" s="47" t="s">
        <v>101</v>
      </c>
      <c r="J2307" s="48">
        <v>0</v>
      </c>
      <c r="K2307" s="48">
        <v>0</v>
      </c>
      <c r="R2307" s="46">
        <f t="shared" si="229"/>
        <v>0</v>
      </c>
      <c r="S2307" s="46">
        <f t="shared" si="230"/>
        <v>0</v>
      </c>
      <c r="T2307" s="46">
        <f t="shared" si="228"/>
        <v>0</v>
      </c>
      <c r="U2307" s="46">
        <f t="shared" si="231"/>
        <v>0</v>
      </c>
      <c r="V2307" s="54">
        <f t="shared" si="232"/>
        <v>6.25</v>
      </c>
    </row>
    <row r="2308" spans="1:22" x14ac:dyDescent="0.2">
      <c r="A2308" s="46" t="s">
        <v>197</v>
      </c>
      <c r="B2308" s="46" t="s">
        <v>52</v>
      </c>
      <c r="C2308" s="46" t="s">
        <v>90</v>
      </c>
      <c r="D2308" s="46" t="s">
        <v>178</v>
      </c>
      <c r="E2308" s="46">
        <v>4</v>
      </c>
      <c r="F2308" s="46" t="s">
        <v>61</v>
      </c>
      <c r="G2308" s="46">
        <v>1</v>
      </c>
      <c r="H2308" s="47" t="s">
        <v>71</v>
      </c>
      <c r="I2308" s="47" t="s">
        <v>101</v>
      </c>
      <c r="J2308" s="48">
        <v>0</v>
      </c>
      <c r="K2308" s="48">
        <v>1</v>
      </c>
      <c r="R2308" s="46">
        <f t="shared" si="229"/>
        <v>0</v>
      </c>
      <c r="S2308" s="46">
        <f t="shared" si="230"/>
        <v>0</v>
      </c>
      <c r="T2308" s="46">
        <f t="shared" si="228"/>
        <v>0</v>
      </c>
      <c r="U2308" s="46">
        <f t="shared" si="231"/>
        <v>0</v>
      </c>
      <c r="V2308" s="54">
        <f t="shared" si="232"/>
        <v>6.25</v>
      </c>
    </row>
    <row r="2309" spans="1:22" x14ac:dyDescent="0.2">
      <c r="A2309" s="46" t="s">
        <v>197</v>
      </c>
      <c r="B2309" s="46" t="s">
        <v>52</v>
      </c>
      <c r="C2309" s="46" t="s">
        <v>90</v>
      </c>
      <c r="D2309" s="46" t="s">
        <v>178</v>
      </c>
      <c r="E2309" s="46">
        <v>3</v>
      </c>
      <c r="F2309" s="46" t="s">
        <v>61</v>
      </c>
      <c r="G2309" s="46">
        <v>1</v>
      </c>
      <c r="H2309" s="47" t="s">
        <v>78</v>
      </c>
      <c r="I2309" s="47" t="s">
        <v>101</v>
      </c>
      <c r="J2309" s="48">
        <v>0</v>
      </c>
      <c r="K2309" s="48">
        <v>0</v>
      </c>
      <c r="R2309" s="46">
        <f t="shared" si="229"/>
        <v>0</v>
      </c>
      <c r="S2309" s="46">
        <f t="shared" si="230"/>
        <v>0</v>
      </c>
      <c r="T2309" s="46">
        <f t="shared" si="228"/>
        <v>0</v>
      </c>
      <c r="U2309" s="46">
        <f t="shared" si="231"/>
        <v>0</v>
      </c>
      <c r="V2309" s="54">
        <f t="shared" si="232"/>
        <v>6.25</v>
      </c>
    </row>
    <row r="2310" spans="1:22" x14ac:dyDescent="0.2">
      <c r="A2310" s="46" t="s">
        <v>197</v>
      </c>
      <c r="B2310" s="46" t="s">
        <v>52</v>
      </c>
      <c r="C2310" s="46" t="s">
        <v>90</v>
      </c>
      <c r="D2310" s="46" t="s">
        <v>178</v>
      </c>
      <c r="E2310" s="46">
        <v>3</v>
      </c>
      <c r="F2310" s="46" t="s">
        <v>61</v>
      </c>
      <c r="G2310" s="46">
        <v>1</v>
      </c>
      <c r="H2310" s="47" t="s">
        <v>78</v>
      </c>
      <c r="I2310" s="47" t="s">
        <v>101</v>
      </c>
      <c r="J2310" s="48">
        <v>0</v>
      </c>
      <c r="K2310" s="48">
        <v>0</v>
      </c>
      <c r="R2310" s="46">
        <f t="shared" si="229"/>
        <v>0</v>
      </c>
      <c r="S2310" s="46">
        <f t="shared" si="230"/>
        <v>0</v>
      </c>
      <c r="T2310" s="46">
        <f t="shared" si="228"/>
        <v>0</v>
      </c>
      <c r="U2310" s="46">
        <f t="shared" si="231"/>
        <v>0</v>
      </c>
      <c r="V2310" s="54">
        <f t="shared" si="232"/>
        <v>6.25</v>
      </c>
    </row>
    <row r="2311" spans="1:22" x14ac:dyDescent="0.2">
      <c r="A2311" s="46" t="s">
        <v>197</v>
      </c>
      <c r="B2311" s="46" t="s">
        <v>207</v>
      </c>
      <c r="C2311" s="46" t="s">
        <v>90</v>
      </c>
      <c r="D2311" s="46" t="s">
        <v>178</v>
      </c>
      <c r="E2311" s="46">
        <v>2</v>
      </c>
      <c r="F2311" s="46" t="s">
        <v>60</v>
      </c>
      <c r="G2311" s="46">
        <v>1</v>
      </c>
      <c r="H2311" s="47">
        <v>13</v>
      </c>
      <c r="I2311" s="47" t="s">
        <v>101</v>
      </c>
      <c r="J2311" s="48">
        <v>1</v>
      </c>
      <c r="K2311" s="48">
        <v>0</v>
      </c>
      <c r="P2311" s="48">
        <v>1</v>
      </c>
      <c r="R2311" s="46">
        <f t="shared" si="229"/>
        <v>0</v>
      </c>
      <c r="S2311" s="46">
        <f t="shared" si="230"/>
        <v>0</v>
      </c>
      <c r="T2311" s="46">
        <f t="shared" si="228"/>
        <v>20</v>
      </c>
      <c r="U2311" s="46">
        <f t="shared" si="231"/>
        <v>30</v>
      </c>
      <c r="V2311" s="54">
        <f t="shared" si="232"/>
        <v>6.25</v>
      </c>
    </row>
    <row r="2312" spans="1:22" x14ac:dyDescent="0.2">
      <c r="A2312" s="46" t="s">
        <v>197</v>
      </c>
      <c r="B2312" s="46" t="s">
        <v>52</v>
      </c>
      <c r="C2312" s="46" t="s">
        <v>90</v>
      </c>
      <c r="D2312" s="46" t="s">
        <v>178</v>
      </c>
      <c r="E2312" s="46">
        <v>4</v>
      </c>
      <c r="F2312" s="46" t="s">
        <v>60</v>
      </c>
      <c r="G2312" s="46">
        <v>2</v>
      </c>
      <c r="H2312" s="47">
        <v>18</v>
      </c>
      <c r="I2312" s="47" t="s">
        <v>127</v>
      </c>
      <c r="J2312" s="48">
        <v>1</v>
      </c>
      <c r="K2312" s="48">
        <v>0</v>
      </c>
      <c r="O2312" s="48">
        <v>1</v>
      </c>
      <c r="R2312" s="46">
        <f t="shared" si="229"/>
        <v>0</v>
      </c>
      <c r="S2312" s="46">
        <f t="shared" si="230"/>
        <v>0</v>
      </c>
      <c r="T2312" s="46">
        <f t="shared" si="228"/>
        <v>20</v>
      </c>
      <c r="U2312" s="46">
        <f t="shared" si="231"/>
        <v>30</v>
      </c>
      <c r="V2312" s="54">
        <f t="shared" si="232"/>
        <v>6.25</v>
      </c>
    </row>
    <row r="2313" spans="1:22" x14ac:dyDescent="0.2">
      <c r="A2313" s="46" t="s">
        <v>197</v>
      </c>
      <c r="B2313" s="46" t="s">
        <v>52</v>
      </c>
      <c r="C2313" s="46" t="s">
        <v>90</v>
      </c>
      <c r="D2313" s="46" t="s">
        <v>178</v>
      </c>
      <c r="E2313" s="46">
        <v>4</v>
      </c>
      <c r="F2313" s="46" t="s">
        <v>60</v>
      </c>
      <c r="G2313" s="46">
        <v>3</v>
      </c>
      <c r="H2313" s="47">
        <v>27</v>
      </c>
      <c r="I2313" s="47" t="s">
        <v>159</v>
      </c>
      <c r="J2313" s="48">
        <v>1</v>
      </c>
      <c r="K2313" s="48">
        <v>0</v>
      </c>
      <c r="O2313" s="48">
        <v>1</v>
      </c>
      <c r="R2313" s="46">
        <f t="shared" si="229"/>
        <v>0</v>
      </c>
      <c r="S2313" s="46">
        <f t="shared" si="230"/>
        <v>0</v>
      </c>
      <c r="T2313" s="46">
        <f t="shared" si="228"/>
        <v>20</v>
      </c>
      <c r="U2313" s="46">
        <f t="shared" si="231"/>
        <v>30</v>
      </c>
      <c r="V2313" s="54">
        <f t="shared" si="232"/>
        <v>6.25</v>
      </c>
    </row>
    <row r="2314" spans="1:22" x14ac:dyDescent="0.2">
      <c r="A2314" s="46" t="s">
        <v>197</v>
      </c>
      <c r="B2314" s="46" t="s">
        <v>207</v>
      </c>
      <c r="C2314" s="46" t="s">
        <v>90</v>
      </c>
      <c r="D2314" s="46" t="s">
        <v>178</v>
      </c>
      <c r="E2314" s="46">
        <v>2</v>
      </c>
      <c r="F2314" s="46" t="s">
        <v>60</v>
      </c>
      <c r="G2314" s="46">
        <v>3</v>
      </c>
      <c r="H2314" s="47">
        <v>47</v>
      </c>
      <c r="I2314" s="47" t="s">
        <v>116</v>
      </c>
      <c r="J2314" s="48">
        <v>1</v>
      </c>
      <c r="K2314" s="48">
        <v>1</v>
      </c>
      <c r="O2314" s="48">
        <v>1</v>
      </c>
      <c r="R2314" s="46">
        <f t="shared" si="229"/>
        <v>0</v>
      </c>
      <c r="S2314" s="46">
        <f t="shared" si="230"/>
        <v>0</v>
      </c>
      <c r="T2314" s="46">
        <f t="shared" si="228"/>
        <v>20</v>
      </c>
      <c r="U2314" s="46">
        <f t="shared" si="231"/>
        <v>30</v>
      </c>
      <c r="V2314" s="54">
        <f t="shared" si="232"/>
        <v>6.25</v>
      </c>
    </row>
    <row r="2315" spans="1:22" x14ac:dyDescent="0.2">
      <c r="A2315" s="46" t="s">
        <v>197</v>
      </c>
      <c r="B2315" s="46" t="s">
        <v>52</v>
      </c>
      <c r="C2315" s="46" t="s">
        <v>90</v>
      </c>
      <c r="D2315" s="46" t="s">
        <v>178</v>
      </c>
      <c r="E2315" s="46">
        <v>3</v>
      </c>
      <c r="F2315" s="46" t="s">
        <v>61</v>
      </c>
      <c r="G2315" s="46">
        <v>1</v>
      </c>
      <c r="H2315" s="47" t="s">
        <v>69</v>
      </c>
      <c r="I2315" s="47" t="s">
        <v>101</v>
      </c>
      <c r="J2315" s="48">
        <v>1</v>
      </c>
      <c r="K2315" s="48">
        <v>0</v>
      </c>
      <c r="O2315" s="48">
        <v>1</v>
      </c>
      <c r="R2315" s="46">
        <f t="shared" si="229"/>
        <v>0</v>
      </c>
      <c r="S2315" s="46">
        <f t="shared" si="230"/>
        <v>0</v>
      </c>
      <c r="T2315" s="46">
        <f t="shared" si="228"/>
        <v>20</v>
      </c>
      <c r="U2315" s="46">
        <f t="shared" si="231"/>
        <v>30</v>
      </c>
      <c r="V2315" s="54">
        <f t="shared" si="232"/>
        <v>6.25</v>
      </c>
    </row>
    <row r="2316" spans="1:22" x14ac:dyDescent="0.2">
      <c r="A2316" s="46" t="s">
        <v>197</v>
      </c>
      <c r="B2316" s="46" t="s">
        <v>52</v>
      </c>
      <c r="C2316" s="46" t="s">
        <v>90</v>
      </c>
      <c r="D2316" s="46" t="s">
        <v>178</v>
      </c>
      <c r="E2316" s="46">
        <v>3</v>
      </c>
      <c r="F2316" s="46" t="s">
        <v>60</v>
      </c>
      <c r="G2316" s="46">
        <v>4</v>
      </c>
      <c r="H2316" s="47">
        <v>4</v>
      </c>
      <c r="I2316" s="47" t="s">
        <v>102</v>
      </c>
      <c r="J2316" s="48">
        <v>2</v>
      </c>
      <c r="K2316" s="48">
        <v>1</v>
      </c>
      <c r="O2316" s="48">
        <v>1</v>
      </c>
      <c r="R2316" s="46">
        <f t="shared" si="229"/>
        <v>0</v>
      </c>
      <c r="S2316" s="46">
        <f t="shared" si="230"/>
        <v>0</v>
      </c>
      <c r="T2316" s="46">
        <f t="shared" ref="T2316:T2379" si="233">quizscore(J2316,K2316)</f>
        <v>40</v>
      </c>
      <c r="U2316" s="46">
        <f t="shared" si="231"/>
        <v>50</v>
      </c>
      <c r="V2316" s="54">
        <f t="shared" si="232"/>
        <v>6.25</v>
      </c>
    </row>
    <row r="2317" spans="1:22" x14ac:dyDescent="0.2">
      <c r="A2317" s="46" t="s">
        <v>22</v>
      </c>
      <c r="B2317" s="46" t="s">
        <v>53</v>
      </c>
      <c r="C2317" s="46" t="s">
        <v>92</v>
      </c>
      <c r="D2317" s="46" t="s">
        <v>178</v>
      </c>
      <c r="E2317" s="46">
        <v>2</v>
      </c>
      <c r="F2317" s="46" t="s">
        <v>60</v>
      </c>
      <c r="G2317" s="46">
        <v>3</v>
      </c>
      <c r="H2317" s="47">
        <v>23</v>
      </c>
      <c r="I2317" s="47" t="s">
        <v>116</v>
      </c>
      <c r="J2317" s="48">
        <v>1</v>
      </c>
      <c r="K2317" s="48">
        <v>3</v>
      </c>
      <c r="L2317" s="48">
        <v>1</v>
      </c>
      <c r="R2317" s="46">
        <f t="shared" si="229"/>
        <v>0</v>
      </c>
      <c r="S2317" s="46">
        <f t="shared" si="230"/>
        <v>1</v>
      </c>
      <c r="T2317" s="46">
        <f t="shared" si="233"/>
        <v>0</v>
      </c>
      <c r="U2317" s="46">
        <f t="shared" si="231"/>
        <v>-5</v>
      </c>
      <c r="V2317" s="54">
        <f t="shared" si="232"/>
        <v>63.666666666666664</v>
      </c>
    </row>
    <row r="2318" spans="1:22" x14ac:dyDescent="0.2">
      <c r="A2318" s="46" t="s">
        <v>22</v>
      </c>
      <c r="B2318" s="46" t="s">
        <v>53</v>
      </c>
      <c r="C2318" s="46" t="s">
        <v>92</v>
      </c>
      <c r="D2318" s="46" t="s">
        <v>178</v>
      </c>
      <c r="E2318" s="46">
        <v>3</v>
      </c>
      <c r="F2318" s="46" t="s">
        <v>60</v>
      </c>
      <c r="G2318" s="46">
        <v>4</v>
      </c>
      <c r="H2318" s="47">
        <v>28</v>
      </c>
      <c r="I2318" s="47" t="s">
        <v>102</v>
      </c>
      <c r="J2318" s="48">
        <v>1</v>
      </c>
      <c r="K2318" s="48">
        <v>3</v>
      </c>
      <c r="R2318" s="46">
        <f t="shared" si="229"/>
        <v>0</v>
      </c>
      <c r="S2318" s="46">
        <f t="shared" si="230"/>
        <v>1</v>
      </c>
      <c r="T2318" s="46">
        <f t="shared" si="233"/>
        <v>0</v>
      </c>
      <c r="U2318" s="46">
        <f t="shared" si="231"/>
        <v>0</v>
      </c>
      <c r="V2318" s="54">
        <f t="shared" si="232"/>
        <v>63.666666666666664</v>
      </c>
    </row>
    <row r="2319" spans="1:22" x14ac:dyDescent="0.2">
      <c r="A2319" s="46" t="s">
        <v>22</v>
      </c>
      <c r="B2319" s="46" t="s">
        <v>51</v>
      </c>
      <c r="C2319" s="46" t="s">
        <v>92</v>
      </c>
      <c r="D2319" s="46" t="s">
        <v>178</v>
      </c>
      <c r="E2319" s="46">
        <v>1</v>
      </c>
      <c r="F2319" s="46" t="s">
        <v>61</v>
      </c>
      <c r="G2319" s="46">
        <v>1</v>
      </c>
      <c r="H2319" s="47" t="s">
        <v>70</v>
      </c>
      <c r="I2319" s="47" t="s">
        <v>101</v>
      </c>
      <c r="J2319" s="48">
        <v>1</v>
      </c>
      <c r="K2319" s="48">
        <v>2</v>
      </c>
      <c r="N2319" s="48">
        <v>1</v>
      </c>
      <c r="R2319" s="46">
        <f t="shared" si="229"/>
        <v>0</v>
      </c>
      <c r="S2319" s="46">
        <f t="shared" si="230"/>
        <v>0</v>
      </c>
      <c r="T2319" s="46">
        <f t="shared" si="233"/>
        <v>10</v>
      </c>
      <c r="U2319" s="46">
        <f t="shared" si="231"/>
        <v>5</v>
      </c>
      <c r="V2319" s="54">
        <f t="shared" si="232"/>
        <v>63.666666666666664</v>
      </c>
    </row>
    <row r="2320" spans="1:22" x14ac:dyDescent="0.2">
      <c r="A2320" s="46" t="s">
        <v>22</v>
      </c>
      <c r="B2320" s="46" t="s">
        <v>53</v>
      </c>
      <c r="C2320" s="46" t="s">
        <v>92</v>
      </c>
      <c r="D2320" s="46" t="s">
        <v>178</v>
      </c>
      <c r="E2320" s="46">
        <v>2</v>
      </c>
      <c r="F2320" s="46" t="s">
        <v>61</v>
      </c>
      <c r="G2320" s="46">
        <v>1</v>
      </c>
      <c r="H2320" s="47" t="s">
        <v>74</v>
      </c>
      <c r="I2320" s="47" t="s">
        <v>101</v>
      </c>
      <c r="J2320" s="48">
        <v>2</v>
      </c>
      <c r="K2320" s="48">
        <v>3</v>
      </c>
      <c r="M2320" s="48">
        <v>1</v>
      </c>
      <c r="R2320" s="46">
        <f t="shared" si="229"/>
        <v>0</v>
      </c>
      <c r="S2320" s="46">
        <f t="shared" si="230"/>
        <v>1</v>
      </c>
      <c r="T2320" s="46">
        <f t="shared" si="233"/>
        <v>20</v>
      </c>
      <c r="U2320" s="46">
        <f t="shared" si="231"/>
        <v>40</v>
      </c>
      <c r="V2320" s="54">
        <f t="shared" si="232"/>
        <v>63.666666666666664</v>
      </c>
    </row>
    <row r="2321" spans="1:22" x14ac:dyDescent="0.2">
      <c r="A2321" s="46" t="s">
        <v>22</v>
      </c>
      <c r="B2321" s="46" t="s">
        <v>53</v>
      </c>
      <c r="C2321" s="46" t="s">
        <v>92</v>
      </c>
      <c r="D2321" s="46" t="s">
        <v>178</v>
      </c>
      <c r="E2321" s="46">
        <v>3</v>
      </c>
      <c r="F2321" s="46" t="s">
        <v>61</v>
      </c>
      <c r="G2321" s="46">
        <v>1</v>
      </c>
      <c r="H2321" s="47" t="s">
        <v>74</v>
      </c>
      <c r="I2321" s="47" t="s">
        <v>101</v>
      </c>
      <c r="J2321" s="48">
        <v>1</v>
      </c>
      <c r="K2321" s="48">
        <v>1</v>
      </c>
      <c r="R2321" s="46">
        <f t="shared" si="229"/>
        <v>0</v>
      </c>
      <c r="S2321" s="46">
        <f t="shared" si="230"/>
        <v>0</v>
      </c>
      <c r="T2321" s="46">
        <f t="shared" si="233"/>
        <v>20</v>
      </c>
      <c r="U2321" s="46">
        <f t="shared" si="231"/>
        <v>20</v>
      </c>
      <c r="V2321" s="54">
        <f t="shared" si="232"/>
        <v>63.666666666666664</v>
      </c>
    </row>
    <row r="2322" spans="1:22" x14ac:dyDescent="0.2">
      <c r="A2322" s="46" t="s">
        <v>22</v>
      </c>
      <c r="B2322" s="46" t="s">
        <v>53</v>
      </c>
      <c r="C2322" s="46" t="s">
        <v>92</v>
      </c>
      <c r="D2322" s="46" t="s">
        <v>178</v>
      </c>
      <c r="E2322" s="46">
        <v>4</v>
      </c>
      <c r="F2322" s="46" t="s">
        <v>60</v>
      </c>
      <c r="G2322" s="46">
        <v>1</v>
      </c>
      <c r="H2322" s="47">
        <v>1</v>
      </c>
      <c r="I2322" s="47" t="s">
        <v>101</v>
      </c>
      <c r="J2322" s="48">
        <v>2</v>
      </c>
      <c r="K2322" s="48">
        <v>2</v>
      </c>
      <c r="M2322" s="48">
        <v>1</v>
      </c>
      <c r="R2322" s="46">
        <f t="shared" si="229"/>
        <v>0</v>
      </c>
      <c r="S2322" s="46">
        <f t="shared" si="230"/>
        <v>0</v>
      </c>
      <c r="T2322" s="46">
        <f t="shared" si="233"/>
        <v>30</v>
      </c>
      <c r="U2322" s="46">
        <f t="shared" si="231"/>
        <v>50</v>
      </c>
      <c r="V2322" s="54">
        <f t="shared" si="232"/>
        <v>63.666666666666664</v>
      </c>
    </row>
    <row r="2323" spans="1:22" x14ac:dyDescent="0.2">
      <c r="A2323" s="46" t="s">
        <v>22</v>
      </c>
      <c r="B2323" s="46" t="s">
        <v>53</v>
      </c>
      <c r="C2323" s="46" t="s">
        <v>92</v>
      </c>
      <c r="D2323" s="46" t="s">
        <v>178</v>
      </c>
      <c r="E2323" s="46">
        <v>2</v>
      </c>
      <c r="F2323" s="46" t="s">
        <v>61</v>
      </c>
      <c r="G2323" s="46">
        <v>2</v>
      </c>
      <c r="H2323" s="47" t="s">
        <v>76</v>
      </c>
      <c r="I2323" s="47" t="s">
        <v>127</v>
      </c>
      <c r="J2323" s="48">
        <v>2</v>
      </c>
      <c r="K2323" s="48">
        <v>2</v>
      </c>
      <c r="L2323" s="48">
        <v>1</v>
      </c>
      <c r="N2323" s="48">
        <v>1</v>
      </c>
      <c r="R2323" s="46">
        <f t="shared" si="229"/>
        <v>0</v>
      </c>
      <c r="S2323" s="46">
        <f t="shared" si="230"/>
        <v>0</v>
      </c>
      <c r="T2323" s="46">
        <f t="shared" si="233"/>
        <v>30</v>
      </c>
      <c r="U2323" s="46">
        <f t="shared" si="231"/>
        <v>20</v>
      </c>
      <c r="V2323" s="54">
        <f t="shared" si="232"/>
        <v>63.666666666666664</v>
      </c>
    </row>
    <row r="2324" spans="1:22" x14ac:dyDescent="0.2">
      <c r="A2324" s="46" t="s">
        <v>22</v>
      </c>
      <c r="B2324" s="46" t="s">
        <v>53</v>
      </c>
      <c r="C2324" s="46" t="s">
        <v>92</v>
      </c>
      <c r="D2324" s="46" t="s">
        <v>178</v>
      </c>
      <c r="E2324" s="46">
        <v>3</v>
      </c>
      <c r="F2324" s="46" t="s">
        <v>61</v>
      </c>
      <c r="G2324" s="46">
        <v>2</v>
      </c>
      <c r="H2324" s="47" t="s">
        <v>76</v>
      </c>
      <c r="I2324" s="47" t="s">
        <v>127</v>
      </c>
      <c r="J2324" s="48">
        <v>2</v>
      </c>
      <c r="K2324" s="48">
        <v>2</v>
      </c>
      <c r="R2324" s="46">
        <f t="shared" si="229"/>
        <v>0</v>
      </c>
      <c r="S2324" s="46">
        <f t="shared" si="230"/>
        <v>0</v>
      </c>
      <c r="T2324" s="46">
        <f t="shared" si="233"/>
        <v>30</v>
      </c>
      <c r="U2324" s="46">
        <f t="shared" si="231"/>
        <v>30</v>
      </c>
      <c r="V2324" s="54">
        <f t="shared" si="232"/>
        <v>63.666666666666664</v>
      </c>
    </row>
    <row r="2325" spans="1:22" x14ac:dyDescent="0.2">
      <c r="A2325" s="46" t="s">
        <v>22</v>
      </c>
      <c r="B2325" s="46" t="s">
        <v>53</v>
      </c>
      <c r="C2325" s="46" t="s">
        <v>92</v>
      </c>
      <c r="D2325" s="46" t="s">
        <v>178</v>
      </c>
      <c r="E2325" s="46">
        <v>2</v>
      </c>
      <c r="F2325" s="46" t="s">
        <v>60</v>
      </c>
      <c r="G2325" s="46">
        <v>2</v>
      </c>
      <c r="H2325" s="47">
        <v>10</v>
      </c>
      <c r="I2325" s="47" t="s">
        <v>127</v>
      </c>
      <c r="J2325" s="48">
        <v>3</v>
      </c>
      <c r="K2325" s="48">
        <v>3</v>
      </c>
      <c r="R2325" s="46">
        <f t="shared" si="229"/>
        <v>0</v>
      </c>
      <c r="S2325" s="46">
        <f t="shared" si="230"/>
        <v>1</v>
      </c>
      <c r="T2325" s="46">
        <f t="shared" si="233"/>
        <v>40</v>
      </c>
      <c r="U2325" s="46">
        <f t="shared" si="231"/>
        <v>40</v>
      </c>
      <c r="V2325" s="54">
        <f t="shared" si="232"/>
        <v>63.666666666666664</v>
      </c>
    </row>
    <row r="2326" spans="1:22" x14ac:dyDescent="0.2">
      <c r="A2326" s="46" t="s">
        <v>22</v>
      </c>
      <c r="B2326" s="46" t="s">
        <v>53</v>
      </c>
      <c r="C2326" s="46" t="s">
        <v>92</v>
      </c>
      <c r="D2326" s="46" t="s">
        <v>178</v>
      </c>
      <c r="E2326" s="46">
        <v>4</v>
      </c>
      <c r="F2326" s="46" t="s">
        <v>60</v>
      </c>
      <c r="G2326" s="46">
        <v>4</v>
      </c>
      <c r="H2326" s="47">
        <v>12</v>
      </c>
      <c r="I2326" s="47" t="s">
        <v>102</v>
      </c>
      <c r="J2326" s="48">
        <v>3</v>
      </c>
      <c r="K2326" s="48">
        <v>3</v>
      </c>
      <c r="R2326" s="46">
        <f t="shared" si="229"/>
        <v>0</v>
      </c>
      <c r="S2326" s="46">
        <f t="shared" si="230"/>
        <v>1</v>
      </c>
      <c r="T2326" s="46">
        <f t="shared" si="233"/>
        <v>40</v>
      </c>
      <c r="U2326" s="46">
        <f t="shared" si="231"/>
        <v>40</v>
      </c>
      <c r="V2326" s="54">
        <f t="shared" si="232"/>
        <v>63.666666666666664</v>
      </c>
    </row>
    <row r="2327" spans="1:22" x14ac:dyDescent="0.2">
      <c r="A2327" s="46" t="s">
        <v>22</v>
      </c>
      <c r="B2327" s="46" t="s">
        <v>53</v>
      </c>
      <c r="C2327" s="46" t="s">
        <v>92</v>
      </c>
      <c r="D2327" s="46" t="s">
        <v>178</v>
      </c>
      <c r="E2327" s="46">
        <v>3</v>
      </c>
      <c r="F2327" s="46" t="s">
        <v>60</v>
      </c>
      <c r="G2327" s="46">
        <v>2</v>
      </c>
      <c r="H2327" s="47">
        <v>18</v>
      </c>
      <c r="I2327" s="47" t="s">
        <v>127</v>
      </c>
      <c r="J2327" s="48">
        <v>3</v>
      </c>
      <c r="K2327" s="48">
        <v>3</v>
      </c>
      <c r="R2327" s="46">
        <f t="shared" si="229"/>
        <v>0</v>
      </c>
      <c r="S2327" s="46">
        <f t="shared" si="230"/>
        <v>1</v>
      </c>
      <c r="T2327" s="46">
        <f t="shared" si="233"/>
        <v>40</v>
      </c>
      <c r="U2327" s="46">
        <f t="shared" si="231"/>
        <v>40</v>
      </c>
      <c r="V2327" s="54">
        <f t="shared" si="232"/>
        <v>63.666666666666664</v>
      </c>
    </row>
    <row r="2328" spans="1:22" x14ac:dyDescent="0.2">
      <c r="A2328" s="46" t="s">
        <v>22</v>
      </c>
      <c r="B2328" s="46" t="s">
        <v>53</v>
      </c>
      <c r="C2328" s="46" t="s">
        <v>92</v>
      </c>
      <c r="D2328" s="46" t="s">
        <v>178</v>
      </c>
      <c r="E2328" s="46">
        <v>4</v>
      </c>
      <c r="F2328" s="46" t="s">
        <v>60</v>
      </c>
      <c r="G2328" s="46">
        <v>1</v>
      </c>
      <c r="H2328" s="47">
        <v>41</v>
      </c>
      <c r="I2328" s="47" t="s">
        <v>101</v>
      </c>
      <c r="J2328" s="48">
        <v>3</v>
      </c>
      <c r="K2328" s="48">
        <v>3</v>
      </c>
      <c r="R2328" s="46">
        <f t="shared" si="229"/>
        <v>0</v>
      </c>
      <c r="S2328" s="46">
        <f t="shared" si="230"/>
        <v>1</v>
      </c>
      <c r="T2328" s="46">
        <f t="shared" si="233"/>
        <v>40</v>
      </c>
      <c r="U2328" s="46">
        <f t="shared" si="231"/>
        <v>40</v>
      </c>
      <c r="V2328" s="54">
        <f t="shared" si="232"/>
        <v>63.666666666666664</v>
      </c>
    </row>
    <row r="2329" spans="1:22" x14ac:dyDescent="0.2">
      <c r="A2329" s="46" t="s">
        <v>22</v>
      </c>
      <c r="B2329" s="46" t="s">
        <v>53</v>
      </c>
      <c r="C2329" s="46" t="s">
        <v>92</v>
      </c>
      <c r="D2329" s="46" t="s">
        <v>178</v>
      </c>
      <c r="E2329" s="46">
        <v>3</v>
      </c>
      <c r="F2329" s="46" t="s">
        <v>60</v>
      </c>
      <c r="G2329" s="46">
        <v>3</v>
      </c>
      <c r="H2329" s="47">
        <v>47</v>
      </c>
      <c r="I2329" s="47" t="s">
        <v>116</v>
      </c>
      <c r="J2329" s="48">
        <v>2</v>
      </c>
      <c r="K2329" s="48">
        <v>1</v>
      </c>
      <c r="R2329" s="46">
        <f t="shared" si="229"/>
        <v>0</v>
      </c>
      <c r="S2329" s="46">
        <f t="shared" si="230"/>
        <v>0</v>
      </c>
      <c r="T2329" s="46">
        <f t="shared" si="233"/>
        <v>40</v>
      </c>
      <c r="U2329" s="46">
        <f t="shared" si="231"/>
        <v>40</v>
      </c>
      <c r="V2329" s="54">
        <f t="shared" si="232"/>
        <v>63.666666666666664</v>
      </c>
    </row>
    <row r="2330" spans="1:22" x14ac:dyDescent="0.2">
      <c r="A2330" s="46" t="s">
        <v>22</v>
      </c>
      <c r="B2330" s="46" t="s">
        <v>53</v>
      </c>
      <c r="C2330" s="46" t="s">
        <v>92</v>
      </c>
      <c r="D2330" s="46" t="s">
        <v>178</v>
      </c>
      <c r="E2330" s="46">
        <v>4</v>
      </c>
      <c r="F2330" s="46" t="s">
        <v>62</v>
      </c>
      <c r="G2330" s="46">
        <v>3</v>
      </c>
      <c r="H2330" s="47" t="s">
        <v>80</v>
      </c>
      <c r="I2330" s="47" t="s">
        <v>219</v>
      </c>
      <c r="J2330" s="48">
        <v>3</v>
      </c>
      <c r="K2330" s="48">
        <v>3</v>
      </c>
      <c r="R2330" s="46">
        <f t="shared" si="229"/>
        <v>0</v>
      </c>
      <c r="S2330" s="46">
        <f t="shared" si="230"/>
        <v>1</v>
      </c>
      <c r="T2330" s="46">
        <f t="shared" si="233"/>
        <v>40</v>
      </c>
      <c r="U2330" s="46">
        <f t="shared" si="231"/>
        <v>40</v>
      </c>
      <c r="V2330" s="54">
        <f t="shared" si="232"/>
        <v>63.666666666666664</v>
      </c>
    </row>
    <row r="2331" spans="1:22" x14ac:dyDescent="0.2">
      <c r="A2331" s="46" t="s">
        <v>22</v>
      </c>
      <c r="B2331" s="46" t="s">
        <v>53</v>
      </c>
      <c r="C2331" s="46" t="s">
        <v>92</v>
      </c>
      <c r="D2331" s="46" t="s">
        <v>178</v>
      </c>
      <c r="E2331" s="46">
        <v>3</v>
      </c>
      <c r="F2331" s="46" t="s">
        <v>60</v>
      </c>
      <c r="G2331" s="46">
        <v>3</v>
      </c>
      <c r="H2331" s="47">
        <v>7</v>
      </c>
      <c r="I2331" s="47" t="s">
        <v>116</v>
      </c>
      <c r="J2331" s="48">
        <v>3</v>
      </c>
      <c r="K2331" s="48">
        <v>2</v>
      </c>
      <c r="M2331" s="48">
        <v>1</v>
      </c>
      <c r="R2331" s="46">
        <f t="shared" si="229"/>
        <v>0</v>
      </c>
      <c r="S2331" s="46">
        <f t="shared" si="230"/>
        <v>0</v>
      </c>
      <c r="T2331" s="46">
        <f t="shared" si="233"/>
        <v>50</v>
      </c>
      <c r="U2331" s="46">
        <f t="shared" si="231"/>
        <v>70</v>
      </c>
      <c r="V2331" s="54">
        <f t="shared" si="232"/>
        <v>63.666666666666664</v>
      </c>
    </row>
    <row r="2332" spans="1:22" x14ac:dyDescent="0.2">
      <c r="A2332" s="46" t="s">
        <v>22</v>
      </c>
      <c r="B2332" s="46" t="s">
        <v>53</v>
      </c>
      <c r="C2332" s="46" t="s">
        <v>92</v>
      </c>
      <c r="D2332" s="46" t="s">
        <v>178</v>
      </c>
      <c r="E2332" s="46">
        <v>4</v>
      </c>
      <c r="F2332" s="46" t="s">
        <v>60</v>
      </c>
      <c r="G2332" s="46">
        <v>4</v>
      </c>
      <c r="H2332" s="47">
        <v>20</v>
      </c>
      <c r="I2332" s="47" t="s">
        <v>102</v>
      </c>
      <c r="J2332" s="48">
        <v>3</v>
      </c>
      <c r="K2332" s="48">
        <v>2</v>
      </c>
      <c r="R2332" s="46">
        <f t="shared" si="229"/>
        <v>0</v>
      </c>
      <c r="S2332" s="46">
        <f t="shared" si="230"/>
        <v>0</v>
      </c>
      <c r="T2332" s="46">
        <f t="shared" si="233"/>
        <v>50</v>
      </c>
      <c r="U2332" s="46">
        <f t="shared" si="231"/>
        <v>50</v>
      </c>
      <c r="V2332" s="54">
        <f t="shared" si="232"/>
        <v>63.666666666666664</v>
      </c>
    </row>
    <row r="2333" spans="1:22" x14ac:dyDescent="0.2">
      <c r="A2333" s="46" t="s">
        <v>22</v>
      </c>
      <c r="B2333" s="46" t="s">
        <v>51</v>
      </c>
      <c r="C2333" s="46" t="s">
        <v>92</v>
      </c>
      <c r="D2333" s="46" t="s">
        <v>178</v>
      </c>
      <c r="E2333" s="46">
        <v>1</v>
      </c>
      <c r="F2333" s="46" t="s">
        <v>60</v>
      </c>
      <c r="G2333" s="46">
        <v>1</v>
      </c>
      <c r="H2333" s="47">
        <v>13</v>
      </c>
      <c r="I2333" s="47" t="s">
        <v>101</v>
      </c>
      <c r="J2333" s="48">
        <v>3</v>
      </c>
      <c r="K2333" s="48">
        <v>1</v>
      </c>
      <c r="R2333" s="46">
        <f t="shared" si="229"/>
        <v>0</v>
      </c>
      <c r="S2333" s="46">
        <f t="shared" si="230"/>
        <v>0</v>
      </c>
      <c r="T2333" s="46">
        <f t="shared" si="233"/>
        <v>60</v>
      </c>
      <c r="U2333" s="46">
        <f t="shared" si="231"/>
        <v>60</v>
      </c>
      <c r="V2333" s="54">
        <f t="shared" si="232"/>
        <v>63.666666666666664</v>
      </c>
    </row>
    <row r="2334" spans="1:22" x14ac:dyDescent="0.2">
      <c r="A2334" s="46" t="s">
        <v>22</v>
      </c>
      <c r="B2334" s="46" t="s">
        <v>51</v>
      </c>
      <c r="C2334" s="46" t="s">
        <v>92</v>
      </c>
      <c r="D2334" s="46" t="s">
        <v>178</v>
      </c>
      <c r="E2334" s="46">
        <v>1</v>
      </c>
      <c r="F2334" s="46" t="s">
        <v>61</v>
      </c>
      <c r="G2334" s="46">
        <v>1</v>
      </c>
      <c r="H2334" s="47" t="s">
        <v>68</v>
      </c>
      <c r="I2334" s="47" t="s">
        <v>101</v>
      </c>
      <c r="J2334" s="48">
        <v>3</v>
      </c>
      <c r="K2334" s="48">
        <v>1</v>
      </c>
      <c r="R2334" s="46">
        <f t="shared" si="229"/>
        <v>0</v>
      </c>
      <c r="S2334" s="46">
        <f t="shared" si="230"/>
        <v>0</v>
      </c>
      <c r="T2334" s="46">
        <f t="shared" si="233"/>
        <v>60</v>
      </c>
      <c r="U2334" s="46">
        <f t="shared" si="231"/>
        <v>60</v>
      </c>
      <c r="V2334" s="54">
        <f t="shared" si="232"/>
        <v>63.666666666666664</v>
      </c>
    </row>
    <row r="2335" spans="1:22" x14ac:dyDescent="0.2">
      <c r="A2335" s="46" t="s">
        <v>22</v>
      </c>
      <c r="B2335" s="46" t="s">
        <v>51</v>
      </c>
      <c r="C2335" s="46" t="s">
        <v>92</v>
      </c>
      <c r="D2335" s="46" t="s">
        <v>178</v>
      </c>
      <c r="E2335" s="46">
        <v>1</v>
      </c>
      <c r="F2335" s="46" t="s">
        <v>60</v>
      </c>
      <c r="G2335" s="46">
        <v>2</v>
      </c>
      <c r="H2335" s="47">
        <v>2</v>
      </c>
      <c r="I2335" s="47" t="s">
        <v>127</v>
      </c>
      <c r="J2335" s="48">
        <v>4</v>
      </c>
      <c r="K2335" s="48">
        <v>2</v>
      </c>
      <c r="R2335" s="46">
        <f t="shared" si="229"/>
        <v>1</v>
      </c>
      <c r="S2335" s="46">
        <f t="shared" si="230"/>
        <v>0</v>
      </c>
      <c r="T2335" s="46">
        <f t="shared" si="233"/>
        <v>70</v>
      </c>
      <c r="U2335" s="46">
        <f t="shared" si="231"/>
        <v>70</v>
      </c>
      <c r="V2335" s="54">
        <f t="shared" si="232"/>
        <v>63.666666666666664</v>
      </c>
    </row>
    <row r="2336" spans="1:22" x14ac:dyDescent="0.2">
      <c r="A2336" s="46" t="s">
        <v>22</v>
      </c>
      <c r="B2336" s="46" t="s">
        <v>53</v>
      </c>
      <c r="C2336" s="46" t="s">
        <v>92</v>
      </c>
      <c r="D2336" s="46" t="s">
        <v>178</v>
      </c>
      <c r="E2336" s="46">
        <v>2</v>
      </c>
      <c r="F2336" s="46" t="s">
        <v>60</v>
      </c>
      <c r="G2336" s="46">
        <v>1</v>
      </c>
      <c r="H2336" s="47">
        <v>33</v>
      </c>
      <c r="I2336" s="47" t="s">
        <v>101</v>
      </c>
      <c r="J2336" s="48">
        <v>4</v>
      </c>
      <c r="K2336" s="48">
        <v>2</v>
      </c>
      <c r="R2336" s="46">
        <f t="shared" si="229"/>
        <v>1</v>
      </c>
      <c r="S2336" s="46">
        <f t="shared" si="230"/>
        <v>0</v>
      </c>
      <c r="T2336" s="46">
        <f t="shared" si="233"/>
        <v>70</v>
      </c>
      <c r="U2336" s="46">
        <f t="shared" si="231"/>
        <v>70</v>
      </c>
      <c r="V2336" s="54">
        <f t="shared" si="232"/>
        <v>63.666666666666664</v>
      </c>
    </row>
    <row r="2337" spans="1:22" x14ac:dyDescent="0.2">
      <c r="A2337" s="46" t="s">
        <v>22</v>
      </c>
      <c r="B2337" s="46" t="s">
        <v>53</v>
      </c>
      <c r="C2337" s="46" t="s">
        <v>92</v>
      </c>
      <c r="D2337" s="46" t="s">
        <v>178</v>
      </c>
      <c r="E2337" s="46">
        <v>3</v>
      </c>
      <c r="F2337" s="46" t="s">
        <v>60</v>
      </c>
      <c r="G2337" s="46">
        <v>1</v>
      </c>
      <c r="H2337" s="47">
        <v>37</v>
      </c>
      <c r="I2337" s="47" t="s">
        <v>101</v>
      </c>
      <c r="J2337" s="48">
        <v>4</v>
      </c>
      <c r="K2337" s="48">
        <v>2</v>
      </c>
      <c r="R2337" s="46">
        <f t="shared" si="229"/>
        <v>1</v>
      </c>
      <c r="S2337" s="46">
        <f t="shared" si="230"/>
        <v>0</v>
      </c>
      <c r="T2337" s="46">
        <f t="shared" si="233"/>
        <v>70</v>
      </c>
      <c r="U2337" s="46">
        <f t="shared" si="231"/>
        <v>70</v>
      </c>
      <c r="V2337" s="54">
        <f t="shared" si="232"/>
        <v>63.666666666666664</v>
      </c>
    </row>
    <row r="2338" spans="1:22" x14ac:dyDescent="0.2">
      <c r="A2338" s="46" t="s">
        <v>22</v>
      </c>
      <c r="B2338" s="46" t="s">
        <v>53</v>
      </c>
      <c r="C2338" s="46" t="s">
        <v>92</v>
      </c>
      <c r="D2338" s="46" t="s">
        <v>178</v>
      </c>
      <c r="E2338" s="46">
        <v>2</v>
      </c>
      <c r="F2338" s="46" t="s">
        <v>60</v>
      </c>
      <c r="G2338" s="46">
        <v>4</v>
      </c>
      <c r="H2338" s="47">
        <v>48</v>
      </c>
      <c r="I2338" s="47" t="s">
        <v>102</v>
      </c>
      <c r="J2338" s="48">
        <v>4</v>
      </c>
      <c r="K2338" s="48">
        <v>2</v>
      </c>
      <c r="R2338" s="46">
        <f t="shared" si="229"/>
        <v>1</v>
      </c>
      <c r="S2338" s="46">
        <f t="shared" si="230"/>
        <v>0</v>
      </c>
      <c r="T2338" s="46">
        <f t="shared" si="233"/>
        <v>70</v>
      </c>
      <c r="U2338" s="46">
        <f t="shared" si="231"/>
        <v>70</v>
      </c>
      <c r="V2338" s="54">
        <f t="shared" si="232"/>
        <v>63.666666666666664</v>
      </c>
    </row>
    <row r="2339" spans="1:22" x14ac:dyDescent="0.2">
      <c r="A2339" s="46" t="s">
        <v>22</v>
      </c>
      <c r="B2339" s="46" t="s">
        <v>51</v>
      </c>
      <c r="C2339" s="46" t="s">
        <v>92</v>
      </c>
      <c r="D2339" s="46" t="s">
        <v>178</v>
      </c>
      <c r="E2339" s="46">
        <v>1</v>
      </c>
      <c r="F2339" s="46" t="s">
        <v>60</v>
      </c>
      <c r="G2339" s="46">
        <v>2</v>
      </c>
      <c r="H2339" s="47">
        <v>30</v>
      </c>
      <c r="I2339" s="47" t="s">
        <v>127</v>
      </c>
      <c r="J2339" s="48">
        <v>4</v>
      </c>
      <c r="K2339" s="48">
        <v>1</v>
      </c>
      <c r="R2339" s="46">
        <f t="shared" si="229"/>
        <v>1</v>
      </c>
      <c r="S2339" s="46">
        <f t="shared" si="230"/>
        <v>0</v>
      </c>
      <c r="T2339" s="46">
        <f t="shared" si="233"/>
        <v>80</v>
      </c>
      <c r="U2339" s="46">
        <f t="shared" si="231"/>
        <v>80</v>
      </c>
      <c r="V2339" s="54">
        <f t="shared" si="232"/>
        <v>63.666666666666664</v>
      </c>
    </row>
    <row r="2340" spans="1:22" x14ac:dyDescent="0.2">
      <c r="A2340" s="46" t="s">
        <v>22</v>
      </c>
      <c r="B2340" s="46" t="s">
        <v>53</v>
      </c>
      <c r="C2340" s="46" t="s">
        <v>92</v>
      </c>
      <c r="D2340" s="46" t="s">
        <v>178</v>
      </c>
      <c r="E2340" s="46">
        <v>4</v>
      </c>
      <c r="F2340" s="46" t="s">
        <v>60</v>
      </c>
      <c r="G2340" s="46">
        <v>3</v>
      </c>
      <c r="H2340" s="47">
        <v>31</v>
      </c>
      <c r="I2340" s="47" t="s">
        <v>159</v>
      </c>
      <c r="J2340" s="48">
        <v>4</v>
      </c>
      <c r="K2340" s="48">
        <v>1</v>
      </c>
      <c r="R2340" s="46">
        <f t="shared" si="229"/>
        <v>1</v>
      </c>
      <c r="S2340" s="46">
        <f t="shared" si="230"/>
        <v>0</v>
      </c>
      <c r="T2340" s="46">
        <f t="shared" si="233"/>
        <v>80</v>
      </c>
      <c r="U2340" s="46">
        <f t="shared" si="231"/>
        <v>80</v>
      </c>
      <c r="V2340" s="54">
        <f t="shared" si="232"/>
        <v>63.666666666666664</v>
      </c>
    </row>
    <row r="2341" spans="1:22" x14ac:dyDescent="0.2">
      <c r="A2341" s="46" t="s">
        <v>22</v>
      </c>
      <c r="B2341" s="46" t="s">
        <v>51</v>
      </c>
      <c r="C2341" s="46" t="s">
        <v>92</v>
      </c>
      <c r="D2341" s="46" t="s">
        <v>178</v>
      </c>
      <c r="E2341" s="46">
        <v>1</v>
      </c>
      <c r="F2341" s="46" t="s">
        <v>60</v>
      </c>
      <c r="G2341" s="46">
        <v>1</v>
      </c>
      <c r="H2341" s="47">
        <v>37</v>
      </c>
      <c r="I2341" s="47" t="s">
        <v>101</v>
      </c>
      <c r="J2341" s="48">
        <v>4</v>
      </c>
      <c r="K2341" s="48">
        <v>1</v>
      </c>
      <c r="N2341" s="48">
        <v>1</v>
      </c>
      <c r="R2341" s="46">
        <f t="shared" si="229"/>
        <v>1</v>
      </c>
      <c r="S2341" s="46">
        <f t="shared" si="230"/>
        <v>0</v>
      </c>
      <c r="T2341" s="46">
        <f t="shared" si="233"/>
        <v>80</v>
      </c>
      <c r="U2341" s="46">
        <f t="shared" si="231"/>
        <v>75</v>
      </c>
      <c r="V2341" s="54">
        <f t="shared" si="232"/>
        <v>63.666666666666664</v>
      </c>
    </row>
    <row r="2342" spans="1:22" x14ac:dyDescent="0.2">
      <c r="A2342" s="46" t="s">
        <v>22</v>
      </c>
      <c r="B2342" s="46" t="s">
        <v>53</v>
      </c>
      <c r="C2342" s="46" t="s">
        <v>92</v>
      </c>
      <c r="D2342" s="46" t="s">
        <v>178</v>
      </c>
      <c r="E2342" s="46">
        <v>4</v>
      </c>
      <c r="F2342" s="46" t="s">
        <v>60</v>
      </c>
      <c r="G2342" s="46">
        <v>2</v>
      </c>
      <c r="H2342" s="47">
        <v>50</v>
      </c>
      <c r="I2342" s="47" t="s">
        <v>127</v>
      </c>
      <c r="J2342" s="48">
        <v>4</v>
      </c>
      <c r="K2342" s="48">
        <v>1</v>
      </c>
      <c r="R2342" s="46">
        <f t="shared" si="229"/>
        <v>1</v>
      </c>
      <c r="S2342" s="46">
        <f t="shared" si="230"/>
        <v>0</v>
      </c>
      <c r="T2342" s="46">
        <f t="shared" si="233"/>
        <v>80</v>
      </c>
      <c r="U2342" s="46">
        <f t="shared" si="231"/>
        <v>80</v>
      </c>
      <c r="V2342" s="54">
        <f t="shared" si="232"/>
        <v>63.666666666666664</v>
      </c>
    </row>
    <row r="2343" spans="1:22" x14ac:dyDescent="0.2">
      <c r="A2343" s="46" t="s">
        <v>22</v>
      </c>
      <c r="B2343" s="46" t="s">
        <v>53</v>
      </c>
      <c r="C2343" s="46" t="s">
        <v>92</v>
      </c>
      <c r="D2343" s="46" t="s">
        <v>178</v>
      </c>
      <c r="E2343" s="46">
        <v>4</v>
      </c>
      <c r="F2343" s="46" t="s">
        <v>62</v>
      </c>
      <c r="G2343" s="46">
        <v>2</v>
      </c>
      <c r="H2343" s="47" t="s">
        <v>82</v>
      </c>
      <c r="I2343" s="47" t="s">
        <v>127</v>
      </c>
      <c r="J2343" s="48">
        <v>4</v>
      </c>
      <c r="K2343" s="48">
        <v>1</v>
      </c>
      <c r="L2343" s="48">
        <v>1</v>
      </c>
      <c r="R2343" s="46">
        <f t="shared" si="229"/>
        <v>1</v>
      </c>
      <c r="S2343" s="46">
        <f t="shared" si="230"/>
        <v>0</v>
      </c>
      <c r="T2343" s="46">
        <f t="shared" si="233"/>
        <v>80</v>
      </c>
      <c r="U2343" s="46">
        <f t="shared" si="231"/>
        <v>75</v>
      </c>
      <c r="V2343" s="54">
        <f t="shared" si="232"/>
        <v>63.666666666666664</v>
      </c>
    </row>
    <row r="2344" spans="1:22" x14ac:dyDescent="0.2">
      <c r="A2344" s="46" t="s">
        <v>22</v>
      </c>
      <c r="B2344" s="46" t="s">
        <v>51</v>
      </c>
      <c r="C2344" s="46" t="s">
        <v>92</v>
      </c>
      <c r="D2344" s="46" t="s">
        <v>178</v>
      </c>
      <c r="E2344" s="46">
        <v>1</v>
      </c>
      <c r="F2344" s="46" t="s">
        <v>61</v>
      </c>
      <c r="G2344" s="46">
        <v>2</v>
      </c>
      <c r="H2344" s="47" t="s">
        <v>66</v>
      </c>
      <c r="I2344" s="47" t="s">
        <v>127</v>
      </c>
      <c r="J2344" s="48">
        <v>4</v>
      </c>
      <c r="K2344" s="48">
        <v>1</v>
      </c>
      <c r="R2344" s="46">
        <f t="shared" si="229"/>
        <v>1</v>
      </c>
      <c r="S2344" s="46">
        <f t="shared" si="230"/>
        <v>0</v>
      </c>
      <c r="T2344" s="46">
        <f t="shared" si="233"/>
        <v>80</v>
      </c>
      <c r="U2344" s="46">
        <f t="shared" si="231"/>
        <v>80</v>
      </c>
      <c r="V2344" s="54">
        <f t="shared" si="232"/>
        <v>63.666666666666664</v>
      </c>
    </row>
    <row r="2345" spans="1:22" x14ac:dyDescent="0.2">
      <c r="A2345" s="46" t="s">
        <v>22</v>
      </c>
      <c r="B2345" s="46" t="s">
        <v>53</v>
      </c>
      <c r="C2345" s="46" t="s">
        <v>92</v>
      </c>
      <c r="D2345" s="46" t="s">
        <v>178</v>
      </c>
      <c r="E2345" s="46">
        <v>2</v>
      </c>
      <c r="F2345" s="46" t="s">
        <v>60</v>
      </c>
      <c r="G2345" s="46">
        <v>3</v>
      </c>
      <c r="H2345" s="47">
        <v>3</v>
      </c>
      <c r="I2345" s="47" t="s">
        <v>116</v>
      </c>
      <c r="J2345" s="48">
        <v>4</v>
      </c>
      <c r="K2345" s="48">
        <v>0</v>
      </c>
      <c r="R2345" s="46">
        <f t="shared" si="229"/>
        <v>1</v>
      </c>
      <c r="S2345" s="46">
        <f t="shared" si="230"/>
        <v>0</v>
      </c>
      <c r="T2345" s="46">
        <f t="shared" si="233"/>
        <v>90</v>
      </c>
      <c r="U2345" s="46">
        <f t="shared" si="231"/>
        <v>90</v>
      </c>
      <c r="V2345" s="54">
        <f t="shared" si="232"/>
        <v>63.666666666666664</v>
      </c>
    </row>
    <row r="2346" spans="1:22" x14ac:dyDescent="0.2">
      <c r="A2346" s="46" t="s">
        <v>22</v>
      </c>
      <c r="B2346" s="46" t="s">
        <v>51</v>
      </c>
      <c r="C2346" s="46" t="s">
        <v>92</v>
      </c>
      <c r="D2346" s="46" t="s">
        <v>178</v>
      </c>
      <c r="E2346" s="46">
        <v>1</v>
      </c>
      <c r="F2346" s="46" t="s">
        <v>60</v>
      </c>
      <c r="G2346" s="46">
        <v>3</v>
      </c>
      <c r="H2346" s="47">
        <v>27</v>
      </c>
      <c r="I2346" s="47" t="s">
        <v>116</v>
      </c>
      <c r="J2346" s="48">
        <v>4</v>
      </c>
      <c r="K2346" s="48">
        <v>0</v>
      </c>
      <c r="M2346" s="48">
        <v>1</v>
      </c>
      <c r="R2346" s="46">
        <f t="shared" si="229"/>
        <v>1</v>
      </c>
      <c r="S2346" s="46">
        <f t="shared" si="230"/>
        <v>0</v>
      </c>
      <c r="T2346" s="46">
        <f t="shared" si="233"/>
        <v>90</v>
      </c>
      <c r="U2346" s="46">
        <f t="shared" si="231"/>
        <v>110</v>
      </c>
      <c r="V2346" s="54">
        <f t="shared" si="232"/>
        <v>63.666666666666664</v>
      </c>
    </row>
    <row r="2347" spans="1:22" x14ac:dyDescent="0.2">
      <c r="A2347" s="46" t="s">
        <v>22</v>
      </c>
      <c r="B2347" s="46" t="s">
        <v>53</v>
      </c>
      <c r="C2347" s="46" t="s">
        <v>92</v>
      </c>
      <c r="D2347" s="46" t="s">
        <v>178</v>
      </c>
      <c r="E2347" s="46">
        <v>2</v>
      </c>
      <c r="F2347" s="46" t="s">
        <v>60</v>
      </c>
      <c r="G2347" s="46">
        <v>2</v>
      </c>
      <c r="H2347" s="47">
        <v>30</v>
      </c>
      <c r="I2347" s="47" t="s">
        <v>127</v>
      </c>
      <c r="J2347" s="48">
        <v>4</v>
      </c>
      <c r="K2347" s="48">
        <v>0</v>
      </c>
      <c r="R2347" s="46">
        <f t="shared" si="229"/>
        <v>1</v>
      </c>
      <c r="S2347" s="46">
        <f t="shared" si="230"/>
        <v>0</v>
      </c>
      <c r="T2347" s="46">
        <f t="shared" si="233"/>
        <v>90</v>
      </c>
      <c r="U2347" s="46">
        <f t="shared" si="231"/>
        <v>90</v>
      </c>
      <c r="V2347" s="54">
        <f t="shared" si="232"/>
        <v>63.666666666666664</v>
      </c>
    </row>
    <row r="2348" spans="1:22" x14ac:dyDescent="0.2">
      <c r="A2348" s="46" t="s">
        <v>22</v>
      </c>
      <c r="B2348" s="46" t="s">
        <v>53</v>
      </c>
      <c r="C2348" s="46" t="s">
        <v>92</v>
      </c>
      <c r="D2348" s="46" t="s">
        <v>178</v>
      </c>
      <c r="E2348" s="46">
        <v>3</v>
      </c>
      <c r="F2348" s="46" t="s">
        <v>60</v>
      </c>
      <c r="G2348" s="46">
        <v>4</v>
      </c>
      <c r="H2348" s="47">
        <v>36</v>
      </c>
      <c r="I2348" s="47" t="s">
        <v>102</v>
      </c>
      <c r="J2348" s="48">
        <v>4</v>
      </c>
      <c r="K2348" s="48">
        <v>0</v>
      </c>
      <c r="R2348" s="46">
        <f t="shared" si="229"/>
        <v>1</v>
      </c>
      <c r="S2348" s="46">
        <f t="shared" si="230"/>
        <v>0</v>
      </c>
      <c r="T2348" s="46">
        <f t="shared" si="233"/>
        <v>90</v>
      </c>
      <c r="U2348" s="46">
        <f t="shared" si="231"/>
        <v>90</v>
      </c>
      <c r="V2348" s="54">
        <f t="shared" si="232"/>
        <v>63.666666666666664</v>
      </c>
    </row>
    <row r="2349" spans="1:22" x14ac:dyDescent="0.2">
      <c r="A2349" s="46" t="s">
        <v>22</v>
      </c>
      <c r="B2349" s="46" t="s">
        <v>51</v>
      </c>
      <c r="C2349" s="46" t="s">
        <v>92</v>
      </c>
      <c r="D2349" s="46" t="s">
        <v>178</v>
      </c>
      <c r="E2349" s="46">
        <v>1</v>
      </c>
      <c r="F2349" s="46" t="s">
        <v>60</v>
      </c>
      <c r="G2349" s="46">
        <v>4</v>
      </c>
      <c r="H2349" s="47">
        <v>44</v>
      </c>
      <c r="I2349" s="47" t="s">
        <v>102</v>
      </c>
      <c r="J2349" s="48">
        <v>4</v>
      </c>
      <c r="K2349" s="48">
        <v>0</v>
      </c>
      <c r="R2349" s="46">
        <f t="shared" si="229"/>
        <v>1</v>
      </c>
      <c r="S2349" s="46">
        <f t="shared" si="230"/>
        <v>0</v>
      </c>
      <c r="T2349" s="46">
        <f t="shared" si="233"/>
        <v>90</v>
      </c>
      <c r="U2349" s="46">
        <f t="shared" si="231"/>
        <v>90</v>
      </c>
      <c r="V2349" s="54">
        <f t="shared" si="232"/>
        <v>63.666666666666664</v>
      </c>
    </row>
    <row r="2350" spans="1:22" x14ac:dyDescent="0.2">
      <c r="A2350" s="46" t="s">
        <v>22</v>
      </c>
      <c r="B2350" s="46" t="s">
        <v>53</v>
      </c>
      <c r="C2350" s="46" t="s">
        <v>92</v>
      </c>
      <c r="D2350" s="46" t="s">
        <v>178</v>
      </c>
      <c r="E2350" s="46">
        <v>4</v>
      </c>
      <c r="F2350" s="46" t="s">
        <v>62</v>
      </c>
      <c r="G2350" s="46">
        <v>2</v>
      </c>
      <c r="H2350" s="47" t="s">
        <v>83</v>
      </c>
      <c r="I2350" s="47" t="s">
        <v>127</v>
      </c>
      <c r="J2350" s="48">
        <v>4</v>
      </c>
      <c r="K2350" s="48">
        <v>1</v>
      </c>
      <c r="L2350" s="48">
        <v>1</v>
      </c>
      <c r="M2350" s="48">
        <v>1</v>
      </c>
      <c r="N2350" s="48">
        <v>1</v>
      </c>
      <c r="R2350" s="46">
        <f t="shared" si="229"/>
        <v>1</v>
      </c>
      <c r="S2350" s="46">
        <f t="shared" si="230"/>
        <v>0</v>
      </c>
      <c r="T2350" s="46">
        <f t="shared" si="233"/>
        <v>80</v>
      </c>
      <c r="U2350" s="46">
        <f t="shared" si="231"/>
        <v>90</v>
      </c>
      <c r="V2350" s="54">
        <f t="shared" si="232"/>
        <v>63.666666666666664</v>
      </c>
    </row>
    <row r="2351" spans="1:22" x14ac:dyDescent="0.2">
      <c r="A2351" s="46" t="s">
        <v>22</v>
      </c>
      <c r="B2351" s="46" t="s">
        <v>53</v>
      </c>
      <c r="C2351" s="46" t="s">
        <v>92</v>
      </c>
      <c r="D2351" s="46" t="s">
        <v>178</v>
      </c>
      <c r="E2351" s="46">
        <v>5</v>
      </c>
      <c r="F2351" s="46" t="s">
        <v>60</v>
      </c>
      <c r="G2351" s="46">
        <v>4</v>
      </c>
      <c r="H2351" s="47">
        <v>4</v>
      </c>
      <c r="I2351" s="47" t="s">
        <v>102</v>
      </c>
      <c r="J2351" s="48">
        <v>4</v>
      </c>
      <c r="K2351" s="48">
        <v>0</v>
      </c>
      <c r="R2351" s="46">
        <f t="shared" si="229"/>
        <v>1</v>
      </c>
      <c r="S2351" s="46">
        <f t="shared" si="230"/>
        <v>0</v>
      </c>
      <c r="T2351" s="46">
        <f t="shared" si="233"/>
        <v>90</v>
      </c>
      <c r="U2351" s="46">
        <f t="shared" si="231"/>
        <v>90</v>
      </c>
      <c r="V2351" s="54">
        <f t="shared" si="232"/>
        <v>63.666666666666664</v>
      </c>
    </row>
    <row r="2352" spans="1:22" x14ac:dyDescent="0.2">
      <c r="A2352" s="46" t="s">
        <v>22</v>
      </c>
      <c r="B2352" s="46" t="s">
        <v>53</v>
      </c>
      <c r="C2352" s="46" t="s">
        <v>92</v>
      </c>
      <c r="D2352" s="46" t="s">
        <v>178</v>
      </c>
      <c r="E2352" s="46">
        <v>5</v>
      </c>
      <c r="F2352" s="46" t="s">
        <v>60</v>
      </c>
      <c r="G2352" s="46">
        <v>3</v>
      </c>
      <c r="H2352" s="47">
        <v>11</v>
      </c>
      <c r="I2352" s="47" t="s">
        <v>159</v>
      </c>
      <c r="J2352" s="48">
        <v>1</v>
      </c>
      <c r="K2352" s="48">
        <v>3</v>
      </c>
      <c r="R2352" s="46">
        <f t="shared" si="229"/>
        <v>0</v>
      </c>
      <c r="S2352" s="46">
        <f t="shared" si="230"/>
        <v>1</v>
      </c>
      <c r="T2352" s="46">
        <f t="shared" si="233"/>
        <v>0</v>
      </c>
      <c r="U2352" s="46">
        <f t="shared" si="231"/>
        <v>0</v>
      </c>
      <c r="V2352" s="54">
        <f t="shared" si="232"/>
        <v>63.666666666666664</v>
      </c>
    </row>
    <row r="2353" spans="1:22" x14ac:dyDescent="0.2">
      <c r="A2353" s="46" t="s">
        <v>22</v>
      </c>
      <c r="B2353" s="46" t="s">
        <v>53</v>
      </c>
      <c r="C2353" s="46" t="s">
        <v>92</v>
      </c>
      <c r="D2353" s="46" t="s">
        <v>178</v>
      </c>
      <c r="E2353" s="46">
        <v>5</v>
      </c>
      <c r="F2353" s="46" t="s">
        <v>60</v>
      </c>
      <c r="G2353" s="46">
        <v>2</v>
      </c>
      <c r="H2353" s="47">
        <v>18</v>
      </c>
      <c r="I2353" s="47" t="s">
        <v>127</v>
      </c>
      <c r="J2353" s="48">
        <v>4</v>
      </c>
      <c r="K2353" s="48">
        <v>1</v>
      </c>
      <c r="R2353" s="46">
        <f t="shared" si="229"/>
        <v>1</v>
      </c>
      <c r="S2353" s="46">
        <f t="shared" si="230"/>
        <v>0</v>
      </c>
      <c r="T2353" s="46">
        <f t="shared" si="233"/>
        <v>80</v>
      </c>
      <c r="U2353" s="46">
        <f t="shared" si="231"/>
        <v>80</v>
      </c>
      <c r="V2353" s="54">
        <f t="shared" si="232"/>
        <v>63.666666666666664</v>
      </c>
    </row>
    <row r="2354" spans="1:22" x14ac:dyDescent="0.2">
      <c r="A2354" s="46" t="s">
        <v>22</v>
      </c>
      <c r="B2354" s="46" t="s">
        <v>53</v>
      </c>
      <c r="C2354" s="46" t="s">
        <v>92</v>
      </c>
      <c r="D2354" s="46" t="s">
        <v>178</v>
      </c>
      <c r="E2354" s="46">
        <v>5</v>
      </c>
      <c r="F2354" s="46" t="s">
        <v>60</v>
      </c>
      <c r="G2354" s="46">
        <v>1</v>
      </c>
      <c r="H2354" s="47">
        <v>29</v>
      </c>
      <c r="I2354" s="47" t="s">
        <v>101</v>
      </c>
      <c r="J2354" s="48">
        <v>4</v>
      </c>
      <c r="K2354" s="48">
        <v>1</v>
      </c>
      <c r="R2354" s="46">
        <f t="shared" si="229"/>
        <v>1</v>
      </c>
      <c r="S2354" s="46">
        <f t="shared" si="230"/>
        <v>0</v>
      </c>
      <c r="T2354" s="46">
        <f t="shared" si="233"/>
        <v>80</v>
      </c>
      <c r="U2354" s="46">
        <f t="shared" si="231"/>
        <v>80</v>
      </c>
      <c r="V2354" s="54">
        <f t="shared" si="232"/>
        <v>63.666666666666664</v>
      </c>
    </row>
    <row r="2355" spans="1:22" x14ac:dyDescent="0.2">
      <c r="A2355" s="46" t="s">
        <v>22</v>
      </c>
      <c r="B2355" s="46" t="s">
        <v>53</v>
      </c>
      <c r="C2355" s="46" t="s">
        <v>92</v>
      </c>
      <c r="D2355" s="46" t="s">
        <v>178</v>
      </c>
      <c r="E2355" s="46">
        <v>5</v>
      </c>
      <c r="F2355" s="46" t="s">
        <v>60</v>
      </c>
      <c r="G2355" s="46">
        <v>3</v>
      </c>
      <c r="H2355" s="47">
        <v>43</v>
      </c>
      <c r="I2355" s="47" t="s">
        <v>159</v>
      </c>
      <c r="J2355" s="48">
        <v>4</v>
      </c>
      <c r="K2355" s="48">
        <v>1</v>
      </c>
      <c r="R2355" s="46">
        <f t="shared" si="229"/>
        <v>1</v>
      </c>
      <c r="S2355" s="46">
        <f t="shared" si="230"/>
        <v>0</v>
      </c>
      <c r="T2355" s="46">
        <f t="shared" si="233"/>
        <v>80</v>
      </c>
      <c r="U2355" s="46">
        <f t="shared" si="231"/>
        <v>80</v>
      </c>
      <c r="V2355" s="54">
        <f t="shared" si="232"/>
        <v>63.666666666666664</v>
      </c>
    </row>
    <row r="2356" spans="1:22" x14ac:dyDescent="0.2">
      <c r="A2356" s="46" t="s">
        <v>22</v>
      </c>
      <c r="B2356" s="46" t="s">
        <v>53</v>
      </c>
      <c r="C2356" s="46" t="s">
        <v>92</v>
      </c>
      <c r="D2356" s="46" t="s">
        <v>178</v>
      </c>
      <c r="E2356" s="46">
        <v>5</v>
      </c>
      <c r="F2356" s="46" t="s">
        <v>60</v>
      </c>
      <c r="G2356" s="46">
        <v>2</v>
      </c>
      <c r="H2356" s="47">
        <v>50</v>
      </c>
      <c r="I2356" s="47" t="s">
        <v>127</v>
      </c>
      <c r="J2356" s="48">
        <v>4</v>
      </c>
      <c r="K2356" s="48">
        <v>0</v>
      </c>
      <c r="R2356" s="46">
        <f t="shared" si="229"/>
        <v>1</v>
      </c>
      <c r="S2356" s="46">
        <f t="shared" si="230"/>
        <v>0</v>
      </c>
      <c r="T2356" s="46">
        <f t="shared" si="233"/>
        <v>90</v>
      </c>
      <c r="U2356" s="46">
        <f t="shared" si="231"/>
        <v>90</v>
      </c>
      <c r="V2356" s="54">
        <f t="shared" si="232"/>
        <v>63.666666666666664</v>
      </c>
    </row>
    <row r="2357" spans="1:22" x14ac:dyDescent="0.2">
      <c r="A2357" s="46" t="s">
        <v>22</v>
      </c>
      <c r="B2357" s="46" t="s">
        <v>53</v>
      </c>
      <c r="C2357" s="46" t="s">
        <v>92</v>
      </c>
      <c r="D2357" s="46" t="s">
        <v>178</v>
      </c>
      <c r="E2357" s="46">
        <v>5</v>
      </c>
      <c r="F2357" s="46" t="s">
        <v>61</v>
      </c>
      <c r="G2357" s="46">
        <v>1</v>
      </c>
      <c r="H2357" s="47" t="s">
        <v>74</v>
      </c>
      <c r="I2357" s="47" t="s">
        <v>101</v>
      </c>
      <c r="J2357" s="48">
        <v>2</v>
      </c>
      <c r="K2357" s="48">
        <v>0</v>
      </c>
      <c r="R2357" s="46">
        <f t="shared" si="229"/>
        <v>0</v>
      </c>
      <c r="S2357" s="46">
        <f t="shared" si="230"/>
        <v>0</v>
      </c>
      <c r="T2357" s="46">
        <f t="shared" si="233"/>
        <v>40</v>
      </c>
      <c r="U2357" s="46">
        <f t="shared" si="231"/>
        <v>40</v>
      </c>
      <c r="V2357" s="54">
        <f t="shared" si="232"/>
        <v>63.666666666666664</v>
      </c>
    </row>
    <row r="2358" spans="1:22" x14ac:dyDescent="0.2">
      <c r="A2358" s="46" t="s">
        <v>22</v>
      </c>
      <c r="B2358" s="46" t="s">
        <v>53</v>
      </c>
      <c r="C2358" s="46" t="s">
        <v>92</v>
      </c>
      <c r="D2358" s="46" t="s">
        <v>178</v>
      </c>
      <c r="E2358" s="46">
        <v>5</v>
      </c>
      <c r="F2358" s="46" t="s">
        <v>61</v>
      </c>
      <c r="G2358" s="46">
        <v>1</v>
      </c>
      <c r="H2358" s="47" t="s">
        <v>68</v>
      </c>
      <c r="I2358" s="47" t="s">
        <v>101</v>
      </c>
      <c r="J2358" s="48">
        <v>2</v>
      </c>
      <c r="K2358" s="48">
        <v>2</v>
      </c>
      <c r="R2358" s="46">
        <f t="shared" si="229"/>
        <v>0</v>
      </c>
      <c r="S2358" s="46">
        <f t="shared" si="230"/>
        <v>0</v>
      </c>
      <c r="T2358" s="46">
        <f t="shared" si="233"/>
        <v>30</v>
      </c>
      <c r="U2358" s="46">
        <f t="shared" si="231"/>
        <v>30</v>
      </c>
      <c r="V2358" s="54">
        <f t="shared" si="232"/>
        <v>63.666666666666664</v>
      </c>
    </row>
    <row r="2359" spans="1:22" x14ac:dyDescent="0.2">
      <c r="A2359" s="46" t="s">
        <v>22</v>
      </c>
      <c r="B2359" s="46" t="s">
        <v>53</v>
      </c>
      <c r="C2359" s="46" t="s">
        <v>92</v>
      </c>
      <c r="D2359" s="46" t="s">
        <v>178</v>
      </c>
      <c r="E2359" s="46">
        <v>5</v>
      </c>
      <c r="F2359" s="46" t="s">
        <v>61</v>
      </c>
      <c r="G2359" s="46">
        <v>2</v>
      </c>
      <c r="H2359" s="47" t="s">
        <v>66</v>
      </c>
      <c r="I2359" s="47" t="s">
        <v>127</v>
      </c>
      <c r="J2359" s="48">
        <v>2</v>
      </c>
      <c r="K2359" s="48">
        <v>1</v>
      </c>
      <c r="R2359" s="46">
        <f t="shared" si="229"/>
        <v>0</v>
      </c>
      <c r="S2359" s="46">
        <f t="shared" si="230"/>
        <v>0</v>
      </c>
      <c r="T2359" s="46">
        <f t="shared" si="233"/>
        <v>40</v>
      </c>
      <c r="U2359" s="46">
        <f t="shared" si="231"/>
        <v>40</v>
      </c>
      <c r="V2359" s="54">
        <f t="shared" si="232"/>
        <v>63.666666666666664</v>
      </c>
    </row>
    <row r="2360" spans="1:22" x14ac:dyDescent="0.2">
      <c r="A2360" s="46" t="s">
        <v>45</v>
      </c>
      <c r="B2360" s="46" t="s">
        <v>119</v>
      </c>
      <c r="C2360" s="46" t="s">
        <v>90</v>
      </c>
      <c r="D2360" s="46" t="s">
        <v>178</v>
      </c>
      <c r="E2360" s="46">
        <v>2</v>
      </c>
      <c r="F2360" s="46" t="s">
        <v>60</v>
      </c>
      <c r="G2360" s="46">
        <v>1</v>
      </c>
      <c r="H2360" s="47">
        <v>5</v>
      </c>
      <c r="I2360" s="47" t="s">
        <v>101</v>
      </c>
      <c r="J2360" s="48">
        <v>0</v>
      </c>
      <c r="K2360" s="48">
        <v>0</v>
      </c>
      <c r="R2360" s="46">
        <f t="shared" si="229"/>
        <v>0</v>
      </c>
      <c r="S2360" s="46">
        <f t="shared" si="230"/>
        <v>0</v>
      </c>
      <c r="T2360" s="46">
        <f t="shared" si="233"/>
        <v>0</v>
      </c>
      <c r="U2360" s="46">
        <f t="shared" si="231"/>
        <v>0</v>
      </c>
      <c r="V2360" s="54">
        <f t="shared" si="232"/>
        <v>4</v>
      </c>
    </row>
    <row r="2361" spans="1:22" x14ac:dyDescent="0.2">
      <c r="A2361" s="46" t="s">
        <v>45</v>
      </c>
      <c r="B2361" s="46" t="s">
        <v>119</v>
      </c>
      <c r="C2361" s="46" t="s">
        <v>90</v>
      </c>
      <c r="D2361" s="46" t="s">
        <v>178</v>
      </c>
      <c r="E2361" s="46">
        <v>3</v>
      </c>
      <c r="F2361" s="46" t="s">
        <v>60</v>
      </c>
      <c r="G2361" s="46">
        <v>1</v>
      </c>
      <c r="H2361" s="47">
        <v>5</v>
      </c>
      <c r="I2361" s="47" t="s">
        <v>101</v>
      </c>
      <c r="J2361" s="48">
        <v>0</v>
      </c>
      <c r="K2361" s="48">
        <v>0</v>
      </c>
      <c r="R2361" s="46">
        <f t="shared" si="229"/>
        <v>0</v>
      </c>
      <c r="S2361" s="46">
        <f t="shared" si="230"/>
        <v>0</v>
      </c>
      <c r="T2361" s="46">
        <f t="shared" si="233"/>
        <v>0</v>
      </c>
      <c r="U2361" s="46">
        <f t="shared" si="231"/>
        <v>0</v>
      </c>
      <c r="V2361" s="54">
        <f t="shared" si="232"/>
        <v>4</v>
      </c>
    </row>
    <row r="2362" spans="1:22" x14ac:dyDescent="0.2">
      <c r="A2362" s="46" t="s">
        <v>45</v>
      </c>
      <c r="B2362" s="46" t="s">
        <v>119</v>
      </c>
      <c r="C2362" s="46" t="s">
        <v>90</v>
      </c>
      <c r="D2362" s="46" t="s">
        <v>178</v>
      </c>
      <c r="E2362" s="46">
        <v>4</v>
      </c>
      <c r="F2362" s="46" t="s">
        <v>60</v>
      </c>
      <c r="G2362" s="46">
        <v>2</v>
      </c>
      <c r="H2362" s="47">
        <v>10</v>
      </c>
      <c r="I2362" s="47" t="s">
        <v>127</v>
      </c>
      <c r="J2362" s="48">
        <v>0</v>
      </c>
      <c r="K2362" s="48">
        <v>0</v>
      </c>
      <c r="R2362" s="46">
        <f t="shared" si="229"/>
        <v>0</v>
      </c>
      <c r="S2362" s="46">
        <f t="shared" si="230"/>
        <v>0</v>
      </c>
      <c r="T2362" s="46">
        <f t="shared" si="233"/>
        <v>0</v>
      </c>
      <c r="U2362" s="46">
        <f t="shared" si="231"/>
        <v>0</v>
      </c>
      <c r="V2362" s="54">
        <f t="shared" si="232"/>
        <v>4</v>
      </c>
    </row>
    <row r="2363" spans="1:22" x14ac:dyDescent="0.2">
      <c r="A2363" s="46" t="s">
        <v>45</v>
      </c>
      <c r="B2363" s="46" t="s">
        <v>119</v>
      </c>
      <c r="C2363" s="46" t="s">
        <v>90</v>
      </c>
      <c r="D2363" s="46" t="s">
        <v>178</v>
      </c>
      <c r="E2363" s="46">
        <v>3</v>
      </c>
      <c r="F2363" s="46" t="s">
        <v>60</v>
      </c>
      <c r="G2363" s="46">
        <v>3</v>
      </c>
      <c r="H2363" s="47">
        <v>11</v>
      </c>
      <c r="I2363" s="47" t="s">
        <v>116</v>
      </c>
      <c r="J2363" s="48">
        <v>0</v>
      </c>
      <c r="K2363" s="48">
        <v>0</v>
      </c>
      <c r="R2363" s="46">
        <f t="shared" si="229"/>
        <v>0</v>
      </c>
      <c r="S2363" s="46">
        <f t="shared" si="230"/>
        <v>0</v>
      </c>
      <c r="T2363" s="46">
        <f t="shared" si="233"/>
        <v>0</v>
      </c>
      <c r="U2363" s="46">
        <f t="shared" si="231"/>
        <v>0</v>
      </c>
      <c r="V2363" s="54">
        <f t="shared" si="232"/>
        <v>4</v>
      </c>
    </row>
    <row r="2364" spans="1:22" x14ac:dyDescent="0.2">
      <c r="A2364" s="46" t="s">
        <v>45</v>
      </c>
      <c r="B2364" s="46" t="s">
        <v>119</v>
      </c>
      <c r="C2364" s="46" t="s">
        <v>90</v>
      </c>
      <c r="D2364" s="46" t="s">
        <v>178</v>
      </c>
      <c r="E2364" s="46">
        <v>3</v>
      </c>
      <c r="F2364" s="46" t="s">
        <v>60</v>
      </c>
      <c r="G2364" s="46">
        <v>2</v>
      </c>
      <c r="H2364" s="47">
        <v>18</v>
      </c>
      <c r="I2364" s="47" t="s">
        <v>127</v>
      </c>
      <c r="J2364" s="48">
        <v>0</v>
      </c>
      <c r="K2364" s="48">
        <v>0</v>
      </c>
      <c r="R2364" s="46">
        <f t="shared" si="229"/>
        <v>0</v>
      </c>
      <c r="S2364" s="46">
        <f t="shared" si="230"/>
        <v>0</v>
      </c>
      <c r="T2364" s="46">
        <f t="shared" si="233"/>
        <v>0</v>
      </c>
      <c r="U2364" s="46">
        <f t="shared" si="231"/>
        <v>0</v>
      </c>
      <c r="V2364" s="54">
        <f t="shared" si="232"/>
        <v>4</v>
      </c>
    </row>
    <row r="2365" spans="1:22" x14ac:dyDescent="0.2">
      <c r="A2365" s="46" t="s">
        <v>45</v>
      </c>
      <c r="B2365" s="46" t="s">
        <v>119</v>
      </c>
      <c r="C2365" s="46" t="s">
        <v>90</v>
      </c>
      <c r="D2365" s="46" t="s">
        <v>178</v>
      </c>
      <c r="E2365" s="46">
        <v>1</v>
      </c>
      <c r="F2365" s="46" t="s">
        <v>60</v>
      </c>
      <c r="G2365" s="46">
        <v>1</v>
      </c>
      <c r="H2365" s="47">
        <v>21</v>
      </c>
      <c r="I2365" s="47" t="s">
        <v>101</v>
      </c>
      <c r="J2365" s="48">
        <v>0</v>
      </c>
      <c r="K2365" s="48">
        <v>0</v>
      </c>
      <c r="R2365" s="46">
        <f t="shared" si="229"/>
        <v>0</v>
      </c>
      <c r="S2365" s="46">
        <f t="shared" si="230"/>
        <v>0</v>
      </c>
      <c r="T2365" s="46">
        <f t="shared" si="233"/>
        <v>0</v>
      </c>
      <c r="U2365" s="46">
        <f t="shared" si="231"/>
        <v>0</v>
      </c>
      <c r="V2365" s="54">
        <f t="shared" si="232"/>
        <v>4</v>
      </c>
    </row>
    <row r="2366" spans="1:22" x14ac:dyDescent="0.2">
      <c r="A2366" s="46" t="s">
        <v>45</v>
      </c>
      <c r="B2366" s="46" t="s">
        <v>119</v>
      </c>
      <c r="C2366" s="46" t="s">
        <v>90</v>
      </c>
      <c r="D2366" s="46" t="s">
        <v>178</v>
      </c>
      <c r="E2366" s="46">
        <v>4</v>
      </c>
      <c r="F2366" s="46" t="s">
        <v>60</v>
      </c>
      <c r="G2366" s="46">
        <v>3</v>
      </c>
      <c r="H2366" s="47">
        <v>23</v>
      </c>
      <c r="I2366" s="47" t="s">
        <v>159</v>
      </c>
      <c r="J2366" s="48">
        <v>0</v>
      </c>
      <c r="K2366" s="48">
        <v>0</v>
      </c>
      <c r="R2366" s="46">
        <f t="shared" si="229"/>
        <v>0</v>
      </c>
      <c r="S2366" s="46">
        <f t="shared" si="230"/>
        <v>0</v>
      </c>
      <c r="T2366" s="46">
        <f t="shared" si="233"/>
        <v>0</v>
      </c>
      <c r="U2366" s="46">
        <f t="shared" si="231"/>
        <v>0</v>
      </c>
      <c r="V2366" s="54">
        <f t="shared" si="232"/>
        <v>4</v>
      </c>
    </row>
    <row r="2367" spans="1:22" x14ac:dyDescent="0.2">
      <c r="A2367" s="46" t="s">
        <v>45</v>
      </c>
      <c r="B2367" s="46" t="s">
        <v>119</v>
      </c>
      <c r="C2367" s="46" t="s">
        <v>90</v>
      </c>
      <c r="D2367" s="46" t="s">
        <v>178</v>
      </c>
      <c r="E2367" s="46">
        <v>1</v>
      </c>
      <c r="F2367" s="46" t="s">
        <v>60</v>
      </c>
      <c r="G2367" s="46">
        <v>1</v>
      </c>
      <c r="H2367" s="47">
        <v>25</v>
      </c>
      <c r="I2367" s="47" t="s">
        <v>101</v>
      </c>
      <c r="J2367" s="48">
        <v>0</v>
      </c>
      <c r="K2367" s="48">
        <v>0</v>
      </c>
      <c r="R2367" s="46">
        <f t="shared" si="229"/>
        <v>0</v>
      </c>
      <c r="S2367" s="46">
        <f t="shared" si="230"/>
        <v>0</v>
      </c>
      <c r="T2367" s="46">
        <f t="shared" si="233"/>
        <v>0</v>
      </c>
      <c r="U2367" s="46">
        <f t="shared" si="231"/>
        <v>0</v>
      </c>
      <c r="V2367" s="54">
        <f t="shared" si="232"/>
        <v>4</v>
      </c>
    </row>
    <row r="2368" spans="1:22" x14ac:dyDescent="0.2">
      <c r="A2368" s="46" t="s">
        <v>45</v>
      </c>
      <c r="B2368" s="46" t="s">
        <v>119</v>
      </c>
      <c r="C2368" s="46" t="s">
        <v>90</v>
      </c>
      <c r="D2368" s="46" t="s">
        <v>178</v>
      </c>
      <c r="E2368" s="46">
        <v>3</v>
      </c>
      <c r="F2368" s="46" t="s">
        <v>60</v>
      </c>
      <c r="G2368" s="46">
        <v>2</v>
      </c>
      <c r="H2368" s="47">
        <v>26</v>
      </c>
      <c r="I2368" s="47" t="s">
        <v>127</v>
      </c>
      <c r="J2368" s="48">
        <v>0</v>
      </c>
      <c r="K2368" s="48">
        <v>0</v>
      </c>
      <c r="R2368" s="46">
        <f t="shared" si="229"/>
        <v>0</v>
      </c>
      <c r="S2368" s="46">
        <f t="shared" si="230"/>
        <v>0</v>
      </c>
      <c r="T2368" s="46">
        <f t="shared" si="233"/>
        <v>0</v>
      </c>
      <c r="U2368" s="46">
        <f t="shared" si="231"/>
        <v>0</v>
      </c>
      <c r="V2368" s="54">
        <f t="shared" si="232"/>
        <v>4</v>
      </c>
    </row>
    <row r="2369" spans="1:22" x14ac:dyDescent="0.2">
      <c r="A2369" s="46" t="s">
        <v>45</v>
      </c>
      <c r="B2369" s="46" t="s">
        <v>119</v>
      </c>
      <c r="C2369" s="46" t="s">
        <v>90</v>
      </c>
      <c r="D2369" s="46" t="s">
        <v>178</v>
      </c>
      <c r="E2369" s="46">
        <v>2</v>
      </c>
      <c r="F2369" s="46" t="s">
        <v>60</v>
      </c>
      <c r="G2369" s="46">
        <v>3</v>
      </c>
      <c r="H2369" s="47">
        <v>27</v>
      </c>
      <c r="I2369" s="47" t="s">
        <v>116</v>
      </c>
      <c r="J2369" s="48">
        <v>0</v>
      </c>
      <c r="K2369" s="48">
        <v>0</v>
      </c>
      <c r="R2369" s="46">
        <f t="shared" si="229"/>
        <v>0</v>
      </c>
      <c r="S2369" s="46">
        <f t="shared" si="230"/>
        <v>0</v>
      </c>
      <c r="T2369" s="46">
        <f t="shared" si="233"/>
        <v>0</v>
      </c>
      <c r="U2369" s="46">
        <f t="shared" si="231"/>
        <v>0</v>
      </c>
      <c r="V2369" s="54">
        <f t="shared" si="232"/>
        <v>4</v>
      </c>
    </row>
    <row r="2370" spans="1:22" x14ac:dyDescent="0.2">
      <c r="A2370" s="46" t="s">
        <v>45</v>
      </c>
      <c r="B2370" s="46" t="s">
        <v>119</v>
      </c>
      <c r="C2370" s="46" t="s">
        <v>90</v>
      </c>
      <c r="D2370" s="46" t="s">
        <v>178</v>
      </c>
      <c r="E2370" s="46">
        <v>4</v>
      </c>
      <c r="F2370" s="46" t="s">
        <v>60</v>
      </c>
      <c r="G2370" s="46">
        <v>4</v>
      </c>
      <c r="H2370" s="47">
        <v>32</v>
      </c>
      <c r="I2370" s="47" t="s">
        <v>102</v>
      </c>
      <c r="J2370" s="48">
        <v>0</v>
      </c>
      <c r="K2370" s="48">
        <v>0</v>
      </c>
      <c r="R2370" s="46">
        <f t="shared" ref="R2370:R2433" si="234">IF(J2370=4,1,0)</f>
        <v>0</v>
      </c>
      <c r="S2370" s="46">
        <f t="shared" ref="S2370:S2433" si="235">IF(K2370=3,1,0)</f>
        <v>0</v>
      </c>
      <c r="T2370" s="46">
        <f t="shared" si="233"/>
        <v>0</v>
      </c>
      <c r="U2370" s="46">
        <f t="shared" ref="U2370:U2433" si="236">T2370+M2370*(20) + (SUM(O2370:Q2370)*(10)) - L2370*(5) - N2370*(5)</f>
        <v>0</v>
      </c>
      <c r="V2370" s="54">
        <f t="shared" ref="V2370:V2433" si="237">AVERAGEIFS(U:U,A:A,A2370,F:F,"Pre")</f>
        <v>4</v>
      </c>
    </row>
    <row r="2371" spans="1:22" x14ac:dyDescent="0.2">
      <c r="A2371" s="46" t="s">
        <v>45</v>
      </c>
      <c r="B2371" s="46" t="s">
        <v>119</v>
      </c>
      <c r="C2371" s="46" t="s">
        <v>90</v>
      </c>
      <c r="D2371" s="46" t="s">
        <v>178</v>
      </c>
      <c r="E2371" s="46">
        <v>4</v>
      </c>
      <c r="F2371" s="46" t="s">
        <v>60</v>
      </c>
      <c r="G2371" s="46">
        <v>1</v>
      </c>
      <c r="H2371" s="47">
        <v>33</v>
      </c>
      <c r="I2371" s="47" t="s">
        <v>101</v>
      </c>
      <c r="J2371" s="48">
        <v>0</v>
      </c>
      <c r="K2371" s="48">
        <v>0</v>
      </c>
      <c r="R2371" s="46">
        <f t="shared" si="234"/>
        <v>0</v>
      </c>
      <c r="S2371" s="46">
        <f t="shared" si="235"/>
        <v>0</v>
      </c>
      <c r="T2371" s="46">
        <f t="shared" si="233"/>
        <v>0</v>
      </c>
      <c r="U2371" s="46">
        <f t="shared" si="236"/>
        <v>0</v>
      </c>
      <c r="V2371" s="54">
        <f t="shared" si="237"/>
        <v>4</v>
      </c>
    </row>
    <row r="2372" spans="1:22" x14ac:dyDescent="0.2">
      <c r="A2372" s="46" t="s">
        <v>45</v>
      </c>
      <c r="B2372" s="46" t="s">
        <v>119</v>
      </c>
      <c r="C2372" s="46" t="s">
        <v>90</v>
      </c>
      <c r="D2372" s="46" t="s">
        <v>178</v>
      </c>
      <c r="E2372" s="46">
        <v>1</v>
      </c>
      <c r="F2372" s="46" t="s">
        <v>60</v>
      </c>
      <c r="G2372" s="46">
        <v>2</v>
      </c>
      <c r="H2372" s="47">
        <v>34</v>
      </c>
      <c r="I2372" s="47" t="s">
        <v>127</v>
      </c>
      <c r="J2372" s="48">
        <v>0</v>
      </c>
      <c r="K2372" s="48">
        <v>0</v>
      </c>
      <c r="R2372" s="46">
        <f t="shared" si="234"/>
        <v>0</v>
      </c>
      <c r="S2372" s="46">
        <f t="shared" si="235"/>
        <v>0</v>
      </c>
      <c r="T2372" s="46">
        <f t="shared" si="233"/>
        <v>0</v>
      </c>
      <c r="U2372" s="46">
        <f t="shared" si="236"/>
        <v>0</v>
      </c>
      <c r="V2372" s="54">
        <f t="shared" si="237"/>
        <v>4</v>
      </c>
    </row>
    <row r="2373" spans="1:22" x14ac:dyDescent="0.2">
      <c r="A2373" s="46" t="s">
        <v>45</v>
      </c>
      <c r="B2373" s="46" t="s">
        <v>119</v>
      </c>
      <c r="C2373" s="46" t="s">
        <v>90</v>
      </c>
      <c r="D2373" s="46" t="s">
        <v>178</v>
      </c>
      <c r="E2373" s="46">
        <v>2</v>
      </c>
      <c r="F2373" s="46" t="s">
        <v>60</v>
      </c>
      <c r="G2373" s="46">
        <v>2</v>
      </c>
      <c r="H2373" s="47">
        <v>34</v>
      </c>
      <c r="I2373" s="47" t="s">
        <v>127</v>
      </c>
      <c r="J2373" s="48">
        <v>0</v>
      </c>
      <c r="K2373" s="48">
        <v>0</v>
      </c>
      <c r="R2373" s="46">
        <f t="shared" si="234"/>
        <v>0</v>
      </c>
      <c r="S2373" s="46">
        <f t="shared" si="235"/>
        <v>0</v>
      </c>
      <c r="T2373" s="46">
        <f t="shared" si="233"/>
        <v>0</v>
      </c>
      <c r="U2373" s="46">
        <f t="shared" si="236"/>
        <v>0</v>
      </c>
      <c r="V2373" s="54">
        <f t="shared" si="237"/>
        <v>4</v>
      </c>
    </row>
    <row r="2374" spans="1:22" x14ac:dyDescent="0.2">
      <c r="A2374" s="46" t="s">
        <v>45</v>
      </c>
      <c r="B2374" s="46" t="s">
        <v>119</v>
      </c>
      <c r="C2374" s="46" t="s">
        <v>90</v>
      </c>
      <c r="D2374" s="46" t="s">
        <v>178</v>
      </c>
      <c r="E2374" s="46">
        <v>3</v>
      </c>
      <c r="F2374" s="46" t="s">
        <v>60</v>
      </c>
      <c r="G2374" s="46">
        <v>3</v>
      </c>
      <c r="H2374" s="47">
        <v>35</v>
      </c>
      <c r="I2374" s="47" t="s">
        <v>116</v>
      </c>
      <c r="J2374" s="48">
        <v>0</v>
      </c>
      <c r="K2374" s="48">
        <v>0</v>
      </c>
      <c r="R2374" s="46">
        <f t="shared" si="234"/>
        <v>0</v>
      </c>
      <c r="S2374" s="46">
        <f t="shared" si="235"/>
        <v>0</v>
      </c>
      <c r="T2374" s="46">
        <f t="shared" si="233"/>
        <v>0</v>
      </c>
      <c r="U2374" s="46">
        <f t="shared" si="236"/>
        <v>0</v>
      </c>
      <c r="V2374" s="54">
        <f t="shared" si="237"/>
        <v>4</v>
      </c>
    </row>
    <row r="2375" spans="1:22" x14ac:dyDescent="0.2">
      <c r="A2375" s="46" t="s">
        <v>45</v>
      </c>
      <c r="B2375" s="46" t="s">
        <v>119</v>
      </c>
      <c r="C2375" s="46" t="s">
        <v>90</v>
      </c>
      <c r="D2375" s="46" t="s">
        <v>178</v>
      </c>
      <c r="E2375" s="46">
        <v>2</v>
      </c>
      <c r="F2375" s="46" t="s">
        <v>60</v>
      </c>
      <c r="G2375" s="46">
        <v>4</v>
      </c>
      <c r="H2375" s="47">
        <v>40</v>
      </c>
      <c r="I2375" s="47" t="s">
        <v>102</v>
      </c>
      <c r="J2375" s="48">
        <v>0</v>
      </c>
      <c r="K2375" s="48">
        <v>0</v>
      </c>
      <c r="R2375" s="46">
        <f t="shared" si="234"/>
        <v>0</v>
      </c>
      <c r="S2375" s="46">
        <f t="shared" si="235"/>
        <v>0</v>
      </c>
      <c r="T2375" s="46">
        <f t="shared" si="233"/>
        <v>0</v>
      </c>
      <c r="U2375" s="46">
        <f t="shared" si="236"/>
        <v>0</v>
      </c>
      <c r="V2375" s="54">
        <f t="shared" si="237"/>
        <v>4</v>
      </c>
    </row>
    <row r="2376" spans="1:22" x14ac:dyDescent="0.2">
      <c r="A2376" s="46" t="s">
        <v>45</v>
      </c>
      <c r="B2376" s="46" t="s">
        <v>119</v>
      </c>
      <c r="C2376" s="46" t="s">
        <v>90</v>
      </c>
      <c r="D2376" s="46" t="s">
        <v>178</v>
      </c>
      <c r="E2376" s="46">
        <v>1</v>
      </c>
      <c r="F2376" s="46" t="s">
        <v>60</v>
      </c>
      <c r="G2376" s="46">
        <v>3</v>
      </c>
      <c r="H2376" s="47">
        <v>43</v>
      </c>
      <c r="I2376" s="47" t="s">
        <v>116</v>
      </c>
      <c r="J2376" s="48">
        <v>0</v>
      </c>
      <c r="K2376" s="48">
        <v>0</v>
      </c>
      <c r="R2376" s="46">
        <f t="shared" si="234"/>
        <v>0</v>
      </c>
      <c r="S2376" s="46">
        <f t="shared" si="235"/>
        <v>0</v>
      </c>
      <c r="T2376" s="46">
        <f t="shared" si="233"/>
        <v>0</v>
      </c>
      <c r="U2376" s="46">
        <f t="shared" si="236"/>
        <v>0</v>
      </c>
      <c r="V2376" s="54">
        <f t="shared" si="237"/>
        <v>4</v>
      </c>
    </row>
    <row r="2377" spans="1:22" x14ac:dyDescent="0.2">
      <c r="A2377" s="46" t="s">
        <v>45</v>
      </c>
      <c r="B2377" s="46" t="s">
        <v>119</v>
      </c>
      <c r="C2377" s="46" t="s">
        <v>90</v>
      </c>
      <c r="D2377" s="46" t="s">
        <v>178</v>
      </c>
      <c r="E2377" s="46">
        <v>3</v>
      </c>
      <c r="F2377" s="46" t="s">
        <v>60</v>
      </c>
      <c r="G2377" s="46">
        <v>4</v>
      </c>
      <c r="H2377" s="47">
        <v>44</v>
      </c>
      <c r="I2377" s="47" t="s">
        <v>102</v>
      </c>
      <c r="J2377" s="48">
        <v>0</v>
      </c>
      <c r="K2377" s="48">
        <v>0</v>
      </c>
      <c r="M2377" s="48">
        <v>1</v>
      </c>
      <c r="R2377" s="46">
        <f t="shared" si="234"/>
        <v>0</v>
      </c>
      <c r="S2377" s="46">
        <f t="shared" si="235"/>
        <v>0</v>
      </c>
      <c r="T2377" s="46">
        <f t="shared" si="233"/>
        <v>0</v>
      </c>
      <c r="U2377" s="46">
        <f t="shared" si="236"/>
        <v>20</v>
      </c>
      <c r="V2377" s="54">
        <f t="shared" si="237"/>
        <v>4</v>
      </c>
    </row>
    <row r="2378" spans="1:22" x14ac:dyDescent="0.2">
      <c r="A2378" s="46" t="s">
        <v>45</v>
      </c>
      <c r="B2378" s="46" t="s">
        <v>119</v>
      </c>
      <c r="C2378" s="46" t="s">
        <v>90</v>
      </c>
      <c r="D2378" s="46" t="s">
        <v>178</v>
      </c>
      <c r="E2378" s="46">
        <v>2</v>
      </c>
      <c r="F2378" s="46" t="s">
        <v>60</v>
      </c>
      <c r="G2378" s="46">
        <v>3</v>
      </c>
      <c r="H2378" s="47">
        <v>47</v>
      </c>
      <c r="I2378" s="47" t="s">
        <v>116</v>
      </c>
      <c r="J2378" s="48">
        <v>0</v>
      </c>
      <c r="K2378" s="48">
        <v>0</v>
      </c>
      <c r="R2378" s="46">
        <f t="shared" si="234"/>
        <v>0</v>
      </c>
      <c r="S2378" s="46">
        <f t="shared" si="235"/>
        <v>0</v>
      </c>
      <c r="T2378" s="46">
        <f t="shared" si="233"/>
        <v>0</v>
      </c>
      <c r="U2378" s="46">
        <f t="shared" si="236"/>
        <v>0</v>
      </c>
      <c r="V2378" s="54">
        <f t="shared" si="237"/>
        <v>4</v>
      </c>
    </row>
    <row r="2379" spans="1:22" x14ac:dyDescent="0.2">
      <c r="A2379" s="46" t="s">
        <v>45</v>
      </c>
      <c r="B2379" s="46" t="s">
        <v>119</v>
      </c>
      <c r="C2379" s="46" t="s">
        <v>90</v>
      </c>
      <c r="D2379" s="46" t="s">
        <v>178</v>
      </c>
      <c r="E2379" s="46">
        <v>4</v>
      </c>
      <c r="F2379" s="46" t="s">
        <v>60</v>
      </c>
      <c r="G2379" s="46">
        <v>1</v>
      </c>
      <c r="H2379" s="47">
        <v>49</v>
      </c>
      <c r="I2379" s="47" t="s">
        <v>101</v>
      </c>
      <c r="J2379" s="48">
        <v>0</v>
      </c>
      <c r="K2379" s="48">
        <v>0</v>
      </c>
      <c r="R2379" s="46">
        <f t="shared" si="234"/>
        <v>0</v>
      </c>
      <c r="S2379" s="46">
        <f t="shared" si="235"/>
        <v>0</v>
      </c>
      <c r="T2379" s="46">
        <f t="shared" si="233"/>
        <v>0</v>
      </c>
      <c r="U2379" s="46">
        <f t="shared" si="236"/>
        <v>0</v>
      </c>
      <c r="V2379" s="54">
        <f t="shared" si="237"/>
        <v>4</v>
      </c>
    </row>
    <row r="2380" spans="1:22" x14ac:dyDescent="0.2">
      <c r="A2380" s="46" t="s">
        <v>45</v>
      </c>
      <c r="B2380" s="46" t="s">
        <v>119</v>
      </c>
      <c r="C2380" s="46" t="s">
        <v>90</v>
      </c>
      <c r="D2380" s="46" t="s">
        <v>178</v>
      </c>
      <c r="E2380" s="46">
        <v>2</v>
      </c>
      <c r="F2380" s="46" t="s">
        <v>63</v>
      </c>
      <c r="G2380" s="46">
        <v>4</v>
      </c>
      <c r="H2380" s="47" t="s">
        <v>146</v>
      </c>
      <c r="I2380" s="47" t="s">
        <v>102</v>
      </c>
      <c r="J2380" s="48">
        <v>0</v>
      </c>
      <c r="K2380" s="48">
        <v>0</v>
      </c>
      <c r="R2380" s="46">
        <f t="shared" si="234"/>
        <v>0</v>
      </c>
      <c r="S2380" s="46">
        <f t="shared" si="235"/>
        <v>0</v>
      </c>
      <c r="T2380" s="46">
        <f t="shared" ref="T2380:T2404" si="238">quizscore(J2380,K2380)</f>
        <v>0</v>
      </c>
      <c r="U2380" s="46">
        <f t="shared" si="236"/>
        <v>0</v>
      </c>
      <c r="V2380" s="54">
        <f t="shared" si="237"/>
        <v>4</v>
      </c>
    </row>
    <row r="2381" spans="1:22" x14ac:dyDescent="0.2">
      <c r="A2381" s="46" t="s">
        <v>45</v>
      </c>
      <c r="B2381" s="46" t="s">
        <v>119</v>
      </c>
      <c r="C2381" s="46" t="s">
        <v>90</v>
      </c>
      <c r="D2381" s="46" t="s">
        <v>178</v>
      </c>
      <c r="E2381" s="46">
        <v>4</v>
      </c>
      <c r="F2381" s="46" t="s">
        <v>63</v>
      </c>
      <c r="G2381" s="46">
        <v>4</v>
      </c>
      <c r="H2381" s="47" t="s">
        <v>146</v>
      </c>
      <c r="I2381" s="47" t="s">
        <v>102</v>
      </c>
      <c r="J2381" s="48">
        <v>0</v>
      </c>
      <c r="K2381" s="48">
        <v>0</v>
      </c>
      <c r="R2381" s="46">
        <f t="shared" si="234"/>
        <v>0</v>
      </c>
      <c r="S2381" s="46">
        <f t="shared" si="235"/>
        <v>0</v>
      </c>
      <c r="T2381" s="46">
        <f t="shared" si="238"/>
        <v>0</v>
      </c>
      <c r="U2381" s="46">
        <f t="shared" si="236"/>
        <v>0</v>
      </c>
      <c r="V2381" s="54">
        <f t="shared" si="237"/>
        <v>4</v>
      </c>
    </row>
    <row r="2382" spans="1:22" x14ac:dyDescent="0.2">
      <c r="A2382" s="46" t="s">
        <v>45</v>
      </c>
      <c r="B2382" s="46" t="s">
        <v>119</v>
      </c>
      <c r="C2382" s="46" t="s">
        <v>90</v>
      </c>
      <c r="D2382" s="46" t="s">
        <v>178</v>
      </c>
      <c r="E2382" s="46">
        <v>2</v>
      </c>
      <c r="F2382" s="46" t="s">
        <v>63</v>
      </c>
      <c r="G2382" s="46">
        <v>4</v>
      </c>
      <c r="H2382" s="47" t="s">
        <v>147</v>
      </c>
      <c r="I2382" s="47" t="s">
        <v>102</v>
      </c>
      <c r="J2382" s="48">
        <v>0</v>
      </c>
      <c r="K2382" s="48">
        <v>0</v>
      </c>
      <c r="R2382" s="46">
        <f t="shared" si="234"/>
        <v>0</v>
      </c>
      <c r="S2382" s="46">
        <f t="shared" si="235"/>
        <v>0</v>
      </c>
      <c r="T2382" s="46">
        <f t="shared" si="238"/>
        <v>0</v>
      </c>
      <c r="U2382" s="46">
        <f t="shared" si="236"/>
        <v>0</v>
      </c>
      <c r="V2382" s="54">
        <f t="shared" si="237"/>
        <v>4</v>
      </c>
    </row>
    <row r="2383" spans="1:22" x14ac:dyDescent="0.2">
      <c r="A2383" s="46" t="s">
        <v>45</v>
      </c>
      <c r="B2383" s="46" t="s">
        <v>119</v>
      </c>
      <c r="C2383" s="46" t="s">
        <v>90</v>
      </c>
      <c r="D2383" s="46" t="s">
        <v>178</v>
      </c>
      <c r="E2383" s="46">
        <v>1</v>
      </c>
      <c r="F2383" s="46" t="s">
        <v>63</v>
      </c>
      <c r="G2383" s="46">
        <v>4</v>
      </c>
      <c r="H2383" s="47" t="s">
        <v>148</v>
      </c>
      <c r="I2383" s="47" t="s">
        <v>102</v>
      </c>
      <c r="J2383" s="48">
        <v>0</v>
      </c>
      <c r="K2383" s="48">
        <v>0</v>
      </c>
      <c r="R2383" s="46">
        <f t="shared" si="234"/>
        <v>0</v>
      </c>
      <c r="S2383" s="46">
        <f t="shared" si="235"/>
        <v>0</v>
      </c>
      <c r="T2383" s="46">
        <f t="shared" si="238"/>
        <v>0</v>
      </c>
      <c r="U2383" s="46">
        <f t="shared" si="236"/>
        <v>0</v>
      </c>
      <c r="V2383" s="54">
        <f t="shared" si="237"/>
        <v>4</v>
      </c>
    </row>
    <row r="2384" spans="1:22" x14ac:dyDescent="0.2">
      <c r="A2384" s="46" t="s">
        <v>45</v>
      </c>
      <c r="B2384" s="46" t="s">
        <v>119</v>
      </c>
      <c r="C2384" s="46" t="s">
        <v>90</v>
      </c>
      <c r="D2384" s="46" t="s">
        <v>178</v>
      </c>
      <c r="E2384" s="46">
        <v>4</v>
      </c>
      <c r="F2384" s="46" t="s">
        <v>63</v>
      </c>
      <c r="G2384" s="46">
        <v>4</v>
      </c>
      <c r="H2384" s="47" t="s">
        <v>148</v>
      </c>
      <c r="I2384" s="47" t="s">
        <v>102</v>
      </c>
      <c r="J2384" s="48">
        <v>0</v>
      </c>
      <c r="K2384" s="48">
        <v>0</v>
      </c>
      <c r="R2384" s="46">
        <f t="shared" si="234"/>
        <v>0</v>
      </c>
      <c r="S2384" s="46">
        <f t="shared" si="235"/>
        <v>0</v>
      </c>
      <c r="T2384" s="46">
        <f t="shared" si="238"/>
        <v>0</v>
      </c>
      <c r="U2384" s="46">
        <f t="shared" si="236"/>
        <v>0</v>
      </c>
      <c r="V2384" s="54">
        <f t="shared" si="237"/>
        <v>4</v>
      </c>
    </row>
    <row r="2385" spans="1:22" x14ac:dyDescent="0.2">
      <c r="A2385" s="46" t="s">
        <v>45</v>
      </c>
      <c r="B2385" s="46" t="s">
        <v>119</v>
      </c>
      <c r="C2385" s="46" t="s">
        <v>90</v>
      </c>
      <c r="D2385" s="46" t="s">
        <v>178</v>
      </c>
      <c r="E2385" s="46">
        <v>1</v>
      </c>
      <c r="F2385" s="46" t="s">
        <v>63</v>
      </c>
      <c r="G2385" s="46">
        <v>4</v>
      </c>
      <c r="H2385" s="47" t="s">
        <v>150</v>
      </c>
      <c r="I2385" s="47" t="s">
        <v>102</v>
      </c>
      <c r="J2385" s="48">
        <v>0</v>
      </c>
      <c r="K2385" s="48">
        <v>0</v>
      </c>
      <c r="R2385" s="46">
        <f t="shared" si="234"/>
        <v>0</v>
      </c>
      <c r="S2385" s="46">
        <f t="shared" si="235"/>
        <v>0</v>
      </c>
      <c r="T2385" s="46">
        <f t="shared" si="238"/>
        <v>0</v>
      </c>
      <c r="U2385" s="46">
        <f t="shared" si="236"/>
        <v>0</v>
      </c>
      <c r="V2385" s="54">
        <f t="shared" si="237"/>
        <v>4</v>
      </c>
    </row>
    <row r="2386" spans="1:22" x14ac:dyDescent="0.2">
      <c r="A2386" s="46" t="s">
        <v>45</v>
      </c>
      <c r="B2386" s="46" t="s">
        <v>119</v>
      </c>
      <c r="C2386" s="46" t="s">
        <v>90</v>
      </c>
      <c r="D2386" s="46" t="s">
        <v>178</v>
      </c>
      <c r="E2386" s="46">
        <v>2</v>
      </c>
      <c r="F2386" s="46" t="s">
        <v>63</v>
      </c>
      <c r="G2386" s="46">
        <v>4</v>
      </c>
      <c r="H2386" s="47" t="s">
        <v>150</v>
      </c>
      <c r="I2386" s="47" t="s">
        <v>102</v>
      </c>
      <c r="J2386" s="48">
        <v>0</v>
      </c>
      <c r="K2386" s="48">
        <v>0</v>
      </c>
      <c r="R2386" s="46">
        <f t="shared" si="234"/>
        <v>0</v>
      </c>
      <c r="S2386" s="46">
        <f t="shared" si="235"/>
        <v>0</v>
      </c>
      <c r="T2386" s="46">
        <f t="shared" si="238"/>
        <v>0</v>
      </c>
      <c r="U2386" s="46">
        <f t="shared" si="236"/>
        <v>0</v>
      </c>
      <c r="V2386" s="54">
        <f t="shared" si="237"/>
        <v>4</v>
      </c>
    </row>
    <row r="2387" spans="1:22" x14ac:dyDescent="0.2">
      <c r="A2387" s="46" t="s">
        <v>45</v>
      </c>
      <c r="B2387" s="46" t="s">
        <v>119</v>
      </c>
      <c r="C2387" s="46" t="s">
        <v>90</v>
      </c>
      <c r="D2387" s="46" t="s">
        <v>178</v>
      </c>
      <c r="E2387" s="46">
        <v>4</v>
      </c>
      <c r="F2387" s="46" t="s">
        <v>63</v>
      </c>
      <c r="G2387" s="46">
        <v>4</v>
      </c>
      <c r="H2387" s="47" t="s">
        <v>151</v>
      </c>
      <c r="I2387" s="47" t="s">
        <v>102</v>
      </c>
      <c r="J2387" s="48">
        <v>0</v>
      </c>
      <c r="K2387" s="48">
        <v>0</v>
      </c>
      <c r="R2387" s="46">
        <f t="shared" si="234"/>
        <v>0</v>
      </c>
      <c r="S2387" s="46">
        <f t="shared" si="235"/>
        <v>0</v>
      </c>
      <c r="T2387" s="46">
        <f t="shared" si="238"/>
        <v>0</v>
      </c>
      <c r="U2387" s="46">
        <f t="shared" si="236"/>
        <v>0</v>
      </c>
      <c r="V2387" s="54">
        <f t="shared" si="237"/>
        <v>4</v>
      </c>
    </row>
    <row r="2388" spans="1:22" x14ac:dyDescent="0.2">
      <c r="A2388" s="46" t="s">
        <v>45</v>
      </c>
      <c r="B2388" s="46" t="s">
        <v>119</v>
      </c>
      <c r="C2388" s="46" t="s">
        <v>90</v>
      </c>
      <c r="D2388" s="46" t="s">
        <v>178</v>
      </c>
      <c r="E2388" s="46">
        <v>1</v>
      </c>
      <c r="F2388" s="46" t="s">
        <v>63</v>
      </c>
      <c r="G2388" s="46">
        <v>4</v>
      </c>
      <c r="H2388" s="47" t="s">
        <v>152</v>
      </c>
      <c r="I2388" s="47" t="s">
        <v>102</v>
      </c>
      <c r="J2388" s="48">
        <v>0</v>
      </c>
      <c r="K2388" s="48">
        <v>0</v>
      </c>
      <c r="R2388" s="46">
        <f t="shared" si="234"/>
        <v>0</v>
      </c>
      <c r="S2388" s="46">
        <f t="shared" si="235"/>
        <v>0</v>
      </c>
      <c r="T2388" s="46">
        <f t="shared" si="238"/>
        <v>0</v>
      </c>
      <c r="U2388" s="46">
        <f t="shared" si="236"/>
        <v>0</v>
      </c>
      <c r="V2388" s="54">
        <f t="shared" si="237"/>
        <v>4</v>
      </c>
    </row>
    <row r="2389" spans="1:22" x14ac:dyDescent="0.2">
      <c r="A2389" s="46" t="s">
        <v>45</v>
      </c>
      <c r="B2389" s="46" t="s">
        <v>119</v>
      </c>
      <c r="C2389" s="46" t="s">
        <v>90</v>
      </c>
      <c r="D2389" s="46" t="s">
        <v>178</v>
      </c>
      <c r="E2389" s="46">
        <v>3</v>
      </c>
      <c r="F2389" s="46" t="s">
        <v>63</v>
      </c>
      <c r="G2389" s="46">
        <v>4</v>
      </c>
      <c r="H2389" s="47" t="s">
        <v>152</v>
      </c>
      <c r="I2389" s="47" t="s">
        <v>102</v>
      </c>
      <c r="J2389" s="48">
        <v>0</v>
      </c>
      <c r="K2389" s="48">
        <v>0</v>
      </c>
      <c r="R2389" s="46">
        <f t="shared" si="234"/>
        <v>0</v>
      </c>
      <c r="S2389" s="46">
        <f t="shared" si="235"/>
        <v>0</v>
      </c>
      <c r="T2389" s="46">
        <f t="shared" si="238"/>
        <v>0</v>
      </c>
      <c r="U2389" s="46">
        <f t="shared" si="236"/>
        <v>0</v>
      </c>
      <c r="V2389" s="54">
        <f t="shared" si="237"/>
        <v>4</v>
      </c>
    </row>
    <row r="2390" spans="1:22" x14ac:dyDescent="0.2">
      <c r="A2390" s="46" t="s">
        <v>45</v>
      </c>
      <c r="B2390" s="46" t="s">
        <v>119</v>
      </c>
      <c r="C2390" s="46" t="s">
        <v>90</v>
      </c>
      <c r="D2390" s="46" t="s">
        <v>178</v>
      </c>
      <c r="E2390" s="46">
        <v>4</v>
      </c>
      <c r="F2390" s="46" t="s">
        <v>60</v>
      </c>
      <c r="G2390" s="46">
        <v>2</v>
      </c>
      <c r="H2390" s="47">
        <v>2</v>
      </c>
      <c r="I2390" s="47" t="s">
        <v>127</v>
      </c>
      <c r="J2390" s="48">
        <v>1</v>
      </c>
      <c r="K2390" s="48">
        <v>0</v>
      </c>
      <c r="R2390" s="46">
        <f t="shared" si="234"/>
        <v>0</v>
      </c>
      <c r="S2390" s="46">
        <f t="shared" si="235"/>
        <v>0</v>
      </c>
      <c r="T2390" s="46">
        <f t="shared" si="238"/>
        <v>20</v>
      </c>
      <c r="U2390" s="46">
        <f t="shared" si="236"/>
        <v>20</v>
      </c>
      <c r="V2390" s="54">
        <f t="shared" si="237"/>
        <v>4</v>
      </c>
    </row>
    <row r="2391" spans="1:22" x14ac:dyDescent="0.2">
      <c r="A2391" s="46" t="s">
        <v>45</v>
      </c>
      <c r="B2391" s="46" t="s">
        <v>119</v>
      </c>
      <c r="C2391" s="46" t="s">
        <v>90</v>
      </c>
      <c r="D2391" s="46" t="s">
        <v>178</v>
      </c>
      <c r="E2391" s="46">
        <v>1</v>
      </c>
      <c r="F2391" s="46" t="s">
        <v>60</v>
      </c>
      <c r="G2391" s="46">
        <v>4</v>
      </c>
      <c r="H2391" s="47">
        <v>12</v>
      </c>
      <c r="I2391" s="47" t="s">
        <v>102</v>
      </c>
      <c r="J2391" s="48">
        <v>1</v>
      </c>
      <c r="K2391" s="48">
        <v>0</v>
      </c>
      <c r="R2391" s="46">
        <f t="shared" si="234"/>
        <v>0</v>
      </c>
      <c r="S2391" s="46">
        <f t="shared" si="235"/>
        <v>0</v>
      </c>
      <c r="T2391" s="46">
        <f t="shared" si="238"/>
        <v>20</v>
      </c>
      <c r="U2391" s="46">
        <f t="shared" si="236"/>
        <v>20</v>
      </c>
      <c r="V2391" s="54">
        <f t="shared" si="237"/>
        <v>4</v>
      </c>
    </row>
    <row r="2392" spans="1:22" x14ac:dyDescent="0.2">
      <c r="A2392" s="46" t="s">
        <v>45</v>
      </c>
      <c r="B2392" s="46" t="s">
        <v>119</v>
      </c>
      <c r="C2392" s="46" t="s">
        <v>90</v>
      </c>
      <c r="D2392" s="46" t="s">
        <v>178</v>
      </c>
      <c r="E2392" s="46">
        <v>1</v>
      </c>
      <c r="F2392" s="46" t="s">
        <v>60</v>
      </c>
      <c r="G2392" s="46">
        <v>4</v>
      </c>
      <c r="H2392" s="47">
        <v>20</v>
      </c>
      <c r="I2392" s="47" t="s">
        <v>102</v>
      </c>
      <c r="J2392" s="48">
        <v>1</v>
      </c>
      <c r="K2392" s="48">
        <v>0</v>
      </c>
      <c r="R2392" s="46">
        <f t="shared" si="234"/>
        <v>0</v>
      </c>
      <c r="S2392" s="46">
        <f t="shared" si="235"/>
        <v>0</v>
      </c>
      <c r="T2392" s="46">
        <f t="shared" si="238"/>
        <v>20</v>
      </c>
      <c r="U2392" s="46">
        <f t="shared" si="236"/>
        <v>20</v>
      </c>
      <c r="V2392" s="54">
        <f t="shared" si="237"/>
        <v>4</v>
      </c>
    </row>
    <row r="2393" spans="1:22" x14ac:dyDescent="0.2">
      <c r="A2393" s="46" t="s">
        <v>45</v>
      </c>
      <c r="B2393" s="46" t="s">
        <v>119</v>
      </c>
      <c r="C2393" s="46" t="s">
        <v>90</v>
      </c>
      <c r="D2393" s="46" t="s">
        <v>178</v>
      </c>
      <c r="E2393" s="46">
        <v>2</v>
      </c>
      <c r="F2393" s="46" t="s">
        <v>60</v>
      </c>
      <c r="G2393" s="46">
        <v>4</v>
      </c>
      <c r="H2393" s="47">
        <v>20</v>
      </c>
      <c r="I2393" s="47" t="s">
        <v>102</v>
      </c>
      <c r="J2393" s="48">
        <v>1</v>
      </c>
      <c r="K2393" s="48">
        <v>0</v>
      </c>
      <c r="R2393" s="46">
        <f t="shared" si="234"/>
        <v>0</v>
      </c>
      <c r="S2393" s="46">
        <f t="shared" si="235"/>
        <v>0</v>
      </c>
      <c r="T2393" s="46">
        <f t="shared" si="238"/>
        <v>20</v>
      </c>
      <c r="U2393" s="46">
        <f t="shared" si="236"/>
        <v>20</v>
      </c>
      <c r="V2393" s="54">
        <f t="shared" si="237"/>
        <v>4</v>
      </c>
    </row>
    <row r="2394" spans="1:22" x14ac:dyDescent="0.2">
      <c r="A2394" s="46" t="s">
        <v>45</v>
      </c>
      <c r="B2394" s="46" t="s">
        <v>119</v>
      </c>
      <c r="C2394" s="46" t="s">
        <v>90</v>
      </c>
      <c r="D2394" s="46" t="s">
        <v>178</v>
      </c>
      <c r="E2394" s="46">
        <v>3</v>
      </c>
      <c r="F2394" s="46" t="s">
        <v>63</v>
      </c>
      <c r="G2394" s="46">
        <v>4</v>
      </c>
      <c r="H2394" s="47" t="s">
        <v>147</v>
      </c>
      <c r="I2394" s="47" t="s">
        <v>102</v>
      </c>
      <c r="J2394" s="48">
        <v>1</v>
      </c>
      <c r="K2394" s="48">
        <v>0</v>
      </c>
      <c r="R2394" s="46">
        <f t="shared" si="234"/>
        <v>0</v>
      </c>
      <c r="S2394" s="46">
        <f t="shared" si="235"/>
        <v>0</v>
      </c>
      <c r="T2394" s="46">
        <f t="shared" si="238"/>
        <v>20</v>
      </c>
      <c r="U2394" s="46">
        <f t="shared" si="236"/>
        <v>20</v>
      </c>
      <c r="V2394" s="54">
        <f t="shared" si="237"/>
        <v>4</v>
      </c>
    </row>
    <row r="2395" spans="1:22" x14ac:dyDescent="0.2">
      <c r="A2395" s="46" t="s">
        <v>45</v>
      </c>
      <c r="B2395" s="46" t="s">
        <v>119</v>
      </c>
      <c r="C2395" s="46" t="s">
        <v>90</v>
      </c>
      <c r="D2395" s="46" t="s">
        <v>178</v>
      </c>
      <c r="E2395" s="46">
        <v>3</v>
      </c>
      <c r="F2395" s="46" t="s">
        <v>63</v>
      </c>
      <c r="G2395" s="46">
        <v>4</v>
      </c>
      <c r="H2395" s="47" t="s">
        <v>151</v>
      </c>
      <c r="I2395" s="47" t="s">
        <v>102</v>
      </c>
      <c r="J2395" s="48">
        <v>1</v>
      </c>
      <c r="K2395" s="48">
        <v>0</v>
      </c>
      <c r="R2395" s="46">
        <f t="shared" si="234"/>
        <v>0</v>
      </c>
      <c r="S2395" s="46">
        <f t="shared" si="235"/>
        <v>0</v>
      </c>
      <c r="T2395" s="46">
        <f t="shared" si="238"/>
        <v>20</v>
      </c>
      <c r="U2395" s="46">
        <f t="shared" si="236"/>
        <v>20</v>
      </c>
      <c r="V2395" s="54">
        <f t="shared" si="237"/>
        <v>4</v>
      </c>
    </row>
    <row r="2396" spans="1:22" x14ac:dyDescent="0.2">
      <c r="A2396" s="46" t="s">
        <v>45</v>
      </c>
      <c r="B2396" s="46" t="s">
        <v>119</v>
      </c>
      <c r="C2396" s="46" t="s">
        <v>90</v>
      </c>
      <c r="D2396" s="46" t="s">
        <v>178</v>
      </c>
      <c r="E2396" s="46">
        <v>5</v>
      </c>
      <c r="F2396" s="46" t="s">
        <v>60</v>
      </c>
      <c r="G2396" s="46">
        <v>4</v>
      </c>
      <c r="H2396" s="47">
        <v>8</v>
      </c>
      <c r="I2396" s="47" t="s">
        <v>102</v>
      </c>
      <c r="J2396" s="48">
        <v>0</v>
      </c>
      <c r="K2396" s="48">
        <v>0</v>
      </c>
      <c r="R2396" s="46">
        <f t="shared" si="234"/>
        <v>0</v>
      </c>
      <c r="S2396" s="46">
        <f t="shared" si="235"/>
        <v>0</v>
      </c>
      <c r="T2396" s="46">
        <f t="shared" si="238"/>
        <v>0</v>
      </c>
      <c r="U2396" s="46">
        <f t="shared" si="236"/>
        <v>0</v>
      </c>
      <c r="V2396" s="54">
        <f t="shared" si="237"/>
        <v>4</v>
      </c>
    </row>
    <row r="2397" spans="1:22" x14ac:dyDescent="0.2">
      <c r="A2397" s="46" t="s">
        <v>45</v>
      </c>
      <c r="B2397" s="46" t="s">
        <v>119</v>
      </c>
      <c r="C2397" s="46" t="s">
        <v>90</v>
      </c>
      <c r="D2397" s="46" t="s">
        <v>178</v>
      </c>
      <c r="E2397" s="46">
        <v>5</v>
      </c>
      <c r="F2397" s="46" t="s">
        <v>60</v>
      </c>
      <c r="G2397" s="46">
        <v>3</v>
      </c>
      <c r="H2397" s="47">
        <v>19</v>
      </c>
      <c r="I2397" s="47" t="s">
        <v>159</v>
      </c>
      <c r="J2397" s="48">
        <v>0</v>
      </c>
      <c r="K2397" s="48">
        <v>0</v>
      </c>
      <c r="R2397" s="46">
        <f t="shared" si="234"/>
        <v>0</v>
      </c>
      <c r="S2397" s="46">
        <f t="shared" si="235"/>
        <v>0</v>
      </c>
      <c r="T2397" s="46">
        <f t="shared" si="238"/>
        <v>0</v>
      </c>
      <c r="U2397" s="46">
        <f t="shared" si="236"/>
        <v>0</v>
      </c>
      <c r="V2397" s="54">
        <f t="shared" si="237"/>
        <v>4</v>
      </c>
    </row>
    <row r="2398" spans="1:22" x14ac:dyDescent="0.2">
      <c r="A2398" s="46" t="s">
        <v>45</v>
      </c>
      <c r="B2398" s="46" t="s">
        <v>119</v>
      </c>
      <c r="C2398" s="46" t="s">
        <v>90</v>
      </c>
      <c r="D2398" s="46" t="s">
        <v>178</v>
      </c>
      <c r="E2398" s="46">
        <v>5</v>
      </c>
      <c r="F2398" s="46" t="s">
        <v>60</v>
      </c>
      <c r="G2398" s="46">
        <v>4</v>
      </c>
      <c r="H2398" s="47">
        <v>28</v>
      </c>
      <c r="I2398" s="47" t="s">
        <v>102</v>
      </c>
      <c r="J2398" s="48">
        <v>0</v>
      </c>
      <c r="K2398" s="48">
        <v>0</v>
      </c>
      <c r="R2398" s="46">
        <f t="shared" si="234"/>
        <v>0</v>
      </c>
      <c r="S2398" s="46">
        <f t="shared" si="235"/>
        <v>0</v>
      </c>
      <c r="T2398" s="46">
        <f t="shared" si="238"/>
        <v>0</v>
      </c>
      <c r="U2398" s="46">
        <f t="shared" si="236"/>
        <v>0</v>
      </c>
      <c r="V2398" s="54">
        <f t="shared" si="237"/>
        <v>4</v>
      </c>
    </row>
    <row r="2399" spans="1:22" x14ac:dyDescent="0.2">
      <c r="A2399" s="46" t="s">
        <v>45</v>
      </c>
      <c r="B2399" s="46" t="s">
        <v>119</v>
      </c>
      <c r="C2399" s="46" t="s">
        <v>90</v>
      </c>
      <c r="D2399" s="46" t="s">
        <v>178</v>
      </c>
      <c r="E2399" s="46">
        <v>5</v>
      </c>
      <c r="F2399" s="46" t="s">
        <v>60</v>
      </c>
      <c r="G2399" s="46">
        <v>2</v>
      </c>
      <c r="H2399" s="47">
        <v>34</v>
      </c>
      <c r="I2399" s="47" t="s">
        <v>127</v>
      </c>
      <c r="J2399" s="48">
        <v>1</v>
      </c>
      <c r="K2399" s="48">
        <v>0</v>
      </c>
      <c r="R2399" s="46">
        <f t="shared" si="234"/>
        <v>0</v>
      </c>
      <c r="S2399" s="46">
        <f t="shared" si="235"/>
        <v>0</v>
      </c>
      <c r="T2399" s="46">
        <f t="shared" si="238"/>
        <v>20</v>
      </c>
      <c r="U2399" s="46">
        <f t="shared" si="236"/>
        <v>20</v>
      </c>
      <c r="V2399" s="54">
        <f t="shared" si="237"/>
        <v>4</v>
      </c>
    </row>
    <row r="2400" spans="1:22" x14ac:dyDescent="0.2">
      <c r="A2400" s="46" t="s">
        <v>45</v>
      </c>
      <c r="B2400" s="46" t="s">
        <v>119</v>
      </c>
      <c r="C2400" s="46" t="s">
        <v>90</v>
      </c>
      <c r="D2400" s="46" t="s">
        <v>178</v>
      </c>
      <c r="E2400" s="46">
        <v>5</v>
      </c>
      <c r="F2400" s="46" t="s">
        <v>60</v>
      </c>
      <c r="G2400" s="46">
        <v>1</v>
      </c>
      <c r="H2400" s="47">
        <v>37</v>
      </c>
      <c r="I2400" s="47" t="s">
        <v>101</v>
      </c>
      <c r="J2400" s="48">
        <v>0</v>
      </c>
      <c r="K2400" s="48">
        <v>1</v>
      </c>
      <c r="R2400" s="46">
        <f t="shared" si="234"/>
        <v>0</v>
      </c>
      <c r="S2400" s="46">
        <f t="shared" si="235"/>
        <v>0</v>
      </c>
      <c r="T2400" s="46">
        <f t="shared" si="238"/>
        <v>0</v>
      </c>
      <c r="U2400" s="46">
        <f t="shared" si="236"/>
        <v>0</v>
      </c>
      <c r="V2400" s="54">
        <f t="shared" si="237"/>
        <v>4</v>
      </c>
    </row>
    <row r="2401" spans="1:22" x14ac:dyDescent="0.2">
      <c r="A2401" s="46" t="s">
        <v>45</v>
      </c>
      <c r="B2401" s="46" t="s">
        <v>119</v>
      </c>
      <c r="C2401" s="46" t="s">
        <v>90</v>
      </c>
      <c r="D2401" s="46" t="s">
        <v>178</v>
      </c>
      <c r="E2401" s="46">
        <v>5</v>
      </c>
      <c r="F2401" s="46" t="s">
        <v>60</v>
      </c>
      <c r="G2401" s="46">
        <v>2</v>
      </c>
      <c r="H2401" s="47">
        <v>50</v>
      </c>
      <c r="I2401" s="47" t="s">
        <v>127</v>
      </c>
      <c r="J2401" s="48">
        <v>0</v>
      </c>
      <c r="K2401" s="48">
        <v>0</v>
      </c>
      <c r="R2401" s="46">
        <f t="shared" si="234"/>
        <v>0</v>
      </c>
      <c r="S2401" s="46">
        <f t="shared" si="235"/>
        <v>0</v>
      </c>
      <c r="T2401" s="46">
        <f t="shared" si="238"/>
        <v>0</v>
      </c>
      <c r="U2401" s="46">
        <f t="shared" si="236"/>
        <v>0</v>
      </c>
      <c r="V2401" s="54">
        <f t="shared" si="237"/>
        <v>4</v>
      </c>
    </row>
    <row r="2402" spans="1:22" x14ac:dyDescent="0.2">
      <c r="A2402" s="46" t="s">
        <v>45</v>
      </c>
      <c r="B2402" s="46" t="s">
        <v>119</v>
      </c>
      <c r="C2402" s="46" t="str">
        <f>VLOOKUP(B2402,$B$2:$C$3219,2,FALSE)</f>
        <v>Dallas</v>
      </c>
      <c r="D2402" s="46" t="s">
        <v>178</v>
      </c>
      <c r="E2402" s="46">
        <v>5</v>
      </c>
      <c r="F2402" s="46" t="s">
        <v>63</v>
      </c>
      <c r="G2402" s="46">
        <v>4</v>
      </c>
      <c r="H2402" s="47" t="s">
        <v>149</v>
      </c>
      <c r="I2402" s="47" t="s">
        <v>102</v>
      </c>
      <c r="J2402" s="48">
        <v>0</v>
      </c>
      <c r="K2402" s="48">
        <v>0</v>
      </c>
      <c r="R2402" s="46">
        <f t="shared" si="234"/>
        <v>0</v>
      </c>
      <c r="S2402" s="46">
        <f t="shared" si="235"/>
        <v>0</v>
      </c>
      <c r="T2402" s="46">
        <f t="shared" si="238"/>
        <v>0</v>
      </c>
      <c r="U2402" s="46">
        <f t="shared" si="236"/>
        <v>0</v>
      </c>
      <c r="V2402" s="54">
        <f t="shared" si="237"/>
        <v>4</v>
      </c>
    </row>
    <row r="2403" spans="1:22" x14ac:dyDescent="0.2">
      <c r="A2403" s="46" t="s">
        <v>45</v>
      </c>
      <c r="B2403" s="46" t="s">
        <v>119</v>
      </c>
      <c r="C2403" s="46" t="str">
        <f>VLOOKUP(B2403,$B$2:$C$3219,2,FALSE)</f>
        <v>Dallas</v>
      </c>
      <c r="D2403" s="46" t="s">
        <v>178</v>
      </c>
      <c r="E2403" s="46">
        <v>5</v>
      </c>
      <c r="F2403" s="46" t="s">
        <v>63</v>
      </c>
      <c r="G2403" s="46">
        <v>4</v>
      </c>
      <c r="H2403" s="47" t="s">
        <v>150</v>
      </c>
      <c r="I2403" s="47" t="s">
        <v>102</v>
      </c>
      <c r="J2403" s="48">
        <v>1</v>
      </c>
      <c r="K2403" s="48">
        <v>0</v>
      </c>
      <c r="R2403" s="46">
        <f t="shared" si="234"/>
        <v>0</v>
      </c>
      <c r="S2403" s="46">
        <f t="shared" si="235"/>
        <v>0</v>
      </c>
      <c r="T2403" s="46">
        <f t="shared" si="238"/>
        <v>20</v>
      </c>
      <c r="U2403" s="46">
        <f t="shared" si="236"/>
        <v>20</v>
      </c>
      <c r="V2403" s="54">
        <f t="shared" si="237"/>
        <v>4</v>
      </c>
    </row>
    <row r="2404" spans="1:22" x14ac:dyDescent="0.2">
      <c r="A2404" s="46" t="s">
        <v>45</v>
      </c>
      <c r="B2404" s="46" t="s">
        <v>119</v>
      </c>
      <c r="C2404" s="46" t="str">
        <f>VLOOKUP(B2404,$B$2:$C$3219,2,FALSE)</f>
        <v>Dallas</v>
      </c>
      <c r="D2404" s="46" t="s">
        <v>178</v>
      </c>
      <c r="E2404" s="46">
        <v>5</v>
      </c>
      <c r="F2404" s="46" t="s">
        <v>63</v>
      </c>
      <c r="G2404" s="46">
        <v>4</v>
      </c>
      <c r="H2404" s="47" t="s">
        <v>151</v>
      </c>
      <c r="I2404" s="47" t="s">
        <v>102</v>
      </c>
      <c r="J2404" s="48">
        <v>0</v>
      </c>
      <c r="K2404" s="48">
        <v>1</v>
      </c>
      <c r="R2404" s="46">
        <f t="shared" si="234"/>
        <v>0</v>
      </c>
      <c r="S2404" s="46">
        <f t="shared" si="235"/>
        <v>0</v>
      </c>
      <c r="T2404" s="46">
        <f t="shared" si="238"/>
        <v>0</v>
      </c>
      <c r="U2404" s="46">
        <f t="shared" si="236"/>
        <v>0</v>
      </c>
      <c r="V2404" s="54">
        <f t="shared" si="237"/>
        <v>4</v>
      </c>
    </row>
    <row r="2405" spans="1:22" x14ac:dyDescent="0.2">
      <c r="A2405" s="46" t="s">
        <v>45</v>
      </c>
      <c r="B2405" s="46" t="s">
        <v>119</v>
      </c>
      <c r="C2405" s="46" t="str">
        <f>VLOOKUP(B2405,$B$2:$C$3219,2,FALSE)</f>
        <v>Dallas</v>
      </c>
      <c r="D2405" s="46" t="s">
        <v>178</v>
      </c>
      <c r="E2405" s="46">
        <v>5</v>
      </c>
      <c r="F2405" s="46" t="s">
        <v>63</v>
      </c>
      <c r="G2405" s="46">
        <v>4</v>
      </c>
      <c r="H2405" s="47" t="s">
        <v>172</v>
      </c>
      <c r="I2405" s="47" t="s">
        <v>102</v>
      </c>
      <c r="J2405" s="48">
        <v>0</v>
      </c>
      <c r="K2405" s="48">
        <v>0</v>
      </c>
      <c r="R2405" s="46">
        <f t="shared" si="234"/>
        <v>0</v>
      </c>
      <c r="S2405" s="46">
        <f t="shared" si="235"/>
        <v>0</v>
      </c>
      <c r="U2405" s="46">
        <f t="shared" si="236"/>
        <v>0</v>
      </c>
      <c r="V2405" s="54">
        <f t="shared" si="237"/>
        <v>4</v>
      </c>
    </row>
    <row r="2406" spans="1:22" x14ac:dyDescent="0.2">
      <c r="A2406" s="46" t="s">
        <v>136</v>
      </c>
      <c r="B2406" s="46" t="s">
        <v>119</v>
      </c>
      <c r="C2406" s="46" t="s">
        <v>90</v>
      </c>
      <c r="D2406" s="46" t="s">
        <v>178</v>
      </c>
      <c r="E2406" s="46">
        <v>1</v>
      </c>
      <c r="F2406" s="46" t="s">
        <v>60</v>
      </c>
      <c r="G2406" s="46">
        <v>3</v>
      </c>
      <c r="H2406" s="47">
        <v>43</v>
      </c>
      <c r="I2406" s="47" t="s">
        <v>116</v>
      </c>
      <c r="J2406" s="48">
        <v>0</v>
      </c>
      <c r="K2406" s="48">
        <v>2</v>
      </c>
      <c r="M2406" s="48">
        <v>1</v>
      </c>
      <c r="R2406" s="46">
        <f t="shared" si="234"/>
        <v>0</v>
      </c>
      <c r="S2406" s="46">
        <f t="shared" si="235"/>
        <v>0</v>
      </c>
      <c r="T2406" s="46">
        <f t="shared" ref="T2406:T2450" si="239">quizscore(J2406,K2406)</f>
        <v>-10</v>
      </c>
      <c r="U2406" s="46">
        <f t="shared" si="236"/>
        <v>10</v>
      </c>
      <c r="V2406" s="54">
        <f t="shared" si="237"/>
        <v>30.5</v>
      </c>
    </row>
    <row r="2407" spans="1:22" x14ac:dyDescent="0.2">
      <c r="A2407" s="46" t="s">
        <v>136</v>
      </c>
      <c r="B2407" s="46" t="s">
        <v>119</v>
      </c>
      <c r="C2407" s="46" t="s">
        <v>90</v>
      </c>
      <c r="D2407" s="46" t="s">
        <v>178</v>
      </c>
      <c r="E2407" s="46">
        <v>4</v>
      </c>
      <c r="F2407" s="46" t="s">
        <v>60</v>
      </c>
      <c r="G2407" s="46">
        <v>2</v>
      </c>
      <c r="H2407" s="47">
        <v>2</v>
      </c>
      <c r="I2407" s="47" t="s">
        <v>127</v>
      </c>
      <c r="J2407" s="48">
        <v>0</v>
      </c>
      <c r="K2407" s="48">
        <v>1</v>
      </c>
      <c r="R2407" s="46">
        <f t="shared" si="234"/>
        <v>0</v>
      </c>
      <c r="S2407" s="46">
        <f t="shared" si="235"/>
        <v>0</v>
      </c>
      <c r="T2407" s="46">
        <f t="shared" si="239"/>
        <v>0</v>
      </c>
      <c r="U2407" s="46">
        <f t="shared" si="236"/>
        <v>0</v>
      </c>
      <c r="V2407" s="54">
        <f t="shared" si="237"/>
        <v>30.5</v>
      </c>
    </row>
    <row r="2408" spans="1:22" x14ac:dyDescent="0.2">
      <c r="A2408" s="46" t="s">
        <v>136</v>
      </c>
      <c r="B2408" s="46" t="s">
        <v>119</v>
      </c>
      <c r="C2408" s="46" t="s">
        <v>90</v>
      </c>
      <c r="D2408" s="46" t="s">
        <v>178</v>
      </c>
      <c r="E2408" s="46">
        <v>3</v>
      </c>
      <c r="F2408" s="46" t="s">
        <v>60</v>
      </c>
      <c r="G2408" s="46">
        <v>2</v>
      </c>
      <c r="H2408" s="47">
        <v>18</v>
      </c>
      <c r="I2408" s="47" t="s">
        <v>127</v>
      </c>
      <c r="J2408" s="48">
        <v>1</v>
      </c>
      <c r="K2408" s="48">
        <v>3</v>
      </c>
      <c r="M2408" s="48">
        <v>1</v>
      </c>
      <c r="R2408" s="46">
        <f t="shared" si="234"/>
        <v>0</v>
      </c>
      <c r="S2408" s="46">
        <f t="shared" si="235"/>
        <v>1</v>
      </c>
      <c r="T2408" s="46">
        <f t="shared" si="239"/>
        <v>0</v>
      </c>
      <c r="U2408" s="46">
        <f t="shared" si="236"/>
        <v>20</v>
      </c>
      <c r="V2408" s="54">
        <f t="shared" si="237"/>
        <v>30.5</v>
      </c>
    </row>
    <row r="2409" spans="1:22" x14ac:dyDescent="0.2">
      <c r="A2409" s="46" t="s">
        <v>136</v>
      </c>
      <c r="B2409" s="46" t="s">
        <v>119</v>
      </c>
      <c r="C2409" s="46" t="s">
        <v>90</v>
      </c>
      <c r="D2409" s="46" t="s">
        <v>178</v>
      </c>
      <c r="E2409" s="46">
        <v>2</v>
      </c>
      <c r="F2409" s="46" t="s">
        <v>60</v>
      </c>
      <c r="G2409" s="46">
        <v>4</v>
      </c>
      <c r="H2409" s="47">
        <v>20</v>
      </c>
      <c r="I2409" s="47" t="s">
        <v>102</v>
      </c>
      <c r="J2409" s="48">
        <v>1</v>
      </c>
      <c r="K2409" s="48">
        <v>3</v>
      </c>
      <c r="R2409" s="46">
        <f t="shared" si="234"/>
        <v>0</v>
      </c>
      <c r="S2409" s="46">
        <f t="shared" si="235"/>
        <v>1</v>
      </c>
      <c r="T2409" s="46">
        <f t="shared" si="239"/>
        <v>0</v>
      </c>
      <c r="U2409" s="46">
        <f t="shared" si="236"/>
        <v>0</v>
      </c>
      <c r="V2409" s="54">
        <f t="shared" si="237"/>
        <v>30.5</v>
      </c>
    </row>
    <row r="2410" spans="1:22" x14ac:dyDescent="0.2">
      <c r="A2410" s="46" t="s">
        <v>136</v>
      </c>
      <c r="B2410" s="46" t="s">
        <v>119</v>
      </c>
      <c r="C2410" s="46" t="s">
        <v>90</v>
      </c>
      <c r="D2410" s="46" t="s">
        <v>178</v>
      </c>
      <c r="E2410" s="46">
        <v>1</v>
      </c>
      <c r="F2410" s="46" t="s">
        <v>60</v>
      </c>
      <c r="G2410" s="46">
        <v>1</v>
      </c>
      <c r="H2410" s="47">
        <v>21</v>
      </c>
      <c r="I2410" s="47" t="s">
        <v>101</v>
      </c>
      <c r="J2410" s="48">
        <v>1</v>
      </c>
      <c r="K2410" s="48">
        <v>3</v>
      </c>
      <c r="R2410" s="46">
        <f t="shared" si="234"/>
        <v>0</v>
      </c>
      <c r="S2410" s="46">
        <f t="shared" si="235"/>
        <v>1</v>
      </c>
      <c r="T2410" s="46">
        <f t="shared" si="239"/>
        <v>0</v>
      </c>
      <c r="U2410" s="46">
        <f t="shared" si="236"/>
        <v>0</v>
      </c>
      <c r="V2410" s="54">
        <f t="shared" si="237"/>
        <v>30.5</v>
      </c>
    </row>
    <row r="2411" spans="1:22" x14ac:dyDescent="0.2">
      <c r="A2411" s="46" t="s">
        <v>136</v>
      </c>
      <c r="B2411" s="46" t="s">
        <v>119</v>
      </c>
      <c r="C2411" s="46" t="s">
        <v>90</v>
      </c>
      <c r="D2411" s="46" t="s">
        <v>178</v>
      </c>
      <c r="E2411" s="46">
        <v>2</v>
      </c>
      <c r="F2411" s="46" t="s">
        <v>60</v>
      </c>
      <c r="G2411" s="46">
        <v>4</v>
      </c>
      <c r="H2411" s="47">
        <v>40</v>
      </c>
      <c r="I2411" s="47" t="s">
        <v>102</v>
      </c>
      <c r="J2411" s="48">
        <v>0</v>
      </c>
      <c r="K2411" s="48">
        <v>1</v>
      </c>
      <c r="R2411" s="46">
        <f t="shared" si="234"/>
        <v>0</v>
      </c>
      <c r="S2411" s="46">
        <f t="shared" si="235"/>
        <v>0</v>
      </c>
      <c r="T2411" s="46">
        <f t="shared" si="239"/>
        <v>0</v>
      </c>
      <c r="U2411" s="46">
        <f t="shared" si="236"/>
        <v>0</v>
      </c>
      <c r="V2411" s="54">
        <f t="shared" si="237"/>
        <v>30.5</v>
      </c>
    </row>
    <row r="2412" spans="1:22" x14ac:dyDescent="0.2">
      <c r="A2412" s="46" t="s">
        <v>136</v>
      </c>
      <c r="B2412" s="46" t="s">
        <v>119</v>
      </c>
      <c r="C2412" s="46" t="s">
        <v>90</v>
      </c>
      <c r="D2412" s="46" t="s">
        <v>178</v>
      </c>
      <c r="E2412" s="46">
        <v>4</v>
      </c>
      <c r="F2412" s="46" t="s">
        <v>60</v>
      </c>
      <c r="G2412" s="46">
        <v>4</v>
      </c>
      <c r="H2412" s="47">
        <v>32</v>
      </c>
      <c r="I2412" s="47" t="s">
        <v>102</v>
      </c>
      <c r="J2412" s="48">
        <v>1</v>
      </c>
      <c r="K2412" s="48">
        <v>2</v>
      </c>
      <c r="R2412" s="46">
        <f t="shared" si="234"/>
        <v>0</v>
      </c>
      <c r="S2412" s="46">
        <f t="shared" si="235"/>
        <v>0</v>
      </c>
      <c r="T2412" s="46">
        <f t="shared" si="239"/>
        <v>10</v>
      </c>
      <c r="U2412" s="46">
        <f t="shared" si="236"/>
        <v>10</v>
      </c>
      <c r="V2412" s="54">
        <f t="shared" si="237"/>
        <v>30.5</v>
      </c>
    </row>
    <row r="2413" spans="1:22" x14ac:dyDescent="0.2">
      <c r="A2413" s="46" t="s">
        <v>136</v>
      </c>
      <c r="B2413" s="46" t="s">
        <v>119</v>
      </c>
      <c r="C2413" s="46" t="s">
        <v>90</v>
      </c>
      <c r="D2413" s="46" t="s">
        <v>178</v>
      </c>
      <c r="E2413" s="46">
        <v>3</v>
      </c>
      <c r="F2413" s="46" t="s">
        <v>60</v>
      </c>
      <c r="G2413" s="46">
        <v>3</v>
      </c>
      <c r="H2413" s="47">
        <v>35</v>
      </c>
      <c r="I2413" s="47" t="s">
        <v>116</v>
      </c>
      <c r="J2413" s="48">
        <v>1</v>
      </c>
      <c r="K2413" s="48">
        <v>2</v>
      </c>
      <c r="R2413" s="46">
        <f t="shared" si="234"/>
        <v>0</v>
      </c>
      <c r="S2413" s="46">
        <f t="shared" si="235"/>
        <v>0</v>
      </c>
      <c r="T2413" s="46">
        <f t="shared" si="239"/>
        <v>10</v>
      </c>
      <c r="U2413" s="46">
        <f t="shared" si="236"/>
        <v>10</v>
      </c>
      <c r="V2413" s="54">
        <f t="shared" si="237"/>
        <v>30.5</v>
      </c>
    </row>
    <row r="2414" spans="1:22" x14ac:dyDescent="0.2">
      <c r="A2414" s="46" t="s">
        <v>136</v>
      </c>
      <c r="B2414" s="46" t="s">
        <v>119</v>
      </c>
      <c r="C2414" s="46" t="s">
        <v>90</v>
      </c>
      <c r="D2414" s="46" t="s">
        <v>178</v>
      </c>
      <c r="E2414" s="46">
        <v>4</v>
      </c>
      <c r="F2414" s="46" t="s">
        <v>60</v>
      </c>
      <c r="G2414" s="46">
        <v>1</v>
      </c>
      <c r="H2414" s="47">
        <v>49</v>
      </c>
      <c r="I2414" s="47" t="s">
        <v>101</v>
      </c>
      <c r="J2414" s="48">
        <v>1</v>
      </c>
      <c r="K2414" s="48">
        <v>2</v>
      </c>
      <c r="R2414" s="46">
        <f t="shared" si="234"/>
        <v>0</v>
      </c>
      <c r="S2414" s="46">
        <f t="shared" si="235"/>
        <v>0</v>
      </c>
      <c r="T2414" s="46">
        <f t="shared" si="239"/>
        <v>10</v>
      </c>
      <c r="U2414" s="46">
        <f t="shared" si="236"/>
        <v>10</v>
      </c>
      <c r="V2414" s="54">
        <f t="shared" si="237"/>
        <v>30.5</v>
      </c>
    </row>
    <row r="2415" spans="1:22" x14ac:dyDescent="0.2">
      <c r="A2415" s="46" t="s">
        <v>136</v>
      </c>
      <c r="B2415" s="46" t="s">
        <v>119</v>
      </c>
      <c r="C2415" s="46" t="s">
        <v>90</v>
      </c>
      <c r="D2415" s="46" t="s">
        <v>178</v>
      </c>
      <c r="E2415" s="46">
        <v>2</v>
      </c>
      <c r="F2415" s="46" t="s">
        <v>63</v>
      </c>
      <c r="G2415" s="46">
        <v>4</v>
      </c>
      <c r="H2415" s="47" t="s">
        <v>146</v>
      </c>
      <c r="I2415" s="47" t="s">
        <v>102</v>
      </c>
      <c r="J2415" s="48">
        <v>1</v>
      </c>
      <c r="K2415" s="48">
        <v>2</v>
      </c>
      <c r="M2415" s="48">
        <v>1</v>
      </c>
      <c r="R2415" s="46">
        <f t="shared" si="234"/>
        <v>0</v>
      </c>
      <c r="S2415" s="46">
        <f t="shared" si="235"/>
        <v>0</v>
      </c>
      <c r="T2415" s="46">
        <f t="shared" si="239"/>
        <v>10</v>
      </c>
      <c r="U2415" s="46">
        <f t="shared" si="236"/>
        <v>30</v>
      </c>
      <c r="V2415" s="54">
        <f t="shared" si="237"/>
        <v>30.5</v>
      </c>
    </row>
    <row r="2416" spans="1:22" x14ac:dyDescent="0.2">
      <c r="A2416" s="46" t="s">
        <v>136</v>
      </c>
      <c r="B2416" s="46" t="s">
        <v>119</v>
      </c>
      <c r="C2416" s="46" t="s">
        <v>90</v>
      </c>
      <c r="D2416" s="46" t="s">
        <v>178</v>
      </c>
      <c r="E2416" s="46">
        <v>3</v>
      </c>
      <c r="F2416" s="46" t="s">
        <v>60</v>
      </c>
      <c r="G2416" s="46">
        <v>1</v>
      </c>
      <c r="H2416" s="47">
        <v>5</v>
      </c>
      <c r="I2416" s="47" t="s">
        <v>101</v>
      </c>
      <c r="J2416" s="48">
        <v>2</v>
      </c>
      <c r="K2416" s="48">
        <v>3</v>
      </c>
      <c r="R2416" s="46">
        <f t="shared" si="234"/>
        <v>0</v>
      </c>
      <c r="S2416" s="46">
        <f t="shared" si="235"/>
        <v>1</v>
      </c>
      <c r="T2416" s="46">
        <f t="shared" si="239"/>
        <v>20</v>
      </c>
      <c r="U2416" s="46">
        <f t="shared" si="236"/>
        <v>20</v>
      </c>
      <c r="V2416" s="54">
        <f t="shared" si="237"/>
        <v>30.5</v>
      </c>
    </row>
    <row r="2417" spans="1:22" x14ac:dyDescent="0.2">
      <c r="A2417" s="46" t="s">
        <v>136</v>
      </c>
      <c r="B2417" s="46" t="s">
        <v>119</v>
      </c>
      <c r="C2417" s="46" t="s">
        <v>90</v>
      </c>
      <c r="D2417" s="46" t="s">
        <v>178</v>
      </c>
      <c r="E2417" s="46">
        <v>4</v>
      </c>
      <c r="F2417" s="46" t="s">
        <v>60</v>
      </c>
      <c r="G2417" s="46">
        <v>3</v>
      </c>
      <c r="H2417" s="47">
        <v>23</v>
      </c>
      <c r="I2417" s="47" t="s">
        <v>159</v>
      </c>
      <c r="J2417" s="48">
        <v>1</v>
      </c>
      <c r="K2417" s="48">
        <v>0</v>
      </c>
      <c r="R2417" s="46">
        <f t="shared" si="234"/>
        <v>0</v>
      </c>
      <c r="S2417" s="46">
        <f t="shared" si="235"/>
        <v>0</v>
      </c>
      <c r="T2417" s="46">
        <f t="shared" si="239"/>
        <v>20</v>
      </c>
      <c r="U2417" s="46">
        <f t="shared" si="236"/>
        <v>20</v>
      </c>
      <c r="V2417" s="54">
        <f t="shared" si="237"/>
        <v>30.5</v>
      </c>
    </row>
    <row r="2418" spans="1:22" x14ac:dyDescent="0.2">
      <c r="A2418" s="46" t="s">
        <v>136</v>
      </c>
      <c r="B2418" s="46" t="s">
        <v>119</v>
      </c>
      <c r="C2418" s="46" t="s">
        <v>90</v>
      </c>
      <c r="D2418" s="46" t="s">
        <v>178</v>
      </c>
      <c r="E2418" s="46">
        <v>2</v>
      </c>
      <c r="F2418" s="46" t="s">
        <v>60</v>
      </c>
      <c r="G2418" s="46">
        <v>3</v>
      </c>
      <c r="H2418" s="47">
        <v>27</v>
      </c>
      <c r="I2418" s="47" t="s">
        <v>116</v>
      </c>
      <c r="J2418" s="48">
        <v>1</v>
      </c>
      <c r="K2418" s="48">
        <v>0</v>
      </c>
      <c r="N2418" s="48">
        <v>2</v>
      </c>
      <c r="R2418" s="46">
        <f t="shared" si="234"/>
        <v>0</v>
      </c>
      <c r="S2418" s="46">
        <f t="shared" si="235"/>
        <v>0</v>
      </c>
      <c r="T2418" s="46">
        <f t="shared" si="239"/>
        <v>20</v>
      </c>
      <c r="U2418" s="46">
        <f t="shared" si="236"/>
        <v>10</v>
      </c>
      <c r="V2418" s="54">
        <f t="shared" si="237"/>
        <v>30.5</v>
      </c>
    </row>
    <row r="2419" spans="1:22" x14ac:dyDescent="0.2">
      <c r="A2419" s="46" t="s">
        <v>136</v>
      </c>
      <c r="B2419" s="46" t="s">
        <v>119</v>
      </c>
      <c r="C2419" s="46" t="s">
        <v>90</v>
      </c>
      <c r="D2419" s="46" t="s">
        <v>178</v>
      </c>
      <c r="E2419" s="46">
        <v>4</v>
      </c>
      <c r="F2419" s="46" t="s">
        <v>60</v>
      </c>
      <c r="G2419" s="46">
        <v>1</v>
      </c>
      <c r="H2419" s="47">
        <v>33</v>
      </c>
      <c r="I2419" s="47" t="s">
        <v>101</v>
      </c>
      <c r="J2419" s="48">
        <v>1</v>
      </c>
      <c r="K2419" s="48">
        <v>1</v>
      </c>
      <c r="R2419" s="46">
        <f t="shared" si="234"/>
        <v>0</v>
      </c>
      <c r="S2419" s="46">
        <f t="shared" si="235"/>
        <v>0</v>
      </c>
      <c r="T2419" s="46">
        <f t="shared" si="239"/>
        <v>20</v>
      </c>
      <c r="U2419" s="46">
        <f t="shared" si="236"/>
        <v>20</v>
      </c>
      <c r="V2419" s="54">
        <f t="shared" si="237"/>
        <v>30.5</v>
      </c>
    </row>
    <row r="2420" spans="1:22" x14ac:dyDescent="0.2">
      <c r="A2420" s="46" t="s">
        <v>136</v>
      </c>
      <c r="B2420" s="46" t="s">
        <v>119</v>
      </c>
      <c r="C2420" s="46" t="s">
        <v>90</v>
      </c>
      <c r="D2420" s="46" t="s">
        <v>178</v>
      </c>
      <c r="E2420" s="46">
        <v>3</v>
      </c>
      <c r="F2420" s="46" t="s">
        <v>60</v>
      </c>
      <c r="G2420" s="46">
        <v>4</v>
      </c>
      <c r="H2420" s="47">
        <v>44</v>
      </c>
      <c r="I2420" s="47" t="s">
        <v>102</v>
      </c>
      <c r="J2420" s="48">
        <v>1</v>
      </c>
      <c r="K2420" s="48">
        <v>1</v>
      </c>
      <c r="N2420" s="48">
        <v>1</v>
      </c>
      <c r="R2420" s="46">
        <f t="shared" si="234"/>
        <v>0</v>
      </c>
      <c r="S2420" s="46">
        <f t="shared" si="235"/>
        <v>0</v>
      </c>
      <c r="T2420" s="46">
        <f t="shared" si="239"/>
        <v>20</v>
      </c>
      <c r="U2420" s="46">
        <f t="shared" si="236"/>
        <v>15</v>
      </c>
      <c r="V2420" s="54">
        <f t="shared" si="237"/>
        <v>30.5</v>
      </c>
    </row>
    <row r="2421" spans="1:22" x14ac:dyDescent="0.2">
      <c r="A2421" s="46" t="s">
        <v>136</v>
      </c>
      <c r="B2421" s="46" t="s">
        <v>119</v>
      </c>
      <c r="C2421" s="46" t="s">
        <v>90</v>
      </c>
      <c r="D2421" s="46" t="s">
        <v>178</v>
      </c>
      <c r="E2421" s="46">
        <v>2</v>
      </c>
      <c r="F2421" s="46" t="s">
        <v>60</v>
      </c>
      <c r="G2421" s="46">
        <v>3</v>
      </c>
      <c r="H2421" s="47">
        <v>47</v>
      </c>
      <c r="I2421" s="47" t="s">
        <v>116</v>
      </c>
      <c r="J2421" s="48">
        <v>1</v>
      </c>
      <c r="K2421" s="48">
        <v>0</v>
      </c>
      <c r="R2421" s="46">
        <f t="shared" si="234"/>
        <v>0</v>
      </c>
      <c r="S2421" s="46">
        <f t="shared" si="235"/>
        <v>0</v>
      </c>
      <c r="T2421" s="46">
        <f t="shared" si="239"/>
        <v>20</v>
      </c>
      <c r="U2421" s="46">
        <f t="shared" si="236"/>
        <v>20</v>
      </c>
      <c r="V2421" s="54">
        <f t="shared" si="237"/>
        <v>30.5</v>
      </c>
    </row>
    <row r="2422" spans="1:22" x14ac:dyDescent="0.2">
      <c r="A2422" s="46" t="s">
        <v>136</v>
      </c>
      <c r="B2422" s="46" t="s">
        <v>119</v>
      </c>
      <c r="C2422" s="46" t="s">
        <v>90</v>
      </c>
      <c r="D2422" s="46" t="s">
        <v>178</v>
      </c>
      <c r="E2422" s="46">
        <v>1</v>
      </c>
      <c r="F2422" s="46" t="s">
        <v>60</v>
      </c>
      <c r="G2422" s="46">
        <v>4</v>
      </c>
      <c r="H2422" s="47">
        <v>20</v>
      </c>
      <c r="I2422" s="47" t="s">
        <v>102</v>
      </c>
      <c r="J2422" s="48">
        <v>2</v>
      </c>
      <c r="K2422" s="48">
        <v>2</v>
      </c>
      <c r="R2422" s="46">
        <f t="shared" si="234"/>
        <v>0</v>
      </c>
      <c r="S2422" s="46">
        <f t="shared" si="235"/>
        <v>0</v>
      </c>
      <c r="T2422" s="46">
        <f t="shared" si="239"/>
        <v>30</v>
      </c>
      <c r="U2422" s="46">
        <f t="shared" si="236"/>
        <v>30</v>
      </c>
      <c r="V2422" s="54">
        <f t="shared" si="237"/>
        <v>30.5</v>
      </c>
    </row>
    <row r="2423" spans="1:22" x14ac:dyDescent="0.2">
      <c r="A2423" s="46" t="s">
        <v>136</v>
      </c>
      <c r="B2423" s="46" t="s">
        <v>119</v>
      </c>
      <c r="C2423" s="46" t="s">
        <v>90</v>
      </c>
      <c r="D2423" s="46" t="s">
        <v>178</v>
      </c>
      <c r="E2423" s="46">
        <v>3</v>
      </c>
      <c r="F2423" s="46" t="s">
        <v>63</v>
      </c>
      <c r="G2423" s="46">
        <v>4</v>
      </c>
      <c r="H2423" s="47" t="s">
        <v>147</v>
      </c>
      <c r="I2423" s="47" t="s">
        <v>102</v>
      </c>
      <c r="J2423" s="48">
        <v>2</v>
      </c>
      <c r="K2423" s="48">
        <v>2</v>
      </c>
      <c r="R2423" s="46">
        <f t="shared" si="234"/>
        <v>0</v>
      </c>
      <c r="S2423" s="46">
        <f t="shared" si="235"/>
        <v>0</v>
      </c>
      <c r="T2423" s="46">
        <f t="shared" si="239"/>
        <v>30</v>
      </c>
      <c r="U2423" s="46">
        <f t="shared" si="236"/>
        <v>30</v>
      </c>
      <c r="V2423" s="54">
        <f t="shared" si="237"/>
        <v>30.5</v>
      </c>
    </row>
    <row r="2424" spans="1:22" x14ac:dyDescent="0.2">
      <c r="A2424" s="46" t="s">
        <v>136</v>
      </c>
      <c r="B2424" s="46" t="s">
        <v>119</v>
      </c>
      <c r="C2424" s="46" t="s">
        <v>90</v>
      </c>
      <c r="D2424" s="46" t="s">
        <v>178</v>
      </c>
      <c r="E2424" s="46">
        <v>4</v>
      </c>
      <c r="F2424" s="46" t="s">
        <v>63</v>
      </c>
      <c r="G2424" s="46">
        <v>4</v>
      </c>
      <c r="H2424" s="47" t="s">
        <v>151</v>
      </c>
      <c r="I2424" s="47" t="s">
        <v>102</v>
      </c>
      <c r="J2424" s="48">
        <v>2</v>
      </c>
      <c r="K2424" s="48">
        <v>2</v>
      </c>
      <c r="R2424" s="46">
        <f t="shared" si="234"/>
        <v>0</v>
      </c>
      <c r="S2424" s="46">
        <f t="shared" si="235"/>
        <v>0</v>
      </c>
      <c r="T2424" s="46">
        <f t="shared" si="239"/>
        <v>30</v>
      </c>
      <c r="U2424" s="46">
        <f t="shared" si="236"/>
        <v>30</v>
      </c>
      <c r="V2424" s="54">
        <f t="shared" si="237"/>
        <v>30.5</v>
      </c>
    </row>
    <row r="2425" spans="1:22" x14ac:dyDescent="0.2">
      <c r="A2425" s="46" t="s">
        <v>136</v>
      </c>
      <c r="B2425" s="46" t="s">
        <v>119</v>
      </c>
      <c r="C2425" s="46" t="s">
        <v>90</v>
      </c>
      <c r="D2425" s="46" t="s">
        <v>178</v>
      </c>
      <c r="E2425" s="46">
        <v>2</v>
      </c>
      <c r="F2425" s="46" t="s">
        <v>60</v>
      </c>
      <c r="G2425" s="46">
        <v>1</v>
      </c>
      <c r="H2425" s="47">
        <v>5</v>
      </c>
      <c r="I2425" s="47" t="s">
        <v>101</v>
      </c>
      <c r="J2425" s="48">
        <v>2</v>
      </c>
      <c r="K2425" s="48">
        <v>0</v>
      </c>
      <c r="M2425" s="48">
        <v>2</v>
      </c>
      <c r="R2425" s="46">
        <f t="shared" si="234"/>
        <v>0</v>
      </c>
      <c r="S2425" s="46">
        <f t="shared" si="235"/>
        <v>0</v>
      </c>
      <c r="T2425" s="46">
        <f t="shared" si="239"/>
        <v>40</v>
      </c>
      <c r="U2425" s="46">
        <f t="shared" si="236"/>
        <v>80</v>
      </c>
      <c r="V2425" s="54">
        <f t="shared" si="237"/>
        <v>30.5</v>
      </c>
    </row>
    <row r="2426" spans="1:22" x14ac:dyDescent="0.2">
      <c r="A2426" s="46" t="s">
        <v>136</v>
      </c>
      <c r="B2426" s="46" t="s">
        <v>119</v>
      </c>
      <c r="C2426" s="46" t="s">
        <v>90</v>
      </c>
      <c r="D2426" s="46" t="s">
        <v>178</v>
      </c>
      <c r="E2426" s="46">
        <v>3</v>
      </c>
      <c r="F2426" s="46" t="s">
        <v>60</v>
      </c>
      <c r="G2426" s="46">
        <v>3</v>
      </c>
      <c r="H2426" s="47">
        <v>11</v>
      </c>
      <c r="I2426" s="47" t="s">
        <v>116</v>
      </c>
      <c r="J2426" s="48">
        <v>3</v>
      </c>
      <c r="K2426" s="48">
        <v>3</v>
      </c>
      <c r="R2426" s="46">
        <f t="shared" si="234"/>
        <v>0</v>
      </c>
      <c r="S2426" s="46">
        <f t="shared" si="235"/>
        <v>1</v>
      </c>
      <c r="T2426" s="46">
        <f t="shared" si="239"/>
        <v>40</v>
      </c>
      <c r="U2426" s="46">
        <f t="shared" si="236"/>
        <v>40</v>
      </c>
      <c r="V2426" s="54">
        <f t="shared" si="237"/>
        <v>30.5</v>
      </c>
    </row>
    <row r="2427" spans="1:22" x14ac:dyDescent="0.2">
      <c r="A2427" s="46" t="s">
        <v>136</v>
      </c>
      <c r="B2427" s="46" t="s">
        <v>119</v>
      </c>
      <c r="C2427" s="46" t="s">
        <v>90</v>
      </c>
      <c r="D2427" s="46" t="s">
        <v>178</v>
      </c>
      <c r="E2427" s="46">
        <v>1</v>
      </c>
      <c r="F2427" s="46" t="s">
        <v>60</v>
      </c>
      <c r="G2427" s="46">
        <v>2</v>
      </c>
      <c r="H2427" s="47">
        <v>34</v>
      </c>
      <c r="I2427" s="47" t="s">
        <v>127</v>
      </c>
      <c r="J2427" s="48">
        <v>2</v>
      </c>
      <c r="K2427" s="48">
        <v>1</v>
      </c>
      <c r="R2427" s="46">
        <f t="shared" si="234"/>
        <v>0</v>
      </c>
      <c r="S2427" s="46">
        <f t="shared" si="235"/>
        <v>0</v>
      </c>
      <c r="T2427" s="46">
        <f t="shared" si="239"/>
        <v>40</v>
      </c>
      <c r="U2427" s="46">
        <f t="shared" si="236"/>
        <v>40</v>
      </c>
      <c r="V2427" s="54">
        <f t="shared" si="237"/>
        <v>30.5</v>
      </c>
    </row>
    <row r="2428" spans="1:22" x14ac:dyDescent="0.2">
      <c r="A2428" s="46" t="s">
        <v>136</v>
      </c>
      <c r="B2428" s="46" t="s">
        <v>119</v>
      </c>
      <c r="C2428" s="46" t="s">
        <v>90</v>
      </c>
      <c r="D2428" s="46" t="s">
        <v>178</v>
      </c>
      <c r="E2428" s="46">
        <v>4</v>
      </c>
      <c r="F2428" s="46" t="s">
        <v>63</v>
      </c>
      <c r="G2428" s="46">
        <v>4</v>
      </c>
      <c r="H2428" s="47" t="s">
        <v>148</v>
      </c>
      <c r="I2428" s="47" t="s">
        <v>102</v>
      </c>
      <c r="J2428" s="48">
        <v>3</v>
      </c>
      <c r="K2428" s="48">
        <v>3</v>
      </c>
      <c r="R2428" s="46">
        <f t="shared" si="234"/>
        <v>0</v>
      </c>
      <c r="S2428" s="46">
        <f t="shared" si="235"/>
        <v>1</v>
      </c>
      <c r="T2428" s="46">
        <f t="shared" si="239"/>
        <v>40</v>
      </c>
      <c r="U2428" s="46">
        <f t="shared" si="236"/>
        <v>40</v>
      </c>
      <c r="V2428" s="54">
        <f t="shared" si="237"/>
        <v>30.5</v>
      </c>
    </row>
    <row r="2429" spans="1:22" x14ac:dyDescent="0.2">
      <c r="A2429" s="46" t="s">
        <v>136</v>
      </c>
      <c r="B2429" s="46" t="s">
        <v>119</v>
      </c>
      <c r="C2429" s="46" t="s">
        <v>90</v>
      </c>
      <c r="D2429" s="46" t="s">
        <v>178</v>
      </c>
      <c r="E2429" s="46">
        <v>1</v>
      </c>
      <c r="F2429" s="46" t="s">
        <v>63</v>
      </c>
      <c r="G2429" s="46">
        <v>4</v>
      </c>
      <c r="H2429" s="47" t="s">
        <v>152</v>
      </c>
      <c r="I2429" s="47" t="s">
        <v>102</v>
      </c>
      <c r="J2429" s="48">
        <v>3</v>
      </c>
      <c r="K2429" s="48">
        <v>3</v>
      </c>
      <c r="R2429" s="46">
        <f t="shared" si="234"/>
        <v>0</v>
      </c>
      <c r="S2429" s="46">
        <f t="shared" si="235"/>
        <v>1</v>
      </c>
      <c r="T2429" s="46">
        <f t="shared" si="239"/>
        <v>40</v>
      </c>
      <c r="U2429" s="46">
        <f t="shared" si="236"/>
        <v>40</v>
      </c>
      <c r="V2429" s="54">
        <f t="shared" si="237"/>
        <v>30.5</v>
      </c>
    </row>
    <row r="2430" spans="1:22" x14ac:dyDescent="0.2">
      <c r="A2430" s="46" t="s">
        <v>136</v>
      </c>
      <c r="B2430" s="46" t="s">
        <v>119</v>
      </c>
      <c r="C2430" s="46" t="s">
        <v>90</v>
      </c>
      <c r="D2430" s="46" t="s">
        <v>178</v>
      </c>
      <c r="E2430" s="46">
        <v>1</v>
      </c>
      <c r="F2430" s="46" t="s">
        <v>60</v>
      </c>
      <c r="G2430" s="46">
        <v>4</v>
      </c>
      <c r="H2430" s="47">
        <v>12</v>
      </c>
      <c r="I2430" s="47" t="s">
        <v>102</v>
      </c>
      <c r="J2430" s="48">
        <v>3</v>
      </c>
      <c r="K2430" s="48">
        <v>2</v>
      </c>
      <c r="R2430" s="46">
        <f t="shared" si="234"/>
        <v>0</v>
      </c>
      <c r="S2430" s="46">
        <f t="shared" si="235"/>
        <v>0</v>
      </c>
      <c r="T2430" s="46">
        <f t="shared" si="239"/>
        <v>50</v>
      </c>
      <c r="U2430" s="46">
        <f t="shared" si="236"/>
        <v>50</v>
      </c>
      <c r="V2430" s="54">
        <f t="shared" si="237"/>
        <v>30.5</v>
      </c>
    </row>
    <row r="2431" spans="1:22" x14ac:dyDescent="0.2">
      <c r="A2431" s="46" t="s">
        <v>136</v>
      </c>
      <c r="B2431" s="46" t="s">
        <v>119</v>
      </c>
      <c r="C2431" s="46" t="s">
        <v>90</v>
      </c>
      <c r="D2431" s="46" t="s">
        <v>178</v>
      </c>
      <c r="E2431" s="46">
        <v>2</v>
      </c>
      <c r="F2431" s="46" t="s">
        <v>63</v>
      </c>
      <c r="G2431" s="46">
        <v>4</v>
      </c>
      <c r="H2431" s="47" t="s">
        <v>150</v>
      </c>
      <c r="I2431" s="47" t="s">
        <v>102</v>
      </c>
      <c r="J2431" s="48">
        <v>3</v>
      </c>
      <c r="K2431" s="48">
        <v>2</v>
      </c>
      <c r="R2431" s="46">
        <f t="shared" si="234"/>
        <v>0</v>
      </c>
      <c r="S2431" s="46">
        <f t="shared" si="235"/>
        <v>0</v>
      </c>
      <c r="T2431" s="46">
        <f t="shared" si="239"/>
        <v>50</v>
      </c>
      <c r="U2431" s="46">
        <f t="shared" si="236"/>
        <v>50</v>
      </c>
      <c r="V2431" s="54">
        <f t="shared" si="237"/>
        <v>30.5</v>
      </c>
    </row>
    <row r="2432" spans="1:22" x14ac:dyDescent="0.2">
      <c r="A2432" s="46" t="s">
        <v>136</v>
      </c>
      <c r="B2432" s="46" t="s">
        <v>119</v>
      </c>
      <c r="C2432" s="46" t="s">
        <v>90</v>
      </c>
      <c r="D2432" s="46" t="s">
        <v>178</v>
      </c>
      <c r="E2432" s="46">
        <v>3</v>
      </c>
      <c r="F2432" s="46" t="s">
        <v>63</v>
      </c>
      <c r="G2432" s="46">
        <v>4</v>
      </c>
      <c r="H2432" s="47" t="s">
        <v>151</v>
      </c>
      <c r="I2432" s="47" t="s">
        <v>102</v>
      </c>
      <c r="J2432" s="48">
        <v>3</v>
      </c>
      <c r="K2432" s="48">
        <v>2</v>
      </c>
      <c r="R2432" s="46">
        <f t="shared" si="234"/>
        <v>0</v>
      </c>
      <c r="S2432" s="46">
        <f t="shared" si="235"/>
        <v>0</v>
      </c>
      <c r="T2432" s="46">
        <f t="shared" si="239"/>
        <v>50</v>
      </c>
      <c r="U2432" s="46">
        <f t="shared" si="236"/>
        <v>50</v>
      </c>
      <c r="V2432" s="54">
        <f t="shared" si="237"/>
        <v>30.5</v>
      </c>
    </row>
    <row r="2433" spans="1:22" x14ac:dyDescent="0.2">
      <c r="A2433" s="46" t="s">
        <v>136</v>
      </c>
      <c r="B2433" s="46" t="s">
        <v>119</v>
      </c>
      <c r="C2433" s="46" t="s">
        <v>90</v>
      </c>
      <c r="D2433" s="46" t="s">
        <v>178</v>
      </c>
      <c r="E2433" s="46">
        <v>4</v>
      </c>
      <c r="F2433" s="46" t="s">
        <v>60</v>
      </c>
      <c r="G2433" s="46">
        <v>2</v>
      </c>
      <c r="H2433" s="47">
        <v>10</v>
      </c>
      <c r="I2433" s="47" t="s">
        <v>127</v>
      </c>
      <c r="J2433" s="48">
        <v>3</v>
      </c>
      <c r="K2433" s="48">
        <v>0</v>
      </c>
      <c r="N2433" s="48">
        <v>1</v>
      </c>
      <c r="R2433" s="46">
        <f t="shared" si="234"/>
        <v>0</v>
      </c>
      <c r="S2433" s="46">
        <f t="shared" si="235"/>
        <v>0</v>
      </c>
      <c r="T2433" s="46">
        <f t="shared" si="239"/>
        <v>60</v>
      </c>
      <c r="U2433" s="46">
        <f t="shared" si="236"/>
        <v>55</v>
      </c>
      <c r="V2433" s="54">
        <f t="shared" si="237"/>
        <v>30.5</v>
      </c>
    </row>
    <row r="2434" spans="1:22" x14ac:dyDescent="0.2">
      <c r="A2434" s="46" t="s">
        <v>136</v>
      </c>
      <c r="B2434" s="46" t="s">
        <v>119</v>
      </c>
      <c r="C2434" s="46" t="s">
        <v>90</v>
      </c>
      <c r="D2434" s="46" t="s">
        <v>178</v>
      </c>
      <c r="E2434" s="46">
        <v>1</v>
      </c>
      <c r="F2434" s="46" t="s">
        <v>60</v>
      </c>
      <c r="G2434" s="46">
        <v>1</v>
      </c>
      <c r="H2434" s="47">
        <v>25</v>
      </c>
      <c r="I2434" s="47" t="s">
        <v>101</v>
      </c>
      <c r="J2434" s="48">
        <v>3</v>
      </c>
      <c r="K2434" s="48">
        <v>0</v>
      </c>
      <c r="M2434" s="48">
        <v>1</v>
      </c>
      <c r="R2434" s="46">
        <f t="shared" ref="R2434:R2497" si="240">IF(J2434=4,1,0)</f>
        <v>0</v>
      </c>
      <c r="S2434" s="46">
        <f t="shared" ref="S2434:S2497" si="241">IF(K2434=3,1,0)</f>
        <v>0</v>
      </c>
      <c r="T2434" s="46">
        <f t="shared" si="239"/>
        <v>60</v>
      </c>
      <c r="U2434" s="46">
        <f t="shared" ref="U2434:U2497" si="242">T2434+M2434*(20) + (SUM(O2434:Q2434)*(10)) - L2434*(5) - N2434*(5)</f>
        <v>80</v>
      </c>
      <c r="V2434" s="54">
        <f t="shared" ref="V2434:V2497" si="243">AVERAGEIFS(U:U,A:A,A2434,F:F,"Pre")</f>
        <v>30.5</v>
      </c>
    </row>
    <row r="2435" spans="1:22" x14ac:dyDescent="0.2">
      <c r="A2435" s="46" t="s">
        <v>136</v>
      </c>
      <c r="B2435" s="46" t="s">
        <v>119</v>
      </c>
      <c r="C2435" s="46" t="s">
        <v>90</v>
      </c>
      <c r="D2435" s="46" t="s">
        <v>178</v>
      </c>
      <c r="E2435" s="46">
        <v>2</v>
      </c>
      <c r="F2435" s="46" t="s">
        <v>60</v>
      </c>
      <c r="G2435" s="46">
        <v>2</v>
      </c>
      <c r="H2435" s="47">
        <v>34</v>
      </c>
      <c r="I2435" s="47" t="s">
        <v>127</v>
      </c>
      <c r="J2435" s="48">
        <v>3</v>
      </c>
      <c r="K2435" s="48">
        <v>1</v>
      </c>
      <c r="R2435" s="46">
        <f t="shared" si="240"/>
        <v>0</v>
      </c>
      <c r="S2435" s="46">
        <f t="shared" si="241"/>
        <v>0</v>
      </c>
      <c r="T2435" s="46">
        <f t="shared" si="239"/>
        <v>60</v>
      </c>
      <c r="U2435" s="46">
        <f t="shared" si="242"/>
        <v>60</v>
      </c>
      <c r="V2435" s="54">
        <f t="shared" si="243"/>
        <v>30.5</v>
      </c>
    </row>
    <row r="2436" spans="1:22" x14ac:dyDescent="0.2">
      <c r="A2436" s="46" t="s">
        <v>136</v>
      </c>
      <c r="B2436" s="46" t="s">
        <v>119</v>
      </c>
      <c r="C2436" s="46" t="s">
        <v>90</v>
      </c>
      <c r="D2436" s="46" t="s">
        <v>178</v>
      </c>
      <c r="E2436" s="46">
        <v>2</v>
      </c>
      <c r="F2436" s="46" t="s">
        <v>63</v>
      </c>
      <c r="G2436" s="46">
        <v>4</v>
      </c>
      <c r="H2436" s="47" t="s">
        <v>147</v>
      </c>
      <c r="I2436" s="47" t="s">
        <v>102</v>
      </c>
      <c r="J2436" s="48">
        <v>3</v>
      </c>
      <c r="K2436" s="48">
        <v>1</v>
      </c>
      <c r="R2436" s="46">
        <f t="shared" si="240"/>
        <v>0</v>
      </c>
      <c r="S2436" s="46">
        <f t="shared" si="241"/>
        <v>0</v>
      </c>
      <c r="T2436" s="46">
        <f t="shared" si="239"/>
        <v>60</v>
      </c>
      <c r="U2436" s="46">
        <f t="shared" si="242"/>
        <v>60</v>
      </c>
      <c r="V2436" s="54">
        <f t="shared" si="243"/>
        <v>30.5</v>
      </c>
    </row>
    <row r="2437" spans="1:22" x14ac:dyDescent="0.2">
      <c r="A2437" s="46" t="s">
        <v>136</v>
      </c>
      <c r="B2437" s="46" t="s">
        <v>119</v>
      </c>
      <c r="C2437" s="46" t="s">
        <v>90</v>
      </c>
      <c r="D2437" s="46" t="s">
        <v>178</v>
      </c>
      <c r="E2437" s="46">
        <v>3</v>
      </c>
      <c r="F2437" s="46" t="s">
        <v>60</v>
      </c>
      <c r="G2437" s="46">
        <v>2</v>
      </c>
      <c r="H2437" s="47">
        <v>26</v>
      </c>
      <c r="I2437" s="47" t="s">
        <v>127</v>
      </c>
      <c r="J2437" s="48">
        <v>4</v>
      </c>
      <c r="K2437" s="48">
        <v>2</v>
      </c>
      <c r="L2437" s="48">
        <v>1</v>
      </c>
      <c r="R2437" s="46">
        <f t="shared" si="240"/>
        <v>1</v>
      </c>
      <c r="S2437" s="46">
        <f t="shared" si="241"/>
        <v>0</v>
      </c>
      <c r="T2437" s="46">
        <f t="shared" si="239"/>
        <v>70</v>
      </c>
      <c r="U2437" s="46">
        <f t="shared" si="242"/>
        <v>65</v>
      </c>
      <c r="V2437" s="54">
        <f t="shared" si="243"/>
        <v>30.5</v>
      </c>
    </row>
    <row r="2438" spans="1:22" x14ac:dyDescent="0.2">
      <c r="A2438" s="46" t="s">
        <v>136</v>
      </c>
      <c r="B2438" s="46" t="s">
        <v>119</v>
      </c>
      <c r="C2438" s="46" t="s">
        <v>90</v>
      </c>
      <c r="D2438" s="46" t="s">
        <v>178</v>
      </c>
      <c r="E2438" s="46">
        <v>1</v>
      </c>
      <c r="F2438" s="46" t="s">
        <v>63</v>
      </c>
      <c r="G2438" s="46">
        <v>4</v>
      </c>
      <c r="H2438" s="47" t="s">
        <v>150</v>
      </c>
      <c r="I2438" s="47" t="s">
        <v>102</v>
      </c>
      <c r="J2438" s="48">
        <v>4</v>
      </c>
      <c r="K2438" s="48">
        <v>2</v>
      </c>
      <c r="R2438" s="46">
        <f t="shared" si="240"/>
        <v>1</v>
      </c>
      <c r="S2438" s="46">
        <f t="shared" si="241"/>
        <v>0</v>
      </c>
      <c r="T2438" s="46">
        <f t="shared" si="239"/>
        <v>70</v>
      </c>
      <c r="U2438" s="46">
        <f t="shared" si="242"/>
        <v>70</v>
      </c>
      <c r="V2438" s="54">
        <f t="shared" si="243"/>
        <v>30.5</v>
      </c>
    </row>
    <row r="2439" spans="1:22" x14ac:dyDescent="0.2">
      <c r="A2439" s="46" t="s">
        <v>136</v>
      </c>
      <c r="B2439" s="46" t="s">
        <v>119</v>
      </c>
      <c r="C2439" s="46" t="s">
        <v>90</v>
      </c>
      <c r="D2439" s="46" t="s">
        <v>178</v>
      </c>
      <c r="E2439" s="46">
        <v>4</v>
      </c>
      <c r="F2439" s="46" t="s">
        <v>63</v>
      </c>
      <c r="G2439" s="46">
        <v>4</v>
      </c>
      <c r="H2439" s="47" t="s">
        <v>146</v>
      </c>
      <c r="I2439" s="47" t="s">
        <v>102</v>
      </c>
      <c r="J2439" s="48">
        <v>4</v>
      </c>
      <c r="K2439" s="48">
        <v>0</v>
      </c>
      <c r="R2439" s="46">
        <f t="shared" si="240"/>
        <v>1</v>
      </c>
      <c r="S2439" s="46">
        <f t="shared" si="241"/>
        <v>0</v>
      </c>
      <c r="T2439" s="46">
        <f t="shared" si="239"/>
        <v>90</v>
      </c>
      <c r="U2439" s="46">
        <f t="shared" si="242"/>
        <v>90</v>
      </c>
      <c r="V2439" s="54">
        <f t="shared" si="243"/>
        <v>30.5</v>
      </c>
    </row>
    <row r="2440" spans="1:22" x14ac:dyDescent="0.2">
      <c r="A2440" s="46" t="s">
        <v>136</v>
      </c>
      <c r="B2440" s="46" t="s">
        <v>119</v>
      </c>
      <c r="C2440" s="46" t="s">
        <v>90</v>
      </c>
      <c r="D2440" s="46" t="s">
        <v>178</v>
      </c>
      <c r="E2440" s="46">
        <v>1</v>
      </c>
      <c r="F2440" s="46" t="s">
        <v>63</v>
      </c>
      <c r="G2440" s="46">
        <v>4</v>
      </c>
      <c r="H2440" s="47" t="s">
        <v>148</v>
      </c>
      <c r="I2440" s="47" t="s">
        <v>102</v>
      </c>
      <c r="J2440" s="48">
        <v>4</v>
      </c>
      <c r="K2440" s="48">
        <v>0</v>
      </c>
      <c r="R2440" s="46">
        <f t="shared" si="240"/>
        <v>1</v>
      </c>
      <c r="S2440" s="46">
        <f t="shared" si="241"/>
        <v>0</v>
      </c>
      <c r="T2440" s="46">
        <f t="shared" si="239"/>
        <v>90</v>
      </c>
      <c r="U2440" s="46">
        <f t="shared" si="242"/>
        <v>90</v>
      </c>
      <c r="V2440" s="54">
        <f t="shared" si="243"/>
        <v>30.5</v>
      </c>
    </row>
    <row r="2441" spans="1:22" x14ac:dyDescent="0.2">
      <c r="A2441" s="46" t="s">
        <v>136</v>
      </c>
      <c r="B2441" s="46" t="s">
        <v>119</v>
      </c>
      <c r="C2441" s="46" t="s">
        <v>90</v>
      </c>
      <c r="D2441" s="46" t="s">
        <v>178</v>
      </c>
      <c r="E2441" s="46">
        <v>3</v>
      </c>
      <c r="F2441" s="46" t="s">
        <v>63</v>
      </c>
      <c r="G2441" s="46">
        <v>4</v>
      </c>
      <c r="H2441" s="47" t="s">
        <v>152</v>
      </c>
      <c r="I2441" s="47" t="s">
        <v>102</v>
      </c>
      <c r="J2441" s="48">
        <v>4</v>
      </c>
      <c r="K2441" s="48">
        <v>0</v>
      </c>
      <c r="R2441" s="46">
        <f t="shared" si="240"/>
        <v>1</v>
      </c>
      <c r="S2441" s="46">
        <f t="shared" si="241"/>
        <v>0</v>
      </c>
      <c r="T2441" s="46">
        <f t="shared" si="239"/>
        <v>90</v>
      </c>
      <c r="U2441" s="46">
        <f t="shared" si="242"/>
        <v>90</v>
      </c>
      <c r="V2441" s="54">
        <f t="shared" si="243"/>
        <v>30.5</v>
      </c>
    </row>
    <row r="2442" spans="1:22" x14ac:dyDescent="0.2">
      <c r="A2442" s="46" t="s">
        <v>136</v>
      </c>
      <c r="B2442" s="46" t="s">
        <v>119</v>
      </c>
      <c r="C2442" s="46" t="s">
        <v>90</v>
      </c>
      <c r="D2442" s="46" t="s">
        <v>178</v>
      </c>
      <c r="E2442" s="46">
        <v>5</v>
      </c>
      <c r="F2442" s="46" t="s">
        <v>60</v>
      </c>
      <c r="G2442" s="46">
        <v>4</v>
      </c>
      <c r="H2442" s="47">
        <v>8</v>
      </c>
      <c r="I2442" s="47" t="s">
        <v>102</v>
      </c>
      <c r="J2442" s="48">
        <v>3</v>
      </c>
      <c r="K2442" s="48">
        <v>1</v>
      </c>
      <c r="R2442" s="46">
        <f t="shared" si="240"/>
        <v>0</v>
      </c>
      <c r="S2442" s="46">
        <f t="shared" si="241"/>
        <v>0</v>
      </c>
      <c r="T2442" s="46">
        <f t="shared" si="239"/>
        <v>60</v>
      </c>
      <c r="U2442" s="46">
        <f t="shared" si="242"/>
        <v>60</v>
      </c>
      <c r="V2442" s="54">
        <f t="shared" si="243"/>
        <v>30.5</v>
      </c>
    </row>
    <row r="2443" spans="1:22" x14ac:dyDescent="0.2">
      <c r="A2443" s="46" t="s">
        <v>136</v>
      </c>
      <c r="B2443" s="46" t="s">
        <v>119</v>
      </c>
      <c r="C2443" s="46" t="s">
        <v>90</v>
      </c>
      <c r="D2443" s="46" t="s">
        <v>178</v>
      </c>
      <c r="E2443" s="46">
        <v>5</v>
      </c>
      <c r="F2443" s="46" t="s">
        <v>60</v>
      </c>
      <c r="G2443" s="46">
        <v>3</v>
      </c>
      <c r="H2443" s="47">
        <v>19</v>
      </c>
      <c r="I2443" s="47" t="s">
        <v>159</v>
      </c>
      <c r="J2443" s="48">
        <v>2</v>
      </c>
      <c r="K2443" s="48">
        <v>1</v>
      </c>
      <c r="N2443" s="48">
        <v>2</v>
      </c>
      <c r="R2443" s="46">
        <f t="shared" si="240"/>
        <v>0</v>
      </c>
      <c r="S2443" s="46">
        <f t="shared" si="241"/>
        <v>0</v>
      </c>
      <c r="T2443" s="46">
        <f t="shared" si="239"/>
        <v>40</v>
      </c>
      <c r="U2443" s="46">
        <f t="shared" si="242"/>
        <v>30</v>
      </c>
      <c r="V2443" s="54">
        <f t="shared" si="243"/>
        <v>30.5</v>
      </c>
    </row>
    <row r="2444" spans="1:22" x14ac:dyDescent="0.2">
      <c r="A2444" s="46" t="s">
        <v>136</v>
      </c>
      <c r="B2444" s="46" t="s">
        <v>119</v>
      </c>
      <c r="C2444" s="46" t="s">
        <v>90</v>
      </c>
      <c r="D2444" s="46" t="s">
        <v>178</v>
      </c>
      <c r="E2444" s="46">
        <v>5</v>
      </c>
      <c r="F2444" s="46" t="s">
        <v>60</v>
      </c>
      <c r="G2444" s="46">
        <v>4</v>
      </c>
      <c r="H2444" s="47">
        <v>28</v>
      </c>
      <c r="I2444" s="47" t="s">
        <v>102</v>
      </c>
      <c r="J2444" s="48">
        <v>2</v>
      </c>
      <c r="K2444" s="48">
        <v>2</v>
      </c>
      <c r="R2444" s="46">
        <f t="shared" si="240"/>
        <v>0</v>
      </c>
      <c r="S2444" s="46">
        <f t="shared" si="241"/>
        <v>0</v>
      </c>
      <c r="T2444" s="46">
        <f t="shared" si="239"/>
        <v>30</v>
      </c>
      <c r="U2444" s="46">
        <f t="shared" si="242"/>
        <v>30</v>
      </c>
      <c r="V2444" s="54">
        <f t="shared" si="243"/>
        <v>30.5</v>
      </c>
    </row>
    <row r="2445" spans="1:22" x14ac:dyDescent="0.2">
      <c r="A2445" s="46" t="s">
        <v>136</v>
      </c>
      <c r="B2445" s="46" t="s">
        <v>119</v>
      </c>
      <c r="C2445" s="46" t="s">
        <v>90</v>
      </c>
      <c r="D2445" s="46" t="s">
        <v>178</v>
      </c>
      <c r="E2445" s="46">
        <v>5</v>
      </c>
      <c r="F2445" s="46" t="s">
        <v>60</v>
      </c>
      <c r="G2445" s="46">
        <v>2</v>
      </c>
      <c r="H2445" s="47">
        <v>34</v>
      </c>
      <c r="I2445" s="47" t="s">
        <v>127</v>
      </c>
      <c r="J2445" s="48">
        <v>1</v>
      </c>
      <c r="K2445" s="48">
        <v>3</v>
      </c>
      <c r="R2445" s="46">
        <f t="shared" si="240"/>
        <v>0</v>
      </c>
      <c r="S2445" s="46">
        <f t="shared" si="241"/>
        <v>1</v>
      </c>
      <c r="T2445" s="46">
        <f t="shared" si="239"/>
        <v>0</v>
      </c>
      <c r="U2445" s="46">
        <f t="shared" si="242"/>
        <v>0</v>
      </c>
      <c r="V2445" s="54">
        <f t="shared" si="243"/>
        <v>30.5</v>
      </c>
    </row>
    <row r="2446" spans="1:22" x14ac:dyDescent="0.2">
      <c r="A2446" s="46" t="s">
        <v>136</v>
      </c>
      <c r="B2446" s="46" t="s">
        <v>119</v>
      </c>
      <c r="C2446" s="46" t="s">
        <v>90</v>
      </c>
      <c r="D2446" s="46" t="s">
        <v>178</v>
      </c>
      <c r="E2446" s="46">
        <v>5</v>
      </c>
      <c r="F2446" s="46" t="s">
        <v>60</v>
      </c>
      <c r="G2446" s="46">
        <v>1</v>
      </c>
      <c r="H2446" s="47">
        <v>37</v>
      </c>
      <c r="I2446" s="47" t="s">
        <v>101</v>
      </c>
      <c r="J2446" s="48">
        <v>4</v>
      </c>
      <c r="K2446" s="48">
        <v>0</v>
      </c>
      <c r="M2446" s="48">
        <v>1</v>
      </c>
      <c r="R2446" s="46">
        <f t="shared" si="240"/>
        <v>1</v>
      </c>
      <c r="S2446" s="46">
        <f t="shared" si="241"/>
        <v>0</v>
      </c>
      <c r="T2446" s="46">
        <f t="shared" si="239"/>
        <v>90</v>
      </c>
      <c r="U2446" s="46">
        <f t="shared" si="242"/>
        <v>110</v>
      </c>
      <c r="V2446" s="54">
        <f t="shared" si="243"/>
        <v>30.5</v>
      </c>
    </row>
    <row r="2447" spans="1:22" x14ac:dyDescent="0.2">
      <c r="A2447" s="46" t="s">
        <v>136</v>
      </c>
      <c r="B2447" s="46" t="s">
        <v>119</v>
      </c>
      <c r="C2447" s="46" t="s">
        <v>90</v>
      </c>
      <c r="D2447" s="46" t="s">
        <v>178</v>
      </c>
      <c r="E2447" s="46">
        <v>5</v>
      </c>
      <c r="F2447" s="46" t="s">
        <v>60</v>
      </c>
      <c r="G2447" s="46">
        <v>2</v>
      </c>
      <c r="H2447" s="47">
        <v>50</v>
      </c>
      <c r="I2447" s="47" t="s">
        <v>127</v>
      </c>
      <c r="J2447" s="48">
        <v>1</v>
      </c>
      <c r="K2447" s="48">
        <v>1</v>
      </c>
      <c r="R2447" s="46">
        <f t="shared" si="240"/>
        <v>0</v>
      </c>
      <c r="S2447" s="46">
        <f t="shared" si="241"/>
        <v>0</v>
      </c>
      <c r="T2447" s="46">
        <f t="shared" si="239"/>
        <v>20</v>
      </c>
      <c r="U2447" s="46">
        <f t="shared" si="242"/>
        <v>20</v>
      </c>
      <c r="V2447" s="54">
        <f t="shared" si="243"/>
        <v>30.5</v>
      </c>
    </row>
    <row r="2448" spans="1:22" x14ac:dyDescent="0.2">
      <c r="A2448" s="46" t="s">
        <v>136</v>
      </c>
      <c r="B2448" s="46" t="s">
        <v>119</v>
      </c>
      <c r="C2448" s="46" t="str">
        <f>VLOOKUP(B2448,$B$2:$C$3219,2,FALSE)</f>
        <v>Dallas</v>
      </c>
      <c r="D2448" s="46" t="s">
        <v>178</v>
      </c>
      <c r="E2448" s="46">
        <v>5</v>
      </c>
      <c r="F2448" s="46" t="s">
        <v>63</v>
      </c>
      <c r="G2448" s="46">
        <v>4</v>
      </c>
      <c r="H2448" s="47" t="s">
        <v>149</v>
      </c>
      <c r="I2448" s="47" t="s">
        <v>102</v>
      </c>
      <c r="J2448" s="48">
        <v>4</v>
      </c>
      <c r="K2448" s="48">
        <v>0</v>
      </c>
      <c r="N2448" s="48">
        <v>1</v>
      </c>
      <c r="R2448" s="46">
        <f t="shared" si="240"/>
        <v>1</v>
      </c>
      <c r="S2448" s="46">
        <f t="shared" si="241"/>
        <v>0</v>
      </c>
      <c r="T2448" s="46">
        <f t="shared" si="239"/>
        <v>90</v>
      </c>
      <c r="U2448" s="46">
        <f t="shared" si="242"/>
        <v>85</v>
      </c>
      <c r="V2448" s="54">
        <f t="shared" si="243"/>
        <v>30.5</v>
      </c>
    </row>
    <row r="2449" spans="1:22" x14ac:dyDescent="0.2">
      <c r="A2449" s="46" t="s">
        <v>136</v>
      </c>
      <c r="B2449" s="46" t="s">
        <v>119</v>
      </c>
      <c r="C2449" s="46" t="str">
        <f>VLOOKUP(B2449,$B$2:$C$3219,2,FALSE)</f>
        <v>Dallas</v>
      </c>
      <c r="D2449" s="46" t="s">
        <v>178</v>
      </c>
      <c r="E2449" s="46">
        <v>5</v>
      </c>
      <c r="F2449" s="46" t="s">
        <v>63</v>
      </c>
      <c r="G2449" s="46">
        <v>4</v>
      </c>
      <c r="H2449" s="47" t="s">
        <v>150</v>
      </c>
      <c r="I2449" s="47" t="s">
        <v>102</v>
      </c>
      <c r="J2449" s="48">
        <v>4</v>
      </c>
      <c r="K2449" s="48">
        <v>2</v>
      </c>
      <c r="R2449" s="46">
        <f t="shared" si="240"/>
        <v>1</v>
      </c>
      <c r="S2449" s="46">
        <f t="shared" si="241"/>
        <v>0</v>
      </c>
      <c r="T2449" s="46">
        <f t="shared" si="239"/>
        <v>70</v>
      </c>
      <c r="U2449" s="46">
        <f t="shared" si="242"/>
        <v>70</v>
      </c>
      <c r="V2449" s="54">
        <f t="shared" si="243"/>
        <v>30.5</v>
      </c>
    </row>
    <row r="2450" spans="1:22" x14ac:dyDescent="0.2">
      <c r="A2450" s="46" t="s">
        <v>136</v>
      </c>
      <c r="B2450" s="46" t="s">
        <v>119</v>
      </c>
      <c r="C2450" s="46" t="str">
        <f>VLOOKUP(B2450,$B$2:$C$3219,2,FALSE)</f>
        <v>Dallas</v>
      </c>
      <c r="D2450" s="46" t="s">
        <v>178</v>
      </c>
      <c r="E2450" s="46">
        <v>5</v>
      </c>
      <c r="F2450" s="46" t="s">
        <v>63</v>
      </c>
      <c r="G2450" s="46">
        <v>4</v>
      </c>
      <c r="H2450" s="47" t="s">
        <v>151</v>
      </c>
      <c r="I2450" s="47" t="s">
        <v>102</v>
      </c>
      <c r="J2450" s="48">
        <v>4</v>
      </c>
      <c r="K2450" s="48">
        <v>1</v>
      </c>
      <c r="R2450" s="46">
        <f t="shared" si="240"/>
        <v>1</v>
      </c>
      <c r="S2450" s="46">
        <f t="shared" si="241"/>
        <v>0</v>
      </c>
      <c r="T2450" s="46">
        <f t="shared" si="239"/>
        <v>80</v>
      </c>
      <c r="U2450" s="46">
        <f t="shared" si="242"/>
        <v>80</v>
      </c>
      <c r="V2450" s="54">
        <f t="shared" si="243"/>
        <v>30.5</v>
      </c>
    </row>
    <row r="2451" spans="1:22" x14ac:dyDescent="0.2">
      <c r="A2451" s="46" t="s">
        <v>136</v>
      </c>
      <c r="B2451" s="46" t="s">
        <v>119</v>
      </c>
      <c r="C2451" s="46" t="str">
        <f>VLOOKUP(B2451,$B$2:$C$3219,2,FALSE)</f>
        <v>Dallas</v>
      </c>
      <c r="D2451" s="46" t="s">
        <v>178</v>
      </c>
      <c r="E2451" s="46">
        <v>5</v>
      </c>
      <c r="F2451" s="46" t="s">
        <v>63</v>
      </c>
      <c r="G2451" s="46">
        <v>4</v>
      </c>
      <c r="H2451" s="47" t="s">
        <v>172</v>
      </c>
      <c r="I2451" s="47" t="s">
        <v>102</v>
      </c>
      <c r="J2451" s="48">
        <v>2</v>
      </c>
      <c r="K2451" s="48">
        <v>1</v>
      </c>
      <c r="R2451" s="46">
        <f t="shared" si="240"/>
        <v>0</v>
      </c>
      <c r="S2451" s="46">
        <f t="shared" si="241"/>
        <v>0</v>
      </c>
      <c r="U2451" s="46">
        <f t="shared" si="242"/>
        <v>0</v>
      </c>
      <c r="V2451" s="54">
        <f t="shared" si="243"/>
        <v>30.5</v>
      </c>
    </row>
    <row r="2452" spans="1:22" x14ac:dyDescent="0.2">
      <c r="A2452" s="46" t="s">
        <v>215</v>
      </c>
      <c r="B2452" s="46" t="s">
        <v>209</v>
      </c>
      <c r="C2452" s="46" t="s">
        <v>93</v>
      </c>
      <c r="D2452" s="46" t="s">
        <v>178</v>
      </c>
      <c r="E2452" s="46">
        <v>3</v>
      </c>
      <c r="F2452" s="46" t="s">
        <v>60</v>
      </c>
      <c r="G2452" s="46">
        <v>1</v>
      </c>
      <c r="H2452" s="47">
        <v>1</v>
      </c>
      <c r="I2452" s="47" t="s">
        <v>101</v>
      </c>
      <c r="J2452" s="48">
        <v>0</v>
      </c>
      <c r="K2452" s="48">
        <v>0</v>
      </c>
      <c r="R2452" s="46">
        <f t="shared" si="240"/>
        <v>0</v>
      </c>
      <c r="S2452" s="46">
        <f t="shared" si="241"/>
        <v>0</v>
      </c>
      <c r="T2452" s="46">
        <f t="shared" ref="T2452:T2483" si="244">quizscore(J2452,K2452)</f>
        <v>0</v>
      </c>
      <c r="U2452" s="46">
        <f t="shared" si="242"/>
        <v>0</v>
      </c>
      <c r="V2452" s="54">
        <f t="shared" si="243"/>
        <v>4.583333333333333</v>
      </c>
    </row>
    <row r="2453" spans="1:22" x14ac:dyDescent="0.2">
      <c r="A2453" s="46" t="s">
        <v>215</v>
      </c>
      <c r="B2453" s="46" t="s">
        <v>209</v>
      </c>
      <c r="C2453" s="46" t="s">
        <v>93</v>
      </c>
      <c r="D2453" s="46" t="s">
        <v>178</v>
      </c>
      <c r="E2453" s="46">
        <v>2</v>
      </c>
      <c r="F2453" s="46" t="s">
        <v>60</v>
      </c>
      <c r="G2453" s="46">
        <v>2</v>
      </c>
      <c r="H2453" s="47">
        <v>2</v>
      </c>
      <c r="I2453" s="47" t="s">
        <v>127</v>
      </c>
      <c r="J2453" s="48">
        <v>0</v>
      </c>
      <c r="K2453" s="48">
        <v>0</v>
      </c>
      <c r="M2453" s="48">
        <v>1</v>
      </c>
      <c r="R2453" s="46">
        <f t="shared" si="240"/>
        <v>0</v>
      </c>
      <c r="S2453" s="46">
        <f t="shared" si="241"/>
        <v>0</v>
      </c>
      <c r="T2453" s="46">
        <f t="shared" si="244"/>
        <v>0</v>
      </c>
      <c r="U2453" s="46">
        <f t="shared" si="242"/>
        <v>20</v>
      </c>
      <c r="V2453" s="54">
        <f t="shared" si="243"/>
        <v>4.583333333333333</v>
      </c>
    </row>
    <row r="2454" spans="1:22" x14ac:dyDescent="0.2">
      <c r="A2454" s="46" t="s">
        <v>215</v>
      </c>
      <c r="B2454" s="46" t="s">
        <v>209</v>
      </c>
      <c r="C2454" s="46" t="s">
        <v>93</v>
      </c>
      <c r="D2454" s="46" t="s">
        <v>178</v>
      </c>
      <c r="E2454" s="46">
        <v>2</v>
      </c>
      <c r="F2454" s="46" t="s">
        <v>60</v>
      </c>
      <c r="G2454" s="46">
        <v>4</v>
      </c>
      <c r="H2454" s="47">
        <v>8</v>
      </c>
      <c r="I2454" s="47" t="s">
        <v>102</v>
      </c>
      <c r="J2454" s="48">
        <v>0</v>
      </c>
      <c r="K2454" s="48">
        <v>0</v>
      </c>
      <c r="R2454" s="46">
        <f t="shared" si="240"/>
        <v>0</v>
      </c>
      <c r="S2454" s="46">
        <f t="shared" si="241"/>
        <v>0</v>
      </c>
      <c r="T2454" s="46">
        <f t="shared" si="244"/>
        <v>0</v>
      </c>
      <c r="U2454" s="46">
        <f t="shared" si="242"/>
        <v>0</v>
      </c>
      <c r="V2454" s="54">
        <f t="shared" si="243"/>
        <v>4.583333333333333</v>
      </c>
    </row>
    <row r="2455" spans="1:22" x14ac:dyDescent="0.2">
      <c r="A2455" s="46" t="s">
        <v>215</v>
      </c>
      <c r="B2455" s="46" t="s">
        <v>209</v>
      </c>
      <c r="C2455" s="46" t="s">
        <v>93</v>
      </c>
      <c r="D2455" s="46" t="s">
        <v>178</v>
      </c>
      <c r="E2455" s="46">
        <v>4</v>
      </c>
      <c r="F2455" s="46" t="s">
        <v>60</v>
      </c>
      <c r="G2455" s="46">
        <v>4</v>
      </c>
      <c r="H2455" s="47">
        <v>8</v>
      </c>
      <c r="I2455" s="47" t="s">
        <v>102</v>
      </c>
      <c r="J2455" s="48">
        <v>0</v>
      </c>
      <c r="K2455" s="48">
        <v>0</v>
      </c>
      <c r="R2455" s="46">
        <f t="shared" si="240"/>
        <v>0</v>
      </c>
      <c r="S2455" s="46">
        <f t="shared" si="241"/>
        <v>0</v>
      </c>
      <c r="T2455" s="46">
        <f t="shared" si="244"/>
        <v>0</v>
      </c>
      <c r="U2455" s="46">
        <f t="shared" si="242"/>
        <v>0</v>
      </c>
      <c r="V2455" s="54">
        <f t="shared" si="243"/>
        <v>4.583333333333333</v>
      </c>
    </row>
    <row r="2456" spans="1:22" x14ac:dyDescent="0.2">
      <c r="A2456" s="46" t="s">
        <v>215</v>
      </c>
      <c r="B2456" s="46" t="s">
        <v>209</v>
      </c>
      <c r="C2456" s="46" t="s">
        <v>93</v>
      </c>
      <c r="D2456" s="46" t="s">
        <v>178</v>
      </c>
      <c r="E2456" s="46">
        <v>4</v>
      </c>
      <c r="F2456" s="46" t="s">
        <v>60</v>
      </c>
      <c r="G2456" s="46">
        <v>3</v>
      </c>
      <c r="H2456" s="47">
        <v>11</v>
      </c>
      <c r="I2456" s="47" t="s">
        <v>159</v>
      </c>
      <c r="J2456" s="48">
        <v>0</v>
      </c>
      <c r="K2456" s="48">
        <v>0</v>
      </c>
      <c r="M2456" s="48">
        <v>1</v>
      </c>
      <c r="R2456" s="46">
        <f t="shared" si="240"/>
        <v>0</v>
      </c>
      <c r="S2456" s="46">
        <f t="shared" si="241"/>
        <v>0</v>
      </c>
      <c r="T2456" s="46">
        <f t="shared" si="244"/>
        <v>0</v>
      </c>
      <c r="U2456" s="46">
        <f t="shared" si="242"/>
        <v>20</v>
      </c>
      <c r="V2456" s="54">
        <f t="shared" si="243"/>
        <v>4.583333333333333</v>
      </c>
    </row>
    <row r="2457" spans="1:22" x14ac:dyDescent="0.2">
      <c r="A2457" s="46" t="s">
        <v>215</v>
      </c>
      <c r="B2457" s="46" t="s">
        <v>209</v>
      </c>
      <c r="C2457" s="46" t="s">
        <v>93</v>
      </c>
      <c r="D2457" s="46" t="s">
        <v>178</v>
      </c>
      <c r="E2457" s="46">
        <v>3</v>
      </c>
      <c r="F2457" s="46" t="s">
        <v>60</v>
      </c>
      <c r="G2457" s="46">
        <v>3</v>
      </c>
      <c r="H2457" s="47">
        <v>15</v>
      </c>
      <c r="I2457" s="47" t="s">
        <v>116</v>
      </c>
      <c r="J2457" s="48">
        <v>0</v>
      </c>
      <c r="K2457" s="48">
        <v>1</v>
      </c>
      <c r="R2457" s="46">
        <f t="shared" si="240"/>
        <v>0</v>
      </c>
      <c r="S2457" s="46">
        <f t="shared" si="241"/>
        <v>0</v>
      </c>
      <c r="T2457" s="46">
        <f t="shared" si="244"/>
        <v>0</v>
      </c>
      <c r="U2457" s="46">
        <f t="shared" si="242"/>
        <v>0</v>
      </c>
      <c r="V2457" s="54">
        <f t="shared" si="243"/>
        <v>4.583333333333333</v>
      </c>
    </row>
    <row r="2458" spans="1:22" x14ac:dyDescent="0.2">
      <c r="A2458" s="46" t="s">
        <v>215</v>
      </c>
      <c r="B2458" s="46" t="s">
        <v>209</v>
      </c>
      <c r="C2458" s="46" t="s">
        <v>93</v>
      </c>
      <c r="D2458" s="46" t="s">
        <v>178</v>
      </c>
      <c r="E2458" s="46">
        <v>4</v>
      </c>
      <c r="F2458" s="46" t="s">
        <v>60</v>
      </c>
      <c r="G2458" s="46">
        <v>3</v>
      </c>
      <c r="H2458" s="47">
        <v>19</v>
      </c>
      <c r="I2458" s="47" t="s">
        <v>159</v>
      </c>
      <c r="J2458" s="48">
        <v>0</v>
      </c>
      <c r="K2458" s="48">
        <v>0</v>
      </c>
      <c r="R2458" s="46">
        <f t="shared" si="240"/>
        <v>0</v>
      </c>
      <c r="S2458" s="46">
        <f t="shared" si="241"/>
        <v>0</v>
      </c>
      <c r="T2458" s="46">
        <f t="shared" si="244"/>
        <v>0</v>
      </c>
      <c r="U2458" s="46">
        <f t="shared" si="242"/>
        <v>0</v>
      </c>
      <c r="V2458" s="54">
        <f t="shared" si="243"/>
        <v>4.583333333333333</v>
      </c>
    </row>
    <row r="2459" spans="1:22" x14ac:dyDescent="0.2">
      <c r="A2459" s="46" t="s">
        <v>215</v>
      </c>
      <c r="B2459" s="46" t="s">
        <v>209</v>
      </c>
      <c r="C2459" s="46" t="s">
        <v>93</v>
      </c>
      <c r="D2459" s="46" t="s">
        <v>178</v>
      </c>
      <c r="E2459" s="46">
        <v>2</v>
      </c>
      <c r="F2459" s="46" t="s">
        <v>60</v>
      </c>
      <c r="G2459" s="46">
        <v>2</v>
      </c>
      <c r="H2459" s="47">
        <v>22</v>
      </c>
      <c r="I2459" s="47" t="s">
        <v>127</v>
      </c>
      <c r="J2459" s="48">
        <v>0</v>
      </c>
      <c r="K2459" s="48">
        <v>0</v>
      </c>
      <c r="R2459" s="46">
        <f t="shared" si="240"/>
        <v>0</v>
      </c>
      <c r="S2459" s="46">
        <f t="shared" si="241"/>
        <v>0</v>
      </c>
      <c r="T2459" s="46">
        <f t="shared" si="244"/>
        <v>0</v>
      </c>
      <c r="U2459" s="46">
        <f t="shared" si="242"/>
        <v>0</v>
      </c>
      <c r="V2459" s="54">
        <f t="shared" si="243"/>
        <v>4.583333333333333</v>
      </c>
    </row>
    <row r="2460" spans="1:22" x14ac:dyDescent="0.2">
      <c r="A2460" s="46" t="s">
        <v>215</v>
      </c>
      <c r="B2460" s="46" t="s">
        <v>209</v>
      </c>
      <c r="C2460" s="46" t="s">
        <v>93</v>
      </c>
      <c r="D2460" s="46" t="s">
        <v>178</v>
      </c>
      <c r="E2460" s="46">
        <v>3</v>
      </c>
      <c r="F2460" s="46" t="s">
        <v>60</v>
      </c>
      <c r="G2460" s="46">
        <v>4</v>
      </c>
      <c r="H2460" s="47">
        <v>24</v>
      </c>
      <c r="I2460" s="47" t="s">
        <v>102</v>
      </c>
      <c r="J2460" s="48">
        <v>0</v>
      </c>
      <c r="K2460" s="48">
        <v>0</v>
      </c>
      <c r="R2460" s="46">
        <f t="shared" si="240"/>
        <v>0</v>
      </c>
      <c r="S2460" s="46">
        <f t="shared" si="241"/>
        <v>0</v>
      </c>
      <c r="T2460" s="46">
        <f t="shared" si="244"/>
        <v>0</v>
      </c>
      <c r="U2460" s="46">
        <f t="shared" si="242"/>
        <v>0</v>
      </c>
      <c r="V2460" s="54">
        <f t="shared" si="243"/>
        <v>4.583333333333333</v>
      </c>
    </row>
    <row r="2461" spans="1:22" x14ac:dyDescent="0.2">
      <c r="A2461" s="46" t="s">
        <v>215</v>
      </c>
      <c r="B2461" s="46" t="s">
        <v>209</v>
      </c>
      <c r="C2461" s="46" t="s">
        <v>93</v>
      </c>
      <c r="D2461" s="46" t="s">
        <v>178</v>
      </c>
      <c r="E2461" s="46">
        <v>2</v>
      </c>
      <c r="F2461" s="46" t="s">
        <v>60</v>
      </c>
      <c r="G2461" s="46">
        <v>1</v>
      </c>
      <c r="H2461" s="47">
        <v>29</v>
      </c>
      <c r="I2461" s="47" t="s">
        <v>101</v>
      </c>
      <c r="J2461" s="48">
        <v>0</v>
      </c>
      <c r="K2461" s="48">
        <v>0</v>
      </c>
      <c r="L2461" s="48">
        <v>1</v>
      </c>
      <c r="R2461" s="46">
        <f t="shared" si="240"/>
        <v>0</v>
      </c>
      <c r="S2461" s="46">
        <f t="shared" si="241"/>
        <v>0</v>
      </c>
      <c r="T2461" s="46">
        <f t="shared" si="244"/>
        <v>0</v>
      </c>
      <c r="U2461" s="46">
        <f t="shared" si="242"/>
        <v>-5</v>
      </c>
      <c r="V2461" s="54">
        <f t="shared" si="243"/>
        <v>4.583333333333333</v>
      </c>
    </row>
    <row r="2462" spans="1:22" x14ac:dyDescent="0.2">
      <c r="A2462" s="46" t="s">
        <v>215</v>
      </c>
      <c r="B2462" s="46" t="s">
        <v>209</v>
      </c>
      <c r="C2462" s="46" t="s">
        <v>93</v>
      </c>
      <c r="D2462" s="46" t="s">
        <v>178</v>
      </c>
      <c r="E2462" s="46">
        <v>4</v>
      </c>
      <c r="F2462" s="46" t="s">
        <v>60</v>
      </c>
      <c r="G2462" s="46">
        <v>1</v>
      </c>
      <c r="H2462" s="47">
        <v>33</v>
      </c>
      <c r="I2462" s="47" t="s">
        <v>101</v>
      </c>
      <c r="J2462" s="48">
        <v>0</v>
      </c>
      <c r="K2462" s="48">
        <v>0</v>
      </c>
      <c r="R2462" s="46">
        <f t="shared" si="240"/>
        <v>0</v>
      </c>
      <c r="S2462" s="46">
        <f t="shared" si="241"/>
        <v>0</v>
      </c>
      <c r="T2462" s="46">
        <f t="shared" si="244"/>
        <v>0</v>
      </c>
      <c r="U2462" s="46">
        <f t="shared" si="242"/>
        <v>0</v>
      </c>
      <c r="V2462" s="54">
        <f t="shared" si="243"/>
        <v>4.583333333333333</v>
      </c>
    </row>
    <row r="2463" spans="1:22" x14ac:dyDescent="0.2">
      <c r="A2463" s="46" t="s">
        <v>215</v>
      </c>
      <c r="B2463" s="46" t="s">
        <v>209</v>
      </c>
      <c r="C2463" s="46" t="s">
        <v>93</v>
      </c>
      <c r="D2463" s="46" t="s">
        <v>178</v>
      </c>
      <c r="E2463" s="46">
        <v>4</v>
      </c>
      <c r="F2463" s="46" t="s">
        <v>60</v>
      </c>
      <c r="G2463" s="46">
        <v>1</v>
      </c>
      <c r="H2463" s="47">
        <v>37</v>
      </c>
      <c r="I2463" s="47" t="s">
        <v>101</v>
      </c>
      <c r="J2463" s="48">
        <v>0</v>
      </c>
      <c r="K2463" s="48">
        <v>1</v>
      </c>
      <c r="R2463" s="46">
        <f t="shared" si="240"/>
        <v>0</v>
      </c>
      <c r="S2463" s="46">
        <f t="shared" si="241"/>
        <v>0</v>
      </c>
      <c r="T2463" s="46">
        <f t="shared" si="244"/>
        <v>0</v>
      </c>
      <c r="U2463" s="46">
        <f t="shared" si="242"/>
        <v>0</v>
      </c>
      <c r="V2463" s="54">
        <f t="shared" si="243"/>
        <v>4.583333333333333</v>
      </c>
    </row>
    <row r="2464" spans="1:22" x14ac:dyDescent="0.2">
      <c r="A2464" s="46" t="s">
        <v>215</v>
      </c>
      <c r="B2464" s="46" t="s">
        <v>209</v>
      </c>
      <c r="C2464" s="46" t="s">
        <v>93</v>
      </c>
      <c r="D2464" s="46" t="s">
        <v>178</v>
      </c>
      <c r="E2464" s="46">
        <v>2</v>
      </c>
      <c r="F2464" s="46" t="s">
        <v>60</v>
      </c>
      <c r="G2464" s="46">
        <v>1</v>
      </c>
      <c r="H2464" s="47">
        <v>41</v>
      </c>
      <c r="I2464" s="47" t="s">
        <v>101</v>
      </c>
      <c r="J2464" s="48">
        <v>0</v>
      </c>
      <c r="K2464" s="48">
        <v>0</v>
      </c>
      <c r="R2464" s="46">
        <f t="shared" si="240"/>
        <v>0</v>
      </c>
      <c r="S2464" s="46">
        <f t="shared" si="241"/>
        <v>0</v>
      </c>
      <c r="T2464" s="46">
        <f t="shared" si="244"/>
        <v>0</v>
      </c>
      <c r="U2464" s="46">
        <f t="shared" si="242"/>
        <v>0</v>
      </c>
      <c r="V2464" s="54">
        <f t="shared" si="243"/>
        <v>4.583333333333333</v>
      </c>
    </row>
    <row r="2465" spans="1:22" x14ac:dyDescent="0.2">
      <c r="A2465" s="46" t="s">
        <v>215</v>
      </c>
      <c r="B2465" s="46" t="s">
        <v>209</v>
      </c>
      <c r="C2465" s="46" t="s">
        <v>93</v>
      </c>
      <c r="D2465" s="46" t="s">
        <v>178</v>
      </c>
      <c r="E2465" s="46">
        <v>3</v>
      </c>
      <c r="F2465" s="46" t="s">
        <v>60</v>
      </c>
      <c r="G2465" s="46">
        <v>2</v>
      </c>
      <c r="H2465" s="47">
        <v>42</v>
      </c>
      <c r="I2465" s="47" t="s">
        <v>127</v>
      </c>
      <c r="J2465" s="48">
        <v>0</v>
      </c>
      <c r="K2465" s="48">
        <v>1</v>
      </c>
      <c r="R2465" s="46">
        <f t="shared" si="240"/>
        <v>0</v>
      </c>
      <c r="S2465" s="46">
        <f t="shared" si="241"/>
        <v>0</v>
      </c>
      <c r="T2465" s="46">
        <f t="shared" si="244"/>
        <v>0</v>
      </c>
      <c r="U2465" s="46">
        <f t="shared" si="242"/>
        <v>0</v>
      </c>
      <c r="V2465" s="54">
        <f t="shared" si="243"/>
        <v>4.583333333333333</v>
      </c>
    </row>
    <row r="2466" spans="1:22" x14ac:dyDescent="0.2">
      <c r="A2466" s="46" t="s">
        <v>215</v>
      </c>
      <c r="B2466" s="46" t="s">
        <v>209</v>
      </c>
      <c r="C2466" s="46" t="s">
        <v>93</v>
      </c>
      <c r="D2466" s="46" t="s">
        <v>178</v>
      </c>
      <c r="E2466" s="46">
        <v>3</v>
      </c>
      <c r="F2466" s="46" t="s">
        <v>60</v>
      </c>
      <c r="G2466" s="46">
        <v>2</v>
      </c>
      <c r="H2466" s="47">
        <v>50</v>
      </c>
      <c r="I2466" s="47" t="s">
        <v>127</v>
      </c>
      <c r="J2466" s="48">
        <v>0</v>
      </c>
      <c r="K2466" s="48">
        <v>0</v>
      </c>
      <c r="R2466" s="46">
        <f t="shared" si="240"/>
        <v>0</v>
      </c>
      <c r="S2466" s="46">
        <f t="shared" si="241"/>
        <v>0</v>
      </c>
      <c r="T2466" s="46">
        <f t="shared" si="244"/>
        <v>0</v>
      </c>
      <c r="U2466" s="46">
        <f t="shared" si="242"/>
        <v>0</v>
      </c>
      <c r="V2466" s="54">
        <f t="shared" si="243"/>
        <v>4.583333333333333</v>
      </c>
    </row>
    <row r="2467" spans="1:22" x14ac:dyDescent="0.2">
      <c r="A2467" s="46" t="s">
        <v>215</v>
      </c>
      <c r="B2467" s="46" t="s">
        <v>209</v>
      </c>
      <c r="C2467" s="46" t="s">
        <v>93</v>
      </c>
      <c r="D2467" s="46" t="s">
        <v>178</v>
      </c>
      <c r="E2467" s="46">
        <v>4</v>
      </c>
      <c r="F2467" s="46" t="s">
        <v>61</v>
      </c>
      <c r="G2467" s="46">
        <v>1</v>
      </c>
      <c r="H2467" s="47" t="s">
        <v>67</v>
      </c>
      <c r="I2467" s="47" t="s">
        <v>101</v>
      </c>
      <c r="J2467" s="48">
        <v>0</v>
      </c>
      <c r="K2467" s="48">
        <v>0</v>
      </c>
      <c r="R2467" s="46">
        <f t="shared" si="240"/>
        <v>0</v>
      </c>
      <c r="S2467" s="46">
        <f t="shared" si="241"/>
        <v>0</v>
      </c>
      <c r="T2467" s="46">
        <f t="shared" si="244"/>
        <v>0</v>
      </c>
      <c r="U2467" s="46">
        <f t="shared" si="242"/>
        <v>0</v>
      </c>
      <c r="V2467" s="54">
        <f t="shared" si="243"/>
        <v>4.583333333333333</v>
      </c>
    </row>
    <row r="2468" spans="1:22" x14ac:dyDescent="0.2">
      <c r="A2468" s="46" t="s">
        <v>215</v>
      </c>
      <c r="B2468" s="46" t="s">
        <v>209</v>
      </c>
      <c r="C2468" s="46" t="s">
        <v>93</v>
      </c>
      <c r="D2468" s="46" t="s">
        <v>178</v>
      </c>
      <c r="E2468" s="46">
        <v>3</v>
      </c>
      <c r="F2468" s="46" t="s">
        <v>63</v>
      </c>
      <c r="G2468" s="46">
        <v>4</v>
      </c>
      <c r="H2468" s="47" t="s">
        <v>148</v>
      </c>
      <c r="I2468" s="47" t="s">
        <v>102</v>
      </c>
      <c r="J2468" s="48">
        <v>0</v>
      </c>
      <c r="K2468" s="48">
        <v>0</v>
      </c>
      <c r="R2468" s="46">
        <f t="shared" si="240"/>
        <v>0</v>
      </c>
      <c r="S2468" s="46">
        <f t="shared" si="241"/>
        <v>0</v>
      </c>
      <c r="T2468" s="46">
        <f t="shared" si="244"/>
        <v>0</v>
      </c>
      <c r="U2468" s="46">
        <f t="shared" si="242"/>
        <v>0</v>
      </c>
      <c r="V2468" s="54">
        <f t="shared" si="243"/>
        <v>4.583333333333333</v>
      </c>
    </row>
    <row r="2469" spans="1:22" x14ac:dyDescent="0.2">
      <c r="A2469" s="46" t="s">
        <v>215</v>
      </c>
      <c r="B2469" s="46" t="s">
        <v>209</v>
      </c>
      <c r="C2469" s="46" t="s">
        <v>93</v>
      </c>
      <c r="D2469" s="46" t="s">
        <v>178</v>
      </c>
      <c r="E2469" s="46">
        <v>2</v>
      </c>
      <c r="F2469" s="46" t="s">
        <v>63</v>
      </c>
      <c r="G2469" s="46">
        <v>4</v>
      </c>
      <c r="H2469" s="47" t="s">
        <v>149</v>
      </c>
      <c r="I2469" s="47" t="s">
        <v>102</v>
      </c>
      <c r="J2469" s="48">
        <v>0</v>
      </c>
      <c r="K2469" s="48">
        <v>0</v>
      </c>
      <c r="R2469" s="46">
        <f t="shared" si="240"/>
        <v>0</v>
      </c>
      <c r="S2469" s="46">
        <f t="shared" si="241"/>
        <v>0</v>
      </c>
      <c r="T2469" s="46">
        <f t="shared" si="244"/>
        <v>0</v>
      </c>
      <c r="U2469" s="46">
        <f t="shared" si="242"/>
        <v>0</v>
      </c>
      <c r="V2469" s="54">
        <f t="shared" si="243"/>
        <v>4.583333333333333</v>
      </c>
    </row>
    <row r="2470" spans="1:22" x14ac:dyDescent="0.2">
      <c r="A2470" s="46" t="s">
        <v>215</v>
      </c>
      <c r="B2470" s="46" t="s">
        <v>209</v>
      </c>
      <c r="C2470" s="46" t="s">
        <v>93</v>
      </c>
      <c r="D2470" s="46" t="s">
        <v>178</v>
      </c>
      <c r="E2470" s="46">
        <v>3</v>
      </c>
      <c r="F2470" s="46" t="s">
        <v>63</v>
      </c>
      <c r="G2470" s="46">
        <v>4</v>
      </c>
      <c r="H2470" s="47" t="s">
        <v>150</v>
      </c>
      <c r="I2470" s="47" t="s">
        <v>102</v>
      </c>
      <c r="J2470" s="48">
        <v>0</v>
      </c>
      <c r="K2470" s="48">
        <v>0</v>
      </c>
      <c r="R2470" s="46">
        <f t="shared" si="240"/>
        <v>0</v>
      </c>
      <c r="S2470" s="46">
        <f t="shared" si="241"/>
        <v>0</v>
      </c>
      <c r="T2470" s="46">
        <f t="shared" si="244"/>
        <v>0</v>
      </c>
      <c r="U2470" s="46">
        <f t="shared" si="242"/>
        <v>0</v>
      </c>
      <c r="V2470" s="54">
        <f t="shared" si="243"/>
        <v>4.583333333333333</v>
      </c>
    </row>
    <row r="2471" spans="1:22" x14ac:dyDescent="0.2">
      <c r="A2471" s="46" t="s">
        <v>215</v>
      </c>
      <c r="B2471" s="46" t="s">
        <v>209</v>
      </c>
      <c r="C2471" s="46" t="s">
        <v>93</v>
      </c>
      <c r="D2471" s="46" t="s">
        <v>178</v>
      </c>
      <c r="E2471" s="46">
        <v>3</v>
      </c>
      <c r="F2471" s="46" t="s">
        <v>63</v>
      </c>
      <c r="G2471" s="46">
        <v>4</v>
      </c>
      <c r="H2471" s="47" t="s">
        <v>172</v>
      </c>
      <c r="I2471" s="47" t="s">
        <v>102</v>
      </c>
      <c r="J2471" s="48">
        <v>0</v>
      </c>
      <c r="K2471" s="48">
        <v>1</v>
      </c>
      <c r="R2471" s="46">
        <f t="shared" si="240"/>
        <v>0</v>
      </c>
      <c r="S2471" s="46">
        <f t="shared" si="241"/>
        <v>0</v>
      </c>
      <c r="T2471" s="46">
        <f t="shared" si="244"/>
        <v>0</v>
      </c>
      <c r="U2471" s="46">
        <f t="shared" si="242"/>
        <v>0</v>
      </c>
      <c r="V2471" s="54">
        <f t="shared" si="243"/>
        <v>4.583333333333333</v>
      </c>
    </row>
    <row r="2472" spans="1:22" x14ac:dyDescent="0.2">
      <c r="A2472" s="46" t="s">
        <v>215</v>
      </c>
      <c r="B2472" s="46" t="s">
        <v>209</v>
      </c>
      <c r="C2472" s="46" t="s">
        <v>93</v>
      </c>
      <c r="D2472" s="46" t="s">
        <v>178</v>
      </c>
      <c r="E2472" s="46">
        <v>4</v>
      </c>
      <c r="F2472" s="46" t="s">
        <v>61</v>
      </c>
      <c r="G2472" s="46">
        <v>2</v>
      </c>
      <c r="H2472" s="47" t="s">
        <v>66</v>
      </c>
      <c r="I2472" s="47" t="s">
        <v>127</v>
      </c>
      <c r="J2472" s="48">
        <v>0</v>
      </c>
      <c r="K2472" s="48">
        <v>0</v>
      </c>
      <c r="R2472" s="46">
        <f t="shared" si="240"/>
        <v>0</v>
      </c>
      <c r="S2472" s="46">
        <f t="shared" si="241"/>
        <v>0</v>
      </c>
      <c r="T2472" s="46">
        <f t="shared" si="244"/>
        <v>0</v>
      </c>
      <c r="U2472" s="46">
        <f t="shared" si="242"/>
        <v>0</v>
      </c>
      <c r="V2472" s="54">
        <f t="shared" si="243"/>
        <v>4.583333333333333</v>
      </c>
    </row>
    <row r="2473" spans="1:22" x14ac:dyDescent="0.2">
      <c r="A2473" s="46" t="s">
        <v>215</v>
      </c>
      <c r="B2473" s="46" t="s">
        <v>209</v>
      </c>
      <c r="C2473" s="46" t="s">
        <v>93</v>
      </c>
      <c r="D2473" s="46" t="s">
        <v>178</v>
      </c>
      <c r="E2473" s="46">
        <v>3</v>
      </c>
      <c r="F2473" s="46" t="s">
        <v>60</v>
      </c>
      <c r="G2473" s="46">
        <v>2</v>
      </c>
      <c r="H2473" s="47">
        <v>30</v>
      </c>
      <c r="I2473" s="47" t="s">
        <v>127</v>
      </c>
      <c r="J2473" s="48">
        <v>1</v>
      </c>
      <c r="K2473" s="48">
        <v>1</v>
      </c>
      <c r="R2473" s="46">
        <f t="shared" si="240"/>
        <v>0</v>
      </c>
      <c r="S2473" s="46">
        <f t="shared" si="241"/>
        <v>0</v>
      </c>
      <c r="T2473" s="46">
        <f t="shared" si="244"/>
        <v>20</v>
      </c>
      <c r="U2473" s="46">
        <f t="shared" si="242"/>
        <v>20</v>
      </c>
      <c r="V2473" s="54">
        <f t="shared" si="243"/>
        <v>4.583333333333333</v>
      </c>
    </row>
    <row r="2474" spans="1:22" x14ac:dyDescent="0.2">
      <c r="A2474" s="46" t="s">
        <v>215</v>
      </c>
      <c r="B2474" s="46" t="s">
        <v>209</v>
      </c>
      <c r="C2474" s="46" t="s">
        <v>93</v>
      </c>
      <c r="D2474" s="46" t="s">
        <v>178</v>
      </c>
      <c r="E2474" s="46">
        <v>2</v>
      </c>
      <c r="F2474" s="46" t="s">
        <v>60</v>
      </c>
      <c r="G2474" s="46">
        <v>3</v>
      </c>
      <c r="H2474" s="47">
        <v>39</v>
      </c>
      <c r="I2474" s="47" t="s">
        <v>116</v>
      </c>
      <c r="J2474" s="48">
        <v>1</v>
      </c>
      <c r="K2474" s="48">
        <v>0</v>
      </c>
      <c r="R2474" s="46">
        <f t="shared" si="240"/>
        <v>0</v>
      </c>
      <c r="S2474" s="46">
        <f t="shared" si="241"/>
        <v>0</v>
      </c>
      <c r="T2474" s="46">
        <f t="shared" si="244"/>
        <v>20</v>
      </c>
      <c r="U2474" s="46">
        <f t="shared" si="242"/>
        <v>20</v>
      </c>
      <c r="V2474" s="54">
        <f t="shared" si="243"/>
        <v>4.583333333333333</v>
      </c>
    </row>
    <row r="2475" spans="1:22" x14ac:dyDescent="0.2">
      <c r="A2475" s="46" t="s">
        <v>215</v>
      </c>
      <c r="B2475" s="46" t="s">
        <v>209</v>
      </c>
      <c r="C2475" s="46" t="s">
        <v>93</v>
      </c>
      <c r="D2475" s="46" t="s">
        <v>178</v>
      </c>
      <c r="E2475" s="46">
        <v>4</v>
      </c>
      <c r="F2475" s="46" t="s">
        <v>60</v>
      </c>
      <c r="G2475" s="46">
        <v>2</v>
      </c>
      <c r="H2475" s="47">
        <v>46</v>
      </c>
      <c r="I2475" s="47" t="s">
        <v>127</v>
      </c>
      <c r="J2475" s="48">
        <v>1</v>
      </c>
      <c r="K2475" s="48">
        <v>0</v>
      </c>
      <c r="M2475" s="48">
        <v>1</v>
      </c>
      <c r="R2475" s="46">
        <f t="shared" si="240"/>
        <v>0</v>
      </c>
      <c r="S2475" s="46">
        <f t="shared" si="241"/>
        <v>0</v>
      </c>
      <c r="T2475" s="46">
        <f t="shared" si="244"/>
        <v>20</v>
      </c>
      <c r="U2475" s="46">
        <f t="shared" si="242"/>
        <v>40</v>
      </c>
      <c r="V2475" s="54">
        <f t="shared" si="243"/>
        <v>4.583333333333333</v>
      </c>
    </row>
    <row r="2476" spans="1:22" x14ac:dyDescent="0.2">
      <c r="A2476" s="46" t="s">
        <v>215</v>
      </c>
      <c r="B2476" s="46" t="s">
        <v>209</v>
      </c>
      <c r="C2476" s="46" t="s">
        <v>93</v>
      </c>
      <c r="D2476" s="46" t="s">
        <v>178</v>
      </c>
      <c r="E2476" s="46">
        <v>2</v>
      </c>
      <c r="F2476" s="46" t="s">
        <v>63</v>
      </c>
      <c r="G2476" s="46">
        <v>4</v>
      </c>
      <c r="H2476" s="47" t="s">
        <v>147</v>
      </c>
      <c r="I2476" s="47" t="s">
        <v>102</v>
      </c>
      <c r="J2476" s="48">
        <v>1</v>
      </c>
      <c r="K2476" s="48">
        <v>0</v>
      </c>
      <c r="R2476" s="46">
        <f t="shared" si="240"/>
        <v>0</v>
      </c>
      <c r="S2476" s="46">
        <f t="shared" si="241"/>
        <v>0</v>
      </c>
      <c r="T2476" s="46">
        <f t="shared" si="244"/>
        <v>20</v>
      </c>
      <c r="U2476" s="46">
        <f t="shared" si="242"/>
        <v>20</v>
      </c>
      <c r="V2476" s="54">
        <f t="shared" si="243"/>
        <v>4.583333333333333</v>
      </c>
    </row>
    <row r="2477" spans="1:22" x14ac:dyDescent="0.2">
      <c r="A2477" s="46" t="s">
        <v>215</v>
      </c>
      <c r="B2477" s="46" t="s">
        <v>209</v>
      </c>
      <c r="C2477" s="46" t="s">
        <v>93</v>
      </c>
      <c r="D2477" s="46" t="s">
        <v>178</v>
      </c>
      <c r="E2477" s="46">
        <v>2</v>
      </c>
      <c r="F2477" s="46" t="s">
        <v>63</v>
      </c>
      <c r="G2477" s="46">
        <v>4</v>
      </c>
      <c r="H2477" s="47" t="s">
        <v>172</v>
      </c>
      <c r="I2477" s="47" t="s">
        <v>102</v>
      </c>
      <c r="J2477" s="48">
        <v>1</v>
      </c>
      <c r="K2477" s="48">
        <v>0</v>
      </c>
      <c r="R2477" s="46">
        <f t="shared" si="240"/>
        <v>0</v>
      </c>
      <c r="S2477" s="46">
        <f t="shared" si="241"/>
        <v>0</v>
      </c>
      <c r="T2477" s="46">
        <f t="shared" si="244"/>
        <v>20</v>
      </c>
      <c r="U2477" s="46">
        <f t="shared" si="242"/>
        <v>20</v>
      </c>
      <c r="V2477" s="54">
        <f t="shared" si="243"/>
        <v>4.583333333333333</v>
      </c>
    </row>
    <row r="2478" spans="1:22" x14ac:dyDescent="0.2">
      <c r="A2478" s="46" t="s">
        <v>215</v>
      </c>
      <c r="B2478" s="46" t="s">
        <v>209</v>
      </c>
      <c r="C2478" s="46" t="s">
        <v>93</v>
      </c>
      <c r="D2478" s="46" t="s">
        <v>178</v>
      </c>
      <c r="E2478" s="46">
        <v>4</v>
      </c>
      <c r="F2478" s="46" t="s">
        <v>61</v>
      </c>
      <c r="G2478" s="46">
        <v>1</v>
      </c>
      <c r="H2478" s="47" t="s">
        <v>68</v>
      </c>
      <c r="I2478" s="47" t="s">
        <v>101</v>
      </c>
      <c r="J2478" s="48">
        <v>1</v>
      </c>
      <c r="K2478" s="48">
        <v>0</v>
      </c>
      <c r="R2478" s="46">
        <f t="shared" si="240"/>
        <v>0</v>
      </c>
      <c r="S2478" s="46">
        <f t="shared" si="241"/>
        <v>0</v>
      </c>
      <c r="T2478" s="46">
        <f t="shared" si="244"/>
        <v>20</v>
      </c>
      <c r="U2478" s="46">
        <f t="shared" si="242"/>
        <v>20</v>
      </c>
      <c r="V2478" s="54">
        <f t="shared" si="243"/>
        <v>4.583333333333333</v>
      </c>
    </row>
    <row r="2479" spans="1:22" x14ac:dyDescent="0.2">
      <c r="A2479" s="46" t="s">
        <v>215</v>
      </c>
      <c r="B2479" s="46" t="s">
        <v>209</v>
      </c>
      <c r="C2479" s="46" t="s">
        <v>93</v>
      </c>
      <c r="D2479" s="46" t="s">
        <v>178</v>
      </c>
      <c r="E2479" s="46">
        <v>3</v>
      </c>
      <c r="F2479" s="46" t="s">
        <v>63</v>
      </c>
      <c r="G2479" s="46">
        <v>4</v>
      </c>
      <c r="H2479" s="47" t="s">
        <v>152</v>
      </c>
      <c r="I2479" s="47" t="s">
        <v>102</v>
      </c>
      <c r="J2479" s="48">
        <v>2</v>
      </c>
      <c r="K2479" s="48">
        <v>0</v>
      </c>
      <c r="R2479" s="46">
        <f t="shared" si="240"/>
        <v>0</v>
      </c>
      <c r="S2479" s="46">
        <f t="shared" si="241"/>
        <v>0</v>
      </c>
      <c r="T2479" s="46">
        <f t="shared" si="244"/>
        <v>40</v>
      </c>
      <c r="U2479" s="46">
        <f t="shared" si="242"/>
        <v>40</v>
      </c>
      <c r="V2479" s="54">
        <f t="shared" si="243"/>
        <v>4.583333333333333</v>
      </c>
    </row>
    <row r="2480" spans="1:22" x14ac:dyDescent="0.2">
      <c r="A2480" s="46" t="s">
        <v>215</v>
      </c>
      <c r="B2480" s="46" t="s">
        <v>209</v>
      </c>
      <c r="C2480" s="46" t="s">
        <v>93</v>
      </c>
      <c r="D2480" s="46" t="s">
        <v>178</v>
      </c>
      <c r="E2480" s="46">
        <v>2</v>
      </c>
      <c r="F2480" s="46" t="s">
        <v>63</v>
      </c>
      <c r="G2480" s="46">
        <v>4</v>
      </c>
      <c r="H2480" s="47" t="s">
        <v>148</v>
      </c>
      <c r="I2480" s="47" t="s">
        <v>102</v>
      </c>
      <c r="J2480" s="48">
        <v>3</v>
      </c>
      <c r="K2480" s="48">
        <v>0</v>
      </c>
      <c r="R2480" s="46">
        <f t="shared" si="240"/>
        <v>0</v>
      </c>
      <c r="S2480" s="46">
        <f t="shared" si="241"/>
        <v>0</v>
      </c>
      <c r="T2480" s="46">
        <f t="shared" si="244"/>
        <v>60</v>
      </c>
      <c r="U2480" s="46">
        <f t="shared" si="242"/>
        <v>60</v>
      </c>
      <c r="V2480" s="54">
        <f t="shared" si="243"/>
        <v>4.583333333333333</v>
      </c>
    </row>
    <row r="2481" spans="1:22" x14ac:dyDescent="0.2">
      <c r="A2481" s="46" t="s">
        <v>215</v>
      </c>
      <c r="B2481" s="46" t="s">
        <v>209</v>
      </c>
      <c r="C2481" s="46" t="s">
        <v>93</v>
      </c>
      <c r="D2481" s="46" t="s">
        <v>178</v>
      </c>
      <c r="E2481" s="46">
        <v>5</v>
      </c>
      <c r="F2481" s="46" t="s">
        <v>60</v>
      </c>
      <c r="G2481" s="46">
        <v>2</v>
      </c>
      <c r="H2481" s="47">
        <v>6</v>
      </c>
      <c r="I2481" s="47" t="s">
        <v>127</v>
      </c>
      <c r="J2481" s="48">
        <v>0</v>
      </c>
      <c r="K2481" s="48">
        <v>0</v>
      </c>
      <c r="R2481" s="46">
        <f t="shared" si="240"/>
        <v>0</v>
      </c>
      <c r="S2481" s="46">
        <f t="shared" si="241"/>
        <v>0</v>
      </c>
      <c r="T2481" s="46">
        <f t="shared" si="244"/>
        <v>0</v>
      </c>
      <c r="U2481" s="46">
        <f t="shared" si="242"/>
        <v>0</v>
      </c>
      <c r="V2481" s="54">
        <f t="shared" si="243"/>
        <v>4.583333333333333</v>
      </c>
    </row>
    <row r="2482" spans="1:22" x14ac:dyDescent="0.2">
      <c r="A2482" s="46" t="s">
        <v>215</v>
      </c>
      <c r="B2482" s="46" t="s">
        <v>209</v>
      </c>
      <c r="C2482" s="46" t="s">
        <v>93</v>
      </c>
      <c r="D2482" s="46" t="s">
        <v>178</v>
      </c>
      <c r="E2482" s="46">
        <v>5</v>
      </c>
      <c r="F2482" s="46" t="s">
        <v>60</v>
      </c>
      <c r="G2482" s="46">
        <v>4</v>
      </c>
      <c r="H2482" s="47">
        <v>16</v>
      </c>
      <c r="I2482" s="47" t="s">
        <v>102</v>
      </c>
      <c r="J2482" s="48">
        <v>0</v>
      </c>
      <c r="K2482" s="48">
        <v>0</v>
      </c>
      <c r="R2482" s="46">
        <f t="shared" si="240"/>
        <v>0</v>
      </c>
      <c r="S2482" s="46">
        <f t="shared" si="241"/>
        <v>0</v>
      </c>
      <c r="T2482" s="46">
        <f t="shared" si="244"/>
        <v>0</v>
      </c>
      <c r="U2482" s="46">
        <f t="shared" si="242"/>
        <v>0</v>
      </c>
      <c r="V2482" s="54">
        <f t="shared" si="243"/>
        <v>4.583333333333333</v>
      </c>
    </row>
    <row r="2483" spans="1:22" x14ac:dyDescent="0.2">
      <c r="A2483" s="46" t="s">
        <v>215</v>
      </c>
      <c r="B2483" s="46" t="s">
        <v>209</v>
      </c>
      <c r="C2483" s="46" t="s">
        <v>93</v>
      </c>
      <c r="D2483" s="46" t="s">
        <v>178</v>
      </c>
      <c r="E2483" s="46">
        <v>5</v>
      </c>
      <c r="F2483" s="46" t="s">
        <v>60</v>
      </c>
      <c r="G2483" s="46">
        <v>3</v>
      </c>
      <c r="H2483" s="47">
        <v>23</v>
      </c>
      <c r="I2483" s="47" t="s">
        <v>159</v>
      </c>
      <c r="J2483" s="48">
        <v>0</v>
      </c>
      <c r="K2483" s="48">
        <v>0</v>
      </c>
      <c r="N2483" s="48">
        <v>1</v>
      </c>
      <c r="R2483" s="46">
        <f t="shared" si="240"/>
        <v>0</v>
      </c>
      <c r="S2483" s="46">
        <f t="shared" si="241"/>
        <v>0</v>
      </c>
      <c r="T2483" s="46">
        <f t="shared" si="244"/>
        <v>0</v>
      </c>
      <c r="U2483" s="46">
        <f t="shared" si="242"/>
        <v>-5</v>
      </c>
      <c r="V2483" s="54">
        <f t="shared" si="243"/>
        <v>4.583333333333333</v>
      </c>
    </row>
    <row r="2484" spans="1:22" x14ac:dyDescent="0.2">
      <c r="A2484" s="46" t="s">
        <v>215</v>
      </c>
      <c r="B2484" s="46" t="s">
        <v>209</v>
      </c>
      <c r="C2484" s="46" t="s">
        <v>93</v>
      </c>
      <c r="D2484" s="46" t="s">
        <v>178</v>
      </c>
      <c r="E2484" s="46">
        <v>5</v>
      </c>
      <c r="F2484" s="46" t="s">
        <v>60</v>
      </c>
      <c r="G2484" s="46">
        <v>1</v>
      </c>
      <c r="H2484" s="47">
        <v>29</v>
      </c>
      <c r="I2484" s="47" t="s">
        <v>101</v>
      </c>
      <c r="J2484" s="48">
        <v>0</v>
      </c>
      <c r="K2484" s="48">
        <v>0</v>
      </c>
      <c r="R2484" s="46">
        <f t="shared" si="240"/>
        <v>0</v>
      </c>
      <c r="S2484" s="46">
        <f t="shared" si="241"/>
        <v>0</v>
      </c>
      <c r="T2484" s="46">
        <f t="shared" ref="T2484:T2515" si="245">quizscore(J2484,K2484)</f>
        <v>0</v>
      </c>
      <c r="U2484" s="46">
        <f t="shared" si="242"/>
        <v>0</v>
      </c>
      <c r="V2484" s="54">
        <f t="shared" si="243"/>
        <v>4.583333333333333</v>
      </c>
    </row>
    <row r="2485" spans="1:22" x14ac:dyDescent="0.2">
      <c r="A2485" s="46" t="s">
        <v>215</v>
      </c>
      <c r="B2485" s="46" t="s">
        <v>209</v>
      </c>
      <c r="C2485" s="46" t="s">
        <v>93</v>
      </c>
      <c r="D2485" s="46" t="s">
        <v>178</v>
      </c>
      <c r="E2485" s="46">
        <v>5</v>
      </c>
      <c r="F2485" s="46" t="s">
        <v>60</v>
      </c>
      <c r="G2485" s="46">
        <v>1</v>
      </c>
      <c r="H2485" s="47">
        <v>41</v>
      </c>
      <c r="I2485" s="47" t="s">
        <v>101</v>
      </c>
      <c r="J2485" s="48">
        <v>0</v>
      </c>
      <c r="K2485" s="48">
        <v>0</v>
      </c>
      <c r="R2485" s="46">
        <f t="shared" si="240"/>
        <v>0</v>
      </c>
      <c r="S2485" s="46">
        <f t="shared" si="241"/>
        <v>0</v>
      </c>
      <c r="T2485" s="46">
        <f t="shared" si="245"/>
        <v>0</v>
      </c>
      <c r="U2485" s="46">
        <f t="shared" si="242"/>
        <v>0</v>
      </c>
      <c r="V2485" s="54">
        <f t="shared" si="243"/>
        <v>4.583333333333333</v>
      </c>
    </row>
    <row r="2486" spans="1:22" x14ac:dyDescent="0.2">
      <c r="A2486" s="46" t="s">
        <v>215</v>
      </c>
      <c r="B2486" s="46" t="s">
        <v>209</v>
      </c>
      <c r="C2486" s="46" t="s">
        <v>93</v>
      </c>
      <c r="D2486" s="46" t="s">
        <v>178</v>
      </c>
      <c r="E2486" s="46">
        <v>5</v>
      </c>
      <c r="F2486" s="46" t="s">
        <v>60</v>
      </c>
      <c r="G2486" s="46">
        <v>2</v>
      </c>
      <c r="H2486" s="47">
        <v>46</v>
      </c>
      <c r="I2486" s="47" t="s">
        <v>127</v>
      </c>
      <c r="J2486" s="48">
        <v>0</v>
      </c>
      <c r="K2486" s="48">
        <v>0</v>
      </c>
      <c r="R2486" s="46">
        <f t="shared" si="240"/>
        <v>0</v>
      </c>
      <c r="S2486" s="46">
        <f t="shared" si="241"/>
        <v>0</v>
      </c>
      <c r="T2486" s="46">
        <f t="shared" si="245"/>
        <v>0</v>
      </c>
      <c r="U2486" s="46">
        <f t="shared" si="242"/>
        <v>0</v>
      </c>
      <c r="V2486" s="54">
        <f t="shared" si="243"/>
        <v>4.583333333333333</v>
      </c>
    </row>
    <row r="2487" spans="1:22" x14ac:dyDescent="0.2">
      <c r="A2487" s="46" t="s">
        <v>215</v>
      </c>
      <c r="B2487" s="46" t="s">
        <v>209</v>
      </c>
      <c r="C2487" s="46" t="s">
        <v>93</v>
      </c>
      <c r="D2487" s="46" t="s">
        <v>178</v>
      </c>
      <c r="E2487" s="46">
        <v>5</v>
      </c>
      <c r="F2487" s="46" t="s">
        <v>62</v>
      </c>
      <c r="G2487" s="46">
        <v>2</v>
      </c>
      <c r="H2487" s="47" t="s">
        <v>81</v>
      </c>
      <c r="I2487" s="47" t="s">
        <v>127</v>
      </c>
      <c r="J2487" s="48">
        <v>0</v>
      </c>
      <c r="K2487" s="48">
        <v>0</v>
      </c>
      <c r="R2487" s="46">
        <f t="shared" si="240"/>
        <v>0</v>
      </c>
      <c r="S2487" s="46">
        <f t="shared" si="241"/>
        <v>0</v>
      </c>
      <c r="T2487" s="46">
        <f t="shared" si="245"/>
        <v>0</v>
      </c>
      <c r="U2487" s="46">
        <f t="shared" si="242"/>
        <v>0</v>
      </c>
      <c r="V2487" s="54">
        <f t="shared" si="243"/>
        <v>4.583333333333333</v>
      </c>
    </row>
    <row r="2488" spans="1:22" x14ac:dyDescent="0.2">
      <c r="A2488" s="46" t="s">
        <v>215</v>
      </c>
      <c r="B2488" s="46" t="s">
        <v>209</v>
      </c>
      <c r="C2488" s="46" t="s">
        <v>93</v>
      </c>
      <c r="D2488" s="46" t="s">
        <v>178</v>
      </c>
      <c r="E2488" s="46">
        <v>5</v>
      </c>
      <c r="F2488" s="46" t="s">
        <v>62</v>
      </c>
      <c r="G2488" s="46">
        <v>3</v>
      </c>
      <c r="H2488" s="47" t="s">
        <v>85</v>
      </c>
      <c r="I2488" s="47" t="s">
        <v>219</v>
      </c>
      <c r="J2488" s="48">
        <v>0</v>
      </c>
      <c r="K2488" s="48">
        <v>0</v>
      </c>
      <c r="R2488" s="46">
        <f t="shared" si="240"/>
        <v>0</v>
      </c>
      <c r="S2488" s="46">
        <f t="shared" si="241"/>
        <v>0</v>
      </c>
      <c r="T2488" s="46">
        <f t="shared" si="245"/>
        <v>0</v>
      </c>
      <c r="U2488" s="46">
        <f t="shared" si="242"/>
        <v>0</v>
      </c>
      <c r="V2488" s="54">
        <f t="shared" si="243"/>
        <v>4.583333333333333</v>
      </c>
    </row>
    <row r="2489" spans="1:22" x14ac:dyDescent="0.2">
      <c r="A2489" s="46" t="s">
        <v>156</v>
      </c>
      <c r="B2489" s="46" t="s">
        <v>58</v>
      </c>
      <c r="C2489" s="46" t="s">
        <v>93</v>
      </c>
      <c r="D2489" s="46" t="s">
        <v>178</v>
      </c>
      <c r="E2489" s="46">
        <v>3</v>
      </c>
      <c r="F2489" s="46" t="s">
        <v>60</v>
      </c>
      <c r="G2489" s="46">
        <v>2</v>
      </c>
      <c r="H2489" s="47">
        <v>2</v>
      </c>
      <c r="I2489" s="47" t="s">
        <v>127</v>
      </c>
      <c r="J2489" s="48">
        <v>0</v>
      </c>
      <c r="K2489" s="48">
        <v>0</v>
      </c>
      <c r="R2489" s="46">
        <f t="shared" si="240"/>
        <v>0</v>
      </c>
      <c r="S2489" s="46">
        <f t="shared" si="241"/>
        <v>0</v>
      </c>
      <c r="T2489" s="46">
        <f t="shared" si="245"/>
        <v>0</v>
      </c>
      <c r="U2489" s="46">
        <f t="shared" si="242"/>
        <v>0</v>
      </c>
      <c r="V2489" s="54">
        <f t="shared" si="243"/>
        <v>10.208333333333334</v>
      </c>
    </row>
    <row r="2490" spans="1:22" x14ac:dyDescent="0.2">
      <c r="A2490" s="46" t="s">
        <v>156</v>
      </c>
      <c r="B2490" s="46" t="s">
        <v>58</v>
      </c>
      <c r="C2490" s="46" t="s">
        <v>93</v>
      </c>
      <c r="D2490" s="46" t="s">
        <v>178</v>
      </c>
      <c r="E2490" s="46">
        <v>1</v>
      </c>
      <c r="F2490" s="46" t="s">
        <v>60</v>
      </c>
      <c r="G2490" s="46">
        <v>2</v>
      </c>
      <c r="H2490" s="47">
        <v>6</v>
      </c>
      <c r="I2490" s="47" t="s">
        <v>127</v>
      </c>
      <c r="J2490" s="48">
        <v>0</v>
      </c>
      <c r="K2490" s="48">
        <v>0</v>
      </c>
      <c r="R2490" s="46">
        <f t="shared" si="240"/>
        <v>0</v>
      </c>
      <c r="S2490" s="46">
        <f t="shared" si="241"/>
        <v>0</v>
      </c>
      <c r="T2490" s="46">
        <f t="shared" si="245"/>
        <v>0</v>
      </c>
      <c r="U2490" s="46">
        <f t="shared" si="242"/>
        <v>0</v>
      </c>
      <c r="V2490" s="54">
        <f t="shared" si="243"/>
        <v>10.208333333333334</v>
      </c>
    </row>
    <row r="2491" spans="1:22" x14ac:dyDescent="0.2">
      <c r="A2491" s="46" t="s">
        <v>156</v>
      </c>
      <c r="B2491" s="46" t="s">
        <v>58</v>
      </c>
      <c r="C2491" s="46" t="s">
        <v>93</v>
      </c>
      <c r="D2491" s="46" t="s">
        <v>178</v>
      </c>
      <c r="E2491" s="46">
        <v>2</v>
      </c>
      <c r="F2491" s="46" t="s">
        <v>60</v>
      </c>
      <c r="G2491" s="46">
        <v>3</v>
      </c>
      <c r="H2491" s="47">
        <v>7</v>
      </c>
      <c r="I2491" s="47" t="s">
        <v>116</v>
      </c>
      <c r="J2491" s="48">
        <v>0</v>
      </c>
      <c r="K2491" s="48">
        <v>0</v>
      </c>
      <c r="L2491" s="48">
        <v>1</v>
      </c>
      <c r="R2491" s="46">
        <f t="shared" si="240"/>
        <v>0</v>
      </c>
      <c r="S2491" s="46">
        <f t="shared" si="241"/>
        <v>0</v>
      </c>
      <c r="T2491" s="46">
        <f t="shared" si="245"/>
        <v>0</v>
      </c>
      <c r="U2491" s="46">
        <f t="shared" si="242"/>
        <v>-5</v>
      </c>
      <c r="V2491" s="54">
        <f t="shared" si="243"/>
        <v>10.208333333333334</v>
      </c>
    </row>
    <row r="2492" spans="1:22" x14ac:dyDescent="0.2">
      <c r="A2492" s="46" t="s">
        <v>156</v>
      </c>
      <c r="B2492" s="46" t="s">
        <v>58</v>
      </c>
      <c r="C2492" s="46" t="s">
        <v>93</v>
      </c>
      <c r="D2492" s="46" t="s">
        <v>178</v>
      </c>
      <c r="E2492" s="46">
        <v>4</v>
      </c>
      <c r="F2492" s="46" t="s">
        <v>60</v>
      </c>
      <c r="G2492" s="46">
        <v>1</v>
      </c>
      <c r="H2492" s="47">
        <v>9</v>
      </c>
      <c r="I2492" s="47" t="s">
        <v>101</v>
      </c>
      <c r="J2492" s="48">
        <v>0</v>
      </c>
      <c r="K2492" s="48">
        <v>0</v>
      </c>
      <c r="R2492" s="46">
        <f t="shared" si="240"/>
        <v>0</v>
      </c>
      <c r="S2492" s="46">
        <f t="shared" si="241"/>
        <v>0</v>
      </c>
      <c r="T2492" s="46">
        <f t="shared" si="245"/>
        <v>0</v>
      </c>
      <c r="U2492" s="46">
        <f t="shared" si="242"/>
        <v>0</v>
      </c>
      <c r="V2492" s="54">
        <f t="shared" si="243"/>
        <v>10.208333333333334</v>
      </c>
    </row>
    <row r="2493" spans="1:22" x14ac:dyDescent="0.2">
      <c r="A2493" s="46" t="s">
        <v>156</v>
      </c>
      <c r="B2493" s="46" t="s">
        <v>58</v>
      </c>
      <c r="C2493" s="46" t="s">
        <v>93</v>
      </c>
      <c r="D2493" s="46" t="s">
        <v>178</v>
      </c>
      <c r="E2493" s="46">
        <v>3</v>
      </c>
      <c r="F2493" s="46" t="s">
        <v>60</v>
      </c>
      <c r="G2493" s="46">
        <v>1</v>
      </c>
      <c r="H2493" s="47">
        <v>13</v>
      </c>
      <c r="I2493" s="47" t="s">
        <v>101</v>
      </c>
      <c r="J2493" s="48">
        <v>0</v>
      </c>
      <c r="K2493" s="48">
        <v>0</v>
      </c>
      <c r="M2493" s="48">
        <v>1</v>
      </c>
      <c r="R2493" s="46">
        <f t="shared" si="240"/>
        <v>0</v>
      </c>
      <c r="S2493" s="46">
        <f t="shared" si="241"/>
        <v>0</v>
      </c>
      <c r="T2493" s="46">
        <f t="shared" si="245"/>
        <v>0</v>
      </c>
      <c r="U2493" s="46">
        <f t="shared" si="242"/>
        <v>20</v>
      </c>
      <c r="V2493" s="54">
        <f t="shared" si="243"/>
        <v>10.208333333333334</v>
      </c>
    </row>
    <row r="2494" spans="1:22" x14ac:dyDescent="0.2">
      <c r="A2494" s="46" t="s">
        <v>156</v>
      </c>
      <c r="B2494" s="46" t="s">
        <v>58</v>
      </c>
      <c r="C2494" s="46" t="s">
        <v>93</v>
      </c>
      <c r="D2494" s="46" t="s">
        <v>178</v>
      </c>
      <c r="E2494" s="46">
        <v>1</v>
      </c>
      <c r="F2494" s="46" t="s">
        <v>60</v>
      </c>
      <c r="G2494" s="46">
        <v>2</v>
      </c>
      <c r="H2494" s="47">
        <v>18</v>
      </c>
      <c r="I2494" s="47" t="s">
        <v>127</v>
      </c>
      <c r="J2494" s="48">
        <v>0</v>
      </c>
      <c r="K2494" s="48">
        <v>0</v>
      </c>
      <c r="R2494" s="46">
        <f t="shared" si="240"/>
        <v>0</v>
      </c>
      <c r="S2494" s="46">
        <f t="shared" si="241"/>
        <v>0</v>
      </c>
      <c r="T2494" s="46">
        <f t="shared" si="245"/>
        <v>0</v>
      </c>
      <c r="U2494" s="46">
        <f t="shared" si="242"/>
        <v>0</v>
      </c>
      <c r="V2494" s="54">
        <f t="shared" si="243"/>
        <v>10.208333333333334</v>
      </c>
    </row>
    <row r="2495" spans="1:22" x14ac:dyDescent="0.2">
      <c r="A2495" s="46" t="s">
        <v>156</v>
      </c>
      <c r="B2495" s="46" t="s">
        <v>58</v>
      </c>
      <c r="C2495" s="46" t="s">
        <v>93</v>
      </c>
      <c r="D2495" s="46" t="s">
        <v>178</v>
      </c>
      <c r="E2495" s="46">
        <v>2</v>
      </c>
      <c r="F2495" s="46" t="s">
        <v>60</v>
      </c>
      <c r="G2495" s="46">
        <v>2</v>
      </c>
      <c r="H2495" s="47">
        <v>18</v>
      </c>
      <c r="I2495" s="47" t="s">
        <v>127</v>
      </c>
      <c r="J2495" s="48">
        <v>0</v>
      </c>
      <c r="K2495" s="48">
        <v>0</v>
      </c>
      <c r="R2495" s="46">
        <f t="shared" si="240"/>
        <v>0</v>
      </c>
      <c r="S2495" s="46">
        <f t="shared" si="241"/>
        <v>0</v>
      </c>
      <c r="T2495" s="46">
        <f t="shared" si="245"/>
        <v>0</v>
      </c>
      <c r="U2495" s="46">
        <f t="shared" si="242"/>
        <v>0</v>
      </c>
      <c r="V2495" s="54">
        <f t="shared" si="243"/>
        <v>10.208333333333334</v>
      </c>
    </row>
    <row r="2496" spans="1:22" x14ac:dyDescent="0.2">
      <c r="A2496" s="46" t="s">
        <v>156</v>
      </c>
      <c r="B2496" s="46" t="s">
        <v>58</v>
      </c>
      <c r="C2496" s="46" t="s">
        <v>93</v>
      </c>
      <c r="D2496" s="46" t="s">
        <v>178</v>
      </c>
      <c r="E2496" s="46">
        <v>4</v>
      </c>
      <c r="F2496" s="46" t="s">
        <v>60</v>
      </c>
      <c r="G2496" s="46">
        <v>2</v>
      </c>
      <c r="H2496" s="47">
        <v>18</v>
      </c>
      <c r="I2496" s="47" t="s">
        <v>127</v>
      </c>
      <c r="J2496" s="48">
        <v>0</v>
      </c>
      <c r="K2496" s="48">
        <v>1</v>
      </c>
      <c r="R2496" s="46">
        <f t="shared" si="240"/>
        <v>0</v>
      </c>
      <c r="S2496" s="46">
        <f t="shared" si="241"/>
        <v>0</v>
      </c>
      <c r="T2496" s="46">
        <f t="shared" si="245"/>
        <v>0</v>
      </c>
      <c r="U2496" s="46">
        <f t="shared" si="242"/>
        <v>0</v>
      </c>
      <c r="V2496" s="54">
        <f t="shared" si="243"/>
        <v>10.208333333333334</v>
      </c>
    </row>
    <row r="2497" spans="1:22" x14ac:dyDescent="0.2">
      <c r="A2497" s="46" t="s">
        <v>156</v>
      </c>
      <c r="B2497" s="46" t="s">
        <v>58</v>
      </c>
      <c r="C2497" s="46" t="s">
        <v>93</v>
      </c>
      <c r="D2497" s="46" t="s">
        <v>178</v>
      </c>
      <c r="E2497" s="46">
        <v>3</v>
      </c>
      <c r="F2497" s="46" t="s">
        <v>60</v>
      </c>
      <c r="G2497" s="46">
        <v>3</v>
      </c>
      <c r="H2497" s="47">
        <v>23</v>
      </c>
      <c r="I2497" s="47" t="s">
        <v>116</v>
      </c>
      <c r="J2497" s="48">
        <v>0</v>
      </c>
      <c r="K2497" s="48">
        <v>0</v>
      </c>
      <c r="R2497" s="46">
        <f t="shared" si="240"/>
        <v>0</v>
      </c>
      <c r="S2497" s="46">
        <f t="shared" si="241"/>
        <v>0</v>
      </c>
      <c r="T2497" s="46">
        <f t="shared" si="245"/>
        <v>0</v>
      </c>
      <c r="U2497" s="46">
        <f t="shared" si="242"/>
        <v>0</v>
      </c>
      <c r="V2497" s="54">
        <f t="shared" si="243"/>
        <v>10.208333333333334</v>
      </c>
    </row>
    <row r="2498" spans="1:22" x14ac:dyDescent="0.2">
      <c r="A2498" s="46" t="s">
        <v>156</v>
      </c>
      <c r="B2498" s="46" t="s">
        <v>58</v>
      </c>
      <c r="C2498" s="46" t="s">
        <v>93</v>
      </c>
      <c r="D2498" s="46" t="s">
        <v>178</v>
      </c>
      <c r="E2498" s="46">
        <v>1</v>
      </c>
      <c r="F2498" s="46" t="s">
        <v>60</v>
      </c>
      <c r="G2498" s="46">
        <v>1</v>
      </c>
      <c r="H2498" s="47">
        <v>25</v>
      </c>
      <c r="I2498" s="47" t="s">
        <v>101</v>
      </c>
      <c r="J2498" s="48">
        <v>0</v>
      </c>
      <c r="K2498" s="48">
        <v>0</v>
      </c>
      <c r="R2498" s="46">
        <f t="shared" ref="R2498:R2561" si="246">IF(J2498=4,1,0)</f>
        <v>0</v>
      </c>
      <c r="S2498" s="46">
        <f t="shared" ref="S2498:S2561" si="247">IF(K2498=3,1,0)</f>
        <v>0</v>
      </c>
      <c r="T2498" s="46">
        <f t="shared" si="245"/>
        <v>0</v>
      </c>
      <c r="U2498" s="46">
        <f t="shared" ref="U2498:U2561" si="248">T2498+M2498*(20) + (SUM(O2498:Q2498)*(10)) - L2498*(5) - N2498*(5)</f>
        <v>0</v>
      </c>
      <c r="V2498" s="54">
        <f t="shared" ref="V2498:V2561" si="249">AVERAGEIFS(U:U,A:A,A2498,F:F,"Pre")</f>
        <v>10.208333333333334</v>
      </c>
    </row>
    <row r="2499" spans="1:22" x14ac:dyDescent="0.2">
      <c r="A2499" s="46" t="s">
        <v>156</v>
      </c>
      <c r="B2499" s="46" t="s">
        <v>58</v>
      </c>
      <c r="C2499" s="46" t="s">
        <v>93</v>
      </c>
      <c r="D2499" s="46" t="s">
        <v>178</v>
      </c>
      <c r="E2499" s="46">
        <v>1</v>
      </c>
      <c r="F2499" s="46" t="s">
        <v>60</v>
      </c>
      <c r="G2499" s="46">
        <v>3</v>
      </c>
      <c r="H2499" s="47">
        <v>35</v>
      </c>
      <c r="I2499" s="47" t="s">
        <v>116</v>
      </c>
      <c r="J2499" s="48">
        <v>0</v>
      </c>
      <c r="K2499" s="48">
        <v>0</v>
      </c>
      <c r="R2499" s="46">
        <f t="shared" si="246"/>
        <v>0</v>
      </c>
      <c r="S2499" s="46">
        <f t="shared" si="247"/>
        <v>0</v>
      </c>
      <c r="T2499" s="46">
        <f t="shared" si="245"/>
        <v>0</v>
      </c>
      <c r="U2499" s="46">
        <f t="shared" si="248"/>
        <v>0</v>
      </c>
      <c r="V2499" s="54">
        <f t="shared" si="249"/>
        <v>10.208333333333334</v>
      </c>
    </row>
    <row r="2500" spans="1:22" x14ac:dyDescent="0.2">
      <c r="A2500" s="46" t="s">
        <v>156</v>
      </c>
      <c r="B2500" s="46" t="s">
        <v>58</v>
      </c>
      <c r="C2500" s="46" t="s">
        <v>93</v>
      </c>
      <c r="D2500" s="46" t="s">
        <v>178</v>
      </c>
      <c r="E2500" s="46">
        <v>4</v>
      </c>
      <c r="F2500" s="46" t="s">
        <v>60</v>
      </c>
      <c r="G2500" s="46">
        <v>3</v>
      </c>
      <c r="H2500" s="47">
        <v>39</v>
      </c>
      <c r="I2500" s="47" t="s">
        <v>159</v>
      </c>
      <c r="J2500" s="48">
        <v>0</v>
      </c>
      <c r="K2500" s="48">
        <v>0</v>
      </c>
      <c r="R2500" s="46">
        <f t="shared" si="246"/>
        <v>0</v>
      </c>
      <c r="S2500" s="46">
        <f t="shared" si="247"/>
        <v>0</v>
      </c>
      <c r="T2500" s="46">
        <f t="shared" si="245"/>
        <v>0</v>
      </c>
      <c r="U2500" s="46">
        <f t="shared" si="248"/>
        <v>0</v>
      </c>
      <c r="V2500" s="54">
        <f t="shared" si="249"/>
        <v>10.208333333333334</v>
      </c>
    </row>
    <row r="2501" spans="1:22" x14ac:dyDescent="0.2">
      <c r="A2501" s="46" t="s">
        <v>156</v>
      </c>
      <c r="B2501" s="46" t="s">
        <v>58</v>
      </c>
      <c r="C2501" s="46" t="s">
        <v>93</v>
      </c>
      <c r="D2501" s="46" t="s">
        <v>178</v>
      </c>
      <c r="E2501" s="46">
        <v>1</v>
      </c>
      <c r="F2501" s="46" t="s">
        <v>60</v>
      </c>
      <c r="G2501" s="46">
        <v>4</v>
      </c>
      <c r="H2501" s="47">
        <v>40</v>
      </c>
      <c r="I2501" s="47" t="s">
        <v>102</v>
      </c>
      <c r="J2501" s="48">
        <v>0</v>
      </c>
      <c r="K2501" s="48">
        <v>1</v>
      </c>
      <c r="R2501" s="46">
        <f t="shared" si="246"/>
        <v>0</v>
      </c>
      <c r="S2501" s="46">
        <f t="shared" si="247"/>
        <v>0</v>
      </c>
      <c r="T2501" s="46">
        <f t="shared" si="245"/>
        <v>0</v>
      </c>
      <c r="U2501" s="46">
        <f t="shared" si="248"/>
        <v>0</v>
      </c>
      <c r="V2501" s="54">
        <f t="shared" si="249"/>
        <v>10.208333333333334</v>
      </c>
    </row>
    <row r="2502" spans="1:22" x14ac:dyDescent="0.2">
      <c r="A2502" s="46" t="s">
        <v>156</v>
      </c>
      <c r="B2502" s="46" t="s">
        <v>58</v>
      </c>
      <c r="C2502" s="46" t="s">
        <v>93</v>
      </c>
      <c r="D2502" s="46" t="s">
        <v>178</v>
      </c>
      <c r="E2502" s="46">
        <v>4</v>
      </c>
      <c r="F2502" s="46" t="s">
        <v>60</v>
      </c>
      <c r="G2502" s="46">
        <v>1</v>
      </c>
      <c r="H2502" s="47">
        <v>45</v>
      </c>
      <c r="I2502" s="47" t="s">
        <v>101</v>
      </c>
      <c r="J2502" s="48">
        <v>0</v>
      </c>
      <c r="K2502" s="48">
        <v>0</v>
      </c>
      <c r="R2502" s="46">
        <f t="shared" si="246"/>
        <v>0</v>
      </c>
      <c r="S2502" s="46">
        <f t="shared" si="247"/>
        <v>0</v>
      </c>
      <c r="T2502" s="46">
        <f t="shared" si="245"/>
        <v>0</v>
      </c>
      <c r="U2502" s="46">
        <f t="shared" si="248"/>
        <v>0</v>
      </c>
      <c r="V2502" s="54">
        <f t="shared" si="249"/>
        <v>10.208333333333334</v>
      </c>
    </row>
    <row r="2503" spans="1:22" x14ac:dyDescent="0.2">
      <c r="A2503" s="46" t="s">
        <v>156</v>
      </c>
      <c r="B2503" s="46" t="s">
        <v>58</v>
      </c>
      <c r="C2503" s="46" t="s">
        <v>93</v>
      </c>
      <c r="D2503" s="46" t="s">
        <v>178</v>
      </c>
      <c r="E2503" s="46">
        <v>1</v>
      </c>
      <c r="F2503" s="46" t="s">
        <v>60</v>
      </c>
      <c r="G2503" s="46">
        <v>4</v>
      </c>
      <c r="H2503" s="47">
        <v>48</v>
      </c>
      <c r="I2503" s="47" t="s">
        <v>102</v>
      </c>
      <c r="J2503" s="48">
        <v>0</v>
      </c>
      <c r="K2503" s="48">
        <v>0</v>
      </c>
      <c r="R2503" s="46">
        <f t="shared" si="246"/>
        <v>0</v>
      </c>
      <c r="S2503" s="46">
        <f t="shared" si="247"/>
        <v>0</v>
      </c>
      <c r="T2503" s="46">
        <f t="shared" si="245"/>
        <v>0</v>
      </c>
      <c r="U2503" s="46">
        <f t="shared" si="248"/>
        <v>0</v>
      </c>
      <c r="V2503" s="54">
        <f t="shared" si="249"/>
        <v>10.208333333333334</v>
      </c>
    </row>
    <row r="2504" spans="1:22" x14ac:dyDescent="0.2">
      <c r="A2504" s="46" t="s">
        <v>156</v>
      </c>
      <c r="B2504" s="46" t="s">
        <v>58</v>
      </c>
      <c r="C2504" s="46" t="s">
        <v>93</v>
      </c>
      <c r="D2504" s="46" t="s">
        <v>178</v>
      </c>
      <c r="E2504" s="46">
        <v>3</v>
      </c>
      <c r="F2504" s="46" t="s">
        <v>60</v>
      </c>
      <c r="G2504" s="46">
        <v>4</v>
      </c>
      <c r="H2504" s="47">
        <v>48</v>
      </c>
      <c r="I2504" s="47" t="s">
        <v>102</v>
      </c>
      <c r="J2504" s="48">
        <v>0</v>
      </c>
      <c r="K2504" s="48">
        <v>0</v>
      </c>
      <c r="R2504" s="46">
        <f t="shared" si="246"/>
        <v>0</v>
      </c>
      <c r="S2504" s="46">
        <f t="shared" si="247"/>
        <v>0</v>
      </c>
      <c r="T2504" s="46">
        <f t="shared" si="245"/>
        <v>0</v>
      </c>
      <c r="U2504" s="46">
        <f t="shared" si="248"/>
        <v>0</v>
      </c>
      <c r="V2504" s="54">
        <f t="shared" si="249"/>
        <v>10.208333333333334</v>
      </c>
    </row>
    <row r="2505" spans="1:22" x14ac:dyDescent="0.2">
      <c r="A2505" s="46" t="s">
        <v>156</v>
      </c>
      <c r="B2505" s="46" t="s">
        <v>58</v>
      </c>
      <c r="C2505" s="46" t="s">
        <v>93</v>
      </c>
      <c r="D2505" s="46" t="s">
        <v>178</v>
      </c>
      <c r="E2505" s="46">
        <v>3</v>
      </c>
      <c r="F2505" s="46" t="s">
        <v>63</v>
      </c>
      <c r="G2505" s="46">
        <v>4</v>
      </c>
      <c r="H2505" s="47" t="s">
        <v>146</v>
      </c>
      <c r="I2505" s="47" t="s">
        <v>102</v>
      </c>
      <c r="J2505" s="48">
        <v>0</v>
      </c>
      <c r="K2505" s="48">
        <v>0</v>
      </c>
      <c r="R2505" s="46">
        <f t="shared" si="246"/>
        <v>0</v>
      </c>
      <c r="S2505" s="46">
        <f t="shared" si="247"/>
        <v>0</v>
      </c>
      <c r="T2505" s="46">
        <f t="shared" si="245"/>
        <v>0</v>
      </c>
      <c r="U2505" s="46">
        <f t="shared" si="248"/>
        <v>0</v>
      </c>
      <c r="V2505" s="54">
        <f t="shared" si="249"/>
        <v>10.208333333333334</v>
      </c>
    </row>
    <row r="2506" spans="1:22" x14ac:dyDescent="0.2">
      <c r="A2506" s="46" t="s">
        <v>156</v>
      </c>
      <c r="B2506" s="46" t="s">
        <v>58</v>
      </c>
      <c r="C2506" s="46" t="s">
        <v>93</v>
      </c>
      <c r="D2506" s="46" t="s">
        <v>178</v>
      </c>
      <c r="E2506" s="46">
        <v>3</v>
      </c>
      <c r="F2506" s="46" t="s">
        <v>63</v>
      </c>
      <c r="G2506" s="46">
        <v>4</v>
      </c>
      <c r="H2506" s="47" t="s">
        <v>151</v>
      </c>
      <c r="I2506" s="47" t="s">
        <v>102</v>
      </c>
      <c r="J2506" s="48">
        <v>0</v>
      </c>
      <c r="K2506" s="48">
        <v>1</v>
      </c>
      <c r="R2506" s="46">
        <f t="shared" si="246"/>
        <v>0</v>
      </c>
      <c r="S2506" s="46">
        <f t="shared" si="247"/>
        <v>0</v>
      </c>
      <c r="T2506" s="46">
        <f t="shared" si="245"/>
        <v>0</v>
      </c>
      <c r="U2506" s="46">
        <f t="shared" si="248"/>
        <v>0</v>
      </c>
      <c r="V2506" s="54">
        <f t="shared" si="249"/>
        <v>10.208333333333334</v>
      </c>
    </row>
    <row r="2507" spans="1:22" x14ac:dyDescent="0.2">
      <c r="A2507" s="46" t="s">
        <v>156</v>
      </c>
      <c r="B2507" s="46" t="s">
        <v>58</v>
      </c>
      <c r="C2507" s="46" t="s">
        <v>93</v>
      </c>
      <c r="D2507" s="46" t="s">
        <v>178</v>
      </c>
      <c r="E2507" s="46">
        <v>1</v>
      </c>
      <c r="F2507" s="46" t="s">
        <v>63</v>
      </c>
      <c r="G2507" s="46">
        <v>4</v>
      </c>
      <c r="H2507" s="47" t="s">
        <v>172</v>
      </c>
      <c r="I2507" s="47" t="s">
        <v>102</v>
      </c>
      <c r="J2507" s="48">
        <v>0</v>
      </c>
      <c r="K2507" s="48">
        <v>1</v>
      </c>
      <c r="R2507" s="46">
        <f t="shared" si="246"/>
        <v>0</v>
      </c>
      <c r="S2507" s="46">
        <f t="shared" si="247"/>
        <v>0</v>
      </c>
      <c r="T2507" s="46">
        <f t="shared" si="245"/>
        <v>0</v>
      </c>
      <c r="U2507" s="46">
        <f t="shared" si="248"/>
        <v>0</v>
      </c>
      <c r="V2507" s="54">
        <f t="shared" si="249"/>
        <v>10.208333333333334</v>
      </c>
    </row>
    <row r="2508" spans="1:22" x14ac:dyDescent="0.2">
      <c r="A2508" s="46" t="s">
        <v>156</v>
      </c>
      <c r="B2508" s="46" t="s">
        <v>58</v>
      </c>
      <c r="C2508" s="46" t="s">
        <v>93</v>
      </c>
      <c r="D2508" s="46" t="s">
        <v>178</v>
      </c>
      <c r="E2508" s="46">
        <v>3</v>
      </c>
      <c r="F2508" s="46" t="s">
        <v>63</v>
      </c>
      <c r="G2508" s="46">
        <v>4</v>
      </c>
      <c r="H2508" s="47" t="s">
        <v>148</v>
      </c>
      <c r="I2508" s="47" t="s">
        <v>102</v>
      </c>
      <c r="J2508" s="48">
        <v>1</v>
      </c>
      <c r="K2508" s="48">
        <v>2</v>
      </c>
      <c r="R2508" s="46">
        <f t="shared" si="246"/>
        <v>0</v>
      </c>
      <c r="S2508" s="46">
        <f t="shared" si="247"/>
        <v>0</v>
      </c>
      <c r="T2508" s="46">
        <f t="shared" si="245"/>
        <v>10</v>
      </c>
      <c r="U2508" s="46">
        <f t="shared" si="248"/>
        <v>10</v>
      </c>
      <c r="V2508" s="54">
        <f t="shared" si="249"/>
        <v>10.208333333333334</v>
      </c>
    </row>
    <row r="2509" spans="1:22" x14ac:dyDescent="0.2">
      <c r="A2509" s="46" t="s">
        <v>156</v>
      </c>
      <c r="B2509" s="46" t="s">
        <v>58</v>
      </c>
      <c r="C2509" s="46" t="s">
        <v>93</v>
      </c>
      <c r="D2509" s="46" t="s">
        <v>178</v>
      </c>
      <c r="E2509" s="46">
        <v>4</v>
      </c>
      <c r="F2509" s="46" t="s">
        <v>60</v>
      </c>
      <c r="G2509" s="46">
        <v>4</v>
      </c>
      <c r="H2509" s="47">
        <v>4</v>
      </c>
      <c r="I2509" s="47" t="s">
        <v>102</v>
      </c>
      <c r="J2509" s="48">
        <v>1</v>
      </c>
      <c r="K2509" s="48">
        <v>0</v>
      </c>
      <c r="R2509" s="46">
        <f t="shared" si="246"/>
        <v>0</v>
      </c>
      <c r="S2509" s="46">
        <f t="shared" si="247"/>
        <v>0</v>
      </c>
      <c r="T2509" s="46">
        <f t="shared" si="245"/>
        <v>20</v>
      </c>
      <c r="U2509" s="46">
        <f t="shared" si="248"/>
        <v>20</v>
      </c>
      <c r="V2509" s="54">
        <f t="shared" si="249"/>
        <v>10.208333333333334</v>
      </c>
    </row>
    <row r="2510" spans="1:22" x14ac:dyDescent="0.2">
      <c r="A2510" s="46" t="s">
        <v>156</v>
      </c>
      <c r="B2510" s="46" t="s">
        <v>58</v>
      </c>
      <c r="C2510" s="46" t="s">
        <v>93</v>
      </c>
      <c r="D2510" s="46" t="s">
        <v>178</v>
      </c>
      <c r="E2510" s="46">
        <v>3</v>
      </c>
      <c r="F2510" s="46" t="s">
        <v>60</v>
      </c>
      <c r="G2510" s="46">
        <v>2</v>
      </c>
      <c r="H2510" s="47">
        <v>26</v>
      </c>
      <c r="I2510" s="47" t="s">
        <v>127</v>
      </c>
      <c r="J2510" s="48">
        <v>1</v>
      </c>
      <c r="K2510" s="48">
        <v>0</v>
      </c>
      <c r="R2510" s="46">
        <f t="shared" si="246"/>
        <v>0</v>
      </c>
      <c r="S2510" s="46">
        <f t="shared" si="247"/>
        <v>0</v>
      </c>
      <c r="T2510" s="46">
        <f t="shared" si="245"/>
        <v>20</v>
      </c>
      <c r="U2510" s="46">
        <f t="shared" si="248"/>
        <v>20</v>
      </c>
      <c r="V2510" s="54">
        <f t="shared" si="249"/>
        <v>10.208333333333334</v>
      </c>
    </row>
    <row r="2511" spans="1:22" x14ac:dyDescent="0.2">
      <c r="A2511" s="46" t="s">
        <v>156</v>
      </c>
      <c r="B2511" s="46" t="s">
        <v>58</v>
      </c>
      <c r="C2511" s="46" t="s">
        <v>93</v>
      </c>
      <c r="D2511" s="46" t="s">
        <v>178</v>
      </c>
      <c r="E2511" s="46">
        <v>2</v>
      </c>
      <c r="F2511" s="46" t="s">
        <v>60</v>
      </c>
      <c r="G2511" s="46">
        <v>4</v>
      </c>
      <c r="H2511" s="47">
        <v>28</v>
      </c>
      <c r="I2511" s="47" t="s">
        <v>102</v>
      </c>
      <c r="J2511" s="48">
        <v>1</v>
      </c>
      <c r="K2511" s="48">
        <v>0</v>
      </c>
      <c r="R2511" s="46">
        <f t="shared" si="246"/>
        <v>0</v>
      </c>
      <c r="S2511" s="46">
        <f t="shared" si="247"/>
        <v>0</v>
      </c>
      <c r="T2511" s="46">
        <f t="shared" si="245"/>
        <v>20</v>
      </c>
      <c r="U2511" s="46">
        <f t="shared" si="248"/>
        <v>20</v>
      </c>
      <c r="V2511" s="54">
        <f t="shared" si="249"/>
        <v>10.208333333333334</v>
      </c>
    </row>
    <row r="2512" spans="1:22" x14ac:dyDescent="0.2">
      <c r="A2512" s="46" t="s">
        <v>156</v>
      </c>
      <c r="B2512" s="46" t="s">
        <v>58</v>
      </c>
      <c r="C2512" s="46" t="s">
        <v>93</v>
      </c>
      <c r="D2512" s="46" t="s">
        <v>178</v>
      </c>
      <c r="E2512" s="46">
        <v>3</v>
      </c>
      <c r="F2512" s="46" t="s">
        <v>60</v>
      </c>
      <c r="G2512" s="46">
        <v>1</v>
      </c>
      <c r="H2512" s="47">
        <v>33</v>
      </c>
      <c r="I2512" s="47" t="s">
        <v>101</v>
      </c>
      <c r="J2512" s="48">
        <v>1</v>
      </c>
      <c r="K2512" s="48">
        <v>0</v>
      </c>
      <c r="R2512" s="46">
        <f t="shared" si="246"/>
        <v>0</v>
      </c>
      <c r="S2512" s="46">
        <f t="shared" si="247"/>
        <v>0</v>
      </c>
      <c r="T2512" s="46">
        <f t="shared" si="245"/>
        <v>20</v>
      </c>
      <c r="U2512" s="46">
        <f t="shared" si="248"/>
        <v>20</v>
      </c>
      <c r="V2512" s="54">
        <f t="shared" si="249"/>
        <v>10.208333333333334</v>
      </c>
    </row>
    <row r="2513" spans="1:22" x14ac:dyDescent="0.2">
      <c r="A2513" s="46" t="s">
        <v>156</v>
      </c>
      <c r="B2513" s="46" t="s">
        <v>58</v>
      </c>
      <c r="C2513" s="46" t="s">
        <v>93</v>
      </c>
      <c r="D2513" s="46" t="s">
        <v>178</v>
      </c>
      <c r="E2513" s="46">
        <v>4</v>
      </c>
      <c r="F2513" s="46" t="s">
        <v>63</v>
      </c>
      <c r="G2513" s="46">
        <v>4</v>
      </c>
      <c r="H2513" s="47" t="s">
        <v>149</v>
      </c>
      <c r="I2513" s="47" t="s">
        <v>102</v>
      </c>
      <c r="J2513" s="48">
        <v>1</v>
      </c>
      <c r="K2513" s="48">
        <v>0</v>
      </c>
      <c r="R2513" s="46">
        <f t="shared" si="246"/>
        <v>0</v>
      </c>
      <c r="S2513" s="46">
        <f t="shared" si="247"/>
        <v>0</v>
      </c>
      <c r="T2513" s="46">
        <f t="shared" si="245"/>
        <v>20</v>
      </c>
      <c r="U2513" s="46">
        <f t="shared" si="248"/>
        <v>20</v>
      </c>
      <c r="V2513" s="54">
        <f t="shared" si="249"/>
        <v>10.208333333333334</v>
      </c>
    </row>
    <row r="2514" spans="1:22" x14ac:dyDescent="0.2">
      <c r="A2514" s="46" t="s">
        <v>156</v>
      </c>
      <c r="B2514" s="46" t="s">
        <v>58</v>
      </c>
      <c r="C2514" s="46" t="s">
        <v>93</v>
      </c>
      <c r="D2514" s="46" t="s">
        <v>178</v>
      </c>
      <c r="E2514" s="46">
        <v>1</v>
      </c>
      <c r="F2514" s="46" t="s">
        <v>63</v>
      </c>
      <c r="G2514" s="46">
        <v>4</v>
      </c>
      <c r="H2514" s="47" t="s">
        <v>150</v>
      </c>
      <c r="I2514" s="47" t="s">
        <v>102</v>
      </c>
      <c r="J2514" s="48">
        <v>1</v>
      </c>
      <c r="K2514" s="48">
        <v>0</v>
      </c>
      <c r="P2514" s="48">
        <v>1</v>
      </c>
      <c r="R2514" s="46">
        <f t="shared" si="246"/>
        <v>0</v>
      </c>
      <c r="S2514" s="46">
        <f t="shared" si="247"/>
        <v>0</v>
      </c>
      <c r="T2514" s="46">
        <f t="shared" si="245"/>
        <v>20</v>
      </c>
      <c r="U2514" s="46">
        <f t="shared" si="248"/>
        <v>30</v>
      </c>
      <c r="V2514" s="54">
        <f t="shared" si="249"/>
        <v>10.208333333333334</v>
      </c>
    </row>
    <row r="2515" spans="1:22" x14ac:dyDescent="0.2">
      <c r="A2515" s="46" t="s">
        <v>156</v>
      </c>
      <c r="B2515" s="46" t="s">
        <v>58</v>
      </c>
      <c r="C2515" s="46" t="s">
        <v>93</v>
      </c>
      <c r="D2515" s="46" t="s">
        <v>178</v>
      </c>
      <c r="E2515" s="46">
        <v>4</v>
      </c>
      <c r="F2515" s="46" t="s">
        <v>63</v>
      </c>
      <c r="G2515" s="46">
        <v>4</v>
      </c>
      <c r="H2515" s="47" t="s">
        <v>151</v>
      </c>
      <c r="I2515" s="47" t="s">
        <v>102</v>
      </c>
      <c r="J2515" s="48">
        <v>1</v>
      </c>
      <c r="K2515" s="48">
        <v>1</v>
      </c>
      <c r="R2515" s="46">
        <f t="shared" si="246"/>
        <v>0</v>
      </c>
      <c r="S2515" s="46">
        <f t="shared" si="247"/>
        <v>0</v>
      </c>
      <c r="T2515" s="46">
        <f t="shared" si="245"/>
        <v>20</v>
      </c>
      <c r="U2515" s="46">
        <f t="shared" si="248"/>
        <v>20</v>
      </c>
      <c r="V2515" s="54">
        <f t="shared" si="249"/>
        <v>10.208333333333334</v>
      </c>
    </row>
    <row r="2516" spans="1:22" x14ac:dyDescent="0.2">
      <c r="A2516" s="46" t="s">
        <v>156</v>
      </c>
      <c r="B2516" s="46" t="s">
        <v>58</v>
      </c>
      <c r="C2516" s="46" t="s">
        <v>93</v>
      </c>
      <c r="D2516" s="46" t="s">
        <v>178</v>
      </c>
      <c r="E2516" s="46">
        <v>2</v>
      </c>
      <c r="F2516" s="46" t="s">
        <v>63</v>
      </c>
      <c r="G2516" s="46">
        <v>4</v>
      </c>
      <c r="H2516" s="47" t="s">
        <v>152</v>
      </c>
      <c r="I2516" s="47" t="s">
        <v>102</v>
      </c>
      <c r="J2516" s="48">
        <v>1</v>
      </c>
      <c r="K2516" s="48">
        <v>0</v>
      </c>
      <c r="M2516" s="48">
        <v>1</v>
      </c>
      <c r="R2516" s="46">
        <f t="shared" si="246"/>
        <v>0</v>
      </c>
      <c r="S2516" s="46">
        <f t="shared" si="247"/>
        <v>0</v>
      </c>
      <c r="T2516" s="46">
        <f t="shared" ref="T2516:T2547" si="250">quizscore(J2516,K2516)</f>
        <v>20</v>
      </c>
      <c r="U2516" s="46">
        <f t="shared" si="248"/>
        <v>40</v>
      </c>
      <c r="V2516" s="54">
        <f t="shared" si="249"/>
        <v>10.208333333333334</v>
      </c>
    </row>
    <row r="2517" spans="1:22" x14ac:dyDescent="0.2">
      <c r="A2517" s="46" t="s">
        <v>156</v>
      </c>
      <c r="B2517" s="46" t="s">
        <v>58</v>
      </c>
      <c r="C2517" s="46" t="s">
        <v>93</v>
      </c>
      <c r="D2517" s="46" t="s">
        <v>178</v>
      </c>
      <c r="E2517" s="46">
        <v>2</v>
      </c>
      <c r="F2517" s="46" t="s">
        <v>60</v>
      </c>
      <c r="G2517" s="46">
        <v>3</v>
      </c>
      <c r="H2517" s="47">
        <v>39</v>
      </c>
      <c r="I2517" s="47" t="s">
        <v>116</v>
      </c>
      <c r="J2517" s="48">
        <v>2</v>
      </c>
      <c r="K2517" s="48">
        <v>2</v>
      </c>
      <c r="R2517" s="46">
        <f t="shared" si="246"/>
        <v>0</v>
      </c>
      <c r="S2517" s="46">
        <f t="shared" si="247"/>
        <v>0</v>
      </c>
      <c r="T2517" s="46">
        <f t="shared" si="250"/>
        <v>30</v>
      </c>
      <c r="U2517" s="46">
        <f t="shared" si="248"/>
        <v>30</v>
      </c>
      <c r="V2517" s="54">
        <f t="shared" si="249"/>
        <v>10.208333333333334</v>
      </c>
    </row>
    <row r="2518" spans="1:22" x14ac:dyDescent="0.2">
      <c r="A2518" s="46" t="s">
        <v>156</v>
      </c>
      <c r="B2518" s="46" t="s">
        <v>58</v>
      </c>
      <c r="C2518" s="46" t="s">
        <v>93</v>
      </c>
      <c r="D2518" s="46" t="s">
        <v>178</v>
      </c>
      <c r="E2518" s="46">
        <v>2</v>
      </c>
      <c r="F2518" s="46" t="s">
        <v>60</v>
      </c>
      <c r="G2518" s="46">
        <v>1</v>
      </c>
      <c r="H2518" s="47">
        <v>13</v>
      </c>
      <c r="I2518" s="47" t="s">
        <v>101</v>
      </c>
      <c r="J2518" s="48">
        <v>2</v>
      </c>
      <c r="K2518" s="48">
        <v>0</v>
      </c>
      <c r="R2518" s="46">
        <f t="shared" si="246"/>
        <v>0</v>
      </c>
      <c r="S2518" s="46">
        <f t="shared" si="247"/>
        <v>0</v>
      </c>
      <c r="T2518" s="46">
        <f t="shared" si="250"/>
        <v>40</v>
      </c>
      <c r="U2518" s="46">
        <f t="shared" si="248"/>
        <v>40</v>
      </c>
      <c r="V2518" s="54">
        <f t="shared" si="249"/>
        <v>10.208333333333334</v>
      </c>
    </row>
    <row r="2519" spans="1:22" x14ac:dyDescent="0.2">
      <c r="A2519" s="46" t="s">
        <v>156</v>
      </c>
      <c r="B2519" s="46" t="s">
        <v>58</v>
      </c>
      <c r="C2519" s="46" t="s">
        <v>93</v>
      </c>
      <c r="D2519" s="46" t="s">
        <v>178</v>
      </c>
      <c r="E2519" s="46">
        <v>4</v>
      </c>
      <c r="F2519" s="46" t="s">
        <v>60</v>
      </c>
      <c r="G2519" s="46">
        <v>4</v>
      </c>
      <c r="H2519" s="47">
        <v>28</v>
      </c>
      <c r="I2519" s="47" t="s">
        <v>102</v>
      </c>
      <c r="J2519" s="48">
        <v>2</v>
      </c>
      <c r="K2519" s="48">
        <v>0</v>
      </c>
      <c r="R2519" s="46">
        <f t="shared" si="246"/>
        <v>0</v>
      </c>
      <c r="S2519" s="46">
        <f t="shared" si="247"/>
        <v>0</v>
      </c>
      <c r="T2519" s="46">
        <f t="shared" si="250"/>
        <v>40</v>
      </c>
      <c r="U2519" s="46">
        <f t="shared" si="248"/>
        <v>40</v>
      </c>
      <c r="V2519" s="54">
        <f t="shared" si="249"/>
        <v>10.208333333333334</v>
      </c>
    </row>
    <row r="2520" spans="1:22" x14ac:dyDescent="0.2">
      <c r="A2520" s="46" t="s">
        <v>156</v>
      </c>
      <c r="B2520" s="46" t="s">
        <v>58</v>
      </c>
      <c r="C2520" s="46" t="s">
        <v>93</v>
      </c>
      <c r="D2520" s="46" t="s">
        <v>178</v>
      </c>
      <c r="E2520" s="46">
        <v>2</v>
      </c>
      <c r="F2520" s="46" t="s">
        <v>60</v>
      </c>
      <c r="G2520" s="46">
        <v>1</v>
      </c>
      <c r="H2520" s="47">
        <v>49</v>
      </c>
      <c r="I2520" s="47" t="s">
        <v>101</v>
      </c>
      <c r="J2520" s="48">
        <v>2</v>
      </c>
      <c r="K2520" s="48">
        <v>1</v>
      </c>
      <c r="R2520" s="46">
        <f t="shared" si="246"/>
        <v>0</v>
      </c>
      <c r="S2520" s="46">
        <f t="shared" si="247"/>
        <v>0</v>
      </c>
      <c r="T2520" s="46">
        <f t="shared" si="250"/>
        <v>40</v>
      </c>
      <c r="U2520" s="46">
        <f t="shared" si="248"/>
        <v>40</v>
      </c>
      <c r="V2520" s="54">
        <f t="shared" si="249"/>
        <v>10.208333333333334</v>
      </c>
    </row>
    <row r="2521" spans="1:22" x14ac:dyDescent="0.2">
      <c r="A2521" s="46" t="s">
        <v>156</v>
      </c>
      <c r="B2521" s="46" t="s">
        <v>58</v>
      </c>
      <c r="C2521" s="46" t="s">
        <v>93</v>
      </c>
      <c r="D2521" s="46" t="s">
        <v>178</v>
      </c>
      <c r="E2521" s="46">
        <v>1</v>
      </c>
      <c r="F2521" s="46" t="s">
        <v>63</v>
      </c>
      <c r="G2521" s="46">
        <v>4</v>
      </c>
      <c r="H2521" s="47" t="s">
        <v>147</v>
      </c>
      <c r="I2521" s="47" t="s">
        <v>102</v>
      </c>
      <c r="J2521" s="48">
        <v>2</v>
      </c>
      <c r="K2521" s="48">
        <v>0</v>
      </c>
      <c r="R2521" s="46">
        <f t="shared" si="246"/>
        <v>0</v>
      </c>
      <c r="S2521" s="46">
        <f t="shared" si="247"/>
        <v>0</v>
      </c>
      <c r="T2521" s="46">
        <f t="shared" si="250"/>
        <v>40</v>
      </c>
      <c r="U2521" s="46">
        <f t="shared" si="248"/>
        <v>40</v>
      </c>
      <c r="V2521" s="54">
        <f t="shared" si="249"/>
        <v>10.208333333333334</v>
      </c>
    </row>
    <row r="2522" spans="1:22" x14ac:dyDescent="0.2">
      <c r="A2522" s="46" t="s">
        <v>156</v>
      </c>
      <c r="B2522" s="46" t="s">
        <v>58</v>
      </c>
      <c r="C2522" s="46" t="s">
        <v>93</v>
      </c>
      <c r="D2522" s="46" t="s">
        <v>178</v>
      </c>
      <c r="E2522" s="46">
        <v>2</v>
      </c>
      <c r="F2522" s="46" t="s">
        <v>63</v>
      </c>
      <c r="G2522" s="46">
        <v>4</v>
      </c>
      <c r="H2522" s="47" t="s">
        <v>147</v>
      </c>
      <c r="I2522" s="47" t="s">
        <v>102</v>
      </c>
      <c r="J2522" s="48">
        <v>2</v>
      </c>
      <c r="K2522" s="48">
        <v>1</v>
      </c>
      <c r="R2522" s="46">
        <f t="shared" si="246"/>
        <v>0</v>
      </c>
      <c r="S2522" s="46">
        <f t="shared" si="247"/>
        <v>0</v>
      </c>
      <c r="T2522" s="46">
        <f t="shared" si="250"/>
        <v>40</v>
      </c>
      <c r="U2522" s="46">
        <f t="shared" si="248"/>
        <v>40</v>
      </c>
      <c r="V2522" s="54">
        <f t="shared" si="249"/>
        <v>10.208333333333334</v>
      </c>
    </row>
    <row r="2523" spans="1:22" x14ac:dyDescent="0.2">
      <c r="A2523" s="46" t="s">
        <v>156</v>
      </c>
      <c r="B2523" s="46" t="s">
        <v>58</v>
      </c>
      <c r="C2523" s="46" t="s">
        <v>93</v>
      </c>
      <c r="D2523" s="46" t="s">
        <v>178</v>
      </c>
      <c r="E2523" s="46">
        <v>4</v>
      </c>
      <c r="F2523" s="46" t="s">
        <v>63</v>
      </c>
      <c r="G2523" s="46">
        <v>4</v>
      </c>
      <c r="H2523" s="47" t="s">
        <v>150</v>
      </c>
      <c r="I2523" s="47" t="s">
        <v>102</v>
      </c>
      <c r="J2523" s="48">
        <v>2</v>
      </c>
      <c r="K2523" s="48">
        <v>0</v>
      </c>
      <c r="R2523" s="46">
        <f t="shared" si="246"/>
        <v>0</v>
      </c>
      <c r="S2523" s="46">
        <f t="shared" si="247"/>
        <v>0</v>
      </c>
      <c r="T2523" s="46">
        <f t="shared" si="250"/>
        <v>40</v>
      </c>
      <c r="U2523" s="46">
        <f t="shared" si="248"/>
        <v>40</v>
      </c>
      <c r="V2523" s="54">
        <f t="shared" si="249"/>
        <v>10.208333333333334</v>
      </c>
    </row>
    <row r="2524" spans="1:22" x14ac:dyDescent="0.2">
      <c r="A2524" s="46" t="s">
        <v>156</v>
      </c>
      <c r="B2524" s="46" t="s">
        <v>58</v>
      </c>
      <c r="C2524" s="46" t="s">
        <v>93</v>
      </c>
      <c r="D2524" s="46" t="s">
        <v>178</v>
      </c>
      <c r="E2524" s="46">
        <v>2</v>
      </c>
      <c r="F2524" s="46" t="s">
        <v>63</v>
      </c>
      <c r="G2524" s="46">
        <v>4</v>
      </c>
      <c r="H2524" s="47" t="s">
        <v>151</v>
      </c>
      <c r="I2524" s="47" t="s">
        <v>102</v>
      </c>
      <c r="J2524" s="48">
        <v>2</v>
      </c>
      <c r="K2524" s="48">
        <v>0</v>
      </c>
      <c r="R2524" s="46">
        <f t="shared" si="246"/>
        <v>0</v>
      </c>
      <c r="S2524" s="46">
        <f t="shared" si="247"/>
        <v>0</v>
      </c>
      <c r="T2524" s="46">
        <f t="shared" si="250"/>
        <v>40</v>
      </c>
      <c r="U2524" s="46">
        <f t="shared" si="248"/>
        <v>40</v>
      </c>
      <c r="V2524" s="54">
        <f t="shared" si="249"/>
        <v>10.208333333333334</v>
      </c>
    </row>
    <row r="2525" spans="1:22" x14ac:dyDescent="0.2">
      <c r="A2525" s="46" t="s">
        <v>156</v>
      </c>
      <c r="B2525" s="46" t="s">
        <v>58</v>
      </c>
      <c r="C2525" s="46" t="s">
        <v>93</v>
      </c>
      <c r="D2525" s="46" t="s">
        <v>178</v>
      </c>
      <c r="E2525" s="46">
        <v>1</v>
      </c>
      <c r="F2525" s="46" t="s">
        <v>63</v>
      </c>
      <c r="G2525" s="46">
        <v>4</v>
      </c>
      <c r="H2525" s="47" t="s">
        <v>146</v>
      </c>
      <c r="I2525" s="47" t="s">
        <v>102</v>
      </c>
      <c r="J2525" s="48">
        <v>3</v>
      </c>
      <c r="K2525" s="48">
        <v>1</v>
      </c>
      <c r="R2525" s="46">
        <f t="shared" si="246"/>
        <v>0</v>
      </c>
      <c r="S2525" s="46">
        <f t="shared" si="247"/>
        <v>0</v>
      </c>
      <c r="T2525" s="46">
        <f t="shared" si="250"/>
        <v>60</v>
      </c>
      <c r="U2525" s="46">
        <f t="shared" si="248"/>
        <v>60</v>
      </c>
      <c r="V2525" s="54">
        <f t="shared" si="249"/>
        <v>10.208333333333334</v>
      </c>
    </row>
    <row r="2526" spans="1:22" x14ac:dyDescent="0.2">
      <c r="A2526" s="46" t="s">
        <v>156</v>
      </c>
      <c r="B2526" s="46" t="s">
        <v>58</v>
      </c>
      <c r="C2526" s="46" t="s">
        <v>93</v>
      </c>
      <c r="D2526" s="46" t="s">
        <v>178</v>
      </c>
      <c r="E2526" s="46">
        <v>4</v>
      </c>
      <c r="F2526" s="46" t="s">
        <v>63</v>
      </c>
      <c r="G2526" s="46">
        <v>4</v>
      </c>
      <c r="H2526" s="47" t="s">
        <v>172</v>
      </c>
      <c r="I2526" s="47" t="s">
        <v>102</v>
      </c>
      <c r="J2526" s="48">
        <v>0</v>
      </c>
      <c r="K2526" s="48">
        <v>1</v>
      </c>
      <c r="R2526" s="46">
        <f t="shared" si="246"/>
        <v>0</v>
      </c>
      <c r="S2526" s="46">
        <f t="shared" si="247"/>
        <v>0</v>
      </c>
      <c r="T2526" s="46">
        <f t="shared" si="250"/>
        <v>0</v>
      </c>
      <c r="U2526" s="46">
        <f t="shared" si="248"/>
        <v>0</v>
      </c>
      <c r="V2526" s="54">
        <f t="shared" si="249"/>
        <v>10.208333333333334</v>
      </c>
    </row>
    <row r="2527" spans="1:22" x14ac:dyDescent="0.2">
      <c r="A2527" s="46" t="s">
        <v>17</v>
      </c>
      <c r="B2527" s="46" t="s">
        <v>51</v>
      </c>
      <c r="C2527" s="46" t="s">
        <v>92</v>
      </c>
      <c r="D2527" s="46" t="s">
        <v>178</v>
      </c>
      <c r="E2527" s="46">
        <v>4</v>
      </c>
      <c r="F2527" s="46" t="s">
        <v>60</v>
      </c>
      <c r="G2527" s="46">
        <v>2</v>
      </c>
      <c r="H2527" s="47">
        <v>50</v>
      </c>
      <c r="I2527" s="47" t="s">
        <v>127</v>
      </c>
      <c r="J2527" s="48">
        <v>0</v>
      </c>
      <c r="K2527" s="48">
        <v>2</v>
      </c>
      <c r="R2527" s="46">
        <f t="shared" si="246"/>
        <v>0</v>
      </c>
      <c r="S2527" s="46">
        <f t="shared" si="247"/>
        <v>0</v>
      </c>
      <c r="T2527" s="46">
        <f t="shared" si="250"/>
        <v>-10</v>
      </c>
      <c r="U2527" s="46">
        <f t="shared" si="248"/>
        <v>-10</v>
      </c>
      <c r="V2527" s="54">
        <f t="shared" si="249"/>
        <v>69.65517241379311</v>
      </c>
    </row>
    <row r="2528" spans="1:22" x14ac:dyDescent="0.2">
      <c r="A2528" s="46" t="s">
        <v>17</v>
      </c>
      <c r="B2528" s="46" t="s">
        <v>51</v>
      </c>
      <c r="C2528" s="46" t="s">
        <v>92</v>
      </c>
      <c r="D2528" s="46" t="s">
        <v>178</v>
      </c>
      <c r="E2528" s="46">
        <v>4</v>
      </c>
      <c r="F2528" s="46" t="s">
        <v>61</v>
      </c>
      <c r="G2528" s="46">
        <v>1</v>
      </c>
      <c r="H2528" s="47" t="s">
        <v>75</v>
      </c>
      <c r="I2528" s="47" t="s">
        <v>101</v>
      </c>
      <c r="J2528" s="48">
        <v>0</v>
      </c>
      <c r="K2528" s="48">
        <v>2</v>
      </c>
      <c r="R2528" s="46">
        <f t="shared" si="246"/>
        <v>0</v>
      </c>
      <c r="S2528" s="46">
        <f t="shared" si="247"/>
        <v>0</v>
      </c>
      <c r="T2528" s="46">
        <f t="shared" si="250"/>
        <v>-10</v>
      </c>
      <c r="U2528" s="46">
        <f t="shared" si="248"/>
        <v>-10</v>
      </c>
      <c r="V2528" s="54">
        <f t="shared" si="249"/>
        <v>69.65517241379311</v>
      </c>
    </row>
    <row r="2529" spans="1:22" x14ac:dyDescent="0.2">
      <c r="A2529" s="46" t="s">
        <v>17</v>
      </c>
      <c r="B2529" s="46" t="s">
        <v>51</v>
      </c>
      <c r="C2529" s="46" t="s">
        <v>92</v>
      </c>
      <c r="D2529" s="46" t="s">
        <v>178</v>
      </c>
      <c r="E2529" s="46">
        <v>2</v>
      </c>
      <c r="F2529" s="46" t="s">
        <v>61</v>
      </c>
      <c r="G2529" s="46">
        <v>1</v>
      </c>
      <c r="H2529" s="47" t="s">
        <v>67</v>
      </c>
      <c r="I2529" s="47" t="s">
        <v>101</v>
      </c>
      <c r="J2529" s="48">
        <v>1</v>
      </c>
      <c r="K2529" s="48">
        <v>3</v>
      </c>
      <c r="R2529" s="46">
        <f t="shared" si="246"/>
        <v>0</v>
      </c>
      <c r="S2529" s="46">
        <f t="shared" si="247"/>
        <v>1</v>
      </c>
      <c r="T2529" s="46">
        <f t="shared" si="250"/>
        <v>0</v>
      </c>
      <c r="U2529" s="46">
        <f t="shared" si="248"/>
        <v>0</v>
      </c>
      <c r="V2529" s="54">
        <f t="shared" si="249"/>
        <v>69.65517241379311</v>
      </c>
    </row>
    <row r="2530" spans="1:22" x14ac:dyDescent="0.2">
      <c r="A2530" s="46" t="s">
        <v>17</v>
      </c>
      <c r="B2530" s="46" t="s">
        <v>51</v>
      </c>
      <c r="C2530" s="46" t="s">
        <v>92</v>
      </c>
      <c r="D2530" s="46" t="s">
        <v>178</v>
      </c>
      <c r="E2530" s="46">
        <v>1</v>
      </c>
      <c r="F2530" s="46" t="s">
        <v>61</v>
      </c>
      <c r="G2530" s="46">
        <v>1</v>
      </c>
      <c r="H2530" s="47" t="s">
        <v>68</v>
      </c>
      <c r="I2530" s="47" t="s">
        <v>101</v>
      </c>
      <c r="J2530" s="48">
        <v>1</v>
      </c>
      <c r="K2530" s="48">
        <v>2</v>
      </c>
      <c r="R2530" s="46">
        <f t="shared" si="246"/>
        <v>0</v>
      </c>
      <c r="S2530" s="46">
        <f t="shared" si="247"/>
        <v>0</v>
      </c>
      <c r="T2530" s="46">
        <f t="shared" si="250"/>
        <v>10</v>
      </c>
      <c r="U2530" s="46">
        <f t="shared" si="248"/>
        <v>10</v>
      </c>
      <c r="V2530" s="54">
        <f t="shared" si="249"/>
        <v>69.65517241379311</v>
      </c>
    </row>
    <row r="2531" spans="1:22" x14ac:dyDescent="0.2">
      <c r="A2531" s="46" t="s">
        <v>17</v>
      </c>
      <c r="B2531" s="46" t="s">
        <v>51</v>
      </c>
      <c r="C2531" s="46" t="s">
        <v>92</v>
      </c>
      <c r="D2531" s="46" t="s">
        <v>178</v>
      </c>
      <c r="E2531" s="46">
        <v>2</v>
      </c>
      <c r="F2531" s="46" t="s">
        <v>61</v>
      </c>
      <c r="G2531" s="46">
        <v>1</v>
      </c>
      <c r="H2531" s="47" t="s">
        <v>69</v>
      </c>
      <c r="I2531" s="47" t="s">
        <v>101</v>
      </c>
      <c r="J2531" s="48">
        <v>1</v>
      </c>
      <c r="K2531" s="48">
        <v>1</v>
      </c>
      <c r="R2531" s="46">
        <f t="shared" si="246"/>
        <v>0</v>
      </c>
      <c r="S2531" s="46">
        <f t="shared" si="247"/>
        <v>0</v>
      </c>
      <c r="T2531" s="46">
        <f t="shared" si="250"/>
        <v>20</v>
      </c>
      <c r="U2531" s="46">
        <f t="shared" si="248"/>
        <v>20</v>
      </c>
      <c r="V2531" s="54">
        <f t="shared" si="249"/>
        <v>69.65517241379311</v>
      </c>
    </row>
    <row r="2532" spans="1:22" x14ac:dyDescent="0.2">
      <c r="A2532" s="46" t="s">
        <v>17</v>
      </c>
      <c r="B2532" s="46" t="s">
        <v>51</v>
      </c>
      <c r="C2532" s="46" t="s">
        <v>92</v>
      </c>
      <c r="D2532" s="46" t="s">
        <v>178</v>
      </c>
      <c r="E2532" s="46">
        <v>1</v>
      </c>
      <c r="F2532" s="46" t="s">
        <v>61</v>
      </c>
      <c r="G2532" s="46">
        <v>2</v>
      </c>
      <c r="H2532" s="47" t="s">
        <v>66</v>
      </c>
      <c r="I2532" s="47" t="s">
        <v>127</v>
      </c>
      <c r="J2532" s="48">
        <v>2</v>
      </c>
      <c r="K2532" s="48">
        <v>3</v>
      </c>
      <c r="R2532" s="46">
        <f t="shared" si="246"/>
        <v>0</v>
      </c>
      <c r="S2532" s="46">
        <f t="shared" si="247"/>
        <v>1</v>
      </c>
      <c r="T2532" s="46">
        <f t="shared" si="250"/>
        <v>20</v>
      </c>
      <c r="U2532" s="46">
        <f t="shared" si="248"/>
        <v>20</v>
      </c>
      <c r="V2532" s="54">
        <f t="shared" si="249"/>
        <v>69.65517241379311</v>
      </c>
    </row>
    <row r="2533" spans="1:22" x14ac:dyDescent="0.2">
      <c r="A2533" s="46" t="s">
        <v>17</v>
      </c>
      <c r="B2533" s="46" t="s">
        <v>51</v>
      </c>
      <c r="C2533" s="46" t="s">
        <v>92</v>
      </c>
      <c r="D2533" s="46" t="s">
        <v>178</v>
      </c>
      <c r="E2533" s="46">
        <v>2</v>
      </c>
      <c r="F2533" s="46" t="s">
        <v>61</v>
      </c>
      <c r="G2533" s="46">
        <v>1</v>
      </c>
      <c r="H2533" s="47" t="s">
        <v>71</v>
      </c>
      <c r="I2533" s="47" t="s">
        <v>101</v>
      </c>
      <c r="J2533" s="48">
        <v>1</v>
      </c>
      <c r="K2533" s="48">
        <v>1</v>
      </c>
      <c r="R2533" s="46">
        <f t="shared" si="246"/>
        <v>0</v>
      </c>
      <c r="S2533" s="46">
        <f t="shared" si="247"/>
        <v>0</v>
      </c>
      <c r="T2533" s="46">
        <f t="shared" si="250"/>
        <v>20</v>
      </c>
      <c r="U2533" s="46">
        <f t="shared" si="248"/>
        <v>20</v>
      </c>
      <c r="V2533" s="54">
        <f t="shared" si="249"/>
        <v>69.65517241379311</v>
      </c>
    </row>
    <row r="2534" spans="1:22" x14ac:dyDescent="0.2">
      <c r="A2534" s="46" t="s">
        <v>17</v>
      </c>
      <c r="B2534" s="46" t="s">
        <v>51</v>
      </c>
      <c r="C2534" s="46" t="s">
        <v>92</v>
      </c>
      <c r="D2534" s="46" t="s">
        <v>178</v>
      </c>
      <c r="E2534" s="46">
        <v>3</v>
      </c>
      <c r="F2534" s="46" t="s">
        <v>61</v>
      </c>
      <c r="G2534" s="46">
        <v>1</v>
      </c>
      <c r="H2534" s="47" t="s">
        <v>67</v>
      </c>
      <c r="I2534" s="47" t="s">
        <v>101</v>
      </c>
      <c r="J2534" s="48">
        <v>2</v>
      </c>
      <c r="K2534" s="48">
        <v>2</v>
      </c>
      <c r="R2534" s="46">
        <f t="shared" si="246"/>
        <v>0</v>
      </c>
      <c r="S2534" s="46">
        <f t="shared" si="247"/>
        <v>0</v>
      </c>
      <c r="T2534" s="46">
        <f t="shared" si="250"/>
        <v>30</v>
      </c>
      <c r="U2534" s="46">
        <f t="shared" si="248"/>
        <v>30</v>
      </c>
      <c r="V2534" s="54">
        <f t="shared" si="249"/>
        <v>69.65517241379311</v>
      </c>
    </row>
    <row r="2535" spans="1:22" x14ac:dyDescent="0.2">
      <c r="A2535" s="46" t="s">
        <v>17</v>
      </c>
      <c r="B2535" s="46" t="s">
        <v>51</v>
      </c>
      <c r="C2535" s="46" t="s">
        <v>92</v>
      </c>
      <c r="D2535" s="46" t="s">
        <v>178</v>
      </c>
      <c r="E2535" s="46">
        <v>3</v>
      </c>
      <c r="F2535" s="46" t="s">
        <v>61</v>
      </c>
      <c r="G2535" s="46">
        <v>1</v>
      </c>
      <c r="H2535" s="47" t="s">
        <v>68</v>
      </c>
      <c r="I2535" s="47" t="s">
        <v>101</v>
      </c>
      <c r="J2535" s="48">
        <v>2</v>
      </c>
      <c r="K2535" s="48">
        <v>2</v>
      </c>
      <c r="R2535" s="46">
        <f t="shared" si="246"/>
        <v>0</v>
      </c>
      <c r="S2535" s="46">
        <f t="shared" si="247"/>
        <v>0</v>
      </c>
      <c r="T2535" s="46">
        <f t="shared" si="250"/>
        <v>30</v>
      </c>
      <c r="U2535" s="46">
        <f t="shared" si="248"/>
        <v>30</v>
      </c>
      <c r="V2535" s="54">
        <f t="shared" si="249"/>
        <v>69.65517241379311</v>
      </c>
    </row>
    <row r="2536" spans="1:22" x14ac:dyDescent="0.2">
      <c r="A2536" s="46" t="s">
        <v>17</v>
      </c>
      <c r="B2536" s="46" t="s">
        <v>51</v>
      </c>
      <c r="C2536" s="46" t="s">
        <v>92</v>
      </c>
      <c r="D2536" s="46" t="s">
        <v>178</v>
      </c>
      <c r="E2536" s="46">
        <v>3</v>
      </c>
      <c r="F2536" s="46" t="s">
        <v>61</v>
      </c>
      <c r="G2536" s="46">
        <v>1</v>
      </c>
      <c r="H2536" s="47" t="s">
        <v>78</v>
      </c>
      <c r="I2536" s="47" t="s">
        <v>101</v>
      </c>
      <c r="J2536" s="48">
        <v>2</v>
      </c>
      <c r="K2536" s="48">
        <v>1</v>
      </c>
      <c r="M2536" s="48">
        <v>1</v>
      </c>
      <c r="R2536" s="46">
        <f t="shared" si="246"/>
        <v>0</v>
      </c>
      <c r="S2536" s="46">
        <f t="shared" si="247"/>
        <v>0</v>
      </c>
      <c r="T2536" s="46">
        <f t="shared" si="250"/>
        <v>40</v>
      </c>
      <c r="U2536" s="46">
        <f t="shared" si="248"/>
        <v>60</v>
      </c>
      <c r="V2536" s="54">
        <f t="shared" si="249"/>
        <v>69.65517241379311</v>
      </c>
    </row>
    <row r="2537" spans="1:22" x14ac:dyDescent="0.2">
      <c r="A2537" s="46" t="s">
        <v>17</v>
      </c>
      <c r="B2537" s="46" t="s">
        <v>51</v>
      </c>
      <c r="C2537" s="46" t="s">
        <v>92</v>
      </c>
      <c r="D2537" s="46" t="s">
        <v>178</v>
      </c>
      <c r="E2537" s="46">
        <v>3</v>
      </c>
      <c r="F2537" s="46" t="s">
        <v>61</v>
      </c>
      <c r="G2537" s="46">
        <v>1</v>
      </c>
      <c r="H2537" s="47" t="s">
        <v>78</v>
      </c>
      <c r="I2537" s="47" t="s">
        <v>101</v>
      </c>
      <c r="J2537" s="48">
        <v>2</v>
      </c>
      <c r="K2537" s="48">
        <v>0</v>
      </c>
      <c r="R2537" s="46">
        <f t="shared" si="246"/>
        <v>0</v>
      </c>
      <c r="S2537" s="46">
        <f t="shared" si="247"/>
        <v>0</v>
      </c>
      <c r="T2537" s="46">
        <f t="shared" si="250"/>
        <v>40</v>
      </c>
      <c r="U2537" s="46">
        <f t="shared" si="248"/>
        <v>40</v>
      </c>
      <c r="V2537" s="54">
        <f t="shared" si="249"/>
        <v>69.65517241379311</v>
      </c>
    </row>
    <row r="2538" spans="1:22" x14ac:dyDescent="0.2">
      <c r="A2538" s="46" t="s">
        <v>17</v>
      </c>
      <c r="B2538" s="46" t="s">
        <v>51</v>
      </c>
      <c r="C2538" s="46" t="s">
        <v>92</v>
      </c>
      <c r="D2538" s="46" t="s">
        <v>178</v>
      </c>
      <c r="E2538" s="46">
        <v>2</v>
      </c>
      <c r="F2538" s="46" t="s">
        <v>60</v>
      </c>
      <c r="G2538" s="46">
        <v>3</v>
      </c>
      <c r="H2538" s="47">
        <v>11</v>
      </c>
      <c r="I2538" s="47" t="s">
        <v>116</v>
      </c>
      <c r="J2538" s="48">
        <v>3</v>
      </c>
      <c r="K2538" s="48">
        <v>2</v>
      </c>
      <c r="R2538" s="46">
        <f t="shared" si="246"/>
        <v>0</v>
      </c>
      <c r="S2538" s="46">
        <f t="shared" si="247"/>
        <v>0</v>
      </c>
      <c r="T2538" s="46">
        <f t="shared" si="250"/>
        <v>50</v>
      </c>
      <c r="U2538" s="46">
        <f t="shared" si="248"/>
        <v>50</v>
      </c>
      <c r="V2538" s="54">
        <f t="shared" si="249"/>
        <v>69.65517241379311</v>
      </c>
    </row>
    <row r="2539" spans="1:22" x14ac:dyDescent="0.2">
      <c r="A2539" s="46" t="s">
        <v>17</v>
      </c>
      <c r="B2539" s="46" t="s">
        <v>51</v>
      </c>
      <c r="C2539" s="46" t="s">
        <v>92</v>
      </c>
      <c r="D2539" s="46" t="s">
        <v>178</v>
      </c>
      <c r="E2539" s="46">
        <v>2</v>
      </c>
      <c r="F2539" s="46" t="s">
        <v>60</v>
      </c>
      <c r="G2539" s="46">
        <v>1</v>
      </c>
      <c r="H2539" s="47">
        <v>17</v>
      </c>
      <c r="I2539" s="47" t="s">
        <v>101</v>
      </c>
      <c r="J2539" s="48">
        <v>3</v>
      </c>
      <c r="K2539" s="48">
        <v>2</v>
      </c>
      <c r="R2539" s="46">
        <f t="shared" si="246"/>
        <v>0</v>
      </c>
      <c r="S2539" s="46">
        <f t="shared" si="247"/>
        <v>0</v>
      </c>
      <c r="T2539" s="46">
        <f t="shared" si="250"/>
        <v>50</v>
      </c>
      <c r="U2539" s="46">
        <f t="shared" si="248"/>
        <v>50</v>
      </c>
      <c r="V2539" s="54">
        <f t="shared" si="249"/>
        <v>69.65517241379311</v>
      </c>
    </row>
    <row r="2540" spans="1:22" x14ac:dyDescent="0.2">
      <c r="A2540" s="46" t="s">
        <v>17</v>
      </c>
      <c r="B2540" s="46" t="s">
        <v>51</v>
      </c>
      <c r="C2540" s="46" t="s">
        <v>92</v>
      </c>
      <c r="D2540" s="46" t="s">
        <v>178</v>
      </c>
      <c r="E2540" s="46">
        <v>3</v>
      </c>
      <c r="F2540" s="46" t="s">
        <v>60</v>
      </c>
      <c r="G2540" s="46">
        <v>1</v>
      </c>
      <c r="H2540" s="47">
        <v>29</v>
      </c>
      <c r="I2540" s="47" t="s">
        <v>101</v>
      </c>
      <c r="J2540" s="48">
        <v>3</v>
      </c>
      <c r="K2540" s="48">
        <v>2</v>
      </c>
      <c r="R2540" s="46">
        <f t="shared" si="246"/>
        <v>0</v>
      </c>
      <c r="S2540" s="46">
        <f t="shared" si="247"/>
        <v>0</v>
      </c>
      <c r="T2540" s="46">
        <f t="shared" si="250"/>
        <v>50</v>
      </c>
      <c r="U2540" s="46">
        <f t="shared" si="248"/>
        <v>50</v>
      </c>
      <c r="V2540" s="54">
        <f t="shared" si="249"/>
        <v>69.65517241379311</v>
      </c>
    </row>
    <row r="2541" spans="1:22" x14ac:dyDescent="0.2">
      <c r="A2541" s="46" t="s">
        <v>17</v>
      </c>
      <c r="B2541" s="46" t="s">
        <v>51</v>
      </c>
      <c r="C2541" s="46" t="s">
        <v>92</v>
      </c>
      <c r="D2541" s="46" t="s">
        <v>178</v>
      </c>
      <c r="E2541" s="46">
        <v>1</v>
      </c>
      <c r="F2541" s="46" t="s">
        <v>60</v>
      </c>
      <c r="G2541" s="46">
        <v>1</v>
      </c>
      <c r="H2541" s="47">
        <v>37</v>
      </c>
      <c r="I2541" s="47" t="s">
        <v>101</v>
      </c>
      <c r="J2541" s="48">
        <v>3</v>
      </c>
      <c r="K2541" s="48">
        <v>2</v>
      </c>
      <c r="R2541" s="46">
        <f t="shared" si="246"/>
        <v>0</v>
      </c>
      <c r="S2541" s="46">
        <f t="shared" si="247"/>
        <v>0</v>
      </c>
      <c r="T2541" s="46">
        <f t="shared" si="250"/>
        <v>50</v>
      </c>
      <c r="U2541" s="46">
        <f t="shared" si="248"/>
        <v>50</v>
      </c>
      <c r="V2541" s="54">
        <f t="shared" si="249"/>
        <v>69.65517241379311</v>
      </c>
    </row>
    <row r="2542" spans="1:22" x14ac:dyDescent="0.2">
      <c r="A2542" s="46" t="s">
        <v>17</v>
      </c>
      <c r="B2542" s="46" t="s">
        <v>51</v>
      </c>
      <c r="C2542" s="46" t="s">
        <v>92</v>
      </c>
      <c r="D2542" s="46" t="s">
        <v>178</v>
      </c>
      <c r="E2542" s="46">
        <v>2</v>
      </c>
      <c r="F2542" s="46" t="s">
        <v>61</v>
      </c>
      <c r="G2542" s="46">
        <v>1</v>
      </c>
      <c r="H2542" s="47" t="s">
        <v>68</v>
      </c>
      <c r="I2542" s="47" t="s">
        <v>101</v>
      </c>
      <c r="J2542" s="48">
        <v>3</v>
      </c>
      <c r="K2542" s="48">
        <v>0</v>
      </c>
      <c r="M2542" s="48">
        <v>1</v>
      </c>
      <c r="R2542" s="46">
        <f t="shared" si="246"/>
        <v>0</v>
      </c>
      <c r="S2542" s="46">
        <f t="shared" si="247"/>
        <v>0</v>
      </c>
      <c r="T2542" s="46">
        <f t="shared" si="250"/>
        <v>60</v>
      </c>
      <c r="U2542" s="46">
        <f t="shared" si="248"/>
        <v>80</v>
      </c>
      <c r="V2542" s="54">
        <f t="shared" si="249"/>
        <v>69.65517241379311</v>
      </c>
    </row>
    <row r="2543" spans="1:22" x14ac:dyDescent="0.2">
      <c r="A2543" s="46" t="s">
        <v>17</v>
      </c>
      <c r="B2543" s="46" t="s">
        <v>51</v>
      </c>
      <c r="C2543" s="46" t="s">
        <v>92</v>
      </c>
      <c r="D2543" s="46" t="s">
        <v>178</v>
      </c>
      <c r="E2543" s="46">
        <v>4</v>
      </c>
      <c r="F2543" s="46" t="s">
        <v>61</v>
      </c>
      <c r="G2543" s="46">
        <v>1</v>
      </c>
      <c r="H2543" s="47" t="s">
        <v>69</v>
      </c>
      <c r="I2543" s="47" t="s">
        <v>101</v>
      </c>
      <c r="J2543" s="48">
        <v>3</v>
      </c>
      <c r="K2543" s="48">
        <v>1</v>
      </c>
      <c r="M2543" s="48">
        <v>1</v>
      </c>
      <c r="R2543" s="46">
        <f t="shared" si="246"/>
        <v>0</v>
      </c>
      <c r="S2543" s="46">
        <f t="shared" si="247"/>
        <v>0</v>
      </c>
      <c r="T2543" s="46">
        <f t="shared" si="250"/>
        <v>60</v>
      </c>
      <c r="U2543" s="46">
        <f t="shared" si="248"/>
        <v>80</v>
      </c>
      <c r="V2543" s="54">
        <f t="shared" si="249"/>
        <v>69.65517241379311</v>
      </c>
    </row>
    <row r="2544" spans="1:22" x14ac:dyDescent="0.2">
      <c r="A2544" s="46" t="s">
        <v>17</v>
      </c>
      <c r="B2544" s="46" t="s">
        <v>51</v>
      </c>
      <c r="C2544" s="46" t="s">
        <v>92</v>
      </c>
      <c r="D2544" s="46" t="s">
        <v>178</v>
      </c>
      <c r="E2544" s="46">
        <v>1</v>
      </c>
      <c r="F2544" s="46" t="s">
        <v>60</v>
      </c>
      <c r="G2544" s="46">
        <v>2</v>
      </c>
      <c r="H2544" s="47">
        <v>30</v>
      </c>
      <c r="I2544" s="47" t="s">
        <v>127</v>
      </c>
      <c r="J2544" s="48">
        <v>4</v>
      </c>
      <c r="K2544" s="48">
        <v>2</v>
      </c>
      <c r="R2544" s="46">
        <f t="shared" si="246"/>
        <v>1</v>
      </c>
      <c r="S2544" s="46">
        <f t="shared" si="247"/>
        <v>0</v>
      </c>
      <c r="T2544" s="46">
        <f t="shared" si="250"/>
        <v>70</v>
      </c>
      <c r="U2544" s="46">
        <f t="shared" si="248"/>
        <v>70</v>
      </c>
      <c r="V2544" s="54">
        <f t="shared" si="249"/>
        <v>69.65517241379311</v>
      </c>
    </row>
    <row r="2545" spans="1:22" x14ac:dyDescent="0.2">
      <c r="A2545" s="46" t="s">
        <v>17</v>
      </c>
      <c r="B2545" s="46" t="s">
        <v>51</v>
      </c>
      <c r="C2545" s="46" t="s">
        <v>92</v>
      </c>
      <c r="D2545" s="46" t="s">
        <v>178</v>
      </c>
      <c r="E2545" s="46">
        <v>2</v>
      </c>
      <c r="F2545" s="46" t="s">
        <v>60</v>
      </c>
      <c r="G2545" s="46">
        <v>2</v>
      </c>
      <c r="H2545" s="47">
        <v>34</v>
      </c>
      <c r="I2545" s="47" t="s">
        <v>127</v>
      </c>
      <c r="J2545" s="48">
        <v>4</v>
      </c>
      <c r="K2545" s="48">
        <v>2</v>
      </c>
      <c r="R2545" s="46">
        <f t="shared" si="246"/>
        <v>1</v>
      </c>
      <c r="S2545" s="46">
        <f t="shared" si="247"/>
        <v>0</v>
      </c>
      <c r="T2545" s="46">
        <f t="shared" si="250"/>
        <v>70</v>
      </c>
      <c r="U2545" s="46">
        <f t="shared" si="248"/>
        <v>70</v>
      </c>
      <c r="V2545" s="54">
        <f t="shared" si="249"/>
        <v>69.65517241379311</v>
      </c>
    </row>
    <row r="2546" spans="1:22" x14ac:dyDescent="0.2">
      <c r="A2546" s="46" t="s">
        <v>17</v>
      </c>
      <c r="B2546" s="46" t="s">
        <v>51</v>
      </c>
      <c r="C2546" s="46" t="s">
        <v>92</v>
      </c>
      <c r="D2546" s="46" t="s">
        <v>178</v>
      </c>
      <c r="E2546" s="46">
        <v>4</v>
      </c>
      <c r="F2546" s="46" t="s">
        <v>61</v>
      </c>
      <c r="G2546" s="46">
        <v>1</v>
      </c>
      <c r="H2546" s="47" t="s">
        <v>70</v>
      </c>
      <c r="I2546" s="47" t="s">
        <v>101</v>
      </c>
      <c r="J2546" s="48">
        <v>4</v>
      </c>
      <c r="K2546" s="48">
        <v>2</v>
      </c>
      <c r="R2546" s="46">
        <f t="shared" si="246"/>
        <v>1</v>
      </c>
      <c r="S2546" s="46">
        <f t="shared" si="247"/>
        <v>0</v>
      </c>
      <c r="T2546" s="46">
        <f t="shared" si="250"/>
        <v>70</v>
      </c>
      <c r="U2546" s="46">
        <f t="shared" si="248"/>
        <v>70</v>
      </c>
      <c r="V2546" s="54">
        <f t="shared" si="249"/>
        <v>69.65517241379311</v>
      </c>
    </row>
    <row r="2547" spans="1:22" x14ac:dyDescent="0.2">
      <c r="A2547" s="46" t="s">
        <v>17</v>
      </c>
      <c r="B2547" s="46" t="s">
        <v>51</v>
      </c>
      <c r="C2547" s="46" t="s">
        <v>92</v>
      </c>
      <c r="D2547" s="46" t="s">
        <v>178</v>
      </c>
      <c r="E2547" s="46">
        <v>1</v>
      </c>
      <c r="F2547" s="46" t="s">
        <v>60</v>
      </c>
      <c r="G2547" s="46">
        <v>2</v>
      </c>
      <c r="H2547" s="47">
        <v>2</v>
      </c>
      <c r="I2547" s="47" t="s">
        <v>127</v>
      </c>
      <c r="J2547" s="48">
        <v>4</v>
      </c>
      <c r="K2547" s="48">
        <v>1</v>
      </c>
      <c r="R2547" s="46">
        <f t="shared" si="246"/>
        <v>1</v>
      </c>
      <c r="S2547" s="46">
        <f t="shared" si="247"/>
        <v>0</v>
      </c>
      <c r="T2547" s="46">
        <f t="shared" si="250"/>
        <v>80</v>
      </c>
      <c r="U2547" s="46">
        <f t="shared" si="248"/>
        <v>80</v>
      </c>
      <c r="V2547" s="54">
        <f t="shared" si="249"/>
        <v>69.65517241379311</v>
      </c>
    </row>
    <row r="2548" spans="1:22" x14ac:dyDescent="0.2">
      <c r="A2548" s="46" t="s">
        <v>17</v>
      </c>
      <c r="B2548" s="46" t="s">
        <v>51</v>
      </c>
      <c r="C2548" s="46" t="s">
        <v>92</v>
      </c>
      <c r="D2548" s="46" t="s">
        <v>178</v>
      </c>
      <c r="E2548" s="46">
        <v>4</v>
      </c>
      <c r="F2548" s="46" t="s">
        <v>60</v>
      </c>
      <c r="G2548" s="46">
        <v>1</v>
      </c>
      <c r="H2548" s="47">
        <v>5</v>
      </c>
      <c r="I2548" s="47" t="s">
        <v>101</v>
      </c>
      <c r="J2548" s="48">
        <v>4</v>
      </c>
      <c r="K2548" s="48">
        <v>1</v>
      </c>
      <c r="R2548" s="46">
        <f t="shared" si="246"/>
        <v>1</v>
      </c>
      <c r="S2548" s="46">
        <f t="shared" si="247"/>
        <v>0</v>
      </c>
      <c r="T2548" s="46">
        <f t="shared" ref="T2548:T2579" si="251">quizscore(J2548,K2548)</f>
        <v>80</v>
      </c>
      <c r="U2548" s="46">
        <f t="shared" si="248"/>
        <v>80</v>
      </c>
      <c r="V2548" s="54">
        <f t="shared" si="249"/>
        <v>69.65517241379311</v>
      </c>
    </row>
    <row r="2549" spans="1:22" x14ac:dyDescent="0.2">
      <c r="A2549" s="46" t="s">
        <v>17</v>
      </c>
      <c r="B2549" s="46" t="s">
        <v>51</v>
      </c>
      <c r="C2549" s="46" t="s">
        <v>92</v>
      </c>
      <c r="D2549" s="46" t="s">
        <v>178</v>
      </c>
      <c r="E2549" s="46">
        <v>3</v>
      </c>
      <c r="F2549" s="46" t="s">
        <v>60</v>
      </c>
      <c r="G2549" s="46">
        <v>1</v>
      </c>
      <c r="H2549" s="47">
        <v>9</v>
      </c>
      <c r="I2549" s="47" t="s">
        <v>101</v>
      </c>
      <c r="J2549" s="48">
        <v>4</v>
      </c>
      <c r="K2549" s="48">
        <v>1</v>
      </c>
      <c r="R2549" s="46">
        <f t="shared" si="246"/>
        <v>1</v>
      </c>
      <c r="S2549" s="46">
        <f t="shared" si="247"/>
        <v>0</v>
      </c>
      <c r="T2549" s="46">
        <f t="shared" si="251"/>
        <v>80</v>
      </c>
      <c r="U2549" s="46">
        <f t="shared" si="248"/>
        <v>80</v>
      </c>
      <c r="V2549" s="54">
        <f t="shared" si="249"/>
        <v>69.65517241379311</v>
      </c>
    </row>
    <row r="2550" spans="1:22" x14ac:dyDescent="0.2">
      <c r="A2550" s="46" t="s">
        <v>17</v>
      </c>
      <c r="B2550" s="46" t="s">
        <v>51</v>
      </c>
      <c r="C2550" s="46" t="s">
        <v>92</v>
      </c>
      <c r="D2550" s="46" t="s">
        <v>178</v>
      </c>
      <c r="E2550" s="46">
        <v>1</v>
      </c>
      <c r="F2550" s="46" t="s">
        <v>60</v>
      </c>
      <c r="G2550" s="46">
        <v>1</v>
      </c>
      <c r="H2550" s="47">
        <v>13</v>
      </c>
      <c r="I2550" s="47" t="s">
        <v>101</v>
      </c>
      <c r="J2550" s="48">
        <v>4</v>
      </c>
      <c r="K2550" s="48">
        <v>1</v>
      </c>
      <c r="R2550" s="46">
        <f t="shared" si="246"/>
        <v>1</v>
      </c>
      <c r="S2550" s="46">
        <f t="shared" si="247"/>
        <v>0</v>
      </c>
      <c r="T2550" s="46">
        <f t="shared" si="251"/>
        <v>80</v>
      </c>
      <c r="U2550" s="46">
        <f t="shared" si="248"/>
        <v>80</v>
      </c>
      <c r="V2550" s="54">
        <f t="shared" si="249"/>
        <v>69.65517241379311</v>
      </c>
    </row>
    <row r="2551" spans="1:22" x14ac:dyDescent="0.2">
      <c r="A2551" s="46" t="s">
        <v>17</v>
      </c>
      <c r="B2551" s="46" t="s">
        <v>51</v>
      </c>
      <c r="C2551" s="46" t="s">
        <v>92</v>
      </c>
      <c r="D2551" s="46" t="s">
        <v>178</v>
      </c>
      <c r="E2551" s="46">
        <v>4</v>
      </c>
      <c r="F2551" s="46" t="s">
        <v>60</v>
      </c>
      <c r="G2551" s="46">
        <v>3</v>
      </c>
      <c r="H2551" s="47">
        <v>19</v>
      </c>
      <c r="I2551" s="47" t="s">
        <v>159</v>
      </c>
      <c r="J2551" s="48">
        <v>4</v>
      </c>
      <c r="K2551" s="48">
        <v>1</v>
      </c>
      <c r="R2551" s="46">
        <f t="shared" si="246"/>
        <v>1</v>
      </c>
      <c r="S2551" s="46">
        <f t="shared" si="247"/>
        <v>0</v>
      </c>
      <c r="T2551" s="46">
        <f t="shared" si="251"/>
        <v>80</v>
      </c>
      <c r="U2551" s="46">
        <f t="shared" si="248"/>
        <v>80</v>
      </c>
      <c r="V2551" s="54">
        <f t="shared" si="249"/>
        <v>69.65517241379311</v>
      </c>
    </row>
    <row r="2552" spans="1:22" x14ac:dyDescent="0.2">
      <c r="A2552" s="46" t="s">
        <v>17</v>
      </c>
      <c r="B2552" s="46" t="s">
        <v>51</v>
      </c>
      <c r="C2552" s="46" t="s">
        <v>92</v>
      </c>
      <c r="D2552" s="46" t="s">
        <v>178</v>
      </c>
      <c r="E2552" s="46">
        <v>2</v>
      </c>
      <c r="F2552" s="46" t="s">
        <v>60</v>
      </c>
      <c r="G2552" s="46">
        <v>2</v>
      </c>
      <c r="H2552" s="47">
        <v>26</v>
      </c>
      <c r="I2552" s="47" t="s">
        <v>127</v>
      </c>
      <c r="J2552" s="48">
        <v>4</v>
      </c>
      <c r="K2552" s="48">
        <v>1</v>
      </c>
      <c r="R2552" s="46">
        <f t="shared" si="246"/>
        <v>1</v>
      </c>
      <c r="S2552" s="46">
        <f t="shared" si="247"/>
        <v>0</v>
      </c>
      <c r="T2552" s="46">
        <f t="shared" si="251"/>
        <v>80</v>
      </c>
      <c r="U2552" s="46">
        <f t="shared" si="248"/>
        <v>80</v>
      </c>
      <c r="V2552" s="54">
        <f t="shared" si="249"/>
        <v>69.65517241379311</v>
      </c>
    </row>
    <row r="2553" spans="1:22" x14ac:dyDescent="0.2">
      <c r="A2553" s="46" t="s">
        <v>17</v>
      </c>
      <c r="B2553" s="46" t="s">
        <v>51</v>
      </c>
      <c r="C2553" s="46" t="s">
        <v>92</v>
      </c>
      <c r="D2553" s="46" t="s">
        <v>178</v>
      </c>
      <c r="E2553" s="46">
        <v>1</v>
      </c>
      <c r="F2553" s="46" t="s">
        <v>60</v>
      </c>
      <c r="G2553" s="46">
        <v>3</v>
      </c>
      <c r="H2553" s="47">
        <v>27</v>
      </c>
      <c r="I2553" s="47" t="s">
        <v>116</v>
      </c>
      <c r="J2553" s="48">
        <v>4</v>
      </c>
      <c r="K2553" s="48">
        <v>1</v>
      </c>
      <c r="R2553" s="46">
        <f t="shared" si="246"/>
        <v>1</v>
      </c>
      <c r="S2553" s="46">
        <f t="shared" si="247"/>
        <v>0</v>
      </c>
      <c r="T2553" s="46">
        <f t="shared" si="251"/>
        <v>80</v>
      </c>
      <c r="U2553" s="46">
        <f t="shared" si="248"/>
        <v>80</v>
      </c>
      <c r="V2553" s="54">
        <f t="shared" si="249"/>
        <v>69.65517241379311</v>
      </c>
    </row>
    <row r="2554" spans="1:22" x14ac:dyDescent="0.2">
      <c r="A2554" s="46" t="s">
        <v>17</v>
      </c>
      <c r="B2554" s="46" t="s">
        <v>51</v>
      </c>
      <c r="C2554" s="46" t="s">
        <v>92</v>
      </c>
      <c r="D2554" s="46" t="s">
        <v>178</v>
      </c>
      <c r="E2554" s="46">
        <v>4</v>
      </c>
      <c r="F2554" s="46" t="s">
        <v>60</v>
      </c>
      <c r="G2554" s="46">
        <v>2</v>
      </c>
      <c r="H2554" s="47">
        <v>34</v>
      </c>
      <c r="I2554" s="47" t="s">
        <v>127</v>
      </c>
      <c r="J2554" s="48">
        <v>4</v>
      </c>
      <c r="K2554" s="48">
        <v>1</v>
      </c>
      <c r="R2554" s="46">
        <f t="shared" si="246"/>
        <v>1</v>
      </c>
      <c r="S2554" s="46">
        <f t="shared" si="247"/>
        <v>0</v>
      </c>
      <c r="T2554" s="46">
        <f t="shared" si="251"/>
        <v>80</v>
      </c>
      <c r="U2554" s="46">
        <f t="shared" si="248"/>
        <v>80</v>
      </c>
      <c r="V2554" s="54">
        <f t="shared" si="249"/>
        <v>69.65517241379311</v>
      </c>
    </row>
    <row r="2555" spans="1:22" x14ac:dyDescent="0.2">
      <c r="A2555" s="46" t="s">
        <v>17</v>
      </c>
      <c r="B2555" s="46" t="s">
        <v>51</v>
      </c>
      <c r="C2555" s="46" t="s">
        <v>92</v>
      </c>
      <c r="D2555" s="46" t="s">
        <v>178</v>
      </c>
      <c r="E2555" s="46">
        <v>2</v>
      </c>
      <c r="F2555" s="46" t="s">
        <v>60</v>
      </c>
      <c r="G2555" s="46">
        <v>1</v>
      </c>
      <c r="H2555" s="47">
        <v>37</v>
      </c>
      <c r="I2555" s="47" t="s">
        <v>101</v>
      </c>
      <c r="J2555" s="48">
        <v>4</v>
      </c>
      <c r="K2555" s="48">
        <v>1</v>
      </c>
      <c r="R2555" s="46">
        <f t="shared" si="246"/>
        <v>1</v>
      </c>
      <c r="S2555" s="46">
        <f t="shared" si="247"/>
        <v>0</v>
      </c>
      <c r="T2555" s="46">
        <f t="shared" si="251"/>
        <v>80</v>
      </c>
      <c r="U2555" s="46">
        <f t="shared" si="248"/>
        <v>80</v>
      </c>
      <c r="V2555" s="54">
        <f t="shared" si="249"/>
        <v>69.65517241379311</v>
      </c>
    </row>
    <row r="2556" spans="1:22" x14ac:dyDescent="0.2">
      <c r="A2556" s="46" t="s">
        <v>17</v>
      </c>
      <c r="B2556" s="46" t="s">
        <v>51</v>
      </c>
      <c r="C2556" s="46" t="s">
        <v>92</v>
      </c>
      <c r="D2556" s="46" t="s">
        <v>178</v>
      </c>
      <c r="E2556" s="46">
        <v>3</v>
      </c>
      <c r="F2556" s="46" t="s">
        <v>60</v>
      </c>
      <c r="G2556" s="46">
        <v>4</v>
      </c>
      <c r="H2556" s="47">
        <v>40</v>
      </c>
      <c r="I2556" s="47" t="s">
        <v>102</v>
      </c>
      <c r="J2556" s="48">
        <v>4</v>
      </c>
      <c r="K2556" s="48">
        <v>1</v>
      </c>
      <c r="M2556" s="48">
        <v>1</v>
      </c>
      <c r="R2556" s="46">
        <f t="shared" si="246"/>
        <v>1</v>
      </c>
      <c r="S2556" s="46">
        <f t="shared" si="247"/>
        <v>0</v>
      </c>
      <c r="T2556" s="46">
        <f t="shared" si="251"/>
        <v>80</v>
      </c>
      <c r="U2556" s="46">
        <f t="shared" si="248"/>
        <v>100</v>
      </c>
      <c r="V2556" s="54">
        <f t="shared" si="249"/>
        <v>69.65517241379311</v>
      </c>
    </row>
    <row r="2557" spans="1:22" x14ac:dyDescent="0.2">
      <c r="A2557" s="46" t="s">
        <v>17</v>
      </c>
      <c r="B2557" s="46" t="s">
        <v>51</v>
      </c>
      <c r="C2557" s="46" t="s">
        <v>92</v>
      </c>
      <c r="D2557" s="46" t="s">
        <v>178</v>
      </c>
      <c r="E2557" s="46">
        <v>1</v>
      </c>
      <c r="F2557" s="46" t="s">
        <v>61</v>
      </c>
      <c r="G2557" s="46">
        <v>1</v>
      </c>
      <c r="H2557" s="47" t="s">
        <v>70</v>
      </c>
      <c r="I2557" s="47" t="s">
        <v>101</v>
      </c>
      <c r="J2557" s="48">
        <v>4</v>
      </c>
      <c r="K2557" s="48">
        <v>1</v>
      </c>
      <c r="R2557" s="46">
        <f t="shared" si="246"/>
        <v>1</v>
      </c>
      <c r="S2557" s="46">
        <f t="shared" si="247"/>
        <v>0</v>
      </c>
      <c r="T2557" s="46">
        <f t="shared" si="251"/>
        <v>80</v>
      </c>
      <c r="U2557" s="46">
        <f t="shared" si="248"/>
        <v>80</v>
      </c>
      <c r="V2557" s="54">
        <f t="shared" si="249"/>
        <v>69.65517241379311</v>
      </c>
    </row>
    <row r="2558" spans="1:22" x14ac:dyDescent="0.2">
      <c r="A2558" s="46" t="s">
        <v>17</v>
      </c>
      <c r="B2558" s="46" t="s">
        <v>51</v>
      </c>
      <c r="C2558" s="46" t="s">
        <v>92</v>
      </c>
      <c r="D2558" s="46" t="s">
        <v>178</v>
      </c>
      <c r="E2558" s="46">
        <v>3</v>
      </c>
      <c r="F2558" s="46" t="s">
        <v>61</v>
      </c>
      <c r="G2558" s="46">
        <v>2</v>
      </c>
      <c r="H2558" s="47" t="s">
        <v>66</v>
      </c>
      <c r="I2558" s="47" t="s">
        <v>127</v>
      </c>
      <c r="J2558" s="48">
        <v>4</v>
      </c>
      <c r="K2558" s="48">
        <v>1</v>
      </c>
      <c r="N2558" s="48">
        <v>1</v>
      </c>
      <c r="R2558" s="46">
        <f t="shared" si="246"/>
        <v>1</v>
      </c>
      <c r="S2558" s="46">
        <f t="shared" si="247"/>
        <v>0</v>
      </c>
      <c r="T2558" s="46">
        <f t="shared" si="251"/>
        <v>80</v>
      </c>
      <c r="U2558" s="46">
        <f t="shared" si="248"/>
        <v>75</v>
      </c>
      <c r="V2558" s="54">
        <f t="shared" si="249"/>
        <v>69.65517241379311</v>
      </c>
    </row>
    <row r="2559" spans="1:22" x14ac:dyDescent="0.2">
      <c r="A2559" s="46" t="s">
        <v>17</v>
      </c>
      <c r="B2559" s="46" t="s">
        <v>51</v>
      </c>
      <c r="C2559" s="46" t="s">
        <v>92</v>
      </c>
      <c r="D2559" s="46" t="s">
        <v>178</v>
      </c>
      <c r="E2559" s="46">
        <v>3</v>
      </c>
      <c r="F2559" s="46" t="s">
        <v>61</v>
      </c>
      <c r="G2559" s="46">
        <v>1</v>
      </c>
      <c r="H2559" s="47" t="s">
        <v>71</v>
      </c>
      <c r="I2559" s="47" t="s">
        <v>101</v>
      </c>
      <c r="J2559" s="48">
        <v>4</v>
      </c>
      <c r="K2559" s="48">
        <v>1</v>
      </c>
      <c r="R2559" s="46">
        <f t="shared" si="246"/>
        <v>1</v>
      </c>
      <c r="S2559" s="46">
        <f t="shared" si="247"/>
        <v>0</v>
      </c>
      <c r="T2559" s="46">
        <f t="shared" si="251"/>
        <v>80</v>
      </c>
      <c r="U2559" s="46">
        <f t="shared" si="248"/>
        <v>80</v>
      </c>
      <c r="V2559" s="54">
        <f t="shared" si="249"/>
        <v>69.65517241379311</v>
      </c>
    </row>
    <row r="2560" spans="1:22" x14ac:dyDescent="0.2">
      <c r="A2560" s="46" t="s">
        <v>17</v>
      </c>
      <c r="B2560" s="46" t="s">
        <v>51</v>
      </c>
      <c r="C2560" s="46" t="s">
        <v>92</v>
      </c>
      <c r="D2560" s="46" t="s">
        <v>178</v>
      </c>
      <c r="E2560" s="46">
        <v>3</v>
      </c>
      <c r="F2560" s="46" t="s">
        <v>60</v>
      </c>
      <c r="G2560" s="46">
        <v>2</v>
      </c>
      <c r="H2560" s="47">
        <v>2</v>
      </c>
      <c r="I2560" s="47" t="s">
        <v>127</v>
      </c>
      <c r="J2560" s="48">
        <v>4</v>
      </c>
      <c r="K2560" s="48">
        <v>0</v>
      </c>
      <c r="R2560" s="46">
        <f t="shared" si="246"/>
        <v>1</v>
      </c>
      <c r="S2560" s="46">
        <f t="shared" si="247"/>
        <v>0</v>
      </c>
      <c r="T2560" s="46">
        <f t="shared" si="251"/>
        <v>90</v>
      </c>
      <c r="U2560" s="46">
        <f t="shared" si="248"/>
        <v>90</v>
      </c>
      <c r="V2560" s="54">
        <f t="shared" si="249"/>
        <v>69.65517241379311</v>
      </c>
    </row>
    <row r="2561" spans="1:22" x14ac:dyDescent="0.2">
      <c r="A2561" s="46" t="s">
        <v>17</v>
      </c>
      <c r="B2561" s="46" t="s">
        <v>51</v>
      </c>
      <c r="C2561" s="46" t="s">
        <v>92</v>
      </c>
      <c r="D2561" s="46" t="s">
        <v>178</v>
      </c>
      <c r="E2561" s="46">
        <v>3</v>
      </c>
      <c r="F2561" s="46" t="s">
        <v>60</v>
      </c>
      <c r="G2561" s="46">
        <v>3</v>
      </c>
      <c r="H2561" s="47">
        <v>19</v>
      </c>
      <c r="I2561" s="47" t="s">
        <v>116</v>
      </c>
      <c r="J2561" s="48">
        <v>4</v>
      </c>
      <c r="K2561" s="48">
        <v>0</v>
      </c>
      <c r="R2561" s="46">
        <f t="shared" si="246"/>
        <v>1</v>
      </c>
      <c r="S2561" s="46">
        <f t="shared" si="247"/>
        <v>0</v>
      </c>
      <c r="T2561" s="46">
        <f t="shared" si="251"/>
        <v>90</v>
      </c>
      <c r="U2561" s="46">
        <f t="shared" si="248"/>
        <v>90</v>
      </c>
      <c r="V2561" s="54">
        <f t="shared" si="249"/>
        <v>69.65517241379311</v>
      </c>
    </row>
    <row r="2562" spans="1:22" x14ac:dyDescent="0.2">
      <c r="A2562" s="46" t="s">
        <v>17</v>
      </c>
      <c r="B2562" s="46" t="s">
        <v>51</v>
      </c>
      <c r="C2562" s="46" t="s">
        <v>92</v>
      </c>
      <c r="D2562" s="46" t="s">
        <v>178</v>
      </c>
      <c r="E2562" s="46">
        <v>4</v>
      </c>
      <c r="F2562" s="46" t="s">
        <v>60</v>
      </c>
      <c r="G2562" s="46">
        <v>4</v>
      </c>
      <c r="H2562" s="47">
        <v>32</v>
      </c>
      <c r="I2562" s="47" t="s">
        <v>102</v>
      </c>
      <c r="J2562" s="48">
        <v>4</v>
      </c>
      <c r="K2562" s="48">
        <v>0</v>
      </c>
      <c r="R2562" s="46">
        <f t="shared" ref="R2562:R2625" si="252">IF(J2562=4,1,0)</f>
        <v>1</v>
      </c>
      <c r="S2562" s="46">
        <f t="shared" ref="S2562:S2625" si="253">IF(K2562=3,1,0)</f>
        <v>0</v>
      </c>
      <c r="T2562" s="46">
        <f t="shared" si="251"/>
        <v>90</v>
      </c>
      <c r="U2562" s="46">
        <f t="shared" ref="U2562:U2625" si="254">T2562+M2562*(20) + (SUM(O2562:Q2562)*(10)) - L2562*(5) - N2562*(5)</f>
        <v>90</v>
      </c>
      <c r="V2562" s="54">
        <f t="shared" ref="V2562:V2625" si="255">AVERAGEIFS(U:U,A:A,A2562,F:F,"Pre")</f>
        <v>69.65517241379311</v>
      </c>
    </row>
    <row r="2563" spans="1:22" x14ac:dyDescent="0.2">
      <c r="A2563" s="46" t="s">
        <v>17</v>
      </c>
      <c r="B2563" s="46" t="s">
        <v>51</v>
      </c>
      <c r="C2563" s="46" t="s">
        <v>92</v>
      </c>
      <c r="D2563" s="46" t="s">
        <v>178</v>
      </c>
      <c r="E2563" s="46">
        <v>4</v>
      </c>
      <c r="F2563" s="46" t="s">
        <v>60</v>
      </c>
      <c r="G2563" s="46">
        <v>3</v>
      </c>
      <c r="H2563" s="47">
        <v>43</v>
      </c>
      <c r="I2563" s="47" t="s">
        <v>159</v>
      </c>
      <c r="J2563" s="48">
        <v>4</v>
      </c>
      <c r="K2563" s="48">
        <v>0</v>
      </c>
      <c r="R2563" s="46">
        <f t="shared" si="252"/>
        <v>1</v>
      </c>
      <c r="S2563" s="46">
        <f t="shared" si="253"/>
        <v>0</v>
      </c>
      <c r="T2563" s="46">
        <f t="shared" si="251"/>
        <v>90</v>
      </c>
      <c r="U2563" s="46">
        <f t="shared" si="254"/>
        <v>90</v>
      </c>
      <c r="V2563" s="54">
        <f t="shared" si="255"/>
        <v>69.65517241379311</v>
      </c>
    </row>
    <row r="2564" spans="1:22" x14ac:dyDescent="0.2">
      <c r="A2564" s="46" t="s">
        <v>17</v>
      </c>
      <c r="B2564" s="46" t="s">
        <v>51</v>
      </c>
      <c r="C2564" s="46" t="s">
        <v>92</v>
      </c>
      <c r="D2564" s="46" t="s">
        <v>178</v>
      </c>
      <c r="E2564" s="46">
        <v>1</v>
      </c>
      <c r="F2564" s="46" t="s">
        <v>60</v>
      </c>
      <c r="G2564" s="46">
        <v>4</v>
      </c>
      <c r="H2564" s="47">
        <v>44</v>
      </c>
      <c r="I2564" s="47" t="s">
        <v>102</v>
      </c>
      <c r="J2564" s="48">
        <v>4</v>
      </c>
      <c r="K2564" s="48">
        <v>0</v>
      </c>
      <c r="R2564" s="46">
        <f t="shared" si="252"/>
        <v>1</v>
      </c>
      <c r="S2564" s="46">
        <f t="shared" si="253"/>
        <v>0</v>
      </c>
      <c r="T2564" s="46">
        <f t="shared" si="251"/>
        <v>90</v>
      </c>
      <c r="U2564" s="46">
        <f t="shared" si="254"/>
        <v>90</v>
      </c>
      <c r="V2564" s="54">
        <f t="shared" si="255"/>
        <v>69.65517241379311</v>
      </c>
    </row>
    <row r="2565" spans="1:22" x14ac:dyDescent="0.2">
      <c r="A2565" s="46" t="s">
        <v>17</v>
      </c>
      <c r="B2565" s="46" t="s">
        <v>51</v>
      </c>
      <c r="C2565" s="46" t="s">
        <v>92</v>
      </c>
      <c r="D2565" s="46" t="s">
        <v>178</v>
      </c>
      <c r="E2565" s="46">
        <v>3</v>
      </c>
      <c r="F2565" s="46" t="s">
        <v>60</v>
      </c>
      <c r="G2565" s="46">
        <v>3</v>
      </c>
      <c r="H2565" s="47">
        <v>47</v>
      </c>
      <c r="I2565" s="47" t="s">
        <v>116</v>
      </c>
      <c r="J2565" s="48">
        <v>4</v>
      </c>
      <c r="K2565" s="48">
        <v>0</v>
      </c>
      <c r="R2565" s="46">
        <f t="shared" si="252"/>
        <v>1</v>
      </c>
      <c r="S2565" s="46">
        <f t="shared" si="253"/>
        <v>0</v>
      </c>
      <c r="T2565" s="46">
        <f t="shared" si="251"/>
        <v>90</v>
      </c>
      <c r="U2565" s="46">
        <f t="shared" si="254"/>
        <v>90</v>
      </c>
      <c r="V2565" s="54">
        <f t="shared" si="255"/>
        <v>69.65517241379311</v>
      </c>
    </row>
    <row r="2566" spans="1:22" x14ac:dyDescent="0.2">
      <c r="A2566" s="46" t="s">
        <v>17</v>
      </c>
      <c r="B2566" s="46" t="s">
        <v>51</v>
      </c>
      <c r="C2566" s="46" t="s">
        <v>92</v>
      </c>
      <c r="D2566" s="46" t="s">
        <v>178</v>
      </c>
      <c r="E2566" s="46">
        <v>2</v>
      </c>
      <c r="F2566" s="46" t="s">
        <v>60</v>
      </c>
      <c r="G2566" s="46">
        <v>4</v>
      </c>
      <c r="H2566" s="47">
        <v>48</v>
      </c>
      <c r="I2566" s="47" t="s">
        <v>102</v>
      </c>
      <c r="J2566" s="48">
        <v>4</v>
      </c>
      <c r="K2566" s="48">
        <v>0</v>
      </c>
      <c r="R2566" s="46">
        <f t="shared" si="252"/>
        <v>1</v>
      </c>
      <c r="S2566" s="46">
        <f t="shared" si="253"/>
        <v>0</v>
      </c>
      <c r="T2566" s="46">
        <f t="shared" si="251"/>
        <v>90</v>
      </c>
      <c r="U2566" s="46">
        <f t="shared" si="254"/>
        <v>90</v>
      </c>
      <c r="V2566" s="54">
        <f t="shared" si="255"/>
        <v>69.65517241379311</v>
      </c>
    </row>
    <row r="2567" spans="1:22" x14ac:dyDescent="0.2">
      <c r="A2567" s="46" t="s">
        <v>17</v>
      </c>
      <c r="B2567" s="46" t="s">
        <v>51</v>
      </c>
      <c r="C2567" s="46" t="s">
        <v>92</v>
      </c>
      <c r="D2567" s="46" t="s">
        <v>178</v>
      </c>
      <c r="E2567" s="46">
        <v>4</v>
      </c>
      <c r="F2567" s="46" t="s">
        <v>61</v>
      </c>
      <c r="G2567" s="46">
        <v>1</v>
      </c>
      <c r="H2567" s="47" t="s">
        <v>78</v>
      </c>
      <c r="I2567" s="47" t="s">
        <v>101</v>
      </c>
      <c r="J2567" s="48">
        <v>3</v>
      </c>
      <c r="K2567" s="48">
        <v>1</v>
      </c>
      <c r="R2567" s="46">
        <f t="shared" si="252"/>
        <v>0</v>
      </c>
      <c r="S2567" s="46">
        <f t="shared" si="253"/>
        <v>0</v>
      </c>
      <c r="T2567" s="46">
        <f t="shared" si="251"/>
        <v>60</v>
      </c>
      <c r="U2567" s="46">
        <f t="shared" si="254"/>
        <v>60</v>
      </c>
      <c r="V2567" s="54">
        <f t="shared" si="255"/>
        <v>69.65517241379311</v>
      </c>
    </row>
    <row r="2568" spans="1:22" x14ac:dyDescent="0.2">
      <c r="A2568" s="46" t="s">
        <v>17</v>
      </c>
      <c r="B2568" s="46" t="s">
        <v>51</v>
      </c>
      <c r="C2568" s="46" t="s">
        <v>92</v>
      </c>
      <c r="D2568" s="46" t="s">
        <v>178</v>
      </c>
      <c r="E2568" s="46">
        <v>4</v>
      </c>
      <c r="F2568" s="46" t="s">
        <v>61</v>
      </c>
      <c r="G2568" s="46">
        <v>1</v>
      </c>
      <c r="H2568" s="47" t="s">
        <v>78</v>
      </c>
      <c r="I2568" s="47" t="s">
        <v>101</v>
      </c>
      <c r="J2568" s="48">
        <v>1</v>
      </c>
      <c r="K2568" s="48">
        <v>2</v>
      </c>
      <c r="R2568" s="46">
        <f t="shared" si="252"/>
        <v>0</v>
      </c>
      <c r="S2568" s="46">
        <f t="shared" si="253"/>
        <v>0</v>
      </c>
      <c r="T2568" s="46">
        <f t="shared" si="251"/>
        <v>10</v>
      </c>
      <c r="U2568" s="46">
        <f t="shared" si="254"/>
        <v>10</v>
      </c>
      <c r="V2568" s="54">
        <f t="shared" si="255"/>
        <v>69.65517241379311</v>
      </c>
    </row>
    <row r="2569" spans="1:22" x14ac:dyDescent="0.2">
      <c r="A2569" s="46" t="s">
        <v>17</v>
      </c>
      <c r="B2569" s="46" t="s">
        <v>51</v>
      </c>
      <c r="C2569" s="46" t="s">
        <v>92</v>
      </c>
      <c r="D2569" s="46" t="s">
        <v>178</v>
      </c>
      <c r="E2569" s="46">
        <v>4</v>
      </c>
      <c r="F2569" s="46" t="s">
        <v>61</v>
      </c>
      <c r="G2569" s="46">
        <v>1</v>
      </c>
      <c r="H2569" s="47" t="s">
        <v>78</v>
      </c>
      <c r="I2569" s="47" t="s">
        <v>101</v>
      </c>
      <c r="J2569" s="48">
        <v>3</v>
      </c>
      <c r="K2569" s="48">
        <v>1</v>
      </c>
      <c r="R2569" s="46">
        <f t="shared" si="252"/>
        <v>0</v>
      </c>
      <c r="S2569" s="46">
        <f t="shared" si="253"/>
        <v>0</v>
      </c>
      <c r="T2569" s="46">
        <f t="shared" si="251"/>
        <v>60</v>
      </c>
      <c r="U2569" s="46">
        <f t="shared" si="254"/>
        <v>60</v>
      </c>
      <c r="V2569" s="54">
        <f t="shared" si="255"/>
        <v>69.65517241379311</v>
      </c>
    </row>
    <row r="2570" spans="1:22" x14ac:dyDescent="0.2">
      <c r="A2570" s="46" t="s">
        <v>17</v>
      </c>
      <c r="B2570" s="46" t="s">
        <v>51</v>
      </c>
      <c r="C2570" s="46" t="s">
        <v>92</v>
      </c>
      <c r="D2570" s="46" t="s">
        <v>178</v>
      </c>
      <c r="E2570" s="46">
        <v>5</v>
      </c>
      <c r="F2570" s="46" t="s">
        <v>60</v>
      </c>
      <c r="G2570" s="46">
        <v>1</v>
      </c>
      <c r="H2570" s="47">
        <v>5</v>
      </c>
      <c r="I2570" s="47" t="s">
        <v>101</v>
      </c>
      <c r="J2570" s="48">
        <v>4</v>
      </c>
      <c r="K2570" s="48">
        <v>2</v>
      </c>
      <c r="R2570" s="46">
        <f t="shared" si="252"/>
        <v>1</v>
      </c>
      <c r="S2570" s="46">
        <f t="shared" si="253"/>
        <v>0</v>
      </c>
      <c r="T2570" s="46">
        <f t="shared" si="251"/>
        <v>70</v>
      </c>
      <c r="U2570" s="46">
        <f t="shared" si="254"/>
        <v>70</v>
      </c>
      <c r="V2570" s="54">
        <f t="shared" si="255"/>
        <v>69.65517241379311</v>
      </c>
    </row>
    <row r="2571" spans="1:22" x14ac:dyDescent="0.2">
      <c r="A2571" s="46" t="s">
        <v>17</v>
      </c>
      <c r="B2571" s="46" t="s">
        <v>51</v>
      </c>
      <c r="C2571" s="46" t="s">
        <v>92</v>
      </c>
      <c r="D2571" s="46" t="s">
        <v>178</v>
      </c>
      <c r="E2571" s="46">
        <v>5</v>
      </c>
      <c r="F2571" s="46" t="s">
        <v>60</v>
      </c>
      <c r="G2571" s="46">
        <v>2</v>
      </c>
      <c r="H2571" s="47">
        <v>10</v>
      </c>
      <c r="I2571" s="47" t="s">
        <v>127</v>
      </c>
      <c r="J2571" s="48">
        <v>3</v>
      </c>
      <c r="K2571" s="48">
        <v>2</v>
      </c>
      <c r="R2571" s="46">
        <f t="shared" si="252"/>
        <v>0</v>
      </c>
      <c r="S2571" s="46">
        <f t="shared" si="253"/>
        <v>0</v>
      </c>
      <c r="T2571" s="46">
        <f t="shared" si="251"/>
        <v>50</v>
      </c>
      <c r="U2571" s="46">
        <f t="shared" si="254"/>
        <v>50</v>
      </c>
      <c r="V2571" s="54">
        <f t="shared" si="255"/>
        <v>69.65517241379311</v>
      </c>
    </row>
    <row r="2572" spans="1:22" x14ac:dyDescent="0.2">
      <c r="A2572" s="46" t="s">
        <v>17</v>
      </c>
      <c r="B2572" s="46" t="s">
        <v>51</v>
      </c>
      <c r="C2572" s="46" t="s">
        <v>92</v>
      </c>
      <c r="D2572" s="46" t="s">
        <v>178</v>
      </c>
      <c r="E2572" s="46">
        <v>5</v>
      </c>
      <c r="F2572" s="46" t="s">
        <v>60</v>
      </c>
      <c r="G2572" s="46">
        <v>3</v>
      </c>
      <c r="H2572" s="47">
        <v>19</v>
      </c>
      <c r="I2572" s="47" t="s">
        <v>159</v>
      </c>
      <c r="J2572" s="48">
        <v>0</v>
      </c>
      <c r="K2572" s="48">
        <v>3</v>
      </c>
      <c r="R2572" s="46">
        <f t="shared" si="252"/>
        <v>0</v>
      </c>
      <c r="S2572" s="46">
        <f t="shared" si="253"/>
        <v>1</v>
      </c>
      <c r="T2572" s="46">
        <f t="shared" si="251"/>
        <v>-20</v>
      </c>
      <c r="U2572" s="46">
        <f t="shared" si="254"/>
        <v>-20</v>
      </c>
      <c r="V2572" s="54">
        <f t="shared" si="255"/>
        <v>69.65517241379311</v>
      </c>
    </row>
    <row r="2573" spans="1:22" x14ac:dyDescent="0.2">
      <c r="A2573" s="46" t="s">
        <v>17</v>
      </c>
      <c r="B2573" s="46" t="s">
        <v>51</v>
      </c>
      <c r="C2573" s="46" t="s">
        <v>92</v>
      </c>
      <c r="D2573" s="46" t="s">
        <v>178</v>
      </c>
      <c r="E2573" s="46">
        <v>5</v>
      </c>
      <c r="F2573" s="46" t="s">
        <v>60</v>
      </c>
      <c r="G2573" s="46">
        <v>1</v>
      </c>
      <c r="H2573" s="47">
        <v>25</v>
      </c>
      <c r="I2573" s="47" t="s">
        <v>101</v>
      </c>
      <c r="J2573" s="48">
        <v>3</v>
      </c>
      <c r="K2573" s="48">
        <v>1</v>
      </c>
      <c r="R2573" s="46">
        <f t="shared" si="252"/>
        <v>0</v>
      </c>
      <c r="S2573" s="46">
        <f t="shared" si="253"/>
        <v>0</v>
      </c>
      <c r="T2573" s="46">
        <f t="shared" si="251"/>
        <v>60</v>
      </c>
      <c r="U2573" s="46">
        <f t="shared" si="254"/>
        <v>60</v>
      </c>
      <c r="V2573" s="54">
        <f t="shared" si="255"/>
        <v>69.65517241379311</v>
      </c>
    </row>
    <row r="2574" spans="1:22" x14ac:dyDescent="0.2">
      <c r="A2574" s="46" t="s">
        <v>17</v>
      </c>
      <c r="B2574" s="46" t="s">
        <v>51</v>
      </c>
      <c r="C2574" s="46" t="s">
        <v>92</v>
      </c>
      <c r="D2574" s="46" t="s">
        <v>178</v>
      </c>
      <c r="E2574" s="46">
        <v>5</v>
      </c>
      <c r="F2574" s="46" t="s">
        <v>60</v>
      </c>
      <c r="G2574" s="46">
        <v>2</v>
      </c>
      <c r="H2574" s="47">
        <v>30</v>
      </c>
      <c r="I2574" s="47" t="s">
        <v>127</v>
      </c>
      <c r="J2574" s="48">
        <v>4</v>
      </c>
      <c r="K2574" s="48">
        <v>1</v>
      </c>
      <c r="R2574" s="46">
        <f t="shared" si="252"/>
        <v>1</v>
      </c>
      <c r="S2574" s="46">
        <f t="shared" si="253"/>
        <v>0</v>
      </c>
      <c r="T2574" s="46">
        <f t="shared" si="251"/>
        <v>80</v>
      </c>
      <c r="U2574" s="46">
        <f t="shared" si="254"/>
        <v>80</v>
      </c>
      <c r="V2574" s="54">
        <f t="shared" si="255"/>
        <v>69.65517241379311</v>
      </c>
    </row>
    <row r="2575" spans="1:22" x14ac:dyDescent="0.2">
      <c r="A2575" s="46" t="s">
        <v>181</v>
      </c>
      <c r="B2575" s="46" t="s">
        <v>117</v>
      </c>
      <c r="C2575" s="46" t="s">
        <v>54</v>
      </c>
      <c r="D2575" s="46" t="s">
        <v>178</v>
      </c>
      <c r="E2575" s="46">
        <v>1</v>
      </c>
      <c r="F2575" s="46" t="s">
        <v>60</v>
      </c>
      <c r="G2575" s="46">
        <v>4</v>
      </c>
      <c r="H2575" s="47">
        <v>8</v>
      </c>
      <c r="I2575" s="47" t="s">
        <v>102</v>
      </c>
      <c r="J2575" s="48">
        <v>0</v>
      </c>
      <c r="K2575" s="48">
        <v>0</v>
      </c>
      <c r="L2575" s="48">
        <v>1</v>
      </c>
      <c r="R2575" s="46">
        <f t="shared" si="252"/>
        <v>0</v>
      </c>
      <c r="S2575" s="46">
        <f t="shared" si="253"/>
        <v>0</v>
      </c>
      <c r="T2575" s="46">
        <f t="shared" si="251"/>
        <v>0</v>
      </c>
      <c r="U2575" s="46">
        <f t="shared" si="254"/>
        <v>-5</v>
      </c>
      <c r="V2575" s="54">
        <f t="shared" si="255"/>
        <v>41</v>
      </c>
    </row>
    <row r="2576" spans="1:22" x14ac:dyDescent="0.2">
      <c r="A2576" s="46" t="s">
        <v>181</v>
      </c>
      <c r="B2576" s="46" t="s">
        <v>117</v>
      </c>
      <c r="C2576" s="46" t="s">
        <v>54</v>
      </c>
      <c r="D2576" s="46" t="s">
        <v>178</v>
      </c>
      <c r="E2576" s="46">
        <v>1</v>
      </c>
      <c r="F2576" s="46" t="s">
        <v>60</v>
      </c>
      <c r="G2576" s="46">
        <v>3</v>
      </c>
      <c r="H2576" s="47">
        <v>31</v>
      </c>
      <c r="I2576" s="47" t="s">
        <v>116</v>
      </c>
      <c r="J2576" s="48">
        <v>0</v>
      </c>
      <c r="K2576" s="48">
        <v>0</v>
      </c>
      <c r="R2576" s="46">
        <f t="shared" si="252"/>
        <v>0</v>
      </c>
      <c r="S2576" s="46">
        <f t="shared" si="253"/>
        <v>0</v>
      </c>
      <c r="T2576" s="46">
        <f t="shared" si="251"/>
        <v>0</v>
      </c>
      <c r="U2576" s="46">
        <f t="shared" si="254"/>
        <v>0</v>
      </c>
      <c r="V2576" s="54">
        <f t="shared" si="255"/>
        <v>41</v>
      </c>
    </row>
    <row r="2577" spans="1:22" x14ac:dyDescent="0.2">
      <c r="A2577" s="46" t="s">
        <v>181</v>
      </c>
      <c r="B2577" s="46" t="s">
        <v>120</v>
      </c>
      <c r="C2577" s="46" t="s">
        <v>54</v>
      </c>
      <c r="D2577" s="46" t="s">
        <v>178</v>
      </c>
      <c r="E2577" s="46">
        <v>4</v>
      </c>
      <c r="F2577" s="46" t="s">
        <v>60</v>
      </c>
      <c r="G2577" s="46">
        <v>2</v>
      </c>
      <c r="H2577" s="47">
        <v>34</v>
      </c>
      <c r="I2577" s="47" t="s">
        <v>127</v>
      </c>
      <c r="J2577" s="48">
        <v>0</v>
      </c>
      <c r="K2577" s="48">
        <v>1</v>
      </c>
      <c r="M2577" s="48">
        <v>1</v>
      </c>
      <c r="R2577" s="46">
        <f t="shared" si="252"/>
        <v>0</v>
      </c>
      <c r="S2577" s="46">
        <f t="shared" si="253"/>
        <v>0</v>
      </c>
      <c r="T2577" s="46">
        <f t="shared" si="251"/>
        <v>0</v>
      </c>
      <c r="U2577" s="46">
        <f t="shared" si="254"/>
        <v>20</v>
      </c>
      <c r="V2577" s="54">
        <f t="shared" si="255"/>
        <v>41</v>
      </c>
    </row>
    <row r="2578" spans="1:22" x14ac:dyDescent="0.2">
      <c r="A2578" s="46" t="s">
        <v>181</v>
      </c>
      <c r="B2578" s="46" t="s">
        <v>117</v>
      </c>
      <c r="C2578" s="46" t="s">
        <v>54</v>
      </c>
      <c r="D2578" s="46" t="s">
        <v>178</v>
      </c>
      <c r="E2578" s="46">
        <v>1</v>
      </c>
      <c r="F2578" s="46" t="s">
        <v>60</v>
      </c>
      <c r="G2578" s="46">
        <v>1</v>
      </c>
      <c r="H2578" s="47">
        <v>37</v>
      </c>
      <c r="I2578" s="47" t="s">
        <v>101</v>
      </c>
      <c r="J2578" s="48">
        <v>0</v>
      </c>
      <c r="K2578" s="48">
        <v>1</v>
      </c>
      <c r="R2578" s="46">
        <f t="shared" si="252"/>
        <v>0</v>
      </c>
      <c r="S2578" s="46">
        <f t="shared" si="253"/>
        <v>0</v>
      </c>
      <c r="T2578" s="46">
        <f t="shared" si="251"/>
        <v>0</v>
      </c>
      <c r="U2578" s="46">
        <f t="shared" si="254"/>
        <v>0</v>
      </c>
      <c r="V2578" s="54">
        <f t="shared" si="255"/>
        <v>41</v>
      </c>
    </row>
    <row r="2579" spans="1:22" x14ac:dyDescent="0.2">
      <c r="A2579" s="46" t="s">
        <v>181</v>
      </c>
      <c r="B2579" s="46" t="s">
        <v>120</v>
      </c>
      <c r="C2579" s="46" t="s">
        <v>54</v>
      </c>
      <c r="D2579" s="46" t="s">
        <v>178</v>
      </c>
      <c r="E2579" s="46">
        <v>3</v>
      </c>
      <c r="F2579" s="46" t="s">
        <v>60</v>
      </c>
      <c r="G2579" s="46">
        <v>3</v>
      </c>
      <c r="H2579" s="47">
        <v>43</v>
      </c>
      <c r="I2579" s="47" t="s">
        <v>116</v>
      </c>
      <c r="J2579" s="48">
        <v>0</v>
      </c>
      <c r="K2579" s="48">
        <v>0</v>
      </c>
      <c r="M2579" s="48">
        <v>1</v>
      </c>
      <c r="R2579" s="46">
        <f t="shared" si="252"/>
        <v>0</v>
      </c>
      <c r="S2579" s="46">
        <f t="shared" si="253"/>
        <v>0</v>
      </c>
      <c r="T2579" s="46">
        <f t="shared" si="251"/>
        <v>0</v>
      </c>
      <c r="U2579" s="46">
        <f t="shared" si="254"/>
        <v>20</v>
      </c>
      <c r="V2579" s="54">
        <f t="shared" si="255"/>
        <v>41</v>
      </c>
    </row>
    <row r="2580" spans="1:22" x14ac:dyDescent="0.2">
      <c r="A2580" s="46" t="s">
        <v>181</v>
      </c>
      <c r="B2580" s="46" t="s">
        <v>120</v>
      </c>
      <c r="C2580" s="46" t="s">
        <v>54</v>
      </c>
      <c r="D2580" s="46" t="s">
        <v>178</v>
      </c>
      <c r="E2580" s="46">
        <v>2</v>
      </c>
      <c r="F2580" s="46" t="s">
        <v>60</v>
      </c>
      <c r="G2580" s="46">
        <v>2</v>
      </c>
      <c r="H2580" s="47">
        <v>50</v>
      </c>
      <c r="I2580" s="47" t="s">
        <v>127</v>
      </c>
      <c r="J2580" s="48">
        <v>0</v>
      </c>
      <c r="K2580" s="48">
        <v>1</v>
      </c>
      <c r="M2580" s="48">
        <v>1</v>
      </c>
      <c r="R2580" s="46">
        <f t="shared" si="252"/>
        <v>0</v>
      </c>
      <c r="S2580" s="46">
        <f t="shared" si="253"/>
        <v>0</v>
      </c>
      <c r="T2580" s="46">
        <f t="shared" ref="T2580:T2611" si="256">quizscore(J2580,K2580)</f>
        <v>0</v>
      </c>
      <c r="U2580" s="46">
        <f t="shared" si="254"/>
        <v>20</v>
      </c>
      <c r="V2580" s="54">
        <f t="shared" si="255"/>
        <v>41</v>
      </c>
    </row>
    <row r="2581" spans="1:22" x14ac:dyDescent="0.2">
      <c r="A2581" s="46" t="s">
        <v>181</v>
      </c>
      <c r="B2581" s="46" t="s">
        <v>117</v>
      </c>
      <c r="C2581" s="46" t="s">
        <v>54</v>
      </c>
      <c r="D2581" s="46" t="s">
        <v>178</v>
      </c>
      <c r="E2581" s="46">
        <v>1</v>
      </c>
      <c r="F2581" s="46" t="s">
        <v>61</v>
      </c>
      <c r="G2581" s="46">
        <v>1</v>
      </c>
      <c r="H2581" s="47" t="s">
        <v>67</v>
      </c>
      <c r="I2581" s="47" t="s">
        <v>101</v>
      </c>
      <c r="J2581" s="48">
        <v>0</v>
      </c>
      <c r="K2581" s="48">
        <v>0</v>
      </c>
      <c r="R2581" s="46">
        <f t="shared" si="252"/>
        <v>0</v>
      </c>
      <c r="S2581" s="46">
        <f t="shared" si="253"/>
        <v>0</v>
      </c>
      <c r="T2581" s="46">
        <f t="shared" si="256"/>
        <v>0</v>
      </c>
      <c r="U2581" s="46">
        <f t="shared" si="254"/>
        <v>0</v>
      </c>
      <c r="V2581" s="54">
        <f t="shared" si="255"/>
        <v>41</v>
      </c>
    </row>
    <row r="2582" spans="1:22" x14ac:dyDescent="0.2">
      <c r="A2582" s="46" t="s">
        <v>181</v>
      </c>
      <c r="B2582" s="46" t="s">
        <v>120</v>
      </c>
      <c r="C2582" s="46" t="s">
        <v>54</v>
      </c>
      <c r="D2582" s="46" t="s">
        <v>178</v>
      </c>
      <c r="E2582" s="46">
        <v>2</v>
      </c>
      <c r="F2582" s="46" t="s">
        <v>62</v>
      </c>
      <c r="G2582" s="46">
        <v>2</v>
      </c>
      <c r="H2582" s="47" t="s">
        <v>81</v>
      </c>
      <c r="I2582" s="47" t="s">
        <v>127</v>
      </c>
      <c r="J2582" s="48">
        <v>1</v>
      </c>
      <c r="K2582" s="48">
        <v>3</v>
      </c>
      <c r="R2582" s="46">
        <f t="shared" si="252"/>
        <v>0</v>
      </c>
      <c r="S2582" s="46">
        <f t="shared" si="253"/>
        <v>1</v>
      </c>
      <c r="T2582" s="46">
        <f t="shared" si="256"/>
        <v>0</v>
      </c>
      <c r="U2582" s="46">
        <f t="shared" si="254"/>
        <v>0</v>
      </c>
      <c r="V2582" s="54">
        <f t="shared" si="255"/>
        <v>41</v>
      </c>
    </row>
    <row r="2583" spans="1:22" x14ac:dyDescent="0.2">
      <c r="A2583" s="46" t="s">
        <v>181</v>
      </c>
      <c r="B2583" s="46" t="s">
        <v>117</v>
      </c>
      <c r="C2583" s="46" t="s">
        <v>54</v>
      </c>
      <c r="D2583" s="46" t="s">
        <v>178</v>
      </c>
      <c r="E2583" s="46">
        <v>1</v>
      </c>
      <c r="F2583" s="46" t="s">
        <v>60</v>
      </c>
      <c r="G2583" s="46">
        <v>2</v>
      </c>
      <c r="H2583" s="47">
        <v>22</v>
      </c>
      <c r="I2583" s="47" t="s">
        <v>127</v>
      </c>
      <c r="J2583" s="48">
        <v>1</v>
      </c>
      <c r="K2583" s="48">
        <v>2</v>
      </c>
      <c r="O2583" s="48">
        <v>1</v>
      </c>
      <c r="R2583" s="46">
        <f t="shared" si="252"/>
        <v>0</v>
      </c>
      <c r="S2583" s="46">
        <f t="shared" si="253"/>
        <v>0</v>
      </c>
      <c r="T2583" s="46">
        <f t="shared" si="256"/>
        <v>10</v>
      </c>
      <c r="U2583" s="46">
        <f t="shared" si="254"/>
        <v>20</v>
      </c>
      <c r="V2583" s="54">
        <f t="shared" si="255"/>
        <v>41</v>
      </c>
    </row>
    <row r="2584" spans="1:22" x14ac:dyDescent="0.2">
      <c r="A2584" s="46" t="s">
        <v>181</v>
      </c>
      <c r="B2584" s="46" t="s">
        <v>117</v>
      </c>
      <c r="C2584" s="46" t="s">
        <v>54</v>
      </c>
      <c r="D2584" s="46" t="s">
        <v>178</v>
      </c>
      <c r="E2584" s="46">
        <v>1</v>
      </c>
      <c r="F2584" s="46" t="s">
        <v>61</v>
      </c>
      <c r="G2584" s="46">
        <v>2</v>
      </c>
      <c r="H2584" s="47" t="s">
        <v>76</v>
      </c>
      <c r="I2584" s="47" t="s">
        <v>127</v>
      </c>
      <c r="J2584" s="48">
        <v>1</v>
      </c>
      <c r="K2584" s="48">
        <v>2</v>
      </c>
      <c r="R2584" s="46">
        <f t="shared" si="252"/>
        <v>0</v>
      </c>
      <c r="S2584" s="46">
        <f t="shared" si="253"/>
        <v>0</v>
      </c>
      <c r="T2584" s="46">
        <f t="shared" si="256"/>
        <v>10</v>
      </c>
      <c r="U2584" s="46">
        <f t="shared" si="254"/>
        <v>10</v>
      </c>
      <c r="V2584" s="54">
        <f t="shared" si="255"/>
        <v>41</v>
      </c>
    </row>
    <row r="2585" spans="1:22" x14ac:dyDescent="0.2">
      <c r="A2585" s="46" t="s">
        <v>181</v>
      </c>
      <c r="B2585" s="46" t="s">
        <v>120</v>
      </c>
      <c r="C2585" s="46" t="s">
        <v>54</v>
      </c>
      <c r="D2585" s="46" t="s">
        <v>178</v>
      </c>
      <c r="E2585" s="46">
        <v>2</v>
      </c>
      <c r="F2585" s="46" t="s">
        <v>60</v>
      </c>
      <c r="G2585" s="46">
        <v>1</v>
      </c>
      <c r="H2585" s="47">
        <v>9</v>
      </c>
      <c r="I2585" s="47" t="s">
        <v>101</v>
      </c>
      <c r="J2585" s="48">
        <v>1</v>
      </c>
      <c r="K2585" s="48">
        <v>0</v>
      </c>
      <c r="R2585" s="46">
        <f t="shared" si="252"/>
        <v>0</v>
      </c>
      <c r="S2585" s="46">
        <f t="shared" si="253"/>
        <v>0</v>
      </c>
      <c r="T2585" s="46">
        <f t="shared" si="256"/>
        <v>20</v>
      </c>
      <c r="U2585" s="46">
        <f t="shared" si="254"/>
        <v>20</v>
      </c>
      <c r="V2585" s="54">
        <f t="shared" si="255"/>
        <v>41</v>
      </c>
    </row>
    <row r="2586" spans="1:22" x14ac:dyDescent="0.2">
      <c r="A2586" s="46" t="s">
        <v>181</v>
      </c>
      <c r="B2586" s="46" t="s">
        <v>120</v>
      </c>
      <c r="C2586" s="46" t="s">
        <v>54</v>
      </c>
      <c r="D2586" s="46" t="s">
        <v>178</v>
      </c>
      <c r="E2586" s="46">
        <v>3</v>
      </c>
      <c r="F2586" s="46" t="s">
        <v>60</v>
      </c>
      <c r="G2586" s="46">
        <v>1</v>
      </c>
      <c r="H2586" s="47">
        <v>29</v>
      </c>
      <c r="I2586" s="47" t="s">
        <v>101</v>
      </c>
      <c r="J2586" s="48">
        <v>1</v>
      </c>
      <c r="K2586" s="48">
        <v>0</v>
      </c>
      <c r="R2586" s="46">
        <f t="shared" si="252"/>
        <v>0</v>
      </c>
      <c r="S2586" s="46">
        <f t="shared" si="253"/>
        <v>0</v>
      </c>
      <c r="T2586" s="46">
        <f t="shared" si="256"/>
        <v>20</v>
      </c>
      <c r="U2586" s="46">
        <f t="shared" si="254"/>
        <v>20</v>
      </c>
      <c r="V2586" s="54">
        <f t="shared" si="255"/>
        <v>41</v>
      </c>
    </row>
    <row r="2587" spans="1:22" x14ac:dyDescent="0.2">
      <c r="A2587" s="46" t="s">
        <v>181</v>
      </c>
      <c r="B2587" s="46" t="s">
        <v>120</v>
      </c>
      <c r="C2587" s="46" t="s">
        <v>54</v>
      </c>
      <c r="D2587" s="46" t="s">
        <v>178</v>
      </c>
      <c r="E2587" s="46">
        <v>2</v>
      </c>
      <c r="F2587" s="46" t="s">
        <v>60</v>
      </c>
      <c r="G2587" s="46">
        <v>3</v>
      </c>
      <c r="H2587" s="47">
        <v>31</v>
      </c>
      <c r="I2587" s="47" t="s">
        <v>116</v>
      </c>
      <c r="J2587" s="48">
        <v>1</v>
      </c>
      <c r="K2587" s="48">
        <v>0</v>
      </c>
      <c r="M2587" s="48">
        <v>1</v>
      </c>
      <c r="R2587" s="46">
        <f t="shared" si="252"/>
        <v>0</v>
      </c>
      <c r="S2587" s="46">
        <f t="shared" si="253"/>
        <v>0</v>
      </c>
      <c r="T2587" s="46">
        <f t="shared" si="256"/>
        <v>20</v>
      </c>
      <c r="U2587" s="46">
        <f t="shared" si="254"/>
        <v>40</v>
      </c>
      <c r="V2587" s="54">
        <f t="shared" si="255"/>
        <v>41</v>
      </c>
    </row>
    <row r="2588" spans="1:22" x14ac:dyDescent="0.2">
      <c r="A2588" s="46" t="s">
        <v>181</v>
      </c>
      <c r="B2588" s="46" t="s">
        <v>120</v>
      </c>
      <c r="C2588" s="46" t="s">
        <v>54</v>
      </c>
      <c r="D2588" s="46" t="s">
        <v>178</v>
      </c>
      <c r="E2588" s="46">
        <v>4</v>
      </c>
      <c r="F2588" s="46" t="s">
        <v>60</v>
      </c>
      <c r="G2588" s="46">
        <v>1</v>
      </c>
      <c r="H2588" s="47">
        <v>17</v>
      </c>
      <c r="I2588" s="47" t="s">
        <v>101</v>
      </c>
      <c r="J2588" s="48">
        <v>2</v>
      </c>
      <c r="K2588" s="48">
        <v>2</v>
      </c>
      <c r="R2588" s="46">
        <f t="shared" si="252"/>
        <v>0</v>
      </c>
      <c r="S2588" s="46">
        <f t="shared" si="253"/>
        <v>0</v>
      </c>
      <c r="T2588" s="46">
        <f t="shared" si="256"/>
        <v>30</v>
      </c>
      <c r="U2588" s="46">
        <f t="shared" si="254"/>
        <v>30</v>
      </c>
      <c r="V2588" s="54">
        <f t="shared" si="255"/>
        <v>41</v>
      </c>
    </row>
    <row r="2589" spans="1:22" x14ac:dyDescent="0.2">
      <c r="A2589" s="46" t="s">
        <v>181</v>
      </c>
      <c r="B2589" s="46" t="s">
        <v>120</v>
      </c>
      <c r="C2589" s="46" t="s">
        <v>54</v>
      </c>
      <c r="D2589" s="46" t="s">
        <v>178</v>
      </c>
      <c r="E2589" s="46">
        <v>4</v>
      </c>
      <c r="F2589" s="46" t="s">
        <v>60</v>
      </c>
      <c r="G2589" s="46">
        <v>4</v>
      </c>
      <c r="H2589" s="47">
        <v>44</v>
      </c>
      <c r="I2589" s="47" t="s">
        <v>102</v>
      </c>
      <c r="J2589" s="48">
        <v>2</v>
      </c>
      <c r="K2589" s="48">
        <v>2</v>
      </c>
      <c r="R2589" s="46">
        <f t="shared" si="252"/>
        <v>0</v>
      </c>
      <c r="S2589" s="46">
        <f t="shared" si="253"/>
        <v>0</v>
      </c>
      <c r="T2589" s="46">
        <f t="shared" si="256"/>
        <v>30</v>
      </c>
      <c r="U2589" s="46">
        <f t="shared" si="254"/>
        <v>30</v>
      </c>
      <c r="V2589" s="54">
        <f t="shared" si="255"/>
        <v>41</v>
      </c>
    </row>
    <row r="2590" spans="1:22" x14ac:dyDescent="0.2">
      <c r="A2590" s="46" t="s">
        <v>181</v>
      </c>
      <c r="B2590" s="46" t="s">
        <v>120</v>
      </c>
      <c r="C2590" s="46" t="s">
        <v>54</v>
      </c>
      <c r="D2590" s="46" t="s">
        <v>178</v>
      </c>
      <c r="E2590" s="46">
        <v>4</v>
      </c>
      <c r="F2590" s="46" t="s">
        <v>63</v>
      </c>
      <c r="G2590" s="46">
        <v>4</v>
      </c>
      <c r="H2590" s="47" t="s">
        <v>147</v>
      </c>
      <c r="I2590" s="47" t="s">
        <v>102</v>
      </c>
      <c r="J2590" s="48">
        <v>2</v>
      </c>
      <c r="K2590" s="48">
        <v>2</v>
      </c>
      <c r="M2590" s="48">
        <v>1</v>
      </c>
      <c r="R2590" s="46">
        <f t="shared" si="252"/>
        <v>0</v>
      </c>
      <c r="S2590" s="46">
        <f t="shared" si="253"/>
        <v>0</v>
      </c>
      <c r="T2590" s="46">
        <f t="shared" si="256"/>
        <v>30</v>
      </c>
      <c r="U2590" s="46">
        <f t="shared" si="254"/>
        <v>50</v>
      </c>
      <c r="V2590" s="54">
        <f t="shared" si="255"/>
        <v>41</v>
      </c>
    </row>
    <row r="2591" spans="1:22" x14ac:dyDescent="0.2">
      <c r="A2591" s="46" t="s">
        <v>181</v>
      </c>
      <c r="B2591" s="46" t="s">
        <v>117</v>
      </c>
      <c r="C2591" s="46" t="s">
        <v>54</v>
      </c>
      <c r="D2591" s="46" t="s">
        <v>178</v>
      </c>
      <c r="E2591" s="46">
        <v>1</v>
      </c>
      <c r="F2591" s="46" t="s">
        <v>60</v>
      </c>
      <c r="G2591" s="46">
        <v>3</v>
      </c>
      <c r="H2591" s="47">
        <v>15</v>
      </c>
      <c r="I2591" s="47" t="s">
        <v>116</v>
      </c>
      <c r="J2591" s="48">
        <v>2</v>
      </c>
      <c r="K2591" s="48">
        <v>0</v>
      </c>
      <c r="L2591" s="48">
        <v>1</v>
      </c>
      <c r="O2591" s="48">
        <v>1</v>
      </c>
      <c r="R2591" s="46">
        <f t="shared" si="252"/>
        <v>0</v>
      </c>
      <c r="S2591" s="46">
        <f t="shared" si="253"/>
        <v>0</v>
      </c>
      <c r="T2591" s="46">
        <f t="shared" si="256"/>
        <v>40</v>
      </c>
      <c r="U2591" s="46">
        <f t="shared" si="254"/>
        <v>45</v>
      </c>
      <c r="V2591" s="54">
        <f t="shared" si="255"/>
        <v>41</v>
      </c>
    </row>
    <row r="2592" spans="1:22" x14ac:dyDescent="0.2">
      <c r="A2592" s="46" t="s">
        <v>181</v>
      </c>
      <c r="B2592" s="46" t="s">
        <v>120</v>
      </c>
      <c r="C2592" s="46" t="s">
        <v>54</v>
      </c>
      <c r="D2592" s="46" t="s">
        <v>178</v>
      </c>
      <c r="E2592" s="46">
        <v>3</v>
      </c>
      <c r="F2592" s="46" t="s">
        <v>60</v>
      </c>
      <c r="G2592" s="46">
        <v>4</v>
      </c>
      <c r="H2592" s="47">
        <v>16</v>
      </c>
      <c r="I2592" s="47" t="s">
        <v>102</v>
      </c>
      <c r="J2592" s="48">
        <v>2</v>
      </c>
      <c r="K2592" s="48">
        <v>0</v>
      </c>
      <c r="R2592" s="46">
        <f t="shared" si="252"/>
        <v>0</v>
      </c>
      <c r="S2592" s="46">
        <f t="shared" si="253"/>
        <v>0</v>
      </c>
      <c r="T2592" s="46">
        <f t="shared" si="256"/>
        <v>40</v>
      </c>
      <c r="U2592" s="46">
        <f t="shared" si="254"/>
        <v>40</v>
      </c>
      <c r="V2592" s="54">
        <f t="shared" si="255"/>
        <v>41</v>
      </c>
    </row>
    <row r="2593" spans="1:22" x14ac:dyDescent="0.2">
      <c r="A2593" s="46" t="s">
        <v>181</v>
      </c>
      <c r="B2593" s="46" t="s">
        <v>120</v>
      </c>
      <c r="C2593" s="46" t="s">
        <v>54</v>
      </c>
      <c r="D2593" s="46" t="s">
        <v>178</v>
      </c>
      <c r="E2593" s="46">
        <v>4</v>
      </c>
      <c r="F2593" s="46" t="s">
        <v>60</v>
      </c>
      <c r="G2593" s="46">
        <v>4</v>
      </c>
      <c r="H2593" s="47">
        <v>28</v>
      </c>
      <c r="I2593" s="47" t="s">
        <v>102</v>
      </c>
      <c r="J2593" s="48">
        <v>2</v>
      </c>
      <c r="K2593" s="48">
        <v>1</v>
      </c>
      <c r="R2593" s="46">
        <f t="shared" si="252"/>
        <v>0</v>
      </c>
      <c r="S2593" s="46">
        <f t="shared" si="253"/>
        <v>0</v>
      </c>
      <c r="T2593" s="46">
        <f t="shared" si="256"/>
        <v>40</v>
      </c>
      <c r="U2593" s="46">
        <f t="shared" si="254"/>
        <v>40</v>
      </c>
      <c r="V2593" s="54">
        <f t="shared" si="255"/>
        <v>41</v>
      </c>
    </row>
    <row r="2594" spans="1:22" x14ac:dyDescent="0.2">
      <c r="A2594" s="46" t="s">
        <v>181</v>
      </c>
      <c r="B2594" s="46" t="s">
        <v>120</v>
      </c>
      <c r="C2594" s="46" t="s">
        <v>54</v>
      </c>
      <c r="D2594" s="46" t="s">
        <v>178</v>
      </c>
      <c r="E2594" s="46">
        <v>3</v>
      </c>
      <c r="F2594" s="46" t="s">
        <v>60</v>
      </c>
      <c r="G2594" s="46">
        <v>2</v>
      </c>
      <c r="H2594" s="47">
        <v>38</v>
      </c>
      <c r="I2594" s="47" t="s">
        <v>127</v>
      </c>
      <c r="J2594" s="48">
        <v>2</v>
      </c>
      <c r="K2594" s="48">
        <v>1</v>
      </c>
      <c r="R2594" s="46">
        <f t="shared" si="252"/>
        <v>0</v>
      </c>
      <c r="S2594" s="46">
        <f t="shared" si="253"/>
        <v>0</v>
      </c>
      <c r="T2594" s="46">
        <f t="shared" si="256"/>
        <v>40</v>
      </c>
      <c r="U2594" s="46">
        <f t="shared" si="254"/>
        <v>40</v>
      </c>
      <c r="V2594" s="54">
        <f t="shared" si="255"/>
        <v>41</v>
      </c>
    </row>
    <row r="2595" spans="1:22" x14ac:dyDescent="0.2">
      <c r="A2595" s="46" t="s">
        <v>181</v>
      </c>
      <c r="B2595" s="46" t="s">
        <v>120</v>
      </c>
      <c r="C2595" s="46" t="s">
        <v>54</v>
      </c>
      <c r="D2595" s="46" t="s">
        <v>178</v>
      </c>
      <c r="E2595" s="46">
        <v>3</v>
      </c>
      <c r="F2595" s="46" t="s">
        <v>62</v>
      </c>
      <c r="G2595" s="46">
        <v>3</v>
      </c>
      <c r="H2595" s="47" t="s">
        <v>84</v>
      </c>
      <c r="I2595" s="47" t="s">
        <v>116</v>
      </c>
      <c r="J2595" s="48">
        <v>2</v>
      </c>
      <c r="K2595" s="48">
        <v>1</v>
      </c>
      <c r="R2595" s="46">
        <f t="shared" si="252"/>
        <v>0</v>
      </c>
      <c r="S2595" s="46">
        <f t="shared" si="253"/>
        <v>0</v>
      </c>
      <c r="T2595" s="46">
        <f t="shared" si="256"/>
        <v>40</v>
      </c>
      <c r="U2595" s="46">
        <f t="shared" si="254"/>
        <v>40</v>
      </c>
      <c r="V2595" s="54">
        <f t="shared" si="255"/>
        <v>41</v>
      </c>
    </row>
    <row r="2596" spans="1:22" x14ac:dyDescent="0.2">
      <c r="A2596" s="46" t="s">
        <v>181</v>
      </c>
      <c r="B2596" s="46" t="s">
        <v>120</v>
      </c>
      <c r="C2596" s="46" t="s">
        <v>54</v>
      </c>
      <c r="D2596" s="46" t="s">
        <v>178</v>
      </c>
      <c r="E2596" s="46">
        <v>4</v>
      </c>
      <c r="F2596" s="46" t="s">
        <v>60</v>
      </c>
      <c r="G2596" s="46">
        <v>3</v>
      </c>
      <c r="H2596" s="47">
        <v>11</v>
      </c>
      <c r="I2596" s="47" t="s">
        <v>159</v>
      </c>
      <c r="J2596" s="48">
        <v>3</v>
      </c>
      <c r="K2596" s="48">
        <v>2</v>
      </c>
      <c r="R2596" s="46">
        <f t="shared" si="252"/>
        <v>0</v>
      </c>
      <c r="S2596" s="46">
        <f t="shared" si="253"/>
        <v>0</v>
      </c>
      <c r="T2596" s="46">
        <f t="shared" si="256"/>
        <v>50</v>
      </c>
      <c r="U2596" s="46">
        <f t="shared" si="254"/>
        <v>50</v>
      </c>
      <c r="V2596" s="54">
        <f t="shared" si="255"/>
        <v>41</v>
      </c>
    </row>
    <row r="2597" spans="1:22" x14ac:dyDescent="0.2">
      <c r="A2597" s="46" t="s">
        <v>181</v>
      </c>
      <c r="B2597" s="46" t="s">
        <v>120</v>
      </c>
      <c r="C2597" s="46" t="s">
        <v>54</v>
      </c>
      <c r="D2597" s="46" t="s">
        <v>178</v>
      </c>
      <c r="E2597" s="46">
        <v>4</v>
      </c>
      <c r="F2597" s="46" t="s">
        <v>63</v>
      </c>
      <c r="G2597" s="46">
        <v>4</v>
      </c>
      <c r="H2597" s="47" t="s">
        <v>150</v>
      </c>
      <c r="I2597" s="47" t="s">
        <v>102</v>
      </c>
      <c r="J2597" s="48">
        <v>3</v>
      </c>
      <c r="K2597" s="48">
        <v>2</v>
      </c>
      <c r="R2597" s="46">
        <f t="shared" si="252"/>
        <v>0</v>
      </c>
      <c r="S2597" s="46">
        <f t="shared" si="253"/>
        <v>0</v>
      </c>
      <c r="T2597" s="46">
        <f t="shared" si="256"/>
        <v>50</v>
      </c>
      <c r="U2597" s="46">
        <f t="shared" si="254"/>
        <v>50</v>
      </c>
      <c r="V2597" s="54">
        <f t="shared" si="255"/>
        <v>41</v>
      </c>
    </row>
    <row r="2598" spans="1:22" x14ac:dyDescent="0.2">
      <c r="A2598" s="46" t="s">
        <v>181</v>
      </c>
      <c r="B2598" s="46" t="s">
        <v>120</v>
      </c>
      <c r="C2598" s="46" t="s">
        <v>54</v>
      </c>
      <c r="D2598" s="46" t="s">
        <v>178</v>
      </c>
      <c r="E2598" s="46">
        <v>2</v>
      </c>
      <c r="F2598" s="46" t="s">
        <v>60</v>
      </c>
      <c r="G2598" s="46">
        <v>1</v>
      </c>
      <c r="H2598" s="47">
        <v>1</v>
      </c>
      <c r="I2598" s="47" t="s">
        <v>101</v>
      </c>
      <c r="J2598" s="48">
        <v>3</v>
      </c>
      <c r="K2598" s="48">
        <v>0</v>
      </c>
      <c r="R2598" s="46">
        <f t="shared" si="252"/>
        <v>0</v>
      </c>
      <c r="S2598" s="46">
        <f t="shared" si="253"/>
        <v>0</v>
      </c>
      <c r="T2598" s="46">
        <f t="shared" si="256"/>
        <v>60</v>
      </c>
      <c r="U2598" s="46">
        <f t="shared" si="254"/>
        <v>60</v>
      </c>
      <c r="V2598" s="54">
        <f t="shared" si="255"/>
        <v>41</v>
      </c>
    </row>
    <row r="2599" spans="1:22" x14ac:dyDescent="0.2">
      <c r="A2599" s="46" t="s">
        <v>181</v>
      </c>
      <c r="B2599" s="46" t="s">
        <v>120</v>
      </c>
      <c r="C2599" s="46" t="s">
        <v>54</v>
      </c>
      <c r="D2599" s="46" t="s">
        <v>178</v>
      </c>
      <c r="E2599" s="46">
        <v>4</v>
      </c>
      <c r="F2599" s="46" t="s">
        <v>60</v>
      </c>
      <c r="G2599" s="46">
        <v>1</v>
      </c>
      <c r="H2599" s="47">
        <v>1</v>
      </c>
      <c r="I2599" s="47" t="s">
        <v>101</v>
      </c>
      <c r="J2599" s="48">
        <v>3</v>
      </c>
      <c r="K2599" s="48">
        <v>1</v>
      </c>
      <c r="R2599" s="46">
        <f t="shared" si="252"/>
        <v>0</v>
      </c>
      <c r="S2599" s="46">
        <f t="shared" si="253"/>
        <v>0</v>
      </c>
      <c r="T2599" s="46">
        <f t="shared" si="256"/>
        <v>60</v>
      </c>
      <c r="U2599" s="46">
        <f t="shared" si="254"/>
        <v>60</v>
      </c>
      <c r="V2599" s="54">
        <f t="shared" si="255"/>
        <v>41</v>
      </c>
    </row>
    <row r="2600" spans="1:22" x14ac:dyDescent="0.2">
      <c r="A2600" s="46" t="s">
        <v>181</v>
      </c>
      <c r="B2600" s="46" t="s">
        <v>120</v>
      </c>
      <c r="C2600" s="46" t="s">
        <v>54</v>
      </c>
      <c r="D2600" s="46" t="s">
        <v>178</v>
      </c>
      <c r="E2600" s="46">
        <v>3</v>
      </c>
      <c r="F2600" s="46" t="s">
        <v>60</v>
      </c>
      <c r="G2600" s="46">
        <v>2</v>
      </c>
      <c r="H2600" s="47">
        <v>6</v>
      </c>
      <c r="I2600" s="47" t="s">
        <v>127</v>
      </c>
      <c r="J2600" s="48">
        <v>3</v>
      </c>
      <c r="K2600" s="48">
        <v>1</v>
      </c>
      <c r="R2600" s="46">
        <f t="shared" si="252"/>
        <v>0</v>
      </c>
      <c r="S2600" s="46">
        <f t="shared" si="253"/>
        <v>0</v>
      </c>
      <c r="T2600" s="46">
        <f t="shared" si="256"/>
        <v>60</v>
      </c>
      <c r="U2600" s="46">
        <f t="shared" si="254"/>
        <v>60</v>
      </c>
      <c r="V2600" s="54">
        <f t="shared" si="255"/>
        <v>41</v>
      </c>
    </row>
    <row r="2601" spans="1:22" x14ac:dyDescent="0.2">
      <c r="A2601" s="46" t="s">
        <v>181</v>
      </c>
      <c r="B2601" s="46" t="s">
        <v>117</v>
      </c>
      <c r="C2601" s="46" t="s">
        <v>54</v>
      </c>
      <c r="D2601" s="46" t="s">
        <v>178</v>
      </c>
      <c r="E2601" s="46">
        <v>1</v>
      </c>
      <c r="F2601" s="46" t="s">
        <v>60</v>
      </c>
      <c r="G2601" s="46">
        <v>1</v>
      </c>
      <c r="H2601" s="47">
        <v>45</v>
      </c>
      <c r="I2601" s="47" t="s">
        <v>101</v>
      </c>
      <c r="J2601" s="48">
        <v>3</v>
      </c>
      <c r="K2601" s="48">
        <v>1</v>
      </c>
      <c r="R2601" s="46">
        <f t="shared" si="252"/>
        <v>0</v>
      </c>
      <c r="S2601" s="46">
        <f t="shared" si="253"/>
        <v>0</v>
      </c>
      <c r="T2601" s="46">
        <f t="shared" si="256"/>
        <v>60</v>
      </c>
      <c r="U2601" s="46">
        <f t="shared" si="254"/>
        <v>60</v>
      </c>
      <c r="V2601" s="54">
        <f t="shared" si="255"/>
        <v>41</v>
      </c>
    </row>
    <row r="2602" spans="1:22" x14ac:dyDescent="0.2">
      <c r="A2602" s="46" t="s">
        <v>181</v>
      </c>
      <c r="B2602" s="46" t="s">
        <v>120</v>
      </c>
      <c r="C2602" s="46" t="s">
        <v>54</v>
      </c>
      <c r="D2602" s="46" t="s">
        <v>178</v>
      </c>
      <c r="E2602" s="46">
        <v>2</v>
      </c>
      <c r="F2602" s="46" t="s">
        <v>62</v>
      </c>
      <c r="G2602" s="46">
        <v>3</v>
      </c>
      <c r="H2602" s="47" t="s">
        <v>85</v>
      </c>
      <c r="I2602" s="47" t="s">
        <v>116</v>
      </c>
      <c r="J2602" s="48">
        <v>3</v>
      </c>
      <c r="K2602" s="48">
        <v>1</v>
      </c>
      <c r="R2602" s="46">
        <f t="shared" si="252"/>
        <v>0</v>
      </c>
      <c r="S2602" s="46">
        <f t="shared" si="253"/>
        <v>0</v>
      </c>
      <c r="T2602" s="46">
        <f t="shared" si="256"/>
        <v>60</v>
      </c>
      <c r="U2602" s="46">
        <f t="shared" si="254"/>
        <v>60</v>
      </c>
      <c r="V2602" s="54">
        <f t="shared" si="255"/>
        <v>41</v>
      </c>
    </row>
    <row r="2603" spans="1:22" x14ac:dyDescent="0.2">
      <c r="A2603" s="46" t="s">
        <v>181</v>
      </c>
      <c r="B2603" s="46" t="s">
        <v>120</v>
      </c>
      <c r="C2603" s="46" t="s">
        <v>54</v>
      </c>
      <c r="D2603" s="46" t="s">
        <v>178</v>
      </c>
      <c r="E2603" s="46">
        <v>3</v>
      </c>
      <c r="F2603" s="46" t="s">
        <v>62</v>
      </c>
      <c r="G2603" s="46">
        <v>3</v>
      </c>
      <c r="H2603" s="47" t="s">
        <v>64</v>
      </c>
      <c r="I2603" s="47" t="s">
        <v>116</v>
      </c>
      <c r="J2603" s="48">
        <v>3</v>
      </c>
      <c r="K2603" s="48">
        <v>1</v>
      </c>
      <c r="R2603" s="46">
        <f t="shared" si="252"/>
        <v>0</v>
      </c>
      <c r="S2603" s="46">
        <f t="shared" si="253"/>
        <v>0</v>
      </c>
      <c r="T2603" s="46">
        <f t="shared" si="256"/>
        <v>60</v>
      </c>
      <c r="U2603" s="46">
        <f t="shared" si="254"/>
        <v>60</v>
      </c>
      <c r="V2603" s="54">
        <f t="shared" si="255"/>
        <v>41</v>
      </c>
    </row>
    <row r="2604" spans="1:22" x14ac:dyDescent="0.2">
      <c r="A2604" s="46" t="s">
        <v>181</v>
      </c>
      <c r="B2604" s="46" t="s">
        <v>120</v>
      </c>
      <c r="C2604" s="46" t="s">
        <v>54</v>
      </c>
      <c r="D2604" s="46" t="s">
        <v>178</v>
      </c>
      <c r="E2604" s="46">
        <v>2</v>
      </c>
      <c r="F2604" s="46" t="s">
        <v>60</v>
      </c>
      <c r="G2604" s="46">
        <v>4</v>
      </c>
      <c r="H2604" s="47">
        <v>44</v>
      </c>
      <c r="I2604" s="47" t="s">
        <v>102</v>
      </c>
      <c r="J2604" s="48">
        <v>4</v>
      </c>
      <c r="K2604" s="48">
        <v>2</v>
      </c>
      <c r="R2604" s="46">
        <f t="shared" si="252"/>
        <v>1</v>
      </c>
      <c r="S2604" s="46">
        <f t="shared" si="253"/>
        <v>0</v>
      </c>
      <c r="T2604" s="46">
        <f t="shared" si="256"/>
        <v>70</v>
      </c>
      <c r="U2604" s="46">
        <f t="shared" si="254"/>
        <v>70</v>
      </c>
      <c r="V2604" s="54">
        <f t="shared" si="255"/>
        <v>41</v>
      </c>
    </row>
    <row r="2605" spans="1:22" x14ac:dyDescent="0.2">
      <c r="A2605" s="46" t="s">
        <v>181</v>
      </c>
      <c r="B2605" s="46" t="s">
        <v>120</v>
      </c>
      <c r="C2605" s="46" t="s">
        <v>54</v>
      </c>
      <c r="D2605" s="46" t="s">
        <v>178</v>
      </c>
      <c r="E2605" s="46">
        <v>2</v>
      </c>
      <c r="F2605" s="46" t="s">
        <v>60</v>
      </c>
      <c r="G2605" s="46">
        <v>4</v>
      </c>
      <c r="H2605" s="47">
        <v>24</v>
      </c>
      <c r="I2605" s="47" t="s">
        <v>102</v>
      </c>
      <c r="J2605" s="48">
        <v>4</v>
      </c>
      <c r="K2605" s="48">
        <v>1</v>
      </c>
      <c r="R2605" s="46">
        <f t="shared" si="252"/>
        <v>1</v>
      </c>
      <c r="S2605" s="46">
        <f t="shared" si="253"/>
        <v>0</v>
      </c>
      <c r="T2605" s="46">
        <f t="shared" si="256"/>
        <v>80</v>
      </c>
      <c r="U2605" s="46">
        <f t="shared" si="254"/>
        <v>80</v>
      </c>
      <c r="V2605" s="54">
        <f t="shared" si="255"/>
        <v>41</v>
      </c>
    </row>
    <row r="2606" spans="1:22" x14ac:dyDescent="0.2">
      <c r="A2606" s="46" t="s">
        <v>181</v>
      </c>
      <c r="B2606" s="46" t="s">
        <v>120</v>
      </c>
      <c r="C2606" s="46" t="s">
        <v>54</v>
      </c>
      <c r="D2606" s="46" t="s">
        <v>178</v>
      </c>
      <c r="E2606" s="46">
        <v>3</v>
      </c>
      <c r="F2606" s="46" t="s">
        <v>60</v>
      </c>
      <c r="G2606" s="46">
        <v>4</v>
      </c>
      <c r="H2606" s="47">
        <v>24</v>
      </c>
      <c r="I2606" s="47" t="s">
        <v>102</v>
      </c>
      <c r="J2606" s="48">
        <v>4</v>
      </c>
      <c r="K2606" s="48">
        <v>1</v>
      </c>
      <c r="M2606" s="48">
        <v>1</v>
      </c>
      <c r="R2606" s="46">
        <f t="shared" si="252"/>
        <v>1</v>
      </c>
      <c r="S2606" s="46">
        <f t="shared" si="253"/>
        <v>0</v>
      </c>
      <c r="T2606" s="46">
        <f t="shared" si="256"/>
        <v>80</v>
      </c>
      <c r="U2606" s="46">
        <f t="shared" si="254"/>
        <v>100</v>
      </c>
      <c r="V2606" s="54">
        <f t="shared" si="255"/>
        <v>41</v>
      </c>
    </row>
    <row r="2607" spans="1:22" x14ac:dyDescent="0.2">
      <c r="A2607" s="46" t="s">
        <v>181</v>
      </c>
      <c r="B2607" s="46" t="s">
        <v>120</v>
      </c>
      <c r="C2607" s="46" t="s">
        <v>54</v>
      </c>
      <c r="D2607" s="46" t="s">
        <v>178</v>
      </c>
      <c r="E2607" s="46">
        <v>3</v>
      </c>
      <c r="F2607" s="46" t="s">
        <v>62</v>
      </c>
      <c r="G2607" s="46">
        <v>2</v>
      </c>
      <c r="H2607" s="47" t="s">
        <v>81</v>
      </c>
      <c r="I2607" s="47" t="s">
        <v>127</v>
      </c>
      <c r="J2607" s="48">
        <v>4</v>
      </c>
      <c r="K2607" s="48">
        <v>1</v>
      </c>
      <c r="R2607" s="46">
        <f t="shared" si="252"/>
        <v>1</v>
      </c>
      <c r="S2607" s="46">
        <f t="shared" si="253"/>
        <v>0</v>
      </c>
      <c r="T2607" s="46">
        <f t="shared" si="256"/>
        <v>80</v>
      </c>
      <c r="U2607" s="46">
        <f t="shared" si="254"/>
        <v>80</v>
      </c>
      <c r="V2607" s="54">
        <f t="shared" si="255"/>
        <v>41</v>
      </c>
    </row>
    <row r="2608" spans="1:22" x14ac:dyDescent="0.2">
      <c r="A2608" s="46" t="s">
        <v>181</v>
      </c>
      <c r="B2608" s="46" t="s">
        <v>120</v>
      </c>
      <c r="C2608" s="46" t="s">
        <v>54</v>
      </c>
      <c r="D2608" s="46" t="s">
        <v>178</v>
      </c>
      <c r="E2608" s="46">
        <v>3</v>
      </c>
      <c r="F2608" s="46" t="s">
        <v>62</v>
      </c>
      <c r="G2608" s="46">
        <v>2</v>
      </c>
      <c r="H2608" s="47" t="s">
        <v>86</v>
      </c>
      <c r="I2608" s="47" t="s">
        <v>127</v>
      </c>
      <c r="J2608" s="48">
        <v>4</v>
      </c>
      <c r="K2608" s="48">
        <v>1</v>
      </c>
      <c r="R2608" s="46">
        <f t="shared" si="252"/>
        <v>1</v>
      </c>
      <c r="S2608" s="46">
        <f t="shared" si="253"/>
        <v>0</v>
      </c>
      <c r="T2608" s="46">
        <f t="shared" si="256"/>
        <v>80</v>
      </c>
      <c r="U2608" s="46">
        <f t="shared" si="254"/>
        <v>80</v>
      </c>
      <c r="V2608" s="54">
        <f t="shared" si="255"/>
        <v>41</v>
      </c>
    </row>
    <row r="2609" spans="1:22" x14ac:dyDescent="0.2">
      <c r="A2609" s="46" t="s">
        <v>181</v>
      </c>
      <c r="B2609" s="46" t="s">
        <v>120</v>
      </c>
      <c r="C2609" s="46" t="s">
        <v>54</v>
      </c>
      <c r="D2609" s="46" t="s">
        <v>178</v>
      </c>
      <c r="E2609" s="46">
        <v>4</v>
      </c>
      <c r="F2609" s="46" t="s">
        <v>63</v>
      </c>
      <c r="G2609" s="46">
        <v>4</v>
      </c>
      <c r="H2609" s="47" t="s">
        <v>146</v>
      </c>
      <c r="I2609" s="47" t="s">
        <v>102</v>
      </c>
      <c r="J2609" s="48">
        <v>4</v>
      </c>
      <c r="K2609" s="48">
        <v>1</v>
      </c>
      <c r="R2609" s="46">
        <f t="shared" si="252"/>
        <v>1</v>
      </c>
      <c r="S2609" s="46">
        <f t="shared" si="253"/>
        <v>0</v>
      </c>
      <c r="T2609" s="46">
        <f t="shared" si="256"/>
        <v>80</v>
      </c>
      <c r="U2609" s="46">
        <f t="shared" si="254"/>
        <v>80</v>
      </c>
      <c r="V2609" s="54">
        <f t="shared" si="255"/>
        <v>41</v>
      </c>
    </row>
    <row r="2610" spans="1:22" x14ac:dyDescent="0.2">
      <c r="A2610" s="46" t="s">
        <v>181</v>
      </c>
      <c r="B2610" s="46" t="s">
        <v>120</v>
      </c>
      <c r="C2610" s="46" t="s">
        <v>54</v>
      </c>
      <c r="D2610" s="46" t="s">
        <v>178</v>
      </c>
      <c r="E2610" s="46">
        <v>5</v>
      </c>
      <c r="F2610" s="46" t="s">
        <v>60</v>
      </c>
      <c r="G2610" s="46">
        <v>3</v>
      </c>
      <c r="H2610" s="47">
        <v>7</v>
      </c>
      <c r="I2610" s="47" t="s">
        <v>159</v>
      </c>
      <c r="J2610" s="48">
        <v>3</v>
      </c>
      <c r="K2610" s="48">
        <v>1</v>
      </c>
      <c r="R2610" s="46">
        <f t="shared" si="252"/>
        <v>0</v>
      </c>
      <c r="S2610" s="46">
        <f t="shared" si="253"/>
        <v>0</v>
      </c>
      <c r="T2610" s="46">
        <f t="shared" si="256"/>
        <v>60</v>
      </c>
      <c r="U2610" s="46">
        <f t="shared" si="254"/>
        <v>60</v>
      </c>
      <c r="V2610" s="54">
        <f t="shared" si="255"/>
        <v>41</v>
      </c>
    </row>
    <row r="2611" spans="1:22" x14ac:dyDescent="0.2">
      <c r="A2611" s="46" t="s">
        <v>181</v>
      </c>
      <c r="B2611" s="46" t="s">
        <v>120</v>
      </c>
      <c r="C2611" s="46" t="s">
        <v>54</v>
      </c>
      <c r="D2611" s="46" t="s">
        <v>178</v>
      </c>
      <c r="E2611" s="46">
        <v>5</v>
      </c>
      <c r="F2611" s="46" t="s">
        <v>60</v>
      </c>
      <c r="G2611" s="46">
        <v>2</v>
      </c>
      <c r="H2611" s="47">
        <v>14</v>
      </c>
      <c r="I2611" s="47" t="s">
        <v>127</v>
      </c>
      <c r="J2611" s="48">
        <v>3</v>
      </c>
      <c r="K2611" s="48">
        <v>1</v>
      </c>
      <c r="M2611" s="48">
        <v>1</v>
      </c>
      <c r="R2611" s="46">
        <f t="shared" si="252"/>
        <v>0</v>
      </c>
      <c r="S2611" s="46">
        <f t="shared" si="253"/>
        <v>0</v>
      </c>
      <c r="T2611" s="46">
        <f t="shared" si="256"/>
        <v>60</v>
      </c>
      <c r="U2611" s="46">
        <f t="shared" si="254"/>
        <v>80</v>
      </c>
      <c r="V2611" s="54">
        <f t="shared" si="255"/>
        <v>41</v>
      </c>
    </row>
    <row r="2612" spans="1:22" x14ac:dyDescent="0.2">
      <c r="A2612" s="46" t="s">
        <v>181</v>
      </c>
      <c r="B2612" s="46" t="s">
        <v>120</v>
      </c>
      <c r="C2612" s="46" t="s">
        <v>54</v>
      </c>
      <c r="D2612" s="46" t="s">
        <v>178</v>
      </c>
      <c r="E2612" s="46">
        <v>5</v>
      </c>
      <c r="F2612" s="46" t="s">
        <v>60</v>
      </c>
      <c r="G2612" s="46">
        <v>2</v>
      </c>
      <c r="H2612" s="47">
        <v>18</v>
      </c>
      <c r="I2612" s="47" t="s">
        <v>127</v>
      </c>
      <c r="J2612" s="48">
        <v>2</v>
      </c>
      <c r="K2612" s="48">
        <v>2</v>
      </c>
      <c r="R2612" s="46">
        <f t="shared" si="252"/>
        <v>0</v>
      </c>
      <c r="S2612" s="46">
        <f t="shared" si="253"/>
        <v>0</v>
      </c>
      <c r="T2612" s="46">
        <f t="shared" ref="T2612:T2618" si="257">quizscore(J2612,K2612)</f>
        <v>30</v>
      </c>
      <c r="U2612" s="46">
        <f t="shared" si="254"/>
        <v>30</v>
      </c>
      <c r="V2612" s="54">
        <f t="shared" si="255"/>
        <v>41</v>
      </c>
    </row>
    <row r="2613" spans="1:22" x14ac:dyDescent="0.2">
      <c r="A2613" s="46" t="s">
        <v>181</v>
      </c>
      <c r="B2613" s="46" t="s">
        <v>120</v>
      </c>
      <c r="C2613" s="46" t="s">
        <v>54</v>
      </c>
      <c r="D2613" s="46" t="s">
        <v>178</v>
      </c>
      <c r="E2613" s="46">
        <v>5</v>
      </c>
      <c r="F2613" s="46" t="s">
        <v>60</v>
      </c>
      <c r="G2613" s="46">
        <v>4</v>
      </c>
      <c r="H2613" s="47">
        <v>32</v>
      </c>
      <c r="I2613" s="47" t="s">
        <v>102</v>
      </c>
      <c r="J2613" s="48">
        <v>4</v>
      </c>
      <c r="K2613" s="48">
        <v>1</v>
      </c>
      <c r="R2613" s="46">
        <f t="shared" si="252"/>
        <v>1</v>
      </c>
      <c r="S2613" s="46">
        <f t="shared" si="253"/>
        <v>0</v>
      </c>
      <c r="T2613" s="46">
        <f t="shared" si="257"/>
        <v>80</v>
      </c>
      <c r="U2613" s="46">
        <f t="shared" si="254"/>
        <v>80</v>
      </c>
      <c r="V2613" s="54">
        <f t="shared" si="255"/>
        <v>41</v>
      </c>
    </row>
    <row r="2614" spans="1:22" x14ac:dyDescent="0.2">
      <c r="A2614" s="46" t="s">
        <v>181</v>
      </c>
      <c r="B2614" s="46" t="s">
        <v>120</v>
      </c>
      <c r="C2614" s="46" t="s">
        <v>54</v>
      </c>
      <c r="D2614" s="46" t="s">
        <v>178</v>
      </c>
      <c r="E2614" s="46">
        <v>5</v>
      </c>
      <c r="F2614" s="46" t="s">
        <v>60</v>
      </c>
      <c r="G2614" s="46">
        <v>4</v>
      </c>
      <c r="H2614" s="47">
        <v>40</v>
      </c>
      <c r="I2614" s="47" t="s">
        <v>102</v>
      </c>
      <c r="J2614" s="48">
        <v>1</v>
      </c>
      <c r="K2614" s="48">
        <v>3</v>
      </c>
      <c r="R2614" s="46">
        <f t="shared" si="252"/>
        <v>0</v>
      </c>
      <c r="S2614" s="46">
        <f t="shared" si="253"/>
        <v>1</v>
      </c>
      <c r="T2614" s="46">
        <f t="shared" si="257"/>
        <v>0</v>
      </c>
      <c r="U2614" s="46">
        <f t="shared" si="254"/>
        <v>0</v>
      </c>
      <c r="V2614" s="54">
        <f t="shared" si="255"/>
        <v>41</v>
      </c>
    </row>
    <row r="2615" spans="1:22" x14ac:dyDescent="0.2">
      <c r="A2615" s="46" t="s">
        <v>181</v>
      </c>
      <c r="B2615" s="46" t="s">
        <v>120</v>
      </c>
      <c r="C2615" s="46" t="s">
        <v>54</v>
      </c>
      <c r="D2615" s="46" t="s">
        <v>178</v>
      </c>
      <c r="E2615" s="46">
        <v>5</v>
      </c>
      <c r="F2615" s="46" t="s">
        <v>60</v>
      </c>
      <c r="G2615" s="46">
        <v>1</v>
      </c>
      <c r="H2615" s="47">
        <v>49</v>
      </c>
      <c r="I2615" s="47" t="s">
        <v>101</v>
      </c>
      <c r="J2615" s="48">
        <v>2</v>
      </c>
      <c r="K2615" s="48">
        <v>1</v>
      </c>
      <c r="M2615" s="48">
        <v>1</v>
      </c>
      <c r="R2615" s="46">
        <f t="shared" si="252"/>
        <v>0</v>
      </c>
      <c r="S2615" s="46">
        <f t="shared" si="253"/>
        <v>0</v>
      </c>
      <c r="T2615" s="46">
        <f t="shared" si="257"/>
        <v>40</v>
      </c>
      <c r="U2615" s="46">
        <f t="shared" si="254"/>
        <v>60</v>
      </c>
      <c r="V2615" s="54">
        <f t="shared" si="255"/>
        <v>41</v>
      </c>
    </row>
    <row r="2616" spans="1:22" x14ac:dyDescent="0.2">
      <c r="A2616" s="46" t="s">
        <v>181</v>
      </c>
      <c r="B2616" s="46" t="s">
        <v>120</v>
      </c>
      <c r="C2616" s="46" t="str">
        <f>VLOOKUP(B2616,$B$2:$C$3219,2,FALSE)</f>
        <v>EBC</v>
      </c>
      <c r="D2616" s="46" t="s">
        <v>178</v>
      </c>
      <c r="E2616" s="46">
        <v>5</v>
      </c>
      <c r="F2616" s="46" t="s">
        <v>63</v>
      </c>
      <c r="G2616" s="46">
        <v>4</v>
      </c>
      <c r="H2616" s="47" t="s">
        <v>147</v>
      </c>
      <c r="I2616" s="47" t="s">
        <v>102</v>
      </c>
      <c r="J2616" s="48">
        <v>4</v>
      </c>
      <c r="K2616" s="48">
        <v>1</v>
      </c>
      <c r="R2616" s="46">
        <f t="shared" si="252"/>
        <v>1</v>
      </c>
      <c r="S2616" s="46">
        <f t="shared" si="253"/>
        <v>0</v>
      </c>
      <c r="T2616" s="46">
        <f t="shared" si="257"/>
        <v>80</v>
      </c>
      <c r="U2616" s="46">
        <f t="shared" si="254"/>
        <v>80</v>
      </c>
      <c r="V2616" s="54">
        <f t="shared" si="255"/>
        <v>41</v>
      </c>
    </row>
    <row r="2617" spans="1:22" x14ac:dyDescent="0.2">
      <c r="A2617" s="46" t="s">
        <v>181</v>
      </c>
      <c r="B2617" s="46" t="s">
        <v>120</v>
      </c>
      <c r="C2617" s="46" t="str">
        <f>VLOOKUP(B2617,$B$2:$C$3219,2,FALSE)</f>
        <v>EBC</v>
      </c>
      <c r="D2617" s="46" t="s">
        <v>178</v>
      </c>
      <c r="E2617" s="46">
        <v>5</v>
      </c>
      <c r="F2617" s="46" t="s">
        <v>63</v>
      </c>
      <c r="G2617" s="46">
        <v>4</v>
      </c>
      <c r="H2617" s="47" t="s">
        <v>148</v>
      </c>
      <c r="I2617" s="47" t="s">
        <v>102</v>
      </c>
      <c r="J2617" s="48">
        <v>4</v>
      </c>
      <c r="K2617" s="48">
        <v>1</v>
      </c>
      <c r="R2617" s="46">
        <f t="shared" si="252"/>
        <v>1</v>
      </c>
      <c r="S2617" s="46">
        <f t="shared" si="253"/>
        <v>0</v>
      </c>
      <c r="T2617" s="46">
        <f t="shared" si="257"/>
        <v>80</v>
      </c>
      <c r="U2617" s="46">
        <f t="shared" si="254"/>
        <v>80</v>
      </c>
      <c r="V2617" s="54">
        <f t="shared" si="255"/>
        <v>41</v>
      </c>
    </row>
    <row r="2618" spans="1:22" x14ac:dyDescent="0.2">
      <c r="A2618" s="46" t="s">
        <v>181</v>
      </c>
      <c r="B2618" s="46" t="s">
        <v>120</v>
      </c>
      <c r="C2618" s="46" t="str">
        <f>VLOOKUP(B2618,$B$2:$C$3219,2,FALSE)</f>
        <v>EBC</v>
      </c>
      <c r="D2618" s="46" t="s">
        <v>178</v>
      </c>
      <c r="E2618" s="46">
        <v>5</v>
      </c>
      <c r="F2618" s="46" t="s">
        <v>63</v>
      </c>
      <c r="G2618" s="46">
        <v>4</v>
      </c>
      <c r="H2618" s="47" t="s">
        <v>149</v>
      </c>
      <c r="I2618" s="47" t="s">
        <v>102</v>
      </c>
      <c r="J2618" s="48">
        <v>4</v>
      </c>
      <c r="K2618" s="48">
        <v>1</v>
      </c>
      <c r="R2618" s="46">
        <f t="shared" si="252"/>
        <v>1</v>
      </c>
      <c r="S2618" s="46">
        <f t="shared" si="253"/>
        <v>0</v>
      </c>
      <c r="T2618" s="46">
        <f t="shared" si="257"/>
        <v>80</v>
      </c>
      <c r="U2618" s="46">
        <f t="shared" si="254"/>
        <v>80</v>
      </c>
      <c r="V2618" s="54">
        <f t="shared" si="255"/>
        <v>41</v>
      </c>
    </row>
    <row r="2619" spans="1:22" x14ac:dyDescent="0.2">
      <c r="A2619" s="46" t="s">
        <v>181</v>
      </c>
      <c r="B2619" s="46" t="s">
        <v>120</v>
      </c>
      <c r="C2619" s="46" t="str">
        <f>VLOOKUP(B2619,$B$2:$C$3219,2,FALSE)</f>
        <v>EBC</v>
      </c>
      <c r="D2619" s="46" t="s">
        <v>178</v>
      </c>
      <c r="E2619" s="46">
        <v>5</v>
      </c>
      <c r="F2619" s="46" t="s">
        <v>63</v>
      </c>
      <c r="G2619" s="46">
        <v>4</v>
      </c>
      <c r="H2619" s="47" t="s">
        <v>172</v>
      </c>
      <c r="I2619" s="47" t="s">
        <v>102</v>
      </c>
      <c r="J2619" s="48">
        <v>2</v>
      </c>
      <c r="K2619" s="48">
        <v>3</v>
      </c>
      <c r="R2619" s="46">
        <f t="shared" si="252"/>
        <v>0</v>
      </c>
      <c r="S2619" s="46">
        <f t="shared" si="253"/>
        <v>1</v>
      </c>
      <c r="U2619" s="46">
        <f t="shared" si="254"/>
        <v>0</v>
      </c>
      <c r="V2619" s="54">
        <f t="shared" si="255"/>
        <v>41</v>
      </c>
    </row>
    <row r="2620" spans="1:22" x14ac:dyDescent="0.2">
      <c r="A2620" s="46" t="s">
        <v>196</v>
      </c>
      <c r="B2620" s="46" t="s">
        <v>51</v>
      </c>
      <c r="C2620" s="46" t="s">
        <v>92</v>
      </c>
      <c r="D2620" s="46" t="s">
        <v>178</v>
      </c>
      <c r="E2620" s="46">
        <v>1</v>
      </c>
      <c r="F2620" s="46" t="s">
        <v>60</v>
      </c>
      <c r="G2620" s="46">
        <v>2</v>
      </c>
      <c r="H2620" s="47">
        <v>2</v>
      </c>
      <c r="I2620" s="47" t="s">
        <v>127</v>
      </c>
      <c r="J2620" s="48">
        <v>0</v>
      </c>
      <c r="K2620" s="48">
        <v>0</v>
      </c>
      <c r="R2620" s="46">
        <f t="shared" si="252"/>
        <v>0</v>
      </c>
      <c r="S2620" s="46">
        <f t="shared" si="253"/>
        <v>0</v>
      </c>
      <c r="T2620" s="46">
        <f t="shared" ref="T2620:T2651" si="258">quizscore(J2620,K2620)</f>
        <v>0</v>
      </c>
      <c r="U2620" s="46">
        <f t="shared" si="254"/>
        <v>0</v>
      </c>
      <c r="V2620" s="54">
        <f t="shared" si="255"/>
        <v>0</v>
      </c>
    </row>
    <row r="2621" spans="1:22" x14ac:dyDescent="0.2">
      <c r="A2621" s="46" t="s">
        <v>196</v>
      </c>
      <c r="B2621" s="46" t="s">
        <v>51</v>
      </c>
      <c r="C2621" s="46" t="s">
        <v>92</v>
      </c>
      <c r="D2621" s="46" t="s">
        <v>178</v>
      </c>
      <c r="E2621" s="46">
        <v>1</v>
      </c>
      <c r="F2621" s="46" t="s">
        <v>60</v>
      </c>
      <c r="G2621" s="46">
        <v>1</v>
      </c>
      <c r="H2621" s="47">
        <v>13</v>
      </c>
      <c r="I2621" s="47" t="s">
        <v>101</v>
      </c>
      <c r="J2621" s="48">
        <v>0</v>
      </c>
      <c r="K2621" s="48">
        <v>0</v>
      </c>
      <c r="R2621" s="46">
        <f t="shared" si="252"/>
        <v>0</v>
      </c>
      <c r="S2621" s="46">
        <f t="shared" si="253"/>
        <v>0</v>
      </c>
      <c r="T2621" s="46">
        <f t="shared" si="258"/>
        <v>0</v>
      </c>
      <c r="U2621" s="46">
        <f t="shared" si="254"/>
        <v>0</v>
      </c>
      <c r="V2621" s="54">
        <f t="shared" si="255"/>
        <v>0</v>
      </c>
    </row>
    <row r="2622" spans="1:22" x14ac:dyDescent="0.2">
      <c r="A2622" s="46" t="s">
        <v>196</v>
      </c>
      <c r="B2622" s="46" t="s">
        <v>51</v>
      </c>
      <c r="C2622" s="46" t="s">
        <v>92</v>
      </c>
      <c r="D2622" s="46" t="s">
        <v>178</v>
      </c>
      <c r="E2622" s="46">
        <v>1</v>
      </c>
      <c r="F2622" s="46" t="s">
        <v>60</v>
      </c>
      <c r="G2622" s="46">
        <v>3</v>
      </c>
      <c r="H2622" s="47">
        <v>27</v>
      </c>
      <c r="I2622" s="47" t="s">
        <v>116</v>
      </c>
      <c r="J2622" s="48">
        <v>0</v>
      </c>
      <c r="K2622" s="48">
        <v>0</v>
      </c>
      <c r="R2622" s="46">
        <f t="shared" si="252"/>
        <v>0</v>
      </c>
      <c r="S2622" s="46">
        <f t="shared" si="253"/>
        <v>0</v>
      </c>
      <c r="T2622" s="46">
        <f t="shared" si="258"/>
        <v>0</v>
      </c>
      <c r="U2622" s="46">
        <f t="shared" si="254"/>
        <v>0</v>
      </c>
      <c r="V2622" s="54">
        <f t="shared" si="255"/>
        <v>0</v>
      </c>
    </row>
    <row r="2623" spans="1:22" x14ac:dyDescent="0.2">
      <c r="A2623" s="46" t="s">
        <v>196</v>
      </c>
      <c r="B2623" s="46" t="s">
        <v>51</v>
      </c>
      <c r="C2623" s="46" t="s">
        <v>92</v>
      </c>
      <c r="D2623" s="46" t="s">
        <v>178</v>
      </c>
      <c r="E2623" s="46">
        <v>1</v>
      </c>
      <c r="F2623" s="46" t="s">
        <v>60</v>
      </c>
      <c r="G2623" s="46">
        <v>2</v>
      </c>
      <c r="H2623" s="47">
        <v>30</v>
      </c>
      <c r="I2623" s="47" t="s">
        <v>127</v>
      </c>
      <c r="J2623" s="48">
        <v>0</v>
      </c>
      <c r="K2623" s="48">
        <v>0</v>
      </c>
      <c r="R2623" s="46">
        <f t="shared" si="252"/>
        <v>0</v>
      </c>
      <c r="S2623" s="46">
        <f t="shared" si="253"/>
        <v>0</v>
      </c>
      <c r="T2623" s="46">
        <f t="shared" si="258"/>
        <v>0</v>
      </c>
      <c r="U2623" s="46">
        <f t="shared" si="254"/>
        <v>0</v>
      </c>
      <c r="V2623" s="54">
        <f t="shared" si="255"/>
        <v>0</v>
      </c>
    </row>
    <row r="2624" spans="1:22" x14ac:dyDescent="0.2">
      <c r="A2624" s="46" t="s">
        <v>196</v>
      </c>
      <c r="B2624" s="46" t="s">
        <v>51</v>
      </c>
      <c r="C2624" s="46" t="s">
        <v>92</v>
      </c>
      <c r="D2624" s="46" t="s">
        <v>178</v>
      </c>
      <c r="E2624" s="46">
        <v>1</v>
      </c>
      <c r="F2624" s="46" t="s">
        <v>60</v>
      </c>
      <c r="G2624" s="46">
        <v>1</v>
      </c>
      <c r="H2624" s="47">
        <v>37</v>
      </c>
      <c r="I2624" s="47" t="s">
        <v>101</v>
      </c>
      <c r="J2624" s="48">
        <v>0</v>
      </c>
      <c r="K2624" s="48">
        <v>0</v>
      </c>
      <c r="R2624" s="46">
        <f t="shared" si="252"/>
        <v>0</v>
      </c>
      <c r="S2624" s="46">
        <f t="shared" si="253"/>
        <v>0</v>
      </c>
      <c r="T2624" s="46">
        <f t="shared" si="258"/>
        <v>0</v>
      </c>
      <c r="U2624" s="46">
        <f t="shared" si="254"/>
        <v>0</v>
      </c>
      <c r="V2624" s="54">
        <f t="shared" si="255"/>
        <v>0</v>
      </c>
    </row>
    <row r="2625" spans="1:22" x14ac:dyDescent="0.2">
      <c r="A2625" s="46" t="s">
        <v>196</v>
      </c>
      <c r="B2625" s="46" t="s">
        <v>51</v>
      </c>
      <c r="C2625" s="46" t="s">
        <v>92</v>
      </c>
      <c r="D2625" s="46" t="s">
        <v>178</v>
      </c>
      <c r="E2625" s="46">
        <v>1</v>
      </c>
      <c r="F2625" s="46" t="s">
        <v>60</v>
      </c>
      <c r="G2625" s="46">
        <v>4</v>
      </c>
      <c r="H2625" s="47">
        <v>44</v>
      </c>
      <c r="I2625" s="47" t="s">
        <v>102</v>
      </c>
      <c r="J2625" s="48">
        <v>0</v>
      </c>
      <c r="K2625" s="48">
        <v>0</v>
      </c>
      <c r="R2625" s="46">
        <f t="shared" si="252"/>
        <v>0</v>
      </c>
      <c r="S2625" s="46">
        <f t="shared" si="253"/>
        <v>0</v>
      </c>
      <c r="T2625" s="46">
        <f t="shared" si="258"/>
        <v>0</v>
      </c>
      <c r="U2625" s="46">
        <f t="shared" si="254"/>
        <v>0</v>
      </c>
      <c r="V2625" s="54">
        <f t="shared" si="255"/>
        <v>0</v>
      </c>
    </row>
    <row r="2626" spans="1:22" x14ac:dyDescent="0.2">
      <c r="A2626" s="46" t="s">
        <v>196</v>
      </c>
      <c r="B2626" s="46" t="s">
        <v>51</v>
      </c>
      <c r="C2626" s="46" t="s">
        <v>92</v>
      </c>
      <c r="D2626" s="46" t="s">
        <v>178</v>
      </c>
      <c r="E2626" s="46">
        <v>1</v>
      </c>
      <c r="F2626" s="46" t="s">
        <v>61</v>
      </c>
      <c r="G2626" s="46">
        <v>1</v>
      </c>
      <c r="H2626" s="47" t="s">
        <v>70</v>
      </c>
      <c r="I2626" s="47" t="s">
        <v>101</v>
      </c>
      <c r="J2626" s="48">
        <v>0</v>
      </c>
      <c r="K2626" s="48">
        <v>0</v>
      </c>
      <c r="R2626" s="46">
        <f t="shared" ref="R2626:R2689" si="259">IF(J2626=4,1,0)</f>
        <v>0</v>
      </c>
      <c r="S2626" s="46">
        <f t="shared" ref="S2626:S2689" si="260">IF(K2626=3,1,0)</f>
        <v>0</v>
      </c>
      <c r="T2626" s="46">
        <f t="shared" si="258"/>
        <v>0</v>
      </c>
      <c r="U2626" s="46">
        <f t="shared" ref="U2626:U2689" si="261">T2626+M2626*(20) + (SUM(O2626:Q2626)*(10)) - L2626*(5) - N2626*(5)</f>
        <v>0</v>
      </c>
      <c r="V2626" s="54">
        <f t="shared" ref="V2626:V2689" si="262">AVERAGEIFS(U:U,A:A,A2626,F:F,"Pre")</f>
        <v>0</v>
      </c>
    </row>
    <row r="2627" spans="1:22" x14ac:dyDescent="0.2">
      <c r="A2627" s="46" t="s">
        <v>196</v>
      </c>
      <c r="B2627" s="46" t="s">
        <v>51</v>
      </c>
      <c r="C2627" s="46" t="s">
        <v>92</v>
      </c>
      <c r="D2627" s="46" t="s">
        <v>178</v>
      </c>
      <c r="E2627" s="46">
        <v>1</v>
      </c>
      <c r="F2627" s="46" t="s">
        <v>61</v>
      </c>
      <c r="G2627" s="46">
        <v>1</v>
      </c>
      <c r="H2627" s="47" t="s">
        <v>68</v>
      </c>
      <c r="I2627" s="47" t="s">
        <v>101</v>
      </c>
      <c r="J2627" s="48">
        <v>0</v>
      </c>
      <c r="K2627" s="48">
        <v>0</v>
      </c>
      <c r="R2627" s="46">
        <f t="shared" si="259"/>
        <v>0</v>
      </c>
      <c r="S2627" s="46">
        <f t="shared" si="260"/>
        <v>0</v>
      </c>
      <c r="T2627" s="46">
        <f t="shared" si="258"/>
        <v>0</v>
      </c>
      <c r="U2627" s="46">
        <f t="shared" si="261"/>
        <v>0</v>
      </c>
      <c r="V2627" s="54">
        <f t="shared" si="262"/>
        <v>0</v>
      </c>
    </row>
    <row r="2628" spans="1:22" x14ac:dyDescent="0.2">
      <c r="A2628" s="46" t="s">
        <v>196</v>
      </c>
      <c r="B2628" s="46" t="s">
        <v>51</v>
      </c>
      <c r="C2628" s="46" t="s">
        <v>92</v>
      </c>
      <c r="D2628" s="46" t="s">
        <v>178</v>
      </c>
      <c r="E2628" s="46">
        <v>1</v>
      </c>
      <c r="F2628" s="46" t="s">
        <v>61</v>
      </c>
      <c r="G2628" s="46">
        <v>2</v>
      </c>
      <c r="H2628" s="47" t="s">
        <v>66</v>
      </c>
      <c r="I2628" s="47" t="s">
        <v>127</v>
      </c>
      <c r="J2628" s="48">
        <v>0</v>
      </c>
      <c r="K2628" s="48">
        <v>0</v>
      </c>
      <c r="R2628" s="46">
        <f t="shared" si="259"/>
        <v>0</v>
      </c>
      <c r="S2628" s="46">
        <f t="shared" si="260"/>
        <v>0</v>
      </c>
      <c r="T2628" s="46">
        <f t="shared" si="258"/>
        <v>0</v>
      </c>
      <c r="U2628" s="46">
        <f t="shared" si="261"/>
        <v>0</v>
      </c>
      <c r="V2628" s="54">
        <f t="shared" si="262"/>
        <v>0</v>
      </c>
    </row>
    <row r="2629" spans="1:22" x14ac:dyDescent="0.2">
      <c r="A2629" s="46" t="s">
        <v>155</v>
      </c>
      <c r="B2629" s="46" t="s">
        <v>103</v>
      </c>
      <c r="C2629" s="46" t="s">
        <v>88</v>
      </c>
      <c r="D2629" s="46" t="s">
        <v>178</v>
      </c>
      <c r="E2629" s="46">
        <v>1</v>
      </c>
      <c r="F2629" s="46" t="s">
        <v>63</v>
      </c>
      <c r="G2629" s="46">
        <v>4</v>
      </c>
      <c r="H2629" s="47" t="s">
        <v>151</v>
      </c>
      <c r="I2629" s="47" t="s">
        <v>102</v>
      </c>
      <c r="J2629" s="48">
        <v>0</v>
      </c>
      <c r="K2629" s="48">
        <v>2</v>
      </c>
      <c r="R2629" s="46">
        <f t="shared" si="259"/>
        <v>0</v>
      </c>
      <c r="S2629" s="46">
        <f t="shared" si="260"/>
        <v>0</v>
      </c>
      <c r="T2629" s="46">
        <f t="shared" si="258"/>
        <v>-10</v>
      </c>
      <c r="U2629" s="46">
        <f t="shared" si="261"/>
        <v>-10</v>
      </c>
      <c r="V2629" s="54">
        <f t="shared" si="262"/>
        <v>4</v>
      </c>
    </row>
    <row r="2630" spans="1:22" x14ac:dyDescent="0.2">
      <c r="A2630" s="46" t="s">
        <v>155</v>
      </c>
      <c r="B2630" s="46" t="s">
        <v>103</v>
      </c>
      <c r="C2630" s="46" t="s">
        <v>88</v>
      </c>
      <c r="D2630" s="46" t="s">
        <v>178</v>
      </c>
      <c r="E2630" s="46">
        <v>4</v>
      </c>
      <c r="F2630" s="46" t="s">
        <v>60</v>
      </c>
      <c r="G2630" s="46">
        <v>3</v>
      </c>
      <c r="H2630" s="47">
        <v>3</v>
      </c>
      <c r="I2630" s="47" t="s">
        <v>159</v>
      </c>
      <c r="J2630" s="48">
        <v>0</v>
      </c>
      <c r="K2630" s="48">
        <v>0</v>
      </c>
      <c r="R2630" s="46">
        <f t="shared" si="259"/>
        <v>0</v>
      </c>
      <c r="S2630" s="46">
        <f t="shared" si="260"/>
        <v>0</v>
      </c>
      <c r="T2630" s="46">
        <f t="shared" si="258"/>
        <v>0</v>
      </c>
      <c r="U2630" s="46">
        <f t="shared" si="261"/>
        <v>0</v>
      </c>
      <c r="V2630" s="54">
        <f t="shared" si="262"/>
        <v>4</v>
      </c>
    </row>
    <row r="2631" spans="1:22" x14ac:dyDescent="0.2">
      <c r="A2631" s="46" t="s">
        <v>155</v>
      </c>
      <c r="B2631" s="46" t="s">
        <v>103</v>
      </c>
      <c r="C2631" s="46" t="s">
        <v>88</v>
      </c>
      <c r="D2631" s="46" t="s">
        <v>178</v>
      </c>
      <c r="E2631" s="46">
        <v>2</v>
      </c>
      <c r="F2631" s="46" t="s">
        <v>60</v>
      </c>
      <c r="G2631" s="46">
        <v>2</v>
      </c>
      <c r="H2631" s="47">
        <v>6</v>
      </c>
      <c r="I2631" s="47" t="s">
        <v>127</v>
      </c>
      <c r="J2631" s="48">
        <v>0</v>
      </c>
      <c r="K2631" s="48">
        <v>0</v>
      </c>
      <c r="M2631" s="48">
        <v>1</v>
      </c>
      <c r="R2631" s="46">
        <f t="shared" si="259"/>
        <v>0</v>
      </c>
      <c r="S2631" s="46">
        <f t="shared" si="260"/>
        <v>0</v>
      </c>
      <c r="T2631" s="46">
        <f t="shared" si="258"/>
        <v>0</v>
      </c>
      <c r="U2631" s="46">
        <f t="shared" si="261"/>
        <v>20</v>
      </c>
      <c r="V2631" s="54">
        <f t="shared" si="262"/>
        <v>4</v>
      </c>
    </row>
    <row r="2632" spans="1:22" x14ac:dyDescent="0.2">
      <c r="A2632" s="46" t="s">
        <v>155</v>
      </c>
      <c r="B2632" s="46" t="s">
        <v>103</v>
      </c>
      <c r="C2632" s="46" t="s">
        <v>88</v>
      </c>
      <c r="D2632" s="46" t="s">
        <v>178</v>
      </c>
      <c r="E2632" s="46">
        <v>1</v>
      </c>
      <c r="F2632" s="46" t="s">
        <v>60</v>
      </c>
      <c r="G2632" s="46">
        <v>3</v>
      </c>
      <c r="H2632" s="47">
        <v>7</v>
      </c>
      <c r="I2632" s="47" t="s">
        <v>116</v>
      </c>
      <c r="J2632" s="48">
        <v>0</v>
      </c>
      <c r="K2632" s="48">
        <v>0</v>
      </c>
      <c r="R2632" s="46">
        <f t="shared" si="259"/>
        <v>0</v>
      </c>
      <c r="S2632" s="46">
        <f t="shared" si="260"/>
        <v>0</v>
      </c>
      <c r="T2632" s="46">
        <f t="shared" si="258"/>
        <v>0</v>
      </c>
      <c r="U2632" s="46">
        <f t="shared" si="261"/>
        <v>0</v>
      </c>
      <c r="V2632" s="54">
        <f t="shared" si="262"/>
        <v>4</v>
      </c>
    </row>
    <row r="2633" spans="1:22" x14ac:dyDescent="0.2">
      <c r="A2633" s="46" t="s">
        <v>155</v>
      </c>
      <c r="B2633" s="46" t="s">
        <v>103</v>
      </c>
      <c r="C2633" s="46" t="s">
        <v>88</v>
      </c>
      <c r="D2633" s="46" t="s">
        <v>178</v>
      </c>
      <c r="E2633" s="46">
        <v>3</v>
      </c>
      <c r="F2633" s="46" t="s">
        <v>60</v>
      </c>
      <c r="G2633" s="46">
        <v>4</v>
      </c>
      <c r="H2633" s="47">
        <v>8</v>
      </c>
      <c r="I2633" s="47" t="s">
        <v>102</v>
      </c>
      <c r="J2633" s="48">
        <v>0</v>
      </c>
      <c r="K2633" s="48">
        <v>0</v>
      </c>
      <c r="R2633" s="46">
        <f t="shared" si="259"/>
        <v>0</v>
      </c>
      <c r="S2633" s="46">
        <f t="shared" si="260"/>
        <v>0</v>
      </c>
      <c r="T2633" s="46">
        <f t="shared" si="258"/>
        <v>0</v>
      </c>
      <c r="U2633" s="46">
        <f t="shared" si="261"/>
        <v>0</v>
      </c>
      <c r="V2633" s="54">
        <f t="shared" si="262"/>
        <v>4</v>
      </c>
    </row>
    <row r="2634" spans="1:22" x14ac:dyDescent="0.2">
      <c r="A2634" s="46" t="s">
        <v>155</v>
      </c>
      <c r="B2634" s="46" t="s">
        <v>103</v>
      </c>
      <c r="C2634" s="46" t="s">
        <v>88</v>
      </c>
      <c r="D2634" s="46" t="s">
        <v>178</v>
      </c>
      <c r="E2634" s="46">
        <v>4</v>
      </c>
      <c r="F2634" s="46" t="s">
        <v>60</v>
      </c>
      <c r="G2634" s="46">
        <v>1</v>
      </c>
      <c r="H2634" s="47">
        <v>9</v>
      </c>
      <c r="I2634" s="47" t="s">
        <v>101</v>
      </c>
      <c r="J2634" s="48">
        <v>0</v>
      </c>
      <c r="K2634" s="48">
        <v>1</v>
      </c>
      <c r="R2634" s="46">
        <f t="shared" si="259"/>
        <v>0</v>
      </c>
      <c r="S2634" s="46">
        <f t="shared" si="260"/>
        <v>0</v>
      </c>
      <c r="T2634" s="46">
        <f t="shared" si="258"/>
        <v>0</v>
      </c>
      <c r="U2634" s="46">
        <f t="shared" si="261"/>
        <v>0</v>
      </c>
      <c r="V2634" s="54">
        <f t="shared" si="262"/>
        <v>4</v>
      </c>
    </row>
    <row r="2635" spans="1:22" x14ac:dyDescent="0.2">
      <c r="A2635" s="46" t="s">
        <v>155</v>
      </c>
      <c r="B2635" s="46" t="s">
        <v>103</v>
      </c>
      <c r="C2635" s="46" t="s">
        <v>88</v>
      </c>
      <c r="D2635" s="46" t="s">
        <v>178</v>
      </c>
      <c r="E2635" s="46">
        <v>3</v>
      </c>
      <c r="F2635" s="46" t="s">
        <v>60</v>
      </c>
      <c r="G2635" s="46">
        <v>2</v>
      </c>
      <c r="H2635" s="47">
        <v>14</v>
      </c>
      <c r="I2635" s="47" t="s">
        <v>127</v>
      </c>
      <c r="J2635" s="48">
        <v>0</v>
      </c>
      <c r="K2635" s="48">
        <v>0</v>
      </c>
      <c r="R2635" s="46">
        <f t="shared" si="259"/>
        <v>0</v>
      </c>
      <c r="S2635" s="46">
        <f t="shared" si="260"/>
        <v>0</v>
      </c>
      <c r="T2635" s="46">
        <f t="shared" si="258"/>
        <v>0</v>
      </c>
      <c r="U2635" s="46">
        <f t="shared" si="261"/>
        <v>0</v>
      </c>
      <c r="V2635" s="54">
        <f t="shared" si="262"/>
        <v>4</v>
      </c>
    </row>
    <row r="2636" spans="1:22" x14ac:dyDescent="0.2">
      <c r="A2636" s="46" t="s">
        <v>155</v>
      </c>
      <c r="B2636" s="46" t="s">
        <v>103</v>
      </c>
      <c r="C2636" s="46" t="s">
        <v>88</v>
      </c>
      <c r="D2636" s="46" t="s">
        <v>178</v>
      </c>
      <c r="E2636" s="46">
        <v>1</v>
      </c>
      <c r="F2636" s="46" t="s">
        <v>60</v>
      </c>
      <c r="G2636" s="46">
        <v>2</v>
      </c>
      <c r="H2636" s="47">
        <v>18</v>
      </c>
      <c r="I2636" s="47" t="s">
        <v>127</v>
      </c>
      <c r="J2636" s="48">
        <v>0</v>
      </c>
      <c r="K2636" s="48">
        <v>0</v>
      </c>
      <c r="R2636" s="46">
        <f t="shared" si="259"/>
        <v>0</v>
      </c>
      <c r="S2636" s="46">
        <f t="shared" si="260"/>
        <v>0</v>
      </c>
      <c r="T2636" s="46">
        <f t="shared" si="258"/>
        <v>0</v>
      </c>
      <c r="U2636" s="46">
        <f t="shared" si="261"/>
        <v>0</v>
      </c>
      <c r="V2636" s="54">
        <f t="shared" si="262"/>
        <v>4</v>
      </c>
    </row>
    <row r="2637" spans="1:22" x14ac:dyDescent="0.2">
      <c r="A2637" s="46" t="s">
        <v>155</v>
      </c>
      <c r="B2637" s="46" t="s">
        <v>103</v>
      </c>
      <c r="C2637" s="46" t="s">
        <v>88</v>
      </c>
      <c r="D2637" s="46" t="s">
        <v>178</v>
      </c>
      <c r="E2637" s="46">
        <v>3</v>
      </c>
      <c r="F2637" s="46" t="s">
        <v>60</v>
      </c>
      <c r="G2637" s="46">
        <v>1</v>
      </c>
      <c r="H2637" s="47">
        <v>21</v>
      </c>
      <c r="I2637" s="47" t="s">
        <v>101</v>
      </c>
      <c r="J2637" s="48">
        <v>0</v>
      </c>
      <c r="K2637" s="48">
        <v>0</v>
      </c>
      <c r="R2637" s="46">
        <f t="shared" si="259"/>
        <v>0</v>
      </c>
      <c r="S2637" s="46">
        <f t="shared" si="260"/>
        <v>0</v>
      </c>
      <c r="T2637" s="46">
        <f t="shared" si="258"/>
        <v>0</v>
      </c>
      <c r="U2637" s="46">
        <f t="shared" si="261"/>
        <v>0</v>
      </c>
      <c r="V2637" s="54">
        <f t="shared" si="262"/>
        <v>4</v>
      </c>
    </row>
    <row r="2638" spans="1:22" x14ac:dyDescent="0.2">
      <c r="A2638" s="46" t="s">
        <v>155</v>
      </c>
      <c r="B2638" s="46" t="s">
        <v>103</v>
      </c>
      <c r="C2638" s="46" t="s">
        <v>88</v>
      </c>
      <c r="D2638" s="46" t="s">
        <v>178</v>
      </c>
      <c r="E2638" s="46">
        <v>4</v>
      </c>
      <c r="F2638" s="46" t="s">
        <v>60</v>
      </c>
      <c r="G2638" s="46">
        <v>3</v>
      </c>
      <c r="H2638" s="47">
        <v>23</v>
      </c>
      <c r="I2638" s="47" t="s">
        <v>159</v>
      </c>
      <c r="J2638" s="48">
        <v>0</v>
      </c>
      <c r="K2638" s="48">
        <v>0</v>
      </c>
      <c r="R2638" s="46">
        <f t="shared" si="259"/>
        <v>0</v>
      </c>
      <c r="S2638" s="46">
        <f t="shared" si="260"/>
        <v>0</v>
      </c>
      <c r="T2638" s="46">
        <f t="shared" si="258"/>
        <v>0</v>
      </c>
      <c r="U2638" s="46">
        <f t="shared" si="261"/>
        <v>0</v>
      </c>
      <c r="V2638" s="54">
        <f t="shared" si="262"/>
        <v>4</v>
      </c>
    </row>
    <row r="2639" spans="1:22" x14ac:dyDescent="0.2">
      <c r="A2639" s="46" t="s">
        <v>155</v>
      </c>
      <c r="B2639" s="46" t="s">
        <v>103</v>
      </c>
      <c r="C2639" s="46" t="s">
        <v>88</v>
      </c>
      <c r="D2639" s="46" t="s">
        <v>178</v>
      </c>
      <c r="E2639" s="46">
        <v>1</v>
      </c>
      <c r="F2639" s="46" t="s">
        <v>60</v>
      </c>
      <c r="G2639" s="46">
        <v>4</v>
      </c>
      <c r="H2639" s="47">
        <v>24</v>
      </c>
      <c r="I2639" s="47" t="s">
        <v>102</v>
      </c>
      <c r="J2639" s="48">
        <v>0</v>
      </c>
      <c r="K2639" s="48">
        <v>0</v>
      </c>
      <c r="R2639" s="46">
        <f t="shared" si="259"/>
        <v>0</v>
      </c>
      <c r="S2639" s="46">
        <f t="shared" si="260"/>
        <v>0</v>
      </c>
      <c r="T2639" s="46">
        <f t="shared" si="258"/>
        <v>0</v>
      </c>
      <c r="U2639" s="46">
        <f t="shared" si="261"/>
        <v>0</v>
      </c>
      <c r="V2639" s="54">
        <f t="shared" si="262"/>
        <v>4</v>
      </c>
    </row>
    <row r="2640" spans="1:22" x14ac:dyDescent="0.2">
      <c r="A2640" s="46" t="s">
        <v>155</v>
      </c>
      <c r="B2640" s="46" t="s">
        <v>103</v>
      </c>
      <c r="C2640" s="46" t="s">
        <v>88</v>
      </c>
      <c r="D2640" s="46" t="s">
        <v>178</v>
      </c>
      <c r="E2640" s="46">
        <v>2</v>
      </c>
      <c r="F2640" s="46" t="s">
        <v>60</v>
      </c>
      <c r="G2640" s="46">
        <v>4</v>
      </c>
      <c r="H2640" s="47">
        <v>24</v>
      </c>
      <c r="I2640" s="47" t="s">
        <v>102</v>
      </c>
      <c r="J2640" s="48">
        <v>0</v>
      </c>
      <c r="K2640" s="48">
        <v>0</v>
      </c>
      <c r="R2640" s="46">
        <f t="shared" si="259"/>
        <v>0</v>
      </c>
      <c r="S2640" s="46">
        <f t="shared" si="260"/>
        <v>0</v>
      </c>
      <c r="T2640" s="46">
        <f t="shared" si="258"/>
        <v>0</v>
      </c>
      <c r="U2640" s="46">
        <f t="shared" si="261"/>
        <v>0</v>
      </c>
      <c r="V2640" s="54">
        <f t="shared" si="262"/>
        <v>4</v>
      </c>
    </row>
    <row r="2641" spans="1:22" x14ac:dyDescent="0.2">
      <c r="A2641" s="46" t="s">
        <v>155</v>
      </c>
      <c r="B2641" s="46" t="s">
        <v>103</v>
      </c>
      <c r="C2641" s="46" t="s">
        <v>88</v>
      </c>
      <c r="D2641" s="46" t="s">
        <v>178</v>
      </c>
      <c r="E2641" s="46">
        <v>3</v>
      </c>
      <c r="F2641" s="46" t="s">
        <v>60</v>
      </c>
      <c r="G2641" s="46">
        <v>3</v>
      </c>
      <c r="H2641" s="47">
        <v>27</v>
      </c>
      <c r="I2641" s="47" t="s">
        <v>116</v>
      </c>
      <c r="J2641" s="48">
        <v>0</v>
      </c>
      <c r="K2641" s="48">
        <v>0</v>
      </c>
      <c r="R2641" s="46">
        <f t="shared" si="259"/>
        <v>0</v>
      </c>
      <c r="S2641" s="46">
        <f t="shared" si="260"/>
        <v>0</v>
      </c>
      <c r="T2641" s="46">
        <f t="shared" si="258"/>
        <v>0</v>
      </c>
      <c r="U2641" s="46">
        <f t="shared" si="261"/>
        <v>0</v>
      </c>
      <c r="V2641" s="54">
        <f t="shared" si="262"/>
        <v>4</v>
      </c>
    </row>
    <row r="2642" spans="1:22" x14ac:dyDescent="0.2">
      <c r="A2642" s="46" t="s">
        <v>155</v>
      </c>
      <c r="B2642" s="46" t="s">
        <v>103</v>
      </c>
      <c r="C2642" s="46" t="s">
        <v>88</v>
      </c>
      <c r="D2642" s="46" t="s">
        <v>178</v>
      </c>
      <c r="E2642" s="46">
        <v>2</v>
      </c>
      <c r="F2642" s="46" t="s">
        <v>60</v>
      </c>
      <c r="G2642" s="46">
        <v>4</v>
      </c>
      <c r="H2642" s="47">
        <v>32</v>
      </c>
      <c r="I2642" s="47" t="s">
        <v>102</v>
      </c>
      <c r="J2642" s="48">
        <v>0</v>
      </c>
      <c r="K2642" s="48">
        <v>0</v>
      </c>
      <c r="R2642" s="46">
        <f t="shared" si="259"/>
        <v>0</v>
      </c>
      <c r="S2642" s="46">
        <f t="shared" si="260"/>
        <v>0</v>
      </c>
      <c r="T2642" s="46">
        <f t="shared" si="258"/>
        <v>0</v>
      </c>
      <c r="U2642" s="46">
        <f t="shared" si="261"/>
        <v>0</v>
      </c>
      <c r="V2642" s="54">
        <f t="shared" si="262"/>
        <v>4</v>
      </c>
    </row>
    <row r="2643" spans="1:22" x14ac:dyDescent="0.2">
      <c r="A2643" s="46" t="s">
        <v>155</v>
      </c>
      <c r="B2643" s="46" t="s">
        <v>103</v>
      </c>
      <c r="C2643" s="46" t="s">
        <v>88</v>
      </c>
      <c r="D2643" s="46" t="s">
        <v>178</v>
      </c>
      <c r="E2643" s="46">
        <v>3</v>
      </c>
      <c r="F2643" s="46" t="s">
        <v>60</v>
      </c>
      <c r="G2643" s="46">
        <v>2</v>
      </c>
      <c r="H2643" s="47">
        <v>34</v>
      </c>
      <c r="I2643" s="47" t="s">
        <v>127</v>
      </c>
      <c r="J2643" s="48">
        <v>0</v>
      </c>
      <c r="K2643" s="48">
        <v>0</v>
      </c>
      <c r="R2643" s="46">
        <f t="shared" si="259"/>
        <v>0</v>
      </c>
      <c r="S2643" s="46">
        <f t="shared" si="260"/>
        <v>0</v>
      </c>
      <c r="T2643" s="46">
        <f t="shared" si="258"/>
        <v>0</v>
      </c>
      <c r="U2643" s="46">
        <f t="shared" si="261"/>
        <v>0</v>
      </c>
      <c r="V2643" s="54">
        <f t="shared" si="262"/>
        <v>4</v>
      </c>
    </row>
    <row r="2644" spans="1:22" x14ac:dyDescent="0.2">
      <c r="A2644" s="46" t="s">
        <v>155</v>
      </c>
      <c r="B2644" s="46" t="s">
        <v>103</v>
      </c>
      <c r="C2644" s="46" t="s">
        <v>88</v>
      </c>
      <c r="D2644" s="46" t="s">
        <v>178</v>
      </c>
      <c r="E2644" s="46">
        <v>1</v>
      </c>
      <c r="F2644" s="46" t="s">
        <v>60</v>
      </c>
      <c r="G2644" s="46">
        <v>4</v>
      </c>
      <c r="H2644" s="47">
        <v>36</v>
      </c>
      <c r="I2644" s="47" t="s">
        <v>102</v>
      </c>
      <c r="J2644" s="48">
        <v>0</v>
      </c>
      <c r="K2644" s="48">
        <v>0</v>
      </c>
      <c r="R2644" s="46">
        <f t="shared" si="259"/>
        <v>0</v>
      </c>
      <c r="S2644" s="46">
        <f t="shared" si="260"/>
        <v>0</v>
      </c>
      <c r="T2644" s="46">
        <f t="shared" si="258"/>
        <v>0</v>
      </c>
      <c r="U2644" s="46">
        <f t="shared" si="261"/>
        <v>0</v>
      </c>
      <c r="V2644" s="54">
        <f t="shared" si="262"/>
        <v>4</v>
      </c>
    </row>
    <row r="2645" spans="1:22" x14ac:dyDescent="0.2">
      <c r="A2645" s="46" t="s">
        <v>155</v>
      </c>
      <c r="B2645" s="46" t="s">
        <v>103</v>
      </c>
      <c r="C2645" s="46" t="s">
        <v>88</v>
      </c>
      <c r="D2645" s="46" t="s">
        <v>178</v>
      </c>
      <c r="E2645" s="46">
        <v>1</v>
      </c>
      <c r="F2645" s="46" t="s">
        <v>60</v>
      </c>
      <c r="G2645" s="46">
        <v>2</v>
      </c>
      <c r="H2645" s="47">
        <v>38</v>
      </c>
      <c r="I2645" s="47" t="s">
        <v>127</v>
      </c>
      <c r="J2645" s="48">
        <v>0</v>
      </c>
      <c r="K2645" s="48">
        <v>0</v>
      </c>
      <c r="R2645" s="46">
        <f t="shared" si="259"/>
        <v>0</v>
      </c>
      <c r="S2645" s="46">
        <f t="shared" si="260"/>
        <v>0</v>
      </c>
      <c r="T2645" s="46">
        <f t="shared" si="258"/>
        <v>0</v>
      </c>
      <c r="U2645" s="46">
        <f t="shared" si="261"/>
        <v>0</v>
      </c>
      <c r="V2645" s="54">
        <f t="shared" si="262"/>
        <v>4</v>
      </c>
    </row>
    <row r="2646" spans="1:22" x14ac:dyDescent="0.2">
      <c r="A2646" s="46" t="s">
        <v>155</v>
      </c>
      <c r="B2646" s="46" t="s">
        <v>103</v>
      </c>
      <c r="C2646" s="46" t="s">
        <v>88</v>
      </c>
      <c r="D2646" s="46" t="s">
        <v>178</v>
      </c>
      <c r="E2646" s="46">
        <v>4</v>
      </c>
      <c r="F2646" s="46" t="s">
        <v>60</v>
      </c>
      <c r="G2646" s="46">
        <v>1</v>
      </c>
      <c r="H2646" s="47">
        <v>41</v>
      </c>
      <c r="I2646" s="47" t="s">
        <v>101</v>
      </c>
      <c r="J2646" s="48">
        <v>0</v>
      </c>
      <c r="K2646" s="48">
        <v>0</v>
      </c>
      <c r="N2646" s="48">
        <v>1</v>
      </c>
      <c r="R2646" s="46">
        <f t="shared" si="259"/>
        <v>0</v>
      </c>
      <c r="S2646" s="46">
        <f t="shared" si="260"/>
        <v>0</v>
      </c>
      <c r="T2646" s="46">
        <f t="shared" si="258"/>
        <v>0</v>
      </c>
      <c r="U2646" s="46">
        <f t="shared" si="261"/>
        <v>-5</v>
      </c>
      <c r="V2646" s="54">
        <f t="shared" si="262"/>
        <v>4</v>
      </c>
    </row>
    <row r="2647" spans="1:22" x14ac:dyDescent="0.2">
      <c r="A2647" s="46" t="s">
        <v>155</v>
      </c>
      <c r="B2647" s="46" t="s">
        <v>103</v>
      </c>
      <c r="C2647" s="46" t="s">
        <v>88</v>
      </c>
      <c r="D2647" s="46" t="s">
        <v>178</v>
      </c>
      <c r="E2647" s="46">
        <v>2</v>
      </c>
      <c r="F2647" s="46" t="s">
        <v>60</v>
      </c>
      <c r="G2647" s="46">
        <v>3</v>
      </c>
      <c r="H2647" s="47">
        <v>43</v>
      </c>
      <c r="I2647" s="47" t="s">
        <v>116</v>
      </c>
      <c r="J2647" s="48">
        <v>0</v>
      </c>
      <c r="K2647" s="48">
        <v>0</v>
      </c>
      <c r="R2647" s="46">
        <f t="shared" si="259"/>
        <v>0</v>
      </c>
      <c r="S2647" s="46">
        <f t="shared" si="260"/>
        <v>0</v>
      </c>
      <c r="T2647" s="46">
        <f t="shared" si="258"/>
        <v>0</v>
      </c>
      <c r="U2647" s="46">
        <f t="shared" si="261"/>
        <v>0</v>
      </c>
      <c r="V2647" s="54">
        <f t="shared" si="262"/>
        <v>4</v>
      </c>
    </row>
    <row r="2648" spans="1:22" x14ac:dyDescent="0.2">
      <c r="A2648" s="46" t="s">
        <v>155</v>
      </c>
      <c r="B2648" s="46" t="s">
        <v>103</v>
      </c>
      <c r="C2648" s="46" t="s">
        <v>88</v>
      </c>
      <c r="D2648" s="46" t="s">
        <v>178</v>
      </c>
      <c r="E2648" s="46">
        <v>1</v>
      </c>
      <c r="F2648" s="46" t="s">
        <v>60</v>
      </c>
      <c r="G2648" s="46">
        <v>1</v>
      </c>
      <c r="H2648" s="47">
        <v>45</v>
      </c>
      <c r="I2648" s="47" t="s">
        <v>101</v>
      </c>
      <c r="J2648" s="48">
        <v>0</v>
      </c>
      <c r="K2648" s="48">
        <v>0</v>
      </c>
      <c r="R2648" s="46">
        <f t="shared" si="259"/>
        <v>0</v>
      </c>
      <c r="S2648" s="46">
        <f t="shared" si="260"/>
        <v>0</v>
      </c>
      <c r="T2648" s="46">
        <f t="shared" si="258"/>
        <v>0</v>
      </c>
      <c r="U2648" s="46">
        <f t="shared" si="261"/>
        <v>0</v>
      </c>
      <c r="V2648" s="54">
        <f t="shared" si="262"/>
        <v>4</v>
      </c>
    </row>
    <row r="2649" spans="1:22" x14ac:dyDescent="0.2">
      <c r="A2649" s="46" t="s">
        <v>155</v>
      </c>
      <c r="B2649" s="46" t="s">
        <v>103</v>
      </c>
      <c r="C2649" s="46" t="s">
        <v>88</v>
      </c>
      <c r="D2649" s="46" t="s">
        <v>178</v>
      </c>
      <c r="E2649" s="46">
        <v>3</v>
      </c>
      <c r="F2649" s="46" t="s">
        <v>60</v>
      </c>
      <c r="G2649" s="46">
        <v>1</v>
      </c>
      <c r="H2649" s="47">
        <v>45</v>
      </c>
      <c r="I2649" s="47" t="s">
        <v>101</v>
      </c>
      <c r="J2649" s="48">
        <v>0</v>
      </c>
      <c r="K2649" s="48">
        <v>0</v>
      </c>
      <c r="N2649" s="48">
        <v>1</v>
      </c>
      <c r="R2649" s="46">
        <f t="shared" si="259"/>
        <v>0</v>
      </c>
      <c r="S2649" s="46">
        <f t="shared" si="260"/>
        <v>0</v>
      </c>
      <c r="T2649" s="46">
        <f t="shared" si="258"/>
        <v>0</v>
      </c>
      <c r="U2649" s="46">
        <f t="shared" si="261"/>
        <v>-5</v>
      </c>
      <c r="V2649" s="54">
        <f t="shared" si="262"/>
        <v>4</v>
      </c>
    </row>
    <row r="2650" spans="1:22" x14ac:dyDescent="0.2">
      <c r="A2650" s="46" t="s">
        <v>155</v>
      </c>
      <c r="B2650" s="46" t="s">
        <v>103</v>
      </c>
      <c r="C2650" s="46" t="s">
        <v>88</v>
      </c>
      <c r="D2650" s="46" t="s">
        <v>178</v>
      </c>
      <c r="E2650" s="46">
        <v>4</v>
      </c>
      <c r="F2650" s="46" t="s">
        <v>60</v>
      </c>
      <c r="G2650" s="46">
        <v>2</v>
      </c>
      <c r="H2650" s="47">
        <v>46</v>
      </c>
      <c r="I2650" s="47" t="s">
        <v>127</v>
      </c>
      <c r="J2650" s="48">
        <v>0</v>
      </c>
      <c r="K2650" s="48">
        <v>0</v>
      </c>
      <c r="R2650" s="46">
        <f t="shared" si="259"/>
        <v>0</v>
      </c>
      <c r="S2650" s="46">
        <f t="shared" si="260"/>
        <v>0</v>
      </c>
      <c r="T2650" s="46">
        <f t="shared" si="258"/>
        <v>0</v>
      </c>
      <c r="U2650" s="46">
        <f t="shared" si="261"/>
        <v>0</v>
      </c>
      <c r="V2650" s="54">
        <f t="shared" si="262"/>
        <v>4</v>
      </c>
    </row>
    <row r="2651" spans="1:22" x14ac:dyDescent="0.2">
      <c r="A2651" s="46" t="s">
        <v>155</v>
      </c>
      <c r="B2651" s="46" t="s">
        <v>103</v>
      </c>
      <c r="C2651" s="46" t="s">
        <v>88</v>
      </c>
      <c r="D2651" s="46" t="s">
        <v>178</v>
      </c>
      <c r="E2651" s="46">
        <v>2</v>
      </c>
      <c r="F2651" s="46" t="s">
        <v>60</v>
      </c>
      <c r="G2651" s="46">
        <v>1</v>
      </c>
      <c r="H2651" s="47">
        <v>49</v>
      </c>
      <c r="I2651" s="47" t="s">
        <v>101</v>
      </c>
      <c r="J2651" s="48">
        <v>0</v>
      </c>
      <c r="K2651" s="48">
        <v>0</v>
      </c>
      <c r="R2651" s="46">
        <f t="shared" si="259"/>
        <v>0</v>
      </c>
      <c r="S2651" s="46">
        <f t="shared" si="260"/>
        <v>0</v>
      </c>
      <c r="T2651" s="46">
        <f t="shared" si="258"/>
        <v>0</v>
      </c>
      <c r="U2651" s="46">
        <f t="shared" si="261"/>
        <v>0</v>
      </c>
      <c r="V2651" s="54">
        <f t="shared" si="262"/>
        <v>4</v>
      </c>
    </row>
    <row r="2652" spans="1:22" x14ac:dyDescent="0.2">
      <c r="A2652" s="46" t="s">
        <v>155</v>
      </c>
      <c r="B2652" s="46" t="s">
        <v>103</v>
      </c>
      <c r="C2652" s="46" t="s">
        <v>88</v>
      </c>
      <c r="D2652" s="46" t="s">
        <v>178</v>
      </c>
      <c r="E2652" s="46">
        <v>2</v>
      </c>
      <c r="F2652" s="46" t="s">
        <v>62</v>
      </c>
      <c r="G2652" s="46">
        <v>3</v>
      </c>
      <c r="H2652" s="47" t="s">
        <v>80</v>
      </c>
      <c r="I2652" s="47" t="s">
        <v>116</v>
      </c>
      <c r="J2652" s="48">
        <v>0</v>
      </c>
      <c r="K2652" s="48">
        <v>0</v>
      </c>
      <c r="R2652" s="46">
        <f t="shared" si="259"/>
        <v>0</v>
      </c>
      <c r="S2652" s="46">
        <f t="shared" si="260"/>
        <v>0</v>
      </c>
      <c r="T2652" s="46">
        <f t="shared" ref="T2652:T2683" si="263">quizscore(J2652,K2652)</f>
        <v>0</v>
      </c>
      <c r="U2652" s="46">
        <f t="shared" si="261"/>
        <v>0</v>
      </c>
      <c r="V2652" s="54">
        <f t="shared" si="262"/>
        <v>4</v>
      </c>
    </row>
    <row r="2653" spans="1:22" x14ac:dyDescent="0.2">
      <c r="A2653" s="46" t="s">
        <v>155</v>
      </c>
      <c r="B2653" s="46" t="s">
        <v>103</v>
      </c>
      <c r="C2653" s="46" t="s">
        <v>88</v>
      </c>
      <c r="D2653" s="46" t="s">
        <v>178</v>
      </c>
      <c r="E2653" s="46">
        <v>2</v>
      </c>
      <c r="F2653" s="46" t="s">
        <v>62</v>
      </c>
      <c r="G2653" s="46">
        <v>3</v>
      </c>
      <c r="H2653" s="47" t="s">
        <v>85</v>
      </c>
      <c r="I2653" s="47" t="s">
        <v>116</v>
      </c>
      <c r="J2653" s="48">
        <v>0</v>
      </c>
      <c r="K2653" s="48">
        <v>0</v>
      </c>
      <c r="R2653" s="46">
        <f t="shared" si="259"/>
        <v>0</v>
      </c>
      <c r="S2653" s="46">
        <f t="shared" si="260"/>
        <v>0</v>
      </c>
      <c r="T2653" s="46">
        <f t="shared" si="263"/>
        <v>0</v>
      </c>
      <c r="U2653" s="46">
        <f t="shared" si="261"/>
        <v>0</v>
      </c>
      <c r="V2653" s="54">
        <f t="shared" si="262"/>
        <v>4</v>
      </c>
    </row>
    <row r="2654" spans="1:22" x14ac:dyDescent="0.2">
      <c r="A2654" s="46" t="s">
        <v>155</v>
      </c>
      <c r="B2654" s="46" t="s">
        <v>103</v>
      </c>
      <c r="C2654" s="46" t="s">
        <v>88</v>
      </c>
      <c r="D2654" s="46" t="s">
        <v>178</v>
      </c>
      <c r="E2654" s="46">
        <v>3</v>
      </c>
      <c r="F2654" s="46" t="s">
        <v>63</v>
      </c>
      <c r="G2654" s="46">
        <v>4</v>
      </c>
      <c r="H2654" s="47" t="s">
        <v>146</v>
      </c>
      <c r="I2654" s="47" t="s">
        <v>102</v>
      </c>
      <c r="J2654" s="48">
        <v>0</v>
      </c>
      <c r="K2654" s="48">
        <v>0</v>
      </c>
      <c r="R2654" s="46">
        <f t="shared" si="259"/>
        <v>0</v>
      </c>
      <c r="S2654" s="46">
        <f t="shared" si="260"/>
        <v>0</v>
      </c>
      <c r="T2654" s="46">
        <f t="shared" si="263"/>
        <v>0</v>
      </c>
      <c r="U2654" s="46">
        <f t="shared" si="261"/>
        <v>0</v>
      </c>
      <c r="V2654" s="54">
        <f t="shared" si="262"/>
        <v>4</v>
      </c>
    </row>
    <row r="2655" spans="1:22" x14ac:dyDescent="0.2">
      <c r="A2655" s="46" t="s">
        <v>155</v>
      </c>
      <c r="B2655" s="46" t="s">
        <v>103</v>
      </c>
      <c r="C2655" s="46" t="s">
        <v>88</v>
      </c>
      <c r="D2655" s="46" t="s">
        <v>178</v>
      </c>
      <c r="E2655" s="46">
        <v>1</v>
      </c>
      <c r="F2655" s="46" t="s">
        <v>63</v>
      </c>
      <c r="G2655" s="46">
        <v>4</v>
      </c>
      <c r="H2655" s="47" t="s">
        <v>149</v>
      </c>
      <c r="I2655" s="47" t="s">
        <v>102</v>
      </c>
      <c r="J2655" s="48">
        <v>0</v>
      </c>
      <c r="K2655" s="48">
        <v>0</v>
      </c>
      <c r="R2655" s="46">
        <f t="shared" si="259"/>
        <v>0</v>
      </c>
      <c r="S2655" s="46">
        <f t="shared" si="260"/>
        <v>0</v>
      </c>
      <c r="T2655" s="46">
        <f t="shared" si="263"/>
        <v>0</v>
      </c>
      <c r="U2655" s="46">
        <f t="shared" si="261"/>
        <v>0</v>
      </c>
      <c r="V2655" s="54">
        <f t="shared" si="262"/>
        <v>4</v>
      </c>
    </row>
    <row r="2656" spans="1:22" x14ac:dyDescent="0.2">
      <c r="A2656" s="46" t="s">
        <v>155</v>
      </c>
      <c r="B2656" s="46" t="s">
        <v>103</v>
      </c>
      <c r="C2656" s="46" t="s">
        <v>88</v>
      </c>
      <c r="D2656" s="46" t="s">
        <v>178</v>
      </c>
      <c r="E2656" s="46">
        <v>3</v>
      </c>
      <c r="F2656" s="46" t="s">
        <v>63</v>
      </c>
      <c r="G2656" s="46">
        <v>4</v>
      </c>
      <c r="H2656" s="47" t="s">
        <v>150</v>
      </c>
      <c r="I2656" s="47" t="s">
        <v>102</v>
      </c>
      <c r="J2656" s="48">
        <v>0</v>
      </c>
      <c r="K2656" s="48">
        <v>0</v>
      </c>
      <c r="R2656" s="46">
        <f t="shared" si="259"/>
        <v>0</v>
      </c>
      <c r="S2656" s="46">
        <f t="shared" si="260"/>
        <v>0</v>
      </c>
      <c r="T2656" s="46">
        <f t="shared" si="263"/>
        <v>0</v>
      </c>
      <c r="U2656" s="46">
        <f t="shared" si="261"/>
        <v>0</v>
      </c>
      <c r="V2656" s="54">
        <f t="shared" si="262"/>
        <v>4</v>
      </c>
    </row>
    <row r="2657" spans="1:22" x14ac:dyDescent="0.2">
      <c r="A2657" s="46" t="s">
        <v>155</v>
      </c>
      <c r="B2657" s="46" t="s">
        <v>103</v>
      </c>
      <c r="C2657" s="46" t="s">
        <v>88</v>
      </c>
      <c r="D2657" s="46" t="s">
        <v>178</v>
      </c>
      <c r="E2657" s="46">
        <v>4</v>
      </c>
      <c r="F2657" s="46" t="s">
        <v>63</v>
      </c>
      <c r="G2657" s="46">
        <v>4</v>
      </c>
      <c r="H2657" s="47" t="s">
        <v>151</v>
      </c>
      <c r="I2657" s="47" t="s">
        <v>102</v>
      </c>
      <c r="J2657" s="48">
        <v>0</v>
      </c>
      <c r="K2657" s="48">
        <v>0</v>
      </c>
      <c r="R2657" s="46">
        <f t="shared" si="259"/>
        <v>0</v>
      </c>
      <c r="S2657" s="46">
        <f t="shared" si="260"/>
        <v>0</v>
      </c>
      <c r="T2657" s="46">
        <f t="shared" si="263"/>
        <v>0</v>
      </c>
      <c r="U2657" s="46">
        <f t="shared" si="261"/>
        <v>0</v>
      </c>
      <c r="V2657" s="54">
        <f t="shared" si="262"/>
        <v>4</v>
      </c>
    </row>
    <row r="2658" spans="1:22" x14ac:dyDescent="0.2">
      <c r="A2658" s="46" t="s">
        <v>155</v>
      </c>
      <c r="B2658" s="46" t="s">
        <v>103</v>
      </c>
      <c r="C2658" s="46" t="s">
        <v>88</v>
      </c>
      <c r="D2658" s="46" t="s">
        <v>178</v>
      </c>
      <c r="E2658" s="46">
        <v>2</v>
      </c>
      <c r="F2658" s="46" t="s">
        <v>60</v>
      </c>
      <c r="G2658" s="46">
        <v>2</v>
      </c>
      <c r="H2658" s="47">
        <v>14</v>
      </c>
      <c r="I2658" s="47" t="s">
        <v>127</v>
      </c>
      <c r="J2658" s="48">
        <v>1</v>
      </c>
      <c r="K2658" s="48">
        <v>0</v>
      </c>
      <c r="R2658" s="46">
        <f t="shared" si="259"/>
        <v>0</v>
      </c>
      <c r="S2658" s="46">
        <f t="shared" si="260"/>
        <v>0</v>
      </c>
      <c r="T2658" s="46">
        <f t="shared" si="263"/>
        <v>20</v>
      </c>
      <c r="U2658" s="46">
        <f t="shared" si="261"/>
        <v>20</v>
      </c>
      <c r="V2658" s="54">
        <f t="shared" si="262"/>
        <v>4</v>
      </c>
    </row>
    <row r="2659" spans="1:22" x14ac:dyDescent="0.2">
      <c r="A2659" s="46" t="s">
        <v>155</v>
      </c>
      <c r="B2659" s="46" t="s">
        <v>103</v>
      </c>
      <c r="C2659" s="46" t="s">
        <v>88</v>
      </c>
      <c r="D2659" s="46" t="s">
        <v>178</v>
      </c>
      <c r="E2659" s="46">
        <v>4</v>
      </c>
      <c r="F2659" s="46" t="s">
        <v>60</v>
      </c>
      <c r="G2659" s="46">
        <v>4</v>
      </c>
      <c r="H2659" s="47">
        <v>36</v>
      </c>
      <c r="I2659" s="47" t="s">
        <v>102</v>
      </c>
      <c r="J2659" s="48">
        <v>1</v>
      </c>
      <c r="K2659" s="48">
        <v>0</v>
      </c>
      <c r="M2659" s="48">
        <v>1</v>
      </c>
      <c r="R2659" s="46">
        <f t="shared" si="259"/>
        <v>0</v>
      </c>
      <c r="S2659" s="46">
        <f t="shared" si="260"/>
        <v>0</v>
      </c>
      <c r="T2659" s="46">
        <f t="shared" si="263"/>
        <v>20</v>
      </c>
      <c r="U2659" s="46">
        <f t="shared" si="261"/>
        <v>40</v>
      </c>
      <c r="V2659" s="54">
        <f t="shared" si="262"/>
        <v>4</v>
      </c>
    </row>
    <row r="2660" spans="1:22" x14ac:dyDescent="0.2">
      <c r="A2660" s="46" t="s">
        <v>155</v>
      </c>
      <c r="B2660" s="46" t="s">
        <v>103</v>
      </c>
      <c r="C2660" s="46" t="s">
        <v>88</v>
      </c>
      <c r="D2660" s="46" t="s">
        <v>178</v>
      </c>
      <c r="E2660" s="46">
        <v>3</v>
      </c>
      <c r="F2660" s="46" t="s">
        <v>63</v>
      </c>
      <c r="G2660" s="46">
        <v>4</v>
      </c>
      <c r="H2660" s="47" t="s">
        <v>147</v>
      </c>
      <c r="I2660" s="47" t="s">
        <v>102</v>
      </c>
      <c r="J2660" s="48">
        <v>1</v>
      </c>
      <c r="K2660" s="48">
        <v>0</v>
      </c>
      <c r="R2660" s="46">
        <f t="shared" si="259"/>
        <v>0</v>
      </c>
      <c r="S2660" s="46">
        <f t="shared" si="260"/>
        <v>0</v>
      </c>
      <c r="T2660" s="46">
        <f t="shared" si="263"/>
        <v>20</v>
      </c>
      <c r="U2660" s="46">
        <f t="shared" si="261"/>
        <v>20</v>
      </c>
      <c r="V2660" s="54">
        <f t="shared" si="262"/>
        <v>4</v>
      </c>
    </row>
    <row r="2661" spans="1:22" x14ac:dyDescent="0.2">
      <c r="A2661" s="46" t="s">
        <v>155</v>
      </c>
      <c r="B2661" s="46" t="s">
        <v>103</v>
      </c>
      <c r="C2661" s="46" t="s">
        <v>88</v>
      </c>
      <c r="D2661" s="46" t="s">
        <v>178</v>
      </c>
      <c r="E2661" s="46">
        <v>4</v>
      </c>
      <c r="F2661" s="46" t="s">
        <v>63</v>
      </c>
      <c r="G2661" s="46">
        <v>4</v>
      </c>
      <c r="H2661" s="47" t="s">
        <v>147</v>
      </c>
      <c r="I2661" s="47" t="s">
        <v>102</v>
      </c>
      <c r="J2661" s="48">
        <v>1</v>
      </c>
      <c r="K2661" s="48">
        <v>0</v>
      </c>
      <c r="O2661" s="48">
        <v>1</v>
      </c>
      <c r="R2661" s="46">
        <f t="shared" si="259"/>
        <v>0</v>
      </c>
      <c r="S2661" s="46">
        <f t="shared" si="260"/>
        <v>0</v>
      </c>
      <c r="T2661" s="46">
        <f t="shared" si="263"/>
        <v>20</v>
      </c>
      <c r="U2661" s="46">
        <f t="shared" si="261"/>
        <v>30</v>
      </c>
      <c r="V2661" s="54">
        <f t="shared" si="262"/>
        <v>4</v>
      </c>
    </row>
    <row r="2662" spans="1:22" x14ac:dyDescent="0.2">
      <c r="A2662" s="46" t="s">
        <v>155</v>
      </c>
      <c r="B2662" s="46" t="s">
        <v>103</v>
      </c>
      <c r="C2662" s="46" t="s">
        <v>88</v>
      </c>
      <c r="D2662" s="46" t="s">
        <v>178</v>
      </c>
      <c r="E2662" s="46">
        <v>4</v>
      </c>
      <c r="F2662" s="46" t="s">
        <v>63</v>
      </c>
      <c r="G2662" s="46">
        <v>4</v>
      </c>
      <c r="H2662" s="47" t="s">
        <v>152</v>
      </c>
      <c r="I2662" s="47" t="s">
        <v>102</v>
      </c>
      <c r="J2662" s="48">
        <v>1</v>
      </c>
      <c r="K2662" s="48">
        <v>1</v>
      </c>
      <c r="R2662" s="46">
        <f t="shared" si="259"/>
        <v>0</v>
      </c>
      <c r="S2662" s="46">
        <f t="shared" si="260"/>
        <v>0</v>
      </c>
      <c r="T2662" s="46">
        <f t="shared" si="263"/>
        <v>20</v>
      </c>
      <c r="U2662" s="46">
        <f t="shared" si="261"/>
        <v>20</v>
      </c>
      <c r="V2662" s="54">
        <f t="shared" si="262"/>
        <v>4</v>
      </c>
    </row>
    <row r="2663" spans="1:22" x14ac:dyDescent="0.2">
      <c r="A2663" s="46" t="s">
        <v>155</v>
      </c>
      <c r="B2663" s="46" t="s">
        <v>103</v>
      </c>
      <c r="C2663" s="46" t="s">
        <v>88</v>
      </c>
      <c r="D2663" s="46" t="s">
        <v>178</v>
      </c>
      <c r="E2663" s="46">
        <v>1</v>
      </c>
      <c r="F2663" s="46" t="s">
        <v>63</v>
      </c>
      <c r="G2663" s="46">
        <v>4</v>
      </c>
      <c r="H2663" s="47" t="s">
        <v>150</v>
      </c>
      <c r="I2663" s="47" t="s">
        <v>102</v>
      </c>
      <c r="J2663" s="48">
        <v>2</v>
      </c>
      <c r="K2663" s="48">
        <v>0</v>
      </c>
      <c r="R2663" s="46">
        <f t="shared" si="259"/>
        <v>0</v>
      </c>
      <c r="S2663" s="46">
        <f t="shared" si="260"/>
        <v>0</v>
      </c>
      <c r="T2663" s="46">
        <f t="shared" si="263"/>
        <v>40</v>
      </c>
      <c r="U2663" s="46">
        <f t="shared" si="261"/>
        <v>40</v>
      </c>
      <c r="V2663" s="54">
        <f t="shared" si="262"/>
        <v>4</v>
      </c>
    </row>
    <row r="2664" spans="1:22" x14ac:dyDescent="0.2">
      <c r="A2664" s="46" t="s">
        <v>155</v>
      </c>
      <c r="B2664" s="46" t="s">
        <v>103</v>
      </c>
      <c r="C2664" s="46" t="s">
        <v>88</v>
      </c>
      <c r="D2664" s="46" t="s">
        <v>178</v>
      </c>
      <c r="E2664" s="46">
        <v>4</v>
      </c>
      <c r="F2664" s="46" t="s">
        <v>63</v>
      </c>
      <c r="G2664" s="46">
        <v>4</v>
      </c>
      <c r="H2664" s="47" t="s">
        <v>172</v>
      </c>
      <c r="I2664" s="47" t="s">
        <v>102</v>
      </c>
      <c r="J2664" s="48">
        <v>0</v>
      </c>
      <c r="K2664" s="48">
        <v>1</v>
      </c>
      <c r="R2664" s="46">
        <f t="shared" si="259"/>
        <v>0</v>
      </c>
      <c r="S2664" s="46">
        <f t="shared" si="260"/>
        <v>0</v>
      </c>
      <c r="T2664" s="46">
        <f t="shared" si="263"/>
        <v>0</v>
      </c>
      <c r="U2664" s="46">
        <f t="shared" si="261"/>
        <v>0</v>
      </c>
      <c r="V2664" s="54">
        <f t="shared" si="262"/>
        <v>4</v>
      </c>
    </row>
    <row r="2665" spans="1:22" x14ac:dyDescent="0.2">
      <c r="A2665" s="46" t="s">
        <v>155</v>
      </c>
      <c r="B2665" s="46" t="s">
        <v>103</v>
      </c>
      <c r="C2665" s="46" t="s">
        <v>88</v>
      </c>
      <c r="D2665" s="46" t="s">
        <v>178</v>
      </c>
      <c r="E2665" s="46">
        <v>5</v>
      </c>
      <c r="F2665" s="46" t="s">
        <v>60</v>
      </c>
      <c r="G2665" s="46">
        <v>4</v>
      </c>
      <c r="H2665" s="47">
        <v>4</v>
      </c>
      <c r="I2665" s="47" t="s">
        <v>102</v>
      </c>
      <c r="J2665" s="48">
        <v>0</v>
      </c>
      <c r="K2665" s="48">
        <v>0</v>
      </c>
      <c r="R2665" s="46">
        <f t="shared" si="259"/>
        <v>0</v>
      </c>
      <c r="S2665" s="46">
        <f t="shared" si="260"/>
        <v>0</v>
      </c>
      <c r="T2665" s="46">
        <f t="shared" si="263"/>
        <v>0</v>
      </c>
      <c r="U2665" s="46">
        <f t="shared" si="261"/>
        <v>0</v>
      </c>
      <c r="V2665" s="54">
        <f t="shared" si="262"/>
        <v>4</v>
      </c>
    </row>
    <row r="2666" spans="1:22" x14ac:dyDescent="0.2">
      <c r="A2666" s="46" t="s">
        <v>155</v>
      </c>
      <c r="B2666" s="46" t="s">
        <v>103</v>
      </c>
      <c r="C2666" s="46" t="s">
        <v>88</v>
      </c>
      <c r="D2666" s="46" t="s">
        <v>178</v>
      </c>
      <c r="E2666" s="46">
        <v>5</v>
      </c>
      <c r="F2666" s="46" t="s">
        <v>60</v>
      </c>
      <c r="G2666" s="46">
        <v>4</v>
      </c>
      <c r="H2666" s="47">
        <v>12</v>
      </c>
      <c r="I2666" s="47" t="s">
        <v>102</v>
      </c>
      <c r="J2666" s="48">
        <v>0</v>
      </c>
      <c r="K2666" s="48">
        <v>0</v>
      </c>
      <c r="R2666" s="46">
        <f t="shared" si="259"/>
        <v>0</v>
      </c>
      <c r="S2666" s="46">
        <f t="shared" si="260"/>
        <v>0</v>
      </c>
      <c r="T2666" s="46">
        <f t="shared" si="263"/>
        <v>0</v>
      </c>
      <c r="U2666" s="46">
        <f t="shared" si="261"/>
        <v>0</v>
      </c>
      <c r="V2666" s="54">
        <f t="shared" si="262"/>
        <v>4</v>
      </c>
    </row>
    <row r="2667" spans="1:22" x14ac:dyDescent="0.2">
      <c r="A2667" s="46" t="s">
        <v>155</v>
      </c>
      <c r="B2667" s="46" t="s">
        <v>103</v>
      </c>
      <c r="C2667" s="46" t="s">
        <v>88</v>
      </c>
      <c r="D2667" s="46" t="s">
        <v>178</v>
      </c>
      <c r="E2667" s="46">
        <v>5</v>
      </c>
      <c r="F2667" s="46" t="s">
        <v>60</v>
      </c>
      <c r="G2667" s="46">
        <v>1</v>
      </c>
      <c r="H2667" s="47">
        <v>17</v>
      </c>
      <c r="I2667" s="47" t="s">
        <v>101</v>
      </c>
      <c r="J2667" s="48">
        <v>0</v>
      </c>
      <c r="K2667" s="48">
        <v>0</v>
      </c>
      <c r="R2667" s="46">
        <f t="shared" si="259"/>
        <v>0</v>
      </c>
      <c r="S2667" s="46">
        <f t="shared" si="260"/>
        <v>0</v>
      </c>
      <c r="T2667" s="46">
        <f t="shared" si="263"/>
        <v>0</v>
      </c>
      <c r="U2667" s="46">
        <f t="shared" si="261"/>
        <v>0</v>
      </c>
      <c r="V2667" s="54">
        <f t="shared" si="262"/>
        <v>4</v>
      </c>
    </row>
    <row r="2668" spans="1:22" x14ac:dyDescent="0.2">
      <c r="A2668" s="46" t="s">
        <v>155</v>
      </c>
      <c r="B2668" s="46" t="s">
        <v>103</v>
      </c>
      <c r="C2668" s="46" t="s">
        <v>88</v>
      </c>
      <c r="D2668" s="46" t="s">
        <v>178</v>
      </c>
      <c r="E2668" s="46">
        <v>5</v>
      </c>
      <c r="F2668" s="46" t="s">
        <v>60</v>
      </c>
      <c r="G2668" s="46">
        <v>3</v>
      </c>
      <c r="H2668" s="47">
        <v>27</v>
      </c>
      <c r="I2668" s="47" t="s">
        <v>159</v>
      </c>
      <c r="J2668" s="48">
        <v>0</v>
      </c>
      <c r="K2668" s="48">
        <v>0</v>
      </c>
      <c r="R2668" s="46">
        <f t="shared" si="259"/>
        <v>0</v>
      </c>
      <c r="S2668" s="46">
        <f t="shared" si="260"/>
        <v>0</v>
      </c>
      <c r="T2668" s="46">
        <f t="shared" si="263"/>
        <v>0</v>
      </c>
      <c r="U2668" s="46">
        <f t="shared" si="261"/>
        <v>0</v>
      </c>
      <c r="V2668" s="54">
        <f t="shared" si="262"/>
        <v>4</v>
      </c>
    </row>
    <row r="2669" spans="1:22" x14ac:dyDescent="0.2">
      <c r="A2669" s="46" t="s">
        <v>155</v>
      </c>
      <c r="B2669" s="46" t="s">
        <v>103</v>
      </c>
      <c r="C2669" s="46" t="s">
        <v>88</v>
      </c>
      <c r="D2669" s="46" t="s">
        <v>178</v>
      </c>
      <c r="E2669" s="46">
        <v>5</v>
      </c>
      <c r="F2669" s="46" t="s">
        <v>60</v>
      </c>
      <c r="G2669" s="46">
        <v>2</v>
      </c>
      <c r="H2669" s="47">
        <v>38</v>
      </c>
      <c r="I2669" s="47" t="s">
        <v>127</v>
      </c>
      <c r="J2669" s="48">
        <v>0</v>
      </c>
      <c r="K2669" s="48">
        <v>0</v>
      </c>
      <c r="R2669" s="46">
        <f t="shared" si="259"/>
        <v>0</v>
      </c>
      <c r="S2669" s="46">
        <f t="shared" si="260"/>
        <v>0</v>
      </c>
      <c r="T2669" s="46">
        <f t="shared" si="263"/>
        <v>0</v>
      </c>
      <c r="U2669" s="46">
        <f t="shared" si="261"/>
        <v>0</v>
      </c>
      <c r="V2669" s="54">
        <f t="shared" si="262"/>
        <v>4</v>
      </c>
    </row>
    <row r="2670" spans="1:22" x14ac:dyDescent="0.2">
      <c r="A2670" s="46" t="s">
        <v>155</v>
      </c>
      <c r="B2670" s="46" t="s">
        <v>103</v>
      </c>
      <c r="C2670" s="46" t="s">
        <v>88</v>
      </c>
      <c r="D2670" s="46" t="s">
        <v>178</v>
      </c>
      <c r="E2670" s="46">
        <v>5</v>
      </c>
      <c r="F2670" s="46" t="s">
        <v>60</v>
      </c>
      <c r="G2670" s="46">
        <v>1</v>
      </c>
      <c r="H2670" s="47">
        <v>49</v>
      </c>
      <c r="I2670" s="47" t="s">
        <v>101</v>
      </c>
      <c r="J2670" s="48">
        <v>2</v>
      </c>
      <c r="K2670" s="48">
        <v>0</v>
      </c>
      <c r="O2670" s="48">
        <v>1</v>
      </c>
      <c r="R2670" s="46">
        <f t="shared" si="259"/>
        <v>0</v>
      </c>
      <c r="S2670" s="46">
        <f t="shared" si="260"/>
        <v>0</v>
      </c>
      <c r="T2670" s="46">
        <f t="shared" si="263"/>
        <v>40</v>
      </c>
      <c r="U2670" s="46">
        <f t="shared" si="261"/>
        <v>50</v>
      </c>
      <c r="V2670" s="54">
        <f t="shared" si="262"/>
        <v>4</v>
      </c>
    </row>
    <row r="2671" spans="1:22" x14ac:dyDescent="0.2">
      <c r="A2671" s="46" t="s">
        <v>155</v>
      </c>
      <c r="B2671" s="46" t="s">
        <v>103</v>
      </c>
      <c r="C2671" s="46" t="s">
        <v>88</v>
      </c>
      <c r="D2671" s="46" t="s">
        <v>178</v>
      </c>
      <c r="E2671" s="46">
        <v>5</v>
      </c>
      <c r="F2671" s="46" t="s">
        <v>62</v>
      </c>
      <c r="G2671" s="46">
        <v>2</v>
      </c>
      <c r="H2671" s="47" t="s">
        <v>79</v>
      </c>
      <c r="I2671" s="47" t="s">
        <v>127</v>
      </c>
      <c r="J2671" s="48">
        <v>0</v>
      </c>
      <c r="K2671" s="48">
        <v>0</v>
      </c>
      <c r="R2671" s="46">
        <f t="shared" si="259"/>
        <v>0</v>
      </c>
      <c r="S2671" s="46">
        <f t="shared" si="260"/>
        <v>0</v>
      </c>
      <c r="T2671" s="46">
        <f t="shared" si="263"/>
        <v>0</v>
      </c>
      <c r="U2671" s="46">
        <f t="shared" si="261"/>
        <v>0</v>
      </c>
      <c r="V2671" s="54">
        <f t="shared" si="262"/>
        <v>4</v>
      </c>
    </row>
    <row r="2672" spans="1:22" x14ac:dyDescent="0.2">
      <c r="A2672" s="46" t="s">
        <v>155</v>
      </c>
      <c r="B2672" s="46" t="s">
        <v>103</v>
      </c>
      <c r="C2672" s="46" t="s">
        <v>88</v>
      </c>
      <c r="D2672" s="46" t="s">
        <v>178</v>
      </c>
      <c r="E2672" s="46">
        <v>5</v>
      </c>
      <c r="F2672" s="46" t="s">
        <v>62</v>
      </c>
      <c r="G2672" s="46">
        <v>3</v>
      </c>
      <c r="H2672" s="47" t="s">
        <v>84</v>
      </c>
      <c r="I2672" s="47" t="s">
        <v>219</v>
      </c>
      <c r="J2672" s="48">
        <v>0</v>
      </c>
      <c r="K2672" s="48">
        <v>0</v>
      </c>
      <c r="R2672" s="46">
        <f t="shared" si="259"/>
        <v>0</v>
      </c>
      <c r="S2672" s="46">
        <f t="shared" si="260"/>
        <v>0</v>
      </c>
      <c r="T2672" s="46">
        <f t="shared" si="263"/>
        <v>0</v>
      </c>
      <c r="U2672" s="46">
        <f t="shared" si="261"/>
        <v>0</v>
      </c>
      <c r="V2672" s="54">
        <f t="shared" si="262"/>
        <v>4</v>
      </c>
    </row>
    <row r="2673" spans="1:22" x14ac:dyDescent="0.2">
      <c r="A2673" s="46" t="s">
        <v>155</v>
      </c>
      <c r="B2673" s="46" t="s">
        <v>103</v>
      </c>
      <c r="C2673" s="46" t="s">
        <v>88</v>
      </c>
      <c r="D2673" s="46" t="s">
        <v>178</v>
      </c>
      <c r="E2673" s="46">
        <v>5</v>
      </c>
      <c r="F2673" s="46" t="s">
        <v>62</v>
      </c>
      <c r="G2673" s="46">
        <v>3</v>
      </c>
      <c r="H2673" s="47" t="s">
        <v>87</v>
      </c>
      <c r="I2673" s="47" t="s">
        <v>219</v>
      </c>
      <c r="J2673" s="48">
        <v>0</v>
      </c>
      <c r="K2673" s="48">
        <v>0</v>
      </c>
      <c r="R2673" s="46">
        <f t="shared" si="259"/>
        <v>0</v>
      </c>
      <c r="S2673" s="46">
        <f t="shared" si="260"/>
        <v>0</v>
      </c>
      <c r="T2673" s="46">
        <f t="shared" si="263"/>
        <v>0</v>
      </c>
      <c r="U2673" s="46">
        <f t="shared" si="261"/>
        <v>0</v>
      </c>
      <c r="V2673" s="54">
        <f t="shared" si="262"/>
        <v>4</v>
      </c>
    </row>
    <row r="2674" spans="1:22" x14ac:dyDescent="0.2">
      <c r="A2674" s="46" t="s">
        <v>33</v>
      </c>
      <c r="B2674" s="46" t="s">
        <v>58</v>
      </c>
      <c r="C2674" s="46" t="s">
        <v>93</v>
      </c>
      <c r="D2674" s="46" t="s">
        <v>178</v>
      </c>
      <c r="E2674" s="46">
        <v>1</v>
      </c>
      <c r="F2674" s="46" t="s">
        <v>60</v>
      </c>
      <c r="G2674" s="46">
        <v>2</v>
      </c>
      <c r="H2674" s="47">
        <v>18</v>
      </c>
      <c r="I2674" s="47" t="s">
        <v>127</v>
      </c>
      <c r="J2674" s="48">
        <v>0</v>
      </c>
      <c r="K2674" s="48">
        <v>2</v>
      </c>
      <c r="R2674" s="46">
        <f t="shared" si="259"/>
        <v>0</v>
      </c>
      <c r="S2674" s="46">
        <f t="shared" si="260"/>
        <v>0</v>
      </c>
      <c r="T2674" s="46">
        <f t="shared" si="263"/>
        <v>-10</v>
      </c>
      <c r="U2674" s="46">
        <f t="shared" si="261"/>
        <v>-10</v>
      </c>
      <c r="V2674" s="54">
        <f t="shared" si="262"/>
        <v>18.333333333333332</v>
      </c>
    </row>
    <row r="2675" spans="1:22" x14ac:dyDescent="0.2">
      <c r="A2675" s="46" t="s">
        <v>33</v>
      </c>
      <c r="B2675" s="46" t="s">
        <v>58</v>
      </c>
      <c r="C2675" s="46" t="s">
        <v>93</v>
      </c>
      <c r="D2675" s="46" t="s">
        <v>178</v>
      </c>
      <c r="E2675" s="46">
        <v>3</v>
      </c>
      <c r="F2675" s="46" t="s">
        <v>63</v>
      </c>
      <c r="G2675" s="46">
        <v>4</v>
      </c>
      <c r="H2675" s="47" t="s">
        <v>146</v>
      </c>
      <c r="I2675" s="47" t="s">
        <v>102</v>
      </c>
      <c r="J2675" s="48">
        <v>0</v>
      </c>
      <c r="K2675" s="48">
        <v>2</v>
      </c>
      <c r="N2675" s="48">
        <v>1</v>
      </c>
      <c r="R2675" s="46">
        <f t="shared" si="259"/>
        <v>0</v>
      </c>
      <c r="S2675" s="46">
        <f t="shared" si="260"/>
        <v>0</v>
      </c>
      <c r="T2675" s="46">
        <f t="shared" si="263"/>
        <v>-10</v>
      </c>
      <c r="U2675" s="46">
        <f t="shared" si="261"/>
        <v>-15</v>
      </c>
      <c r="V2675" s="54">
        <f t="shared" si="262"/>
        <v>18.333333333333332</v>
      </c>
    </row>
    <row r="2676" spans="1:22" x14ac:dyDescent="0.2">
      <c r="A2676" s="46" t="s">
        <v>33</v>
      </c>
      <c r="B2676" s="46" t="s">
        <v>58</v>
      </c>
      <c r="C2676" s="46" t="s">
        <v>93</v>
      </c>
      <c r="D2676" s="46" t="s">
        <v>178</v>
      </c>
      <c r="E2676" s="46">
        <v>3</v>
      </c>
      <c r="F2676" s="46" t="s">
        <v>63</v>
      </c>
      <c r="G2676" s="46">
        <v>4</v>
      </c>
      <c r="H2676" s="47" t="s">
        <v>148</v>
      </c>
      <c r="I2676" s="47" t="s">
        <v>102</v>
      </c>
      <c r="J2676" s="48">
        <v>0</v>
      </c>
      <c r="K2676" s="48">
        <v>2</v>
      </c>
      <c r="R2676" s="46">
        <f t="shared" si="259"/>
        <v>0</v>
      </c>
      <c r="S2676" s="46">
        <f t="shared" si="260"/>
        <v>0</v>
      </c>
      <c r="T2676" s="46">
        <f t="shared" si="263"/>
        <v>-10</v>
      </c>
      <c r="U2676" s="46">
        <f t="shared" si="261"/>
        <v>-10</v>
      </c>
      <c r="V2676" s="54">
        <f t="shared" si="262"/>
        <v>18.333333333333332</v>
      </c>
    </row>
    <row r="2677" spans="1:22" x14ac:dyDescent="0.2">
      <c r="A2677" s="46" t="s">
        <v>33</v>
      </c>
      <c r="B2677" s="46" t="s">
        <v>58</v>
      </c>
      <c r="C2677" s="46" t="s">
        <v>93</v>
      </c>
      <c r="D2677" s="46" t="s">
        <v>178</v>
      </c>
      <c r="E2677" s="46">
        <v>3</v>
      </c>
      <c r="F2677" s="46" t="s">
        <v>60</v>
      </c>
      <c r="G2677" s="46">
        <v>1</v>
      </c>
      <c r="H2677" s="47">
        <v>13</v>
      </c>
      <c r="I2677" s="47" t="s">
        <v>101</v>
      </c>
      <c r="J2677" s="48">
        <v>0</v>
      </c>
      <c r="K2677" s="48">
        <v>1</v>
      </c>
      <c r="R2677" s="46">
        <f t="shared" si="259"/>
        <v>0</v>
      </c>
      <c r="S2677" s="46">
        <f t="shared" si="260"/>
        <v>0</v>
      </c>
      <c r="T2677" s="46">
        <f t="shared" si="263"/>
        <v>0</v>
      </c>
      <c r="U2677" s="46">
        <f t="shared" si="261"/>
        <v>0</v>
      </c>
      <c r="V2677" s="54">
        <f t="shared" si="262"/>
        <v>18.333333333333332</v>
      </c>
    </row>
    <row r="2678" spans="1:22" x14ac:dyDescent="0.2">
      <c r="A2678" s="46" t="s">
        <v>33</v>
      </c>
      <c r="B2678" s="46" t="s">
        <v>58</v>
      </c>
      <c r="C2678" s="46" t="s">
        <v>93</v>
      </c>
      <c r="D2678" s="46" t="s">
        <v>178</v>
      </c>
      <c r="E2678" s="46">
        <v>3</v>
      </c>
      <c r="F2678" s="46" t="s">
        <v>60</v>
      </c>
      <c r="G2678" s="46">
        <v>2</v>
      </c>
      <c r="H2678" s="47">
        <v>26</v>
      </c>
      <c r="I2678" s="47" t="s">
        <v>127</v>
      </c>
      <c r="J2678" s="48">
        <v>0</v>
      </c>
      <c r="K2678" s="48">
        <v>0</v>
      </c>
      <c r="R2678" s="46">
        <f t="shared" si="259"/>
        <v>0</v>
      </c>
      <c r="S2678" s="46">
        <f t="shared" si="260"/>
        <v>0</v>
      </c>
      <c r="T2678" s="46">
        <f t="shared" si="263"/>
        <v>0</v>
      </c>
      <c r="U2678" s="46">
        <f t="shared" si="261"/>
        <v>0</v>
      </c>
      <c r="V2678" s="54">
        <f t="shared" si="262"/>
        <v>18.333333333333332</v>
      </c>
    </row>
    <row r="2679" spans="1:22" x14ac:dyDescent="0.2">
      <c r="A2679" s="46" t="s">
        <v>33</v>
      </c>
      <c r="B2679" s="46" t="s">
        <v>58</v>
      </c>
      <c r="C2679" s="46" t="s">
        <v>93</v>
      </c>
      <c r="D2679" s="46" t="s">
        <v>178</v>
      </c>
      <c r="E2679" s="46">
        <v>3</v>
      </c>
      <c r="F2679" s="46" t="s">
        <v>60</v>
      </c>
      <c r="G2679" s="46">
        <v>4</v>
      </c>
      <c r="H2679" s="47">
        <v>48</v>
      </c>
      <c r="I2679" s="47" t="s">
        <v>102</v>
      </c>
      <c r="J2679" s="48">
        <v>0</v>
      </c>
      <c r="K2679" s="48">
        <v>1</v>
      </c>
      <c r="R2679" s="46">
        <f t="shared" si="259"/>
        <v>0</v>
      </c>
      <c r="S2679" s="46">
        <f t="shared" si="260"/>
        <v>0</v>
      </c>
      <c r="T2679" s="46">
        <f t="shared" si="263"/>
        <v>0</v>
      </c>
      <c r="U2679" s="46">
        <f t="shared" si="261"/>
        <v>0</v>
      </c>
      <c r="V2679" s="54">
        <f t="shared" si="262"/>
        <v>18.333333333333332</v>
      </c>
    </row>
    <row r="2680" spans="1:22" x14ac:dyDescent="0.2">
      <c r="A2680" s="46" t="s">
        <v>33</v>
      </c>
      <c r="B2680" s="46" t="s">
        <v>58</v>
      </c>
      <c r="C2680" s="46" t="s">
        <v>93</v>
      </c>
      <c r="D2680" s="46" t="s">
        <v>178</v>
      </c>
      <c r="E2680" s="46">
        <v>1</v>
      </c>
      <c r="F2680" s="46" t="s">
        <v>63</v>
      </c>
      <c r="G2680" s="46">
        <v>4</v>
      </c>
      <c r="H2680" s="47" t="s">
        <v>150</v>
      </c>
      <c r="I2680" s="47" t="s">
        <v>102</v>
      </c>
      <c r="J2680" s="48">
        <v>1</v>
      </c>
      <c r="K2680" s="48">
        <v>2</v>
      </c>
      <c r="R2680" s="46">
        <f t="shared" si="259"/>
        <v>0</v>
      </c>
      <c r="S2680" s="46">
        <f t="shared" si="260"/>
        <v>0</v>
      </c>
      <c r="T2680" s="46">
        <f t="shared" si="263"/>
        <v>10</v>
      </c>
      <c r="U2680" s="46">
        <f t="shared" si="261"/>
        <v>10</v>
      </c>
      <c r="V2680" s="54">
        <f t="shared" si="262"/>
        <v>18.333333333333332</v>
      </c>
    </row>
    <row r="2681" spans="1:22" x14ac:dyDescent="0.2">
      <c r="A2681" s="46" t="s">
        <v>33</v>
      </c>
      <c r="B2681" s="46" t="s">
        <v>58</v>
      </c>
      <c r="C2681" s="46" t="s">
        <v>93</v>
      </c>
      <c r="D2681" s="46" t="s">
        <v>178</v>
      </c>
      <c r="E2681" s="46">
        <v>3</v>
      </c>
      <c r="F2681" s="46" t="s">
        <v>63</v>
      </c>
      <c r="G2681" s="46">
        <v>4</v>
      </c>
      <c r="H2681" s="47" t="s">
        <v>151</v>
      </c>
      <c r="I2681" s="47" t="s">
        <v>102</v>
      </c>
      <c r="J2681" s="48">
        <v>1</v>
      </c>
      <c r="K2681" s="48">
        <v>2</v>
      </c>
      <c r="R2681" s="46">
        <f t="shared" si="259"/>
        <v>0</v>
      </c>
      <c r="S2681" s="46">
        <f t="shared" si="260"/>
        <v>0</v>
      </c>
      <c r="T2681" s="46">
        <f t="shared" si="263"/>
        <v>10</v>
      </c>
      <c r="U2681" s="46">
        <f t="shared" si="261"/>
        <v>10</v>
      </c>
      <c r="V2681" s="54">
        <f t="shared" si="262"/>
        <v>18.333333333333332</v>
      </c>
    </row>
    <row r="2682" spans="1:22" x14ac:dyDescent="0.2">
      <c r="A2682" s="46" t="s">
        <v>33</v>
      </c>
      <c r="B2682" s="46" t="s">
        <v>58</v>
      </c>
      <c r="C2682" s="46" t="s">
        <v>93</v>
      </c>
      <c r="D2682" s="46" t="s">
        <v>178</v>
      </c>
      <c r="E2682" s="46">
        <v>1</v>
      </c>
      <c r="F2682" s="46" t="s">
        <v>60</v>
      </c>
      <c r="G2682" s="46">
        <v>2</v>
      </c>
      <c r="H2682" s="47">
        <v>6</v>
      </c>
      <c r="I2682" s="47" t="s">
        <v>127</v>
      </c>
      <c r="J2682" s="48">
        <v>1</v>
      </c>
      <c r="K2682" s="48">
        <v>0</v>
      </c>
      <c r="O2682" s="48">
        <v>1</v>
      </c>
      <c r="R2682" s="46">
        <f t="shared" si="259"/>
        <v>0</v>
      </c>
      <c r="S2682" s="46">
        <f t="shared" si="260"/>
        <v>0</v>
      </c>
      <c r="T2682" s="46">
        <f t="shared" si="263"/>
        <v>20</v>
      </c>
      <c r="U2682" s="46">
        <f t="shared" si="261"/>
        <v>30</v>
      </c>
      <c r="V2682" s="54">
        <f t="shared" si="262"/>
        <v>18.333333333333332</v>
      </c>
    </row>
    <row r="2683" spans="1:22" x14ac:dyDescent="0.2">
      <c r="A2683" s="46" t="s">
        <v>33</v>
      </c>
      <c r="B2683" s="46" t="s">
        <v>58</v>
      </c>
      <c r="C2683" s="46" t="s">
        <v>93</v>
      </c>
      <c r="D2683" s="46" t="s">
        <v>178</v>
      </c>
      <c r="E2683" s="46">
        <v>1</v>
      </c>
      <c r="F2683" s="46" t="s">
        <v>60</v>
      </c>
      <c r="G2683" s="46">
        <v>1</v>
      </c>
      <c r="H2683" s="47">
        <v>25</v>
      </c>
      <c r="I2683" s="47" t="s">
        <v>101</v>
      </c>
      <c r="J2683" s="48">
        <v>1</v>
      </c>
      <c r="K2683" s="48">
        <v>1</v>
      </c>
      <c r="R2683" s="46">
        <f t="shared" si="259"/>
        <v>0</v>
      </c>
      <c r="S2683" s="46">
        <f t="shared" si="260"/>
        <v>0</v>
      </c>
      <c r="T2683" s="46">
        <f t="shared" si="263"/>
        <v>20</v>
      </c>
      <c r="U2683" s="46">
        <f t="shared" si="261"/>
        <v>20</v>
      </c>
      <c r="V2683" s="54">
        <f t="shared" si="262"/>
        <v>18.333333333333332</v>
      </c>
    </row>
    <row r="2684" spans="1:22" x14ac:dyDescent="0.2">
      <c r="A2684" s="46" t="s">
        <v>33</v>
      </c>
      <c r="B2684" s="46" t="s">
        <v>58</v>
      </c>
      <c r="C2684" s="46" t="s">
        <v>93</v>
      </c>
      <c r="D2684" s="46" t="s">
        <v>178</v>
      </c>
      <c r="E2684" s="46">
        <v>3</v>
      </c>
      <c r="F2684" s="46" t="s">
        <v>60</v>
      </c>
      <c r="G2684" s="46">
        <v>1</v>
      </c>
      <c r="H2684" s="47">
        <v>33</v>
      </c>
      <c r="I2684" s="47" t="s">
        <v>101</v>
      </c>
      <c r="J2684" s="48">
        <v>1</v>
      </c>
      <c r="K2684" s="48">
        <v>0</v>
      </c>
      <c r="R2684" s="46">
        <f t="shared" si="259"/>
        <v>0</v>
      </c>
      <c r="S2684" s="46">
        <f t="shared" si="260"/>
        <v>0</v>
      </c>
      <c r="T2684" s="46">
        <f t="shared" ref="T2684:T2715" si="264">quizscore(J2684,K2684)</f>
        <v>20</v>
      </c>
      <c r="U2684" s="46">
        <f t="shared" si="261"/>
        <v>20</v>
      </c>
      <c r="V2684" s="54">
        <f t="shared" si="262"/>
        <v>18.333333333333332</v>
      </c>
    </row>
    <row r="2685" spans="1:22" x14ac:dyDescent="0.2">
      <c r="A2685" s="46" t="s">
        <v>33</v>
      </c>
      <c r="B2685" s="46" t="s">
        <v>58</v>
      </c>
      <c r="C2685" s="46" t="s">
        <v>93</v>
      </c>
      <c r="D2685" s="46" t="s">
        <v>178</v>
      </c>
      <c r="E2685" s="46">
        <v>1</v>
      </c>
      <c r="F2685" s="46" t="s">
        <v>63</v>
      </c>
      <c r="G2685" s="46">
        <v>4</v>
      </c>
      <c r="H2685" s="47" t="s">
        <v>172</v>
      </c>
      <c r="I2685" s="47" t="s">
        <v>102</v>
      </c>
      <c r="J2685" s="48">
        <v>1</v>
      </c>
      <c r="K2685" s="48">
        <v>1</v>
      </c>
      <c r="O2685" s="48">
        <v>1</v>
      </c>
      <c r="R2685" s="46">
        <f t="shared" si="259"/>
        <v>0</v>
      </c>
      <c r="S2685" s="46">
        <f t="shared" si="260"/>
        <v>0</v>
      </c>
      <c r="T2685" s="46">
        <f t="shared" si="264"/>
        <v>20</v>
      </c>
      <c r="U2685" s="46">
        <f t="shared" si="261"/>
        <v>30</v>
      </c>
      <c r="V2685" s="54">
        <f t="shared" si="262"/>
        <v>18.333333333333332</v>
      </c>
    </row>
    <row r="2686" spans="1:22" x14ac:dyDescent="0.2">
      <c r="A2686" s="46" t="s">
        <v>33</v>
      </c>
      <c r="B2686" s="46" t="s">
        <v>58</v>
      </c>
      <c r="C2686" s="46" t="s">
        <v>93</v>
      </c>
      <c r="D2686" s="46" t="s">
        <v>178</v>
      </c>
      <c r="E2686" s="46">
        <v>3</v>
      </c>
      <c r="F2686" s="46" t="s">
        <v>60</v>
      </c>
      <c r="G2686" s="46">
        <v>3</v>
      </c>
      <c r="H2686" s="47">
        <v>23</v>
      </c>
      <c r="I2686" s="47" t="s">
        <v>116</v>
      </c>
      <c r="J2686" s="48">
        <v>2</v>
      </c>
      <c r="K2686" s="48">
        <v>2</v>
      </c>
      <c r="R2686" s="46">
        <f t="shared" si="259"/>
        <v>0</v>
      </c>
      <c r="S2686" s="46">
        <f t="shared" si="260"/>
        <v>0</v>
      </c>
      <c r="T2686" s="46">
        <f t="shared" si="264"/>
        <v>30</v>
      </c>
      <c r="U2686" s="46">
        <f t="shared" si="261"/>
        <v>30</v>
      </c>
      <c r="V2686" s="54">
        <f t="shared" si="262"/>
        <v>18.333333333333332</v>
      </c>
    </row>
    <row r="2687" spans="1:22" x14ac:dyDescent="0.2">
      <c r="A2687" s="46" t="s">
        <v>33</v>
      </c>
      <c r="B2687" s="46" t="s">
        <v>58</v>
      </c>
      <c r="C2687" s="46" t="s">
        <v>93</v>
      </c>
      <c r="D2687" s="46" t="s">
        <v>178</v>
      </c>
      <c r="E2687" s="46">
        <v>3</v>
      </c>
      <c r="F2687" s="46" t="s">
        <v>60</v>
      </c>
      <c r="G2687" s="46">
        <v>2</v>
      </c>
      <c r="H2687" s="47">
        <v>2</v>
      </c>
      <c r="I2687" s="47" t="s">
        <v>127</v>
      </c>
      <c r="J2687" s="48">
        <v>2</v>
      </c>
      <c r="K2687" s="48">
        <v>1</v>
      </c>
      <c r="R2687" s="46">
        <f t="shared" si="259"/>
        <v>0</v>
      </c>
      <c r="S2687" s="46">
        <f t="shared" si="260"/>
        <v>0</v>
      </c>
      <c r="T2687" s="46">
        <f t="shared" si="264"/>
        <v>40</v>
      </c>
      <c r="U2687" s="46">
        <f t="shared" si="261"/>
        <v>40</v>
      </c>
      <c r="V2687" s="54">
        <f t="shared" si="262"/>
        <v>18.333333333333332</v>
      </c>
    </row>
    <row r="2688" spans="1:22" x14ac:dyDescent="0.2">
      <c r="A2688" s="46" t="s">
        <v>33</v>
      </c>
      <c r="B2688" s="46" t="s">
        <v>58</v>
      </c>
      <c r="C2688" s="46" t="s">
        <v>93</v>
      </c>
      <c r="D2688" s="46" t="s">
        <v>178</v>
      </c>
      <c r="E2688" s="46">
        <v>1</v>
      </c>
      <c r="F2688" s="46" t="s">
        <v>60</v>
      </c>
      <c r="G2688" s="46">
        <v>4</v>
      </c>
      <c r="H2688" s="47">
        <v>48</v>
      </c>
      <c r="I2688" s="47" t="s">
        <v>102</v>
      </c>
      <c r="J2688" s="48">
        <v>2</v>
      </c>
      <c r="K2688" s="48">
        <v>0</v>
      </c>
      <c r="R2688" s="46">
        <f t="shared" si="259"/>
        <v>0</v>
      </c>
      <c r="S2688" s="46">
        <f t="shared" si="260"/>
        <v>0</v>
      </c>
      <c r="T2688" s="46">
        <f t="shared" si="264"/>
        <v>40</v>
      </c>
      <c r="U2688" s="46">
        <f t="shared" si="261"/>
        <v>40</v>
      </c>
      <c r="V2688" s="54">
        <f t="shared" si="262"/>
        <v>18.333333333333332</v>
      </c>
    </row>
    <row r="2689" spans="1:22" x14ac:dyDescent="0.2">
      <c r="A2689" s="46" t="s">
        <v>33</v>
      </c>
      <c r="B2689" s="46" t="s">
        <v>58</v>
      </c>
      <c r="C2689" s="46" t="s">
        <v>93</v>
      </c>
      <c r="D2689" s="46" t="s">
        <v>178</v>
      </c>
      <c r="E2689" s="46">
        <v>1</v>
      </c>
      <c r="F2689" s="46" t="s">
        <v>63</v>
      </c>
      <c r="G2689" s="46">
        <v>4</v>
      </c>
      <c r="H2689" s="47" t="s">
        <v>146</v>
      </c>
      <c r="I2689" s="47" t="s">
        <v>102</v>
      </c>
      <c r="J2689" s="48">
        <v>2</v>
      </c>
      <c r="K2689" s="48">
        <v>1</v>
      </c>
      <c r="R2689" s="46">
        <f t="shared" si="259"/>
        <v>0</v>
      </c>
      <c r="S2689" s="46">
        <f t="shared" si="260"/>
        <v>0</v>
      </c>
      <c r="T2689" s="46">
        <f t="shared" si="264"/>
        <v>40</v>
      </c>
      <c r="U2689" s="46">
        <f t="shared" si="261"/>
        <v>40</v>
      </c>
      <c r="V2689" s="54">
        <f t="shared" si="262"/>
        <v>18.333333333333332</v>
      </c>
    </row>
    <row r="2690" spans="1:22" x14ac:dyDescent="0.2">
      <c r="A2690" s="46" t="s">
        <v>33</v>
      </c>
      <c r="B2690" s="46" t="s">
        <v>58</v>
      </c>
      <c r="C2690" s="46" t="s">
        <v>93</v>
      </c>
      <c r="D2690" s="46" t="s">
        <v>178</v>
      </c>
      <c r="E2690" s="46">
        <v>1</v>
      </c>
      <c r="F2690" s="46" t="s">
        <v>63</v>
      </c>
      <c r="G2690" s="46">
        <v>4</v>
      </c>
      <c r="H2690" s="47" t="s">
        <v>147</v>
      </c>
      <c r="I2690" s="47" t="s">
        <v>102</v>
      </c>
      <c r="J2690" s="48">
        <v>2</v>
      </c>
      <c r="K2690" s="48">
        <v>0</v>
      </c>
      <c r="O2690" s="48">
        <v>1</v>
      </c>
      <c r="R2690" s="46">
        <f t="shared" ref="R2690:R2753" si="265">IF(J2690=4,1,0)</f>
        <v>0</v>
      </c>
      <c r="S2690" s="46">
        <f t="shared" ref="S2690:S2753" si="266">IF(K2690=3,1,0)</f>
        <v>0</v>
      </c>
      <c r="T2690" s="46">
        <f t="shared" si="264"/>
        <v>40</v>
      </c>
      <c r="U2690" s="46">
        <f t="shared" ref="U2690:U2753" si="267">T2690+M2690*(20) + (SUM(O2690:Q2690)*(10)) - L2690*(5) - N2690*(5)</f>
        <v>50</v>
      </c>
      <c r="V2690" s="54">
        <f t="shared" ref="V2690:V2753" si="268">AVERAGEIFS(U:U,A:A,A2690,F:F,"Pre")</f>
        <v>18.333333333333332</v>
      </c>
    </row>
    <row r="2691" spans="1:22" x14ac:dyDescent="0.2">
      <c r="A2691" s="46" t="s">
        <v>33</v>
      </c>
      <c r="B2691" s="46" t="s">
        <v>58</v>
      </c>
      <c r="C2691" s="46" t="s">
        <v>93</v>
      </c>
      <c r="D2691" s="46" t="s">
        <v>178</v>
      </c>
      <c r="E2691" s="46">
        <v>1</v>
      </c>
      <c r="F2691" s="46" t="s">
        <v>60</v>
      </c>
      <c r="G2691" s="46">
        <v>3</v>
      </c>
      <c r="H2691" s="47">
        <v>35</v>
      </c>
      <c r="I2691" s="47" t="s">
        <v>116</v>
      </c>
      <c r="J2691" s="48">
        <v>3</v>
      </c>
      <c r="K2691" s="48">
        <v>0</v>
      </c>
      <c r="R2691" s="46">
        <f t="shared" si="265"/>
        <v>0</v>
      </c>
      <c r="S2691" s="46">
        <f t="shared" si="266"/>
        <v>0</v>
      </c>
      <c r="T2691" s="46">
        <f t="shared" si="264"/>
        <v>60</v>
      </c>
      <c r="U2691" s="46">
        <f t="shared" si="267"/>
        <v>60</v>
      </c>
      <c r="V2691" s="54">
        <f t="shared" si="268"/>
        <v>18.333333333333332</v>
      </c>
    </row>
    <row r="2692" spans="1:22" x14ac:dyDescent="0.2">
      <c r="A2692" s="46" t="s">
        <v>33</v>
      </c>
      <c r="B2692" s="46" t="s">
        <v>58</v>
      </c>
      <c r="C2692" s="46" t="s">
        <v>93</v>
      </c>
      <c r="D2692" s="46" t="s">
        <v>178</v>
      </c>
      <c r="E2692" s="46">
        <v>1</v>
      </c>
      <c r="F2692" s="46" t="s">
        <v>60</v>
      </c>
      <c r="G2692" s="46">
        <v>4</v>
      </c>
      <c r="H2692" s="47">
        <v>40</v>
      </c>
      <c r="I2692" s="47" t="s">
        <v>102</v>
      </c>
      <c r="J2692" s="48">
        <v>3</v>
      </c>
      <c r="K2692" s="48">
        <v>1</v>
      </c>
      <c r="R2692" s="46">
        <f t="shared" si="265"/>
        <v>0</v>
      </c>
      <c r="S2692" s="46">
        <f t="shared" si="266"/>
        <v>0</v>
      </c>
      <c r="T2692" s="46">
        <f t="shared" si="264"/>
        <v>60</v>
      </c>
      <c r="U2692" s="46">
        <f t="shared" si="267"/>
        <v>60</v>
      </c>
      <c r="V2692" s="54">
        <f t="shared" si="268"/>
        <v>18.333333333333332</v>
      </c>
    </row>
    <row r="2693" spans="1:22" x14ac:dyDescent="0.2">
      <c r="A2693" s="46" t="s">
        <v>33</v>
      </c>
      <c r="B2693" s="46" t="s">
        <v>58</v>
      </c>
      <c r="C2693" s="46" t="s">
        <v>93</v>
      </c>
      <c r="D2693" s="46" t="s">
        <v>178</v>
      </c>
      <c r="E2693" s="46">
        <v>5</v>
      </c>
      <c r="F2693" s="46" t="s">
        <v>60</v>
      </c>
      <c r="G2693" s="46">
        <v>3</v>
      </c>
      <c r="H2693" s="47">
        <v>3</v>
      </c>
      <c r="I2693" s="47" t="s">
        <v>159</v>
      </c>
      <c r="J2693" s="48">
        <v>0</v>
      </c>
      <c r="K2693" s="48">
        <v>0</v>
      </c>
      <c r="R2693" s="46">
        <f t="shared" si="265"/>
        <v>0</v>
      </c>
      <c r="S2693" s="46">
        <f t="shared" si="266"/>
        <v>0</v>
      </c>
      <c r="T2693" s="46">
        <f t="shared" si="264"/>
        <v>0</v>
      </c>
      <c r="U2693" s="46">
        <f t="shared" si="267"/>
        <v>0</v>
      </c>
      <c r="V2693" s="54">
        <f t="shared" si="268"/>
        <v>18.333333333333332</v>
      </c>
    </row>
    <row r="2694" spans="1:22" x14ac:dyDescent="0.2">
      <c r="A2694" s="46" t="s">
        <v>33</v>
      </c>
      <c r="B2694" s="46" t="s">
        <v>58</v>
      </c>
      <c r="C2694" s="46" t="s">
        <v>93</v>
      </c>
      <c r="D2694" s="46" t="s">
        <v>178</v>
      </c>
      <c r="E2694" s="46">
        <v>5</v>
      </c>
      <c r="F2694" s="46" t="s">
        <v>60</v>
      </c>
      <c r="G2694" s="46">
        <v>1</v>
      </c>
      <c r="H2694" s="47">
        <v>9</v>
      </c>
      <c r="I2694" s="47" t="s">
        <v>101</v>
      </c>
      <c r="J2694" s="48">
        <v>0</v>
      </c>
      <c r="K2694" s="48">
        <v>0</v>
      </c>
      <c r="R2694" s="46">
        <f t="shared" si="265"/>
        <v>0</v>
      </c>
      <c r="S2694" s="46">
        <f t="shared" si="266"/>
        <v>0</v>
      </c>
      <c r="T2694" s="46">
        <f t="shared" si="264"/>
        <v>0</v>
      </c>
      <c r="U2694" s="46">
        <f t="shared" si="267"/>
        <v>0</v>
      </c>
      <c r="V2694" s="54">
        <f t="shared" si="268"/>
        <v>18.333333333333332</v>
      </c>
    </row>
    <row r="2695" spans="1:22" x14ac:dyDescent="0.2">
      <c r="A2695" s="46" t="s">
        <v>33</v>
      </c>
      <c r="B2695" s="46" t="s">
        <v>58</v>
      </c>
      <c r="C2695" s="46" t="s">
        <v>93</v>
      </c>
      <c r="D2695" s="46" t="s">
        <v>178</v>
      </c>
      <c r="E2695" s="46">
        <v>5</v>
      </c>
      <c r="F2695" s="46" t="s">
        <v>60</v>
      </c>
      <c r="G2695" s="46">
        <v>1</v>
      </c>
      <c r="H2695" s="47">
        <v>17</v>
      </c>
      <c r="I2695" s="47" t="s">
        <v>101</v>
      </c>
      <c r="J2695" s="48">
        <v>0</v>
      </c>
      <c r="K2695" s="48">
        <v>1</v>
      </c>
      <c r="R2695" s="46">
        <f t="shared" si="265"/>
        <v>0</v>
      </c>
      <c r="S2695" s="46">
        <f t="shared" si="266"/>
        <v>0</v>
      </c>
      <c r="T2695" s="46">
        <f t="shared" si="264"/>
        <v>0</v>
      </c>
      <c r="U2695" s="46">
        <f t="shared" si="267"/>
        <v>0</v>
      </c>
      <c r="V2695" s="54">
        <f t="shared" si="268"/>
        <v>18.333333333333332</v>
      </c>
    </row>
    <row r="2696" spans="1:22" x14ac:dyDescent="0.2">
      <c r="A2696" s="46" t="s">
        <v>33</v>
      </c>
      <c r="B2696" s="46" t="s">
        <v>58</v>
      </c>
      <c r="C2696" s="46" t="s">
        <v>93</v>
      </c>
      <c r="D2696" s="46" t="s">
        <v>178</v>
      </c>
      <c r="E2696" s="46">
        <v>5</v>
      </c>
      <c r="F2696" s="46" t="s">
        <v>60</v>
      </c>
      <c r="G2696" s="46">
        <v>3</v>
      </c>
      <c r="H2696" s="47">
        <v>31</v>
      </c>
      <c r="I2696" s="47" t="s">
        <v>159</v>
      </c>
      <c r="J2696" s="48">
        <v>1</v>
      </c>
      <c r="K2696" s="48">
        <v>0</v>
      </c>
      <c r="R2696" s="46">
        <f t="shared" si="265"/>
        <v>0</v>
      </c>
      <c r="S2696" s="46">
        <f t="shared" si="266"/>
        <v>0</v>
      </c>
      <c r="T2696" s="46">
        <f t="shared" si="264"/>
        <v>20</v>
      </c>
      <c r="U2696" s="46">
        <f t="shared" si="267"/>
        <v>20</v>
      </c>
      <c r="V2696" s="54">
        <f t="shared" si="268"/>
        <v>18.333333333333332</v>
      </c>
    </row>
    <row r="2697" spans="1:22" x14ac:dyDescent="0.2">
      <c r="A2697" s="46" t="s">
        <v>33</v>
      </c>
      <c r="B2697" s="46" t="s">
        <v>58</v>
      </c>
      <c r="C2697" s="46" t="s">
        <v>93</v>
      </c>
      <c r="D2697" s="46" t="s">
        <v>178</v>
      </c>
      <c r="E2697" s="46">
        <v>5</v>
      </c>
      <c r="F2697" s="46" t="s">
        <v>60</v>
      </c>
      <c r="G2697" s="46">
        <v>4</v>
      </c>
      <c r="H2697" s="47">
        <v>40</v>
      </c>
      <c r="I2697" s="47" t="s">
        <v>102</v>
      </c>
      <c r="J2697" s="48">
        <v>1</v>
      </c>
      <c r="K2697" s="48">
        <v>0</v>
      </c>
      <c r="R2697" s="46">
        <f t="shared" si="265"/>
        <v>0</v>
      </c>
      <c r="S2697" s="46">
        <f t="shared" si="266"/>
        <v>0</v>
      </c>
      <c r="T2697" s="46">
        <f t="shared" si="264"/>
        <v>20</v>
      </c>
      <c r="U2697" s="46">
        <f t="shared" si="267"/>
        <v>20</v>
      </c>
      <c r="V2697" s="54">
        <f t="shared" si="268"/>
        <v>18.333333333333332</v>
      </c>
    </row>
    <row r="2698" spans="1:22" x14ac:dyDescent="0.2">
      <c r="A2698" s="46" t="s">
        <v>33</v>
      </c>
      <c r="B2698" s="46" t="s">
        <v>58</v>
      </c>
      <c r="C2698" s="46" t="s">
        <v>93</v>
      </c>
      <c r="D2698" s="46" t="s">
        <v>178</v>
      </c>
      <c r="E2698" s="46">
        <v>5</v>
      </c>
      <c r="F2698" s="46" t="s">
        <v>60</v>
      </c>
      <c r="G2698" s="46">
        <v>2</v>
      </c>
      <c r="H2698" s="47">
        <v>46</v>
      </c>
      <c r="I2698" s="47" t="s">
        <v>127</v>
      </c>
      <c r="J2698" s="48">
        <v>0</v>
      </c>
      <c r="K2698" s="48">
        <v>0</v>
      </c>
      <c r="R2698" s="46">
        <f t="shared" si="265"/>
        <v>0</v>
      </c>
      <c r="S2698" s="46">
        <f t="shared" si="266"/>
        <v>0</v>
      </c>
      <c r="T2698" s="46">
        <f t="shared" si="264"/>
        <v>0</v>
      </c>
      <c r="U2698" s="46">
        <f t="shared" si="267"/>
        <v>0</v>
      </c>
      <c r="V2698" s="54">
        <f t="shared" si="268"/>
        <v>18.333333333333332</v>
      </c>
    </row>
    <row r="2699" spans="1:22" x14ac:dyDescent="0.2">
      <c r="A2699" s="46" t="s">
        <v>33</v>
      </c>
      <c r="B2699" s="46" t="s">
        <v>58</v>
      </c>
      <c r="C2699" s="46" t="str">
        <f>VLOOKUP(B2699,$B$2:$C$3219,2,FALSE)</f>
        <v>Lighthouse</v>
      </c>
      <c r="D2699" s="46" t="s">
        <v>178</v>
      </c>
      <c r="E2699" s="46">
        <v>5</v>
      </c>
      <c r="F2699" s="46" t="s">
        <v>63</v>
      </c>
      <c r="G2699" s="46">
        <v>4</v>
      </c>
      <c r="H2699" s="47" t="s">
        <v>147</v>
      </c>
      <c r="I2699" s="47" t="s">
        <v>102</v>
      </c>
      <c r="J2699" s="48">
        <v>0</v>
      </c>
      <c r="K2699" s="48">
        <v>0</v>
      </c>
      <c r="N2699" s="48">
        <v>1</v>
      </c>
      <c r="R2699" s="46">
        <f t="shared" si="265"/>
        <v>0</v>
      </c>
      <c r="S2699" s="46">
        <f t="shared" si="266"/>
        <v>0</v>
      </c>
      <c r="T2699" s="46">
        <f t="shared" si="264"/>
        <v>0</v>
      </c>
      <c r="U2699" s="46">
        <f t="shared" si="267"/>
        <v>-5</v>
      </c>
      <c r="V2699" s="54">
        <f t="shared" si="268"/>
        <v>18.333333333333332</v>
      </c>
    </row>
    <row r="2700" spans="1:22" x14ac:dyDescent="0.2">
      <c r="A2700" s="46" t="s">
        <v>33</v>
      </c>
      <c r="B2700" s="46" t="s">
        <v>58</v>
      </c>
      <c r="C2700" s="46" t="str">
        <f>VLOOKUP(B2700,$B$2:$C$3219,2,FALSE)</f>
        <v>Lighthouse</v>
      </c>
      <c r="D2700" s="46" t="s">
        <v>178</v>
      </c>
      <c r="E2700" s="46">
        <v>5</v>
      </c>
      <c r="F2700" s="46" t="s">
        <v>63</v>
      </c>
      <c r="G2700" s="46">
        <v>4</v>
      </c>
      <c r="H2700" s="47" t="s">
        <v>151</v>
      </c>
      <c r="I2700" s="47" t="s">
        <v>102</v>
      </c>
      <c r="J2700" s="48">
        <v>2</v>
      </c>
      <c r="K2700" s="48">
        <v>0</v>
      </c>
      <c r="R2700" s="46">
        <f t="shared" si="265"/>
        <v>0</v>
      </c>
      <c r="S2700" s="46">
        <f t="shared" si="266"/>
        <v>0</v>
      </c>
      <c r="T2700" s="46">
        <f t="shared" si="264"/>
        <v>40</v>
      </c>
      <c r="U2700" s="46">
        <f t="shared" si="267"/>
        <v>40</v>
      </c>
      <c r="V2700" s="54">
        <f t="shared" si="268"/>
        <v>18.333333333333332</v>
      </c>
    </row>
    <row r="2701" spans="1:22" x14ac:dyDescent="0.2">
      <c r="A2701" s="46" t="s">
        <v>33</v>
      </c>
      <c r="B2701" s="46" t="s">
        <v>58</v>
      </c>
      <c r="C2701" s="46" t="str">
        <f>VLOOKUP(B2701,$B$2:$C$3219,2,FALSE)</f>
        <v>Lighthouse</v>
      </c>
      <c r="D2701" s="46" t="s">
        <v>178</v>
      </c>
      <c r="E2701" s="46">
        <v>5</v>
      </c>
      <c r="F2701" s="46" t="s">
        <v>63</v>
      </c>
      <c r="G2701" s="46">
        <v>4</v>
      </c>
      <c r="H2701" s="47" t="s">
        <v>152</v>
      </c>
      <c r="I2701" s="47" t="s">
        <v>102</v>
      </c>
      <c r="J2701" s="48">
        <v>1</v>
      </c>
      <c r="K2701" s="48">
        <v>0</v>
      </c>
      <c r="M2701" s="48">
        <v>1</v>
      </c>
      <c r="R2701" s="46">
        <f t="shared" si="265"/>
        <v>0</v>
      </c>
      <c r="S2701" s="46">
        <f t="shared" si="266"/>
        <v>0</v>
      </c>
      <c r="T2701" s="46">
        <f t="shared" si="264"/>
        <v>20</v>
      </c>
      <c r="U2701" s="46">
        <f t="shared" si="267"/>
        <v>40</v>
      </c>
      <c r="V2701" s="54">
        <f t="shared" si="268"/>
        <v>18.333333333333332</v>
      </c>
    </row>
    <row r="2702" spans="1:22" x14ac:dyDescent="0.2">
      <c r="A2702" s="46" t="s">
        <v>201</v>
      </c>
      <c r="B2702" s="46" t="s">
        <v>47</v>
      </c>
      <c r="C2702" s="46" t="s">
        <v>88</v>
      </c>
      <c r="D2702" s="46" t="s">
        <v>178</v>
      </c>
      <c r="E2702" s="46">
        <v>2</v>
      </c>
      <c r="F2702" s="46" t="s">
        <v>61</v>
      </c>
      <c r="G2702" s="46">
        <v>1</v>
      </c>
      <c r="H2702" s="47" t="s">
        <v>75</v>
      </c>
      <c r="I2702" s="47" t="s">
        <v>101</v>
      </c>
      <c r="J2702" s="48">
        <v>1</v>
      </c>
      <c r="K2702" s="48">
        <v>2</v>
      </c>
      <c r="O2702" s="48">
        <v>1</v>
      </c>
      <c r="R2702" s="46">
        <f t="shared" si="265"/>
        <v>0</v>
      </c>
      <c r="S2702" s="46">
        <f t="shared" si="266"/>
        <v>0</v>
      </c>
      <c r="T2702" s="46">
        <f t="shared" si="264"/>
        <v>10</v>
      </c>
      <c r="U2702" s="46">
        <f t="shared" si="267"/>
        <v>20</v>
      </c>
      <c r="V2702" s="54">
        <f t="shared" si="268"/>
        <v>75.666666666666671</v>
      </c>
    </row>
    <row r="2703" spans="1:22" x14ac:dyDescent="0.2">
      <c r="A2703" s="46" t="s">
        <v>201</v>
      </c>
      <c r="B2703" s="46" t="s">
        <v>47</v>
      </c>
      <c r="C2703" s="46" t="s">
        <v>88</v>
      </c>
      <c r="D2703" s="46" t="s">
        <v>178</v>
      </c>
      <c r="E2703" s="46">
        <v>1</v>
      </c>
      <c r="F2703" s="46" t="s">
        <v>61</v>
      </c>
      <c r="G2703" s="46">
        <v>1</v>
      </c>
      <c r="H2703" s="47" t="s">
        <v>74</v>
      </c>
      <c r="I2703" s="47" t="s">
        <v>101</v>
      </c>
      <c r="J2703" s="48">
        <v>1</v>
      </c>
      <c r="K2703" s="48">
        <v>1</v>
      </c>
      <c r="L2703" s="48">
        <v>1</v>
      </c>
      <c r="R2703" s="46">
        <f t="shared" si="265"/>
        <v>0</v>
      </c>
      <c r="S2703" s="46">
        <f t="shared" si="266"/>
        <v>0</v>
      </c>
      <c r="T2703" s="46">
        <f t="shared" si="264"/>
        <v>20</v>
      </c>
      <c r="U2703" s="46">
        <f t="shared" si="267"/>
        <v>15</v>
      </c>
      <c r="V2703" s="54">
        <f t="shared" si="268"/>
        <v>75.666666666666671</v>
      </c>
    </row>
    <row r="2704" spans="1:22" x14ac:dyDescent="0.2">
      <c r="A2704" s="46" t="s">
        <v>201</v>
      </c>
      <c r="B2704" s="46" t="s">
        <v>47</v>
      </c>
      <c r="C2704" s="46" t="s">
        <v>88</v>
      </c>
      <c r="D2704" s="46" t="s">
        <v>178</v>
      </c>
      <c r="E2704" s="46">
        <v>3</v>
      </c>
      <c r="F2704" s="46" t="s">
        <v>61</v>
      </c>
      <c r="G2704" s="46">
        <v>1</v>
      </c>
      <c r="H2704" s="47" t="s">
        <v>74</v>
      </c>
      <c r="I2704" s="47" t="s">
        <v>101</v>
      </c>
      <c r="J2704" s="48">
        <v>1</v>
      </c>
      <c r="K2704" s="48">
        <v>0</v>
      </c>
      <c r="M2704" s="48">
        <v>1</v>
      </c>
      <c r="R2704" s="46">
        <f t="shared" si="265"/>
        <v>0</v>
      </c>
      <c r="S2704" s="46">
        <f t="shared" si="266"/>
        <v>0</v>
      </c>
      <c r="T2704" s="46">
        <f t="shared" si="264"/>
        <v>20</v>
      </c>
      <c r="U2704" s="46">
        <f t="shared" si="267"/>
        <v>40</v>
      </c>
      <c r="V2704" s="54">
        <f t="shared" si="268"/>
        <v>75.666666666666671</v>
      </c>
    </row>
    <row r="2705" spans="1:22" x14ac:dyDescent="0.2">
      <c r="A2705" s="46" t="s">
        <v>201</v>
      </c>
      <c r="B2705" s="46" t="s">
        <v>47</v>
      </c>
      <c r="C2705" s="46" t="s">
        <v>88</v>
      </c>
      <c r="D2705" s="46" t="s">
        <v>178</v>
      </c>
      <c r="E2705" s="46">
        <v>2</v>
      </c>
      <c r="F2705" s="46" t="s">
        <v>61</v>
      </c>
      <c r="G2705" s="46">
        <v>1</v>
      </c>
      <c r="H2705" s="47" t="s">
        <v>78</v>
      </c>
      <c r="I2705" s="47" t="s">
        <v>101</v>
      </c>
      <c r="J2705" s="48">
        <v>1</v>
      </c>
      <c r="K2705" s="48">
        <v>1</v>
      </c>
      <c r="L2705" s="48">
        <v>1</v>
      </c>
      <c r="M2705" s="48">
        <v>1</v>
      </c>
      <c r="R2705" s="46">
        <f t="shared" si="265"/>
        <v>0</v>
      </c>
      <c r="S2705" s="46">
        <f t="shared" si="266"/>
        <v>0</v>
      </c>
      <c r="T2705" s="46">
        <f t="shared" si="264"/>
        <v>20</v>
      </c>
      <c r="U2705" s="46">
        <f t="shared" si="267"/>
        <v>35</v>
      </c>
      <c r="V2705" s="54">
        <f t="shared" si="268"/>
        <v>75.666666666666671</v>
      </c>
    </row>
    <row r="2706" spans="1:22" x14ac:dyDescent="0.2">
      <c r="A2706" s="46" t="s">
        <v>201</v>
      </c>
      <c r="B2706" s="46" t="s">
        <v>47</v>
      </c>
      <c r="C2706" s="46" t="s">
        <v>88</v>
      </c>
      <c r="D2706" s="46" t="s">
        <v>178</v>
      </c>
      <c r="E2706" s="46">
        <v>3</v>
      </c>
      <c r="F2706" s="46" t="s">
        <v>61</v>
      </c>
      <c r="G2706" s="46">
        <v>1</v>
      </c>
      <c r="H2706" s="47" t="s">
        <v>78</v>
      </c>
      <c r="I2706" s="47" t="s">
        <v>101</v>
      </c>
      <c r="J2706" s="48">
        <v>1</v>
      </c>
      <c r="K2706" s="48">
        <v>1</v>
      </c>
      <c r="R2706" s="46">
        <f t="shared" si="265"/>
        <v>0</v>
      </c>
      <c r="S2706" s="46">
        <f t="shared" si="266"/>
        <v>0</v>
      </c>
      <c r="T2706" s="46">
        <f t="shared" si="264"/>
        <v>20</v>
      </c>
      <c r="U2706" s="46">
        <f t="shared" si="267"/>
        <v>20</v>
      </c>
      <c r="V2706" s="54">
        <f t="shared" si="268"/>
        <v>75.666666666666671</v>
      </c>
    </row>
    <row r="2707" spans="1:22" x14ac:dyDescent="0.2">
      <c r="A2707" s="46" t="s">
        <v>201</v>
      </c>
      <c r="B2707" s="46" t="s">
        <v>47</v>
      </c>
      <c r="C2707" s="46" t="s">
        <v>88</v>
      </c>
      <c r="D2707" s="46" t="s">
        <v>178</v>
      </c>
      <c r="E2707" s="46">
        <v>3</v>
      </c>
      <c r="F2707" s="46" t="s">
        <v>60</v>
      </c>
      <c r="G2707" s="46">
        <v>3</v>
      </c>
      <c r="H2707" s="47">
        <v>3</v>
      </c>
      <c r="I2707" s="47" t="s">
        <v>116</v>
      </c>
      <c r="J2707" s="48">
        <v>2</v>
      </c>
      <c r="K2707" s="48">
        <v>2</v>
      </c>
      <c r="O2707" s="48">
        <v>1</v>
      </c>
      <c r="R2707" s="46">
        <f t="shared" si="265"/>
        <v>0</v>
      </c>
      <c r="S2707" s="46">
        <f t="shared" si="266"/>
        <v>0</v>
      </c>
      <c r="T2707" s="46">
        <f t="shared" si="264"/>
        <v>30</v>
      </c>
      <c r="U2707" s="46">
        <f t="shared" si="267"/>
        <v>40</v>
      </c>
      <c r="V2707" s="54">
        <f t="shared" si="268"/>
        <v>75.666666666666671</v>
      </c>
    </row>
    <row r="2708" spans="1:22" x14ac:dyDescent="0.2">
      <c r="A2708" s="46" t="s">
        <v>201</v>
      </c>
      <c r="B2708" s="46" t="s">
        <v>47</v>
      </c>
      <c r="C2708" s="46" t="s">
        <v>88</v>
      </c>
      <c r="D2708" s="46" t="s">
        <v>178</v>
      </c>
      <c r="E2708" s="46">
        <v>3</v>
      </c>
      <c r="F2708" s="46" t="s">
        <v>61</v>
      </c>
      <c r="G2708" s="46">
        <v>1</v>
      </c>
      <c r="H2708" s="47" t="s">
        <v>75</v>
      </c>
      <c r="I2708" s="47" t="s">
        <v>101</v>
      </c>
      <c r="J2708" s="48">
        <v>2</v>
      </c>
      <c r="K2708" s="48">
        <v>2</v>
      </c>
      <c r="O2708" s="48">
        <v>1</v>
      </c>
      <c r="R2708" s="46">
        <f t="shared" si="265"/>
        <v>0</v>
      </c>
      <c r="S2708" s="46">
        <f t="shared" si="266"/>
        <v>0</v>
      </c>
      <c r="T2708" s="46">
        <f t="shared" si="264"/>
        <v>30</v>
      </c>
      <c r="U2708" s="46">
        <f t="shared" si="267"/>
        <v>40</v>
      </c>
      <c r="V2708" s="54">
        <f t="shared" si="268"/>
        <v>75.666666666666671</v>
      </c>
    </row>
    <row r="2709" spans="1:22" x14ac:dyDescent="0.2">
      <c r="A2709" s="46" t="s">
        <v>201</v>
      </c>
      <c r="B2709" s="46" t="s">
        <v>47</v>
      </c>
      <c r="C2709" s="46" t="s">
        <v>88</v>
      </c>
      <c r="D2709" s="46" t="s">
        <v>178</v>
      </c>
      <c r="E2709" s="46">
        <v>2</v>
      </c>
      <c r="F2709" s="46" t="s">
        <v>60</v>
      </c>
      <c r="G2709" s="46">
        <v>2</v>
      </c>
      <c r="H2709" s="47">
        <v>42</v>
      </c>
      <c r="I2709" s="47" t="s">
        <v>127</v>
      </c>
      <c r="J2709" s="48">
        <v>2</v>
      </c>
      <c r="K2709" s="48">
        <v>1</v>
      </c>
      <c r="R2709" s="46">
        <f t="shared" si="265"/>
        <v>0</v>
      </c>
      <c r="S2709" s="46">
        <f t="shared" si="266"/>
        <v>0</v>
      </c>
      <c r="T2709" s="46">
        <f t="shared" si="264"/>
        <v>40</v>
      </c>
      <c r="U2709" s="46">
        <f t="shared" si="267"/>
        <v>40</v>
      </c>
      <c r="V2709" s="54">
        <f t="shared" si="268"/>
        <v>75.666666666666671</v>
      </c>
    </row>
    <row r="2710" spans="1:22" x14ac:dyDescent="0.2">
      <c r="A2710" s="46" t="s">
        <v>201</v>
      </c>
      <c r="B2710" s="46" t="s">
        <v>47</v>
      </c>
      <c r="C2710" s="46" t="s">
        <v>88</v>
      </c>
      <c r="D2710" s="46" t="s">
        <v>178</v>
      </c>
      <c r="E2710" s="46">
        <v>1</v>
      </c>
      <c r="F2710" s="46" t="s">
        <v>61</v>
      </c>
      <c r="G2710" s="46">
        <v>1</v>
      </c>
      <c r="H2710" s="47" t="s">
        <v>75</v>
      </c>
      <c r="I2710" s="47" t="s">
        <v>101</v>
      </c>
      <c r="J2710" s="48">
        <v>2</v>
      </c>
      <c r="K2710" s="48">
        <v>0</v>
      </c>
      <c r="R2710" s="46">
        <f t="shared" si="265"/>
        <v>0</v>
      </c>
      <c r="S2710" s="46">
        <f t="shared" si="266"/>
        <v>0</v>
      </c>
      <c r="T2710" s="46">
        <f t="shared" si="264"/>
        <v>40</v>
      </c>
      <c r="U2710" s="46">
        <f t="shared" si="267"/>
        <v>40</v>
      </c>
      <c r="V2710" s="54">
        <f t="shared" si="268"/>
        <v>75.666666666666671</v>
      </c>
    </row>
    <row r="2711" spans="1:22" x14ac:dyDescent="0.2">
      <c r="A2711" s="46" t="s">
        <v>201</v>
      </c>
      <c r="B2711" s="46" t="s">
        <v>47</v>
      </c>
      <c r="C2711" s="46" t="s">
        <v>88</v>
      </c>
      <c r="D2711" s="46" t="s">
        <v>178</v>
      </c>
      <c r="E2711" s="46">
        <v>1</v>
      </c>
      <c r="F2711" s="46" t="s">
        <v>61</v>
      </c>
      <c r="G2711" s="46">
        <v>1</v>
      </c>
      <c r="H2711" s="47" t="s">
        <v>78</v>
      </c>
      <c r="I2711" s="47" t="s">
        <v>101</v>
      </c>
      <c r="J2711" s="48">
        <v>2</v>
      </c>
      <c r="K2711" s="48">
        <v>1</v>
      </c>
      <c r="L2711" s="48">
        <v>2</v>
      </c>
      <c r="R2711" s="46">
        <f t="shared" si="265"/>
        <v>0</v>
      </c>
      <c r="S2711" s="46">
        <f t="shared" si="266"/>
        <v>0</v>
      </c>
      <c r="T2711" s="46">
        <f t="shared" si="264"/>
        <v>40</v>
      </c>
      <c r="U2711" s="46">
        <f t="shared" si="267"/>
        <v>30</v>
      </c>
      <c r="V2711" s="54">
        <f t="shared" si="268"/>
        <v>75.666666666666671</v>
      </c>
    </row>
    <row r="2712" spans="1:22" x14ac:dyDescent="0.2">
      <c r="A2712" s="46" t="s">
        <v>201</v>
      </c>
      <c r="B2712" s="46" t="s">
        <v>47</v>
      </c>
      <c r="C2712" s="46" t="s">
        <v>88</v>
      </c>
      <c r="D2712" s="46" t="s">
        <v>178</v>
      </c>
      <c r="E2712" s="46">
        <v>3</v>
      </c>
      <c r="F2712" s="46" t="s">
        <v>61</v>
      </c>
      <c r="G2712" s="46">
        <v>1</v>
      </c>
      <c r="H2712" s="47" t="s">
        <v>78</v>
      </c>
      <c r="I2712" s="47" t="s">
        <v>101</v>
      </c>
      <c r="J2712" s="48">
        <v>2</v>
      </c>
      <c r="K2712" s="48">
        <v>0</v>
      </c>
      <c r="R2712" s="46">
        <f t="shared" si="265"/>
        <v>0</v>
      </c>
      <c r="S2712" s="46">
        <f t="shared" si="266"/>
        <v>0</v>
      </c>
      <c r="T2712" s="46">
        <f t="shared" si="264"/>
        <v>40</v>
      </c>
      <c r="U2712" s="46">
        <f t="shared" si="267"/>
        <v>40</v>
      </c>
      <c r="V2712" s="54">
        <f t="shared" si="268"/>
        <v>75.666666666666671</v>
      </c>
    </row>
    <row r="2713" spans="1:22" x14ac:dyDescent="0.2">
      <c r="A2713" s="46" t="s">
        <v>201</v>
      </c>
      <c r="B2713" s="46" t="s">
        <v>47</v>
      </c>
      <c r="C2713" s="46" t="s">
        <v>88</v>
      </c>
      <c r="D2713" s="46" t="s">
        <v>178</v>
      </c>
      <c r="E2713" s="46">
        <v>3</v>
      </c>
      <c r="F2713" s="46" t="s">
        <v>60</v>
      </c>
      <c r="G2713" s="46">
        <v>1</v>
      </c>
      <c r="H2713" s="47">
        <v>9</v>
      </c>
      <c r="I2713" s="47" t="s">
        <v>101</v>
      </c>
      <c r="J2713" s="48">
        <v>3</v>
      </c>
      <c r="K2713" s="48">
        <v>2</v>
      </c>
      <c r="R2713" s="46">
        <f t="shared" si="265"/>
        <v>0</v>
      </c>
      <c r="S2713" s="46">
        <f t="shared" si="266"/>
        <v>0</v>
      </c>
      <c r="T2713" s="46">
        <f t="shared" si="264"/>
        <v>50</v>
      </c>
      <c r="U2713" s="46">
        <f t="shared" si="267"/>
        <v>50</v>
      </c>
      <c r="V2713" s="54">
        <f t="shared" si="268"/>
        <v>75.666666666666671</v>
      </c>
    </row>
    <row r="2714" spans="1:22" x14ac:dyDescent="0.2">
      <c r="A2714" s="46" t="s">
        <v>201</v>
      </c>
      <c r="B2714" s="46" t="s">
        <v>47</v>
      </c>
      <c r="C2714" s="46" t="s">
        <v>88</v>
      </c>
      <c r="D2714" s="46" t="s">
        <v>178</v>
      </c>
      <c r="E2714" s="46">
        <v>1</v>
      </c>
      <c r="F2714" s="46" t="s">
        <v>60</v>
      </c>
      <c r="G2714" s="46">
        <v>3</v>
      </c>
      <c r="H2714" s="47">
        <v>3</v>
      </c>
      <c r="I2714" s="47" t="s">
        <v>116</v>
      </c>
      <c r="J2714" s="48">
        <v>3</v>
      </c>
      <c r="K2714" s="48">
        <v>0</v>
      </c>
      <c r="R2714" s="46">
        <f t="shared" si="265"/>
        <v>0</v>
      </c>
      <c r="S2714" s="46">
        <f t="shared" si="266"/>
        <v>0</v>
      </c>
      <c r="T2714" s="46">
        <f t="shared" si="264"/>
        <v>60</v>
      </c>
      <c r="U2714" s="46">
        <f t="shared" si="267"/>
        <v>60</v>
      </c>
      <c r="V2714" s="54">
        <f t="shared" si="268"/>
        <v>75.666666666666671</v>
      </c>
    </row>
    <row r="2715" spans="1:22" x14ac:dyDescent="0.2">
      <c r="A2715" s="46" t="s">
        <v>201</v>
      </c>
      <c r="B2715" s="46" t="s">
        <v>47</v>
      </c>
      <c r="C2715" s="46" t="s">
        <v>88</v>
      </c>
      <c r="D2715" s="46" t="s">
        <v>178</v>
      </c>
      <c r="E2715" s="46">
        <v>1</v>
      </c>
      <c r="F2715" s="46" t="s">
        <v>60</v>
      </c>
      <c r="G2715" s="46">
        <v>1</v>
      </c>
      <c r="H2715" s="47">
        <v>13</v>
      </c>
      <c r="I2715" s="47" t="s">
        <v>101</v>
      </c>
      <c r="J2715" s="48">
        <v>3</v>
      </c>
      <c r="K2715" s="48">
        <v>0</v>
      </c>
      <c r="R2715" s="46">
        <f t="shared" si="265"/>
        <v>0</v>
      </c>
      <c r="S2715" s="46">
        <f t="shared" si="266"/>
        <v>0</v>
      </c>
      <c r="T2715" s="46">
        <f t="shared" si="264"/>
        <v>60</v>
      </c>
      <c r="U2715" s="46">
        <f t="shared" si="267"/>
        <v>60</v>
      </c>
      <c r="V2715" s="54">
        <f t="shared" si="268"/>
        <v>75.666666666666671</v>
      </c>
    </row>
    <row r="2716" spans="1:22" x14ac:dyDescent="0.2">
      <c r="A2716" s="46" t="s">
        <v>201</v>
      </c>
      <c r="B2716" s="46" t="s">
        <v>47</v>
      </c>
      <c r="C2716" s="46" t="s">
        <v>88</v>
      </c>
      <c r="D2716" s="46" t="s">
        <v>178</v>
      </c>
      <c r="E2716" s="46">
        <v>3</v>
      </c>
      <c r="F2716" s="46" t="s">
        <v>60</v>
      </c>
      <c r="G2716" s="46">
        <v>1</v>
      </c>
      <c r="H2716" s="47">
        <v>17</v>
      </c>
      <c r="I2716" s="47" t="s">
        <v>101</v>
      </c>
      <c r="J2716" s="48">
        <v>3</v>
      </c>
      <c r="K2716" s="48">
        <v>0</v>
      </c>
      <c r="R2716" s="46">
        <f t="shared" si="265"/>
        <v>0</v>
      </c>
      <c r="S2716" s="46">
        <f t="shared" si="266"/>
        <v>0</v>
      </c>
      <c r="T2716" s="46">
        <f t="shared" ref="T2716:T2747" si="269">quizscore(J2716,K2716)</f>
        <v>60</v>
      </c>
      <c r="U2716" s="46">
        <f t="shared" si="267"/>
        <v>60</v>
      </c>
      <c r="V2716" s="54">
        <f t="shared" si="268"/>
        <v>75.666666666666671</v>
      </c>
    </row>
    <row r="2717" spans="1:22" x14ac:dyDescent="0.2">
      <c r="A2717" s="46" t="s">
        <v>201</v>
      </c>
      <c r="B2717" s="46" t="s">
        <v>47</v>
      </c>
      <c r="C2717" s="46" t="s">
        <v>88</v>
      </c>
      <c r="D2717" s="46" t="s">
        <v>178</v>
      </c>
      <c r="E2717" s="46">
        <v>4</v>
      </c>
      <c r="F2717" s="46" t="s">
        <v>60</v>
      </c>
      <c r="G2717" s="46">
        <v>2</v>
      </c>
      <c r="H2717" s="47">
        <v>18</v>
      </c>
      <c r="I2717" s="47" t="s">
        <v>127</v>
      </c>
      <c r="J2717" s="48">
        <v>3</v>
      </c>
      <c r="K2717" s="48">
        <v>1</v>
      </c>
      <c r="M2717" s="48">
        <v>1</v>
      </c>
      <c r="R2717" s="46">
        <f t="shared" si="265"/>
        <v>0</v>
      </c>
      <c r="S2717" s="46">
        <f t="shared" si="266"/>
        <v>0</v>
      </c>
      <c r="T2717" s="46">
        <f t="shared" si="269"/>
        <v>60</v>
      </c>
      <c r="U2717" s="46">
        <f t="shared" si="267"/>
        <v>80</v>
      </c>
      <c r="V2717" s="54">
        <f t="shared" si="268"/>
        <v>75.666666666666671</v>
      </c>
    </row>
    <row r="2718" spans="1:22" x14ac:dyDescent="0.2">
      <c r="A2718" s="46" t="s">
        <v>201</v>
      </c>
      <c r="B2718" s="46" t="s">
        <v>47</v>
      </c>
      <c r="C2718" s="46" t="s">
        <v>88</v>
      </c>
      <c r="D2718" s="46" t="s">
        <v>178</v>
      </c>
      <c r="E2718" s="46">
        <v>3</v>
      </c>
      <c r="F2718" s="46" t="s">
        <v>60</v>
      </c>
      <c r="G2718" s="46">
        <v>4</v>
      </c>
      <c r="H2718" s="47">
        <v>24</v>
      </c>
      <c r="I2718" s="47" t="s">
        <v>102</v>
      </c>
      <c r="J2718" s="48">
        <v>3</v>
      </c>
      <c r="K2718" s="48">
        <v>0</v>
      </c>
      <c r="R2718" s="46">
        <f t="shared" si="265"/>
        <v>0</v>
      </c>
      <c r="S2718" s="46">
        <f t="shared" si="266"/>
        <v>0</v>
      </c>
      <c r="T2718" s="46">
        <f t="shared" si="269"/>
        <v>60</v>
      </c>
      <c r="U2718" s="46">
        <f t="shared" si="267"/>
        <v>60</v>
      </c>
      <c r="V2718" s="54">
        <f t="shared" si="268"/>
        <v>75.666666666666671</v>
      </c>
    </row>
    <row r="2719" spans="1:22" x14ac:dyDescent="0.2">
      <c r="A2719" s="46" t="s">
        <v>201</v>
      </c>
      <c r="B2719" s="46" t="s">
        <v>47</v>
      </c>
      <c r="C2719" s="46" t="s">
        <v>88</v>
      </c>
      <c r="D2719" s="46" t="s">
        <v>178</v>
      </c>
      <c r="E2719" s="46">
        <v>4</v>
      </c>
      <c r="F2719" s="46" t="s">
        <v>60</v>
      </c>
      <c r="G2719" s="46">
        <v>4</v>
      </c>
      <c r="H2719" s="47">
        <v>40</v>
      </c>
      <c r="I2719" s="47" t="s">
        <v>102</v>
      </c>
      <c r="J2719" s="48">
        <v>3</v>
      </c>
      <c r="K2719" s="48">
        <v>1</v>
      </c>
      <c r="R2719" s="46">
        <f t="shared" si="265"/>
        <v>0</v>
      </c>
      <c r="S2719" s="46">
        <f t="shared" si="266"/>
        <v>0</v>
      </c>
      <c r="T2719" s="46">
        <f t="shared" si="269"/>
        <v>60</v>
      </c>
      <c r="U2719" s="46">
        <f t="shared" si="267"/>
        <v>60</v>
      </c>
      <c r="V2719" s="54">
        <f t="shared" si="268"/>
        <v>75.666666666666671</v>
      </c>
    </row>
    <row r="2720" spans="1:22" x14ac:dyDescent="0.2">
      <c r="A2720" s="46" t="s">
        <v>201</v>
      </c>
      <c r="B2720" s="46" t="s">
        <v>47</v>
      </c>
      <c r="C2720" s="46" t="s">
        <v>88</v>
      </c>
      <c r="D2720" s="46" t="s">
        <v>178</v>
      </c>
      <c r="E2720" s="46">
        <v>2</v>
      </c>
      <c r="F2720" s="46" t="s">
        <v>61</v>
      </c>
      <c r="G2720" s="46">
        <v>1</v>
      </c>
      <c r="H2720" s="47" t="s">
        <v>69</v>
      </c>
      <c r="I2720" s="47" t="s">
        <v>101</v>
      </c>
      <c r="J2720" s="48">
        <v>3</v>
      </c>
      <c r="K2720" s="48">
        <v>0</v>
      </c>
      <c r="R2720" s="46">
        <f t="shared" si="265"/>
        <v>0</v>
      </c>
      <c r="S2720" s="46">
        <f t="shared" si="266"/>
        <v>0</v>
      </c>
      <c r="T2720" s="46">
        <f t="shared" si="269"/>
        <v>60</v>
      </c>
      <c r="U2720" s="46">
        <f t="shared" si="267"/>
        <v>60</v>
      </c>
      <c r="V2720" s="54">
        <f t="shared" si="268"/>
        <v>75.666666666666671</v>
      </c>
    </row>
    <row r="2721" spans="1:22" x14ac:dyDescent="0.2">
      <c r="A2721" s="46" t="s">
        <v>201</v>
      </c>
      <c r="B2721" s="46" t="s">
        <v>47</v>
      </c>
      <c r="C2721" s="46" t="s">
        <v>88</v>
      </c>
      <c r="D2721" s="46" t="s">
        <v>178</v>
      </c>
      <c r="E2721" s="46">
        <v>1</v>
      </c>
      <c r="F2721" s="46" t="s">
        <v>61</v>
      </c>
      <c r="G2721" s="46">
        <v>1</v>
      </c>
      <c r="H2721" s="47" t="s">
        <v>78</v>
      </c>
      <c r="I2721" s="47" t="s">
        <v>101</v>
      </c>
      <c r="J2721" s="48">
        <v>3</v>
      </c>
      <c r="K2721" s="48">
        <v>1</v>
      </c>
      <c r="L2721" s="48">
        <v>1</v>
      </c>
      <c r="R2721" s="46">
        <f t="shared" si="265"/>
        <v>0</v>
      </c>
      <c r="S2721" s="46">
        <f t="shared" si="266"/>
        <v>0</v>
      </c>
      <c r="T2721" s="46">
        <f t="shared" si="269"/>
        <v>60</v>
      </c>
      <c r="U2721" s="46">
        <f t="shared" si="267"/>
        <v>55</v>
      </c>
      <c r="V2721" s="54">
        <f t="shared" si="268"/>
        <v>75.666666666666671</v>
      </c>
    </row>
    <row r="2722" spans="1:22" x14ac:dyDescent="0.2">
      <c r="A2722" s="46" t="s">
        <v>201</v>
      </c>
      <c r="B2722" s="46" t="s">
        <v>47</v>
      </c>
      <c r="C2722" s="46" t="s">
        <v>88</v>
      </c>
      <c r="D2722" s="46" t="s">
        <v>178</v>
      </c>
      <c r="E2722" s="46">
        <v>3</v>
      </c>
      <c r="F2722" s="46" t="s">
        <v>60</v>
      </c>
      <c r="G2722" s="46">
        <v>4</v>
      </c>
      <c r="H2722" s="47">
        <v>44</v>
      </c>
      <c r="I2722" s="47" t="s">
        <v>102</v>
      </c>
      <c r="J2722" s="48">
        <v>4</v>
      </c>
      <c r="K2722" s="48">
        <v>2</v>
      </c>
      <c r="R2722" s="46">
        <f t="shared" si="265"/>
        <v>1</v>
      </c>
      <c r="S2722" s="46">
        <f t="shared" si="266"/>
        <v>0</v>
      </c>
      <c r="T2722" s="46">
        <f t="shared" si="269"/>
        <v>70</v>
      </c>
      <c r="U2722" s="46">
        <f t="shared" si="267"/>
        <v>70</v>
      </c>
      <c r="V2722" s="54">
        <f t="shared" si="268"/>
        <v>75.666666666666671</v>
      </c>
    </row>
    <row r="2723" spans="1:22" x14ac:dyDescent="0.2">
      <c r="A2723" s="46" t="s">
        <v>201</v>
      </c>
      <c r="B2723" s="46" t="s">
        <v>47</v>
      </c>
      <c r="C2723" s="46" t="s">
        <v>88</v>
      </c>
      <c r="D2723" s="46" t="s">
        <v>178</v>
      </c>
      <c r="E2723" s="46">
        <v>2</v>
      </c>
      <c r="F2723" s="46" t="s">
        <v>60</v>
      </c>
      <c r="G2723" s="46">
        <v>1</v>
      </c>
      <c r="H2723" s="47">
        <v>17</v>
      </c>
      <c r="I2723" s="47" t="s">
        <v>101</v>
      </c>
      <c r="J2723" s="48">
        <v>4</v>
      </c>
      <c r="K2723" s="48">
        <v>1</v>
      </c>
      <c r="R2723" s="46">
        <f t="shared" si="265"/>
        <v>1</v>
      </c>
      <c r="S2723" s="46">
        <f t="shared" si="266"/>
        <v>0</v>
      </c>
      <c r="T2723" s="46">
        <f t="shared" si="269"/>
        <v>80</v>
      </c>
      <c r="U2723" s="46">
        <f t="shared" si="267"/>
        <v>80</v>
      </c>
      <c r="V2723" s="54">
        <f t="shared" si="268"/>
        <v>75.666666666666671</v>
      </c>
    </row>
    <row r="2724" spans="1:22" x14ac:dyDescent="0.2">
      <c r="A2724" s="46" t="s">
        <v>201</v>
      </c>
      <c r="B2724" s="46" t="s">
        <v>47</v>
      </c>
      <c r="C2724" s="46" t="s">
        <v>88</v>
      </c>
      <c r="D2724" s="46" t="s">
        <v>178</v>
      </c>
      <c r="E2724" s="46">
        <v>1</v>
      </c>
      <c r="F2724" s="46" t="s">
        <v>60</v>
      </c>
      <c r="G2724" s="46">
        <v>3</v>
      </c>
      <c r="H2724" s="47">
        <v>23</v>
      </c>
      <c r="I2724" s="47" t="s">
        <v>116</v>
      </c>
      <c r="J2724" s="48">
        <v>4</v>
      </c>
      <c r="K2724" s="48">
        <v>1</v>
      </c>
      <c r="R2724" s="46">
        <f t="shared" si="265"/>
        <v>1</v>
      </c>
      <c r="S2724" s="46">
        <f t="shared" si="266"/>
        <v>0</v>
      </c>
      <c r="T2724" s="46">
        <f t="shared" si="269"/>
        <v>80</v>
      </c>
      <c r="U2724" s="46">
        <f t="shared" si="267"/>
        <v>80</v>
      </c>
      <c r="V2724" s="54">
        <f t="shared" si="268"/>
        <v>75.666666666666671</v>
      </c>
    </row>
    <row r="2725" spans="1:22" x14ac:dyDescent="0.2">
      <c r="A2725" s="46" t="s">
        <v>201</v>
      </c>
      <c r="B2725" s="46" t="s">
        <v>47</v>
      </c>
      <c r="C2725" s="46" t="s">
        <v>88</v>
      </c>
      <c r="D2725" s="46" t="s">
        <v>178</v>
      </c>
      <c r="E2725" s="46">
        <v>1</v>
      </c>
      <c r="F2725" s="46" t="s">
        <v>60</v>
      </c>
      <c r="G2725" s="46">
        <v>2</v>
      </c>
      <c r="H2725" s="47">
        <v>42</v>
      </c>
      <c r="I2725" s="47" t="s">
        <v>127</v>
      </c>
      <c r="J2725" s="48">
        <v>4</v>
      </c>
      <c r="K2725" s="48">
        <v>1</v>
      </c>
      <c r="R2725" s="46">
        <f t="shared" si="265"/>
        <v>1</v>
      </c>
      <c r="S2725" s="46">
        <f t="shared" si="266"/>
        <v>0</v>
      </c>
      <c r="T2725" s="46">
        <f t="shared" si="269"/>
        <v>80</v>
      </c>
      <c r="U2725" s="46">
        <f t="shared" si="267"/>
        <v>80</v>
      </c>
      <c r="V2725" s="54">
        <f t="shared" si="268"/>
        <v>75.666666666666671</v>
      </c>
    </row>
    <row r="2726" spans="1:22" x14ac:dyDescent="0.2">
      <c r="A2726" s="46" t="s">
        <v>201</v>
      </c>
      <c r="B2726" s="46" t="s">
        <v>47</v>
      </c>
      <c r="C2726" s="46" t="s">
        <v>88</v>
      </c>
      <c r="D2726" s="46" t="s">
        <v>178</v>
      </c>
      <c r="E2726" s="46">
        <v>4</v>
      </c>
      <c r="F2726" s="46" t="s">
        <v>60</v>
      </c>
      <c r="G2726" s="46">
        <v>3</v>
      </c>
      <c r="H2726" s="47">
        <v>47</v>
      </c>
      <c r="I2726" s="47" t="s">
        <v>159</v>
      </c>
      <c r="J2726" s="48">
        <v>4</v>
      </c>
      <c r="K2726" s="48">
        <v>1</v>
      </c>
      <c r="R2726" s="46">
        <f t="shared" si="265"/>
        <v>1</v>
      </c>
      <c r="S2726" s="46">
        <f t="shared" si="266"/>
        <v>0</v>
      </c>
      <c r="T2726" s="46">
        <f t="shared" si="269"/>
        <v>80</v>
      </c>
      <c r="U2726" s="46">
        <f t="shared" si="267"/>
        <v>80</v>
      </c>
      <c r="V2726" s="54">
        <f t="shared" si="268"/>
        <v>75.666666666666671</v>
      </c>
    </row>
    <row r="2727" spans="1:22" x14ac:dyDescent="0.2">
      <c r="A2727" s="46" t="s">
        <v>201</v>
      </c>
      <c r="B2727" s="46" t="s">
        <v>47</v>
      </c>
      <c r="C2727" s="46" t="s">
        <v>88</v>
      </c>
      <c r="D2727" s="46" t="s">
        <v>178</v>
      </c>
      <c r="E2727" s="46">
        <v>4</v>
      </c>
      <c r="F2727" s="46" t="s">
        <v>61</v>
      </c>
      <c r="G2727" s="46">
        <v>1</v>
      </c>
      <c r="H2727" s="47" t="s">
        <v>67</v>
      </c>
      <c r="I2727" s="47" t="s">
        <v>101</v>
      </c>
      <c r="J2727" s="48">
        <v>4</v>
      </c>
      <c r="K2727" s="48">
        <v>1</v>
      </c>
      <c r="R2727" s="46">
        <f t="shared" si="265"/>
        <v>1</v>
      </c>
      <c r="S2727" s="46">
        <f t="shared" si="266"/>
        <v>0</v>
      </c>
      <c r="T2727" s="46">
        <f t="shared" si="269"/>
        <v>80</v>
      </c>
      <c r="U2727" s="46">
        <f t="shared" si="267"/>
        <v>80</v>
      </c>
      <c r="V2727" s="54">
        <f t="shared" si="268"/>
        <v>75.666666666666671</v>
      </c>
    </row>
    <row r="2728" spans="1:22" x14ac:dyDescent="0.2">
      <c r="A2728" s="46" t="s">
        <v>201</v>
      </c>
      <c r="B2728" s="46" t="s">
        <v>47</v>
      </c>
      <c r="C2728" s="46" t="s">
        <v>88</v>
      </c>
      <c r="D2728" s="46" t="s">
        <v>178</v>
      </c>
      <c r="E2728" s="46">
        <v>2</v>
      </c>
      <c r="F2728" s="46" t="s">
        <v>61</v>
      </c>
      <c r="G2728" s="46">
        <v>1</v>
      </c>
      <c r="H2728" s="47" t="s">
        <v>70</v>
      </c>
      <c r="I2728" s="47" t="s">
        <v>101</v>
      </c>
      <c r="J2728" s="48">
        <v>4</v>
      </c>
      <c r="K2728" s="48">
        <v>1</v>
      </c>
      <c r="R2728" s="46">
        <f t="shared" si="265"/>
        <v>1</v>
      </c>
      <c r="S2728" s="46">
        <f t="shared" si="266"/>
        <v>0</v>
      </c>
      <c r="T2728" s="46">
        <f t="shared" si="269"/>
        <v>80</v>
      </c>
      <c r="U2728" s="46">
        <f t="shared" si="267"/>
        <v>80</v>
      </c>
      <c r="V2728" s="54">
        <f t="shared" si="268"/>
        <v>75.666666666666671</v>
      </c>
    </row>
    <row r="2729" spans="1:22" x14ac:dyDescent="0.2">
      <c r="A2729" s="46" t="s">
        <v>201</v>
      </c>
      <c r="B2729" s="46" t="s">
        <v>47</v>
      </c>
      <c r="C2729" s="46" t="s">
        <v>88</v>
      </c>
      <c r="D2729" s="46" t="s">
        <v>178</v>
      </c>
      <c r="E2729" s="46">
        <v>1</v>
      </c>
      <c r="F2729" s="46" t="s">
        <v>61</v>
      </c>
      <c r="G2729" s="46">
        <v>1</v>
      </c>
      <c r="H2729" s="47" t="s">
        <v>69</v>
      </c>
      <c r="I2729" s="47" t="s">
        <v>101</v>
      </c>
      <c r="J2729" s="48">
        <v>4</v>
      </c>
      <c r="K2729" s="48">
        <v>1</v>
      </c>
      <c r="R2729" s="46">
        <f t="shared" si="265"/>
        <v>1</v>
      </c>
      <c r="S2729" s="46">
        <f t="shared" si="266"/>
        <v>0</v>
      </c>
      <c r="T2729" s="46">
        <f t="shared" si="269"/>
        <v>80</v>
      </c>
      <c r="U2729" s="46">
        <f t="shared" si="267"/>
        <v>80</v>
      </c>
      <c r="V2729" s="54">
        <f t="shared" si="268"/>
        <v>75.666666666666671</v>
      </c>
    </row>
    <row r="2730" spans="1:22" x14ac:dyDescent="0.2">
      <c r="A2730" s="46" t="s">
        <v>201</v>
      </c>
      <c r="B2730" s="46" t="s">
        <v>47</v>
      </c>
      <c r="C2730" s="46" t="s">
        <v>88</v>
      </c>
      <c r="D2730" s="46" t="s">
        <v>178</v>
      </c>
      <c r="E2730" s="46">
        <v>1</v>
      </c>
      <c r="F2730" s="46" t="s">
        <v>61</v>
      </c>
      <c r="G2730" s="46">
        <v>1</v>
      </c>
      <c r="H2730" s="47" t="s">
        <v>78</v>
      </c>
      <c r="I2730" s="47" t="s">
        <v>101</v>
      </c>
      <c r="J2730" s="48">
        <v>4</v>
      </c>
      <c r="K2730" s="48">
        <v>1</v>
      </c>
      <c r="L2730" s="48">
        <v>2</v>
      </c>
      <c r="M2730" s="48">
        <v>1</v>
      </c>
      <c r="R2730" s="46">
        <f t="shared" si="265"/>
        <v>1</v>
      </c>
      <c r="S2730" s="46">
        <f t="shared" si="266"/>
        <v>0</v>
      </c>
      <c r="T2730" s="46">
        <f t="shared" si="269"/>
        <v>80</v>
      </c>
      <c r="U2730" s="46">
        <f t="shared" si="267"/>
        <v>90</v>
      </c>
      <c r="V2730" s="54">
        <f t="shared" si="268"/>
        <v>75.666666666666671</v>
      </c>
    </row>
    <row r="2731" spans="1:22" x14ac:dyDescent="0.2">
      <c r="A2731" s="46" t="s">
        <v>201</v>
      </c>
      <c r="B2731" s="46" t="s">
        <v>47</v>
      </c>
      <c r="C2731" s="46" t="s">
        <v>88</v>
      </c>
      <c r="D2731" s="46" t="s">
        <v>178</v>
      </c>
      <c r="E2731" s="46">
        <v>4</v>
      </c>
      <c r="F2731" s="46" t="s">
        <v>60</v>
      </c>
      <c r="G2731" s="46">
        <v>1</v>
      </c>
      <c r="H2731" s="47">
        <v>1</v>
      </c>
      <c r="I2731" s="47" t="s">
        <v>101</v>
      </c>
      <c r="J2731" s="48">
        <v>4</v>
      </c>
      <c r="K2731" s="48">
        <v>0</v>
      </c>
      <c r="R2731" s="46">
        <f t="shared" si="265"/>
        <v>1</v>
      </c>
      <c r="S2731" s="46">
        <f t="shared" si="266"/>
        <v>0</v>
      </c>
      <c r="T2731" s="46">
        <f t="shared" si="269"/>
        <v>90</v>
      </c>
      <c r="U2731" s="46">
        <f t="shared" si="267"/>
        <v>90</v>
      </c>
      <c r="V2731" s="54">
        <f t="shared" si="268"/>
        <v>75.666666666666671</v>
      </c>
    </row>
    <row r="2732" spans="1:22" x14ac:dyDescent="0.2">
      <c r="A2732" s="46" t="s">
        <v>201</v>
      </c>
      <c r="B2732" s="46" t="s">
        <v>47</v>
      </c>
      <c r="C2732" s="46" t="s">
        <v>88</v>
      </c>
      <c r="D2732" s="46" t="s">
        <v>178</v>
      </c>
      <c r="E2732" s="46">
        <v>2</v>
      </c>
      <c r="F2732" s="46" t="s">
        <v>60</v>
      </c>
      <c r="G2732" s="46">
        <v>3</v>
      </c>
      <c r="H2732" s="47">
        <v>7</v>
      </c>
      <c r="I2732" s="47" t="s">
        <v>116</v>
      </c>
      <c r="J2732" s="48">
        <v>4</v>
      </c>
      <c r="K2732" s="48">
        <v>0</v>
      </c>
      <c r="R2732" s="46">
        <f t="shared" si="265"/>
        <v>1</v>
      </c>
      <c r="S2732" s="46">
        <f t="shared" si="266"/>
        <v>0</v>
      </c>
      <c r="T2732" s="46">
        <f t="shared" si="269"/>
        <v>90</v>
      </c>
      <c r="U2732" s="46">
        <f t="shared" si="267"/>
        <v>90</v>
      </c>
      <c r="V2732" s="54">
        <f t="shared" si="268"/>
        <v>75.666666666666671</v>
      </c>
    </row>
    <row r="2733" spans="1:22" x14ac:dyDescent="0.2">
      <c r="A2733" s="46" t="s">
        <v>201</v>
      </c>
      <c r="B2733" s="46" t="s">
        <v>47</v>
      </c>
      <c r="C2733" s="46" t="s">
        <v>88</v>
      </c>
      <c r="D2733" s="46" t="s">
        <v>178</v>
      </c>
      <c r="E2733" s="46">
        <v>1</v>
      </c>
      <c r="F2733" s="46" t="s">
        <v>60</v>
      </c>
      <c r="G2733" s="46">
        <v>4</v>
      </c>
      <c r="H2733" s="47">
        <v>8</v>
      </c>
      <c r="I2733" s="47" t="s">
        <v>102</v>
      </c>
      <c r="J2733" s="48">
        <v>4</v>
      </c>
      <c r="K2733" s="48">
        <v>0</v>
      </c>
      <c r="R2733" s="46">
        <f t="shared" si="265"/>
        <v>1</v>
      </c>
      <c r="S2733" s="46">
        <f t="shared" si="266"/>
        <v>0</v>
      </c>
      <c r="T2733" s="46">
        <f t="shared" si="269"/>
        <v>90</v>
      </c>
      <c r="U2733" s="46">
        <f t="shared" si="267"/>
        <v>90</v>
      </c>
      <c r="V2733" s="54">
        <f t="shared" si="268"/>
        <v>75.666666666666671</v>
      </c>
    </row>
    <row r="2734" spans="1:22" x14ac:dyDescent="0.2">
      <c r="A2734" s="46" t="s">
        <v>201</v>
      </c>
      <c r="B2734" s="46" t="s">
        <v>47</v>
      </c>
      <c r="C2734" s="46" t="s">
        <v>88</v>
      </c>
      <c r="D2734" s="46" t="s">
        <v>178</v>
      </c>
      <c r="E2734" s="46">
        <v>2</v>
      </c>
      <c r="F2734" s="46" t="s">
        <v>60</v>
      </c>
      <c r="G2734" s="46">
        <v>1</v>
      </c>
      <c r="H2734" s="47">
        <v>9</v>
      </c>
      <c r="I2734" s="47" t="s">
        <v>101</v>
      </c>
      <c r="J2734" s="48">
        <v>4</v>
      </c>
      <c r="K2734" s="48">
        <v>0</v>
      </c>
      <c r="R2734" s="46">
        <f t="shared" si="265"/>
        <v>1</v>
      </c>
      <c r="S2734" s="46">
        <f t="shared" si="266"/>
        <v>0</v>
      </c>
      <c r="T2734" s="46">
        <f t="shared" si="269"/>
        <v>90</v>
      </c>
      <c r="U2734" s="46">
        <f t="shared" si="267"/>
        <v>90</v>
      </c>
      <c r="V2734" s="54">
        <f t="shared" si="268"/>
        <v>75.666666666666671</v>
      </c>
    </row>
    <row r="2735" spans="1:22" x14ac:dyDescent="0.2">
      <c r="A2735" s="46" t="s">
        <v>201</v>
      </c>
      <c r="B2735" s="46" t="s">
        <v>47</v>
      </c>
      <c r="C2735" s="46" t="s">
        <v>88</v>
      </c>
      <c r="D2735" s="46" t="s">
        <v>178</v>
      </c>
      <c r="E2735" s="46">
        <v>4</v>
      </c>
      <c r="F2735" s="46" t="s">
        <v>60</v>
      </c>
      <c r="G2735" s="46">
        <v>2</v>
      </c>
      <c r="H2735" s="47">
        <v>26</v>
      </c>
      <c r="I2735" s="47" t="s">
        <v>127</v>
      </c>
      <c r="J2735" s="48">
        <v>4</v>
      </c>
      <c r="K2735" s="48">
        <v>0</v>
      </c>
      <c r="R2735" s="46">
        <f t="shared" si="265"/>
        <v>1</v>
      </c>
      <c r="S2735" s="46">
        <f t="shared" si="266"/>
        <v>0</v>
      </c>
      <c r="T2735" s="46">
        <f t="shared" si="269"/>
        <v>90</v>
      </c>
      <c r="U2735" s="46">
        <f t="shared" si="267"/>
        <v>90</v>
      </c>
      <c r="V2735" s="54">
        <f t="shared" si="268"/>
        <v>75.666666666666671</v>
      </c>
    </row>
    <row r="2736" spans="1:22" x14ac:dyDescent="0.2">
      <c r="A2736" s="46" t="s">
        <v>201</v>
      </c>
      <c r="B2736" s="46" t="s">
        <v>47</v>
      </c>
      <c r="C2736" s="46" t="s">
        <v>88</v>
      </c>
      <c r="D2736" s="46" t="s">
        <v>178</v>
      </c>
      <c r="E2736" s="46">
        <v>2</v>
      </c>
      <c r="F2736" s="46" t="s">
        <v>60</v>
      </c>
      <c r="G2736" s="46">
        <v>2</v>
      </c>
      <c r="H2736" s="47">
        <v>30</v>
      </c>
      <c r="I2736" s="47" t="s">
        <v>127</v>
      </c>
      <c r="J2736" s="48">
        <v>4</v>
      </c>
      <c r="K2736" s="48">
        <v>0</v>
      </c>
      <c r="R2736" s="46">
        <f t="shared" si="265"/>
        <v>1</v>
      </c>
      <c r="S2736" s="46">
        <f t="shared" si="266"/>
        <v>0</v>
      </c>
      <c r="T2736" s="46">
        <f t="shared" si="269"/>
        <v>90</v>
      </c>
      <c r="U2736" s="46">
        <f t="shared" si="267"/>
        <v>90</v>
      </c>
      <c r="V2736" s="54">
        <f t="shared" si="268"/>
        <v>75.666666666666671</v>
      </c>
    </row>
    <row r="2737" spans="1:22" x14ac:dyDescent="0.2">
      <c r="A2737" s="46" t="s">
        <v>201</v>
      </c>
      <c r="B2737" s="46" t="s">
        <v>47</v>
      </c>
      <c r="C2737" s="46" t="s">
        <v>88</v>
      </c>
      <c r="D2737" s="46" t="s">
        <v>178</v>
      </c>
      <c r="E2737" s="46">
        <v>1</v>
      </c>
      <c r="F2737" s="46" t="s">
        <v>60</v>
      </c>
      <c r="G2737" s="46">
        <v>2</v>
      </c>
      <c r="H2737" s="47">
        <v>34</v>
      </c>
      <c r="I2737" s="47" t="s">
        <v>127</v>
      </c>
      <c r="J2737" s="48">
        <v>4</v>
      </c>
      <c r="K2737" s="48">
        <v>0</v>
      </c>
      <c r="R2737" s="46">
        <f t="shared" si="265"/>
        <v>1</v>
      </c>
      <c r="S2737" s="46">
        <f t="shared" si="266"/>
        <v>0</v>
      </c>
      <c r="T2737" s="46">
        <f t="shared" si="269"/>
        <v>90</v>
      </c>
      <c r="U2737" s="46">
        <f t="shared" si="267"/>
        <v>90</v>
      </c>
      <c r="V2737" s="54">
        <f t="shared" si="268"/>
        <v>75.666666666666671</v>
      </c>
    </row>
    <row r="2738" spans="1:22" x14ac:dyDescent="0.2">
      <c r="A2738" s="46" t="s">
        <v>201</v>
      </c>
      <c r="B2738" s="46" t="s">
        <v>47</v>
      </c>
      <c r="C2738" s="46" t="s">
        <v>88</v>
      </c>
      <c r="D2738" s="46" t="s">
        <v>178</v>
      </c>
      <c r="E2738" s="46">
        <v>3</v>
      </c>
      <c r="F2738" s="46" t="s">
        <v>60</v>
      </c>
      <c r="G2738" s="46">
        <v>2</v>
      </c>
      <c r="H2738" s="47">
        <v>34</v>
      </c>
      <c r="I2738" s="47" t="s">
        <v>127</v>
      </c>
      <c r="J2738" s="48">
        <v>4</v>
      </c>
      <c r="K2738" s="48">
        <v>0</v>
      </c>
      <c r="R2738" s="46">
        <f t="shared" si="265"/>
        <v>1</v>
      </c>
      <c r="S2738" s="46">
        <f t="shared" si="266"/>
        <v>0</v>
      </c>
      <c r="T2738" s="46">
        <f t="shared" si="269"/>
        <v>90</v>
      </c>
      <c r="U2738" s="46">
        <f t="shared" si="267"/>
        <v>90</v>
      </c>
      <c r="V2738" s="54">
        <f t="shared" si="268"/>
        <v>75.666666666666671</v>
      </c>
    </row>
    <row r="2739" spans="1:22" x14ac:dyDescent="0.2">
      <c r="A2739" s="46" t="s">
        <v>201</v>
      </c>
      <c r="B2739" s="46" t="s">
        <v>47</v>
      </c>
      <c r="C2739" s="46" t="s">
        <v>88</v>
      </c>
      <c r="D2739" s="46" t="s">
        <v>178</v>
      </c>
      <c r="E2739" s="46">
        <v>4</v>
      </c>
      <c r="F2739" s="46" t="s">
        <v>60</v>
      </c>
      <c r="G2739" s="46">
        <v>4</v>
      </c>
      <c r="H2739" s="47">
        <v>36</v>
      </c>
      <c r="I2739" s="47" t="s">
        <v>102</v>
      </c>
      <c r="J2739" s="48">
        <v>4</v>
      </c>
      <c r="K2739" s="48">
        <v>0</v>
      </c>
      <c r="R2739" s="46">
        <f t="shared" si="265"/>
        <v>1</v>
      </c>
      <c r="S2739" s="46">
        <f t="shared" si="266"/>
        <v>0</v>
      </c>
      <c r="T2739" s="46">
        <f t="shared" si="269"/>
        <v>90</v>
      </c>
      <c r="U2739" s="46">
        <f t="shared" si="267"/>
        <v>90</v>
      </c>
      <c r="V2739" s="54">
        <f t="shared" si="268"/>
        <v>75.666666666666671</v>
      </c>
    </row>
    <row r="2740" spans="1:22" x14ac:dyDescent="0.2">
      <c r="A2740" s="46" t="s">
        <v>201</v>
      </c>
      <c r="B2740" s="46" t="s">
        <v>47</v>
      </c>
      <c r="C2740" s="46" t="s">
        <v>88</v>
      </c>
      <c r="D2740" s="46" t="s">
        <v>178</v>
      </c>
      <c r="E2740" s="46">
        <v>2</v>
      </c>
      <c r="F2740" s="46" t="s">
        <v>60</v>
      </c>
      <c r="G2740" s="46">
        <v>4</v>
      </c>
      <c r="H2740" s="47">
        <v>40</v>
      </c>
      <c r="I2740" s="47" t="s">
        <v>102</v>
      </c>
      <c r="J2740" s="48">
        <v>4</v>
      </c>
      <c r="K2740" s="48">
        <v>0</v>
      </c>
      <c r="R2740" s="46">
        <f t="shared" si="265"/>
        <v>1</v>
      </c>
      <c r="S2740" s="46">
        <f t="shared" si="266"/>
        <v>0</v>
      </c>
      <c r="T2740" s="46">
        <f t="shared" si="269"/>
        <v>90</v>
      </c>
      <c r="U2740" s="46">
        <f t="shared" si="267"/>
        <v>90</v>
      </c>
      <c r="V2740" s="54">
        <f t="shared" si="268"/>
        <v>75.666666666666671</v>
      </c>
    </row>
    <row r="2741" spans="1:22" x14ac:dyDescent="0.2">
      <c r="A2741" s="46" t="s">
        <v>201</v>
      </c>
      <c r="B2741" s="46" t="s">
        <v>47</v>
      </c>
      <c r="C2741" s="46" t="s">
        <v>88</v>
      </c>
      <c r="D2741" s="46" t="s">
        <v>178</v>
      </c>
      <c r="E2741" s="46">
        <v>4</v>
      </c>
      <c r="F2741" s="46" t="s">
        <v>61</v>
      </c>
      <c r="G2741" s="46">
        <v>1</v>
      </c>
      <c r="H2741" s="47" t="s">
        <v>75</v>
      </c>
      <c r="I2741" s="47" t="s">
        <v>101</v>
      </c>
      <c r="J2741" s="48">
        <v>4</v>
      </c>
      <c r="K2741" s="48">
        <v>0</v>
      </c>
      <c r="M2741" s="48">
        <v>2</v>
      </c>
      <c r="R2741" s="46">
        <f t="shared" si="265"/>
        <v>1</v>
      </c>
      <c r="S2741" s="46">
        <f t="shared" si="266"/>
        <v>0</v>
      </c>
      <c r="T2741" s="46">
        <f t="shared" si="269"/>
        <v>90</v>
      </c>
      <c r="U2741" s="46">
        <f t="shared" si="267"/>
        <v>130</v>
      </c>
      <c r="V2741" s="54">
        <f t="shared" si="268"/>
        <v>75.666666666666671</v>
      </c>
    </row>
    <row r="2742" spans="1:22" x14ac:dyDescent="0.2">
      <c r="A2742" s="46" t="s">
        <v>201</v>
      </c>
      <c r="B2742" s="46" t="s">
        <v>47</v>
      </c>
      <c r="C2742" s="46" t="s">
        <v>88</v>
      </c>
      <c r="D2742" s="46" t="s">
        <v>178</v>
      </c>
      <c r="E2742" s="46">
        <v>1</v>
      </c>
      <c r="F2742" s="46" t="s">
        <v>61</v>
      </c>
      <c r="G2742" s="46">
        <v>1</v>
      </c>
      <c r="H2742" s="47" t="s">
        <v>78</v>
      </c>
      <c r="I2742" s="47" t="s">
        <v>101</v>
      </c>
      <c r="J2742" s="48">
        <v>4</v>
      </c>
      <c r="K2742" s="48">
        <v>0</v>
      </c>
      <c r="M2742" s="48">
        <v>1</v>
      </c>
      <c r="R2742" s="46">
        <f t="shared" si="265"/>
        <v>1</v>
      </c>
      <c r="S2742" s="46">
        <f t="shared" si="266"/>
        <v>0</v>
      </c>
      <c r="T2742" s="46">
        <f t="shared" si="269"/>
        <v>90</v>
      </c>
      <c r="U2742" s="46">
        <f t="shared" si="267"/>
        <v>110</v>
      </c>
      <c r="V2742" s="54">
        <f t="shared" si="268"/>
        <v>75.666666666666671</v>
      </c>
    </row>
    <row r="2743" spans="1:22" x14ac:dyDescent="0.2">
      <c r="A2743" s="46" t="s">
        <v>201</v>
      </c>
      <c r="B2743" s="46" t="s">
        <v>47</v>
      </c>
      <c r="C2743" s="46" t="s">
        <v>88</v>
      </c>
      <c r="D2743" s="46" t="s">
        <v>178</v>
      </c>
      <c r="E2743" s="46">
        <v>2</v>
      </c>
      <c r="F2743" s="46" t="s">
        <v>61</v>
      </c>
      <c r="G2743" s="46">
        <v>1</v>
      </c>
      <c r="H2743" s="47" t="s">
        <v>78</v>
      </c>
      <c r="I2743" s="47" t="s">
        <v>101</v>
      </c>
      <c r="J2743" s="48">
        <v>4</v>
      </c>
      <c r="K2743" s="48">
        <v>0</v>
      </c>
      <c r="R2743" s="46">
        <f t="shared" si="265"/>
        <v>1</v>
      </c>
      <c r="S2743" s="46">
        <f t="shared" si="266"/>
        <v>0</v>
      </c>
      <c r="T2743" s="46">
        <f t="shared" si="269"/>
        <v>90</v>
      </c>
      <c r="U2743" s="46">
        <f t="shared" si="267"/>
        <v>90</v>
      </c>
      <c r="V2743" s="54">
        <f t="shared" si="268"/>
        <v>75.666666666666671</v>
      </c>
    </row>
    <row r="2744" spans="1:22" x14ac:dyDescent="0.2">
      <c r="A2744" s="46" t="s">
        <v>201</v>
      </c>
      <c r="B2744" s="46" t="s">
        <v>47</v>
      </c>
      <c r="C2744" s="46" t="s">
        <v>88</v>
      </c>
      <c r="D2744" s="46" t="s">
        <v>178</v>
      </c>
      <c r="E2744" s="46">
        <v>4</v>
      </c>
      <c r="F2744" s="46" t="s">
        <v>61</v>
      </c>
      <c r="G2744" s="46">
        <v>1</v>
      </c>
      <c r="H2744" s="47" t="s">
        <v>78</v>
      </c>
      <c r="I2744" s="47" t="s">
        <v>101</v>
      </c>
      <c r="J2744" s="48">
        <v>4</v>
      </c>
      <c r="K2744" s="48">
        <v>0</v>
      </c>
      <c r="M2744" s="48">
        <v>1</v>
      </c>
      <c r="R2744" s="46">
        <f t="shared" si="265"/>
        <v>1</v>
      </c>
      <c r="S2744" s="46">
        <f t="shared" si="266"/>
        <v>0</v>
      </c>
      <c r="T2744" s="46">
        <f t="shared" si="269"/>
        <v>90</v>
      </c>
      <c r="U2744" s="46">
        <f t="shared" si="267"/>
        <v>110</v>
      </c>
      <c r="V2744" s="54">
        <f t="shared" si="268"/>
        <v>75.666666666666671</v>
      </c>
    </row>
    <row r="2745" spans="1:22" x14ac:dyDescent="0.2">
      <c r="A2745" s="46" t="s">
        <v>201</v>
      </c>
      <c r="B2745" s="46" t="s">
        <v>47</v>
      </c>
      <c r="C2745" s="46" t="s">
        <v>88</v>
      </c>
      <c r="D2745" s="46" t="s">
        <v>178</v>
      </c>
      <c r="E2745" s="46">
        <v>4</v>
      </c>
      <c r="F2745" s="46" t="s">
        <v>61</v>
      </c>
      <c r="G2745" s="46">
        <v>1</v>
      </c>
      <c r="H2745" s="47" t="s">
        <v>78</v>
      </c>
      <c r="I2745" s="47" t="s">
        <v>101</v>
      </c>
      <c r="J2745" s="48">
        <v>4</v>
      </c>
      <c r="K2745" s="48">
        <v>0</v>
      </c>
      <c r="R2745" s="46">
        <f t="shared" si="265"/>
        <v>1</v>
      </c>
      <c r="S2745" s="46">
        <f t="shared" si="266"/>
        <v>0</v>
      </c>
      <c r="T2745" s="46">
        <f t="shared" si="269"/>
        <v>90</v>
      </c>
      <c r="U2745" s="46">
        <f t="shared" si="267"/>
        <v>90</v>
      </c>
      <c r="V2745" s="54">
        <f t="shared" si="268"/>
        <v>75.666666666666671</v>
      </c>
    </row>
    <row r="2746" spans="1:22" x14ac:dyDescent="0.2">
      <c r="A2746" s="46" t="s">
        <v>201</v>
      </c>
      <c r="B2746" s="46" t="s">
        <v>47</v>
      </c>
      <c r="C2746" s="46" t="s">
        <v>88</v>
      </c>
      <c r="D2746" s="46" t="s">
        <v>178</v>
      </c>
      <c r="E2746" s="46">
        <v>4</v>
      </c>
      <c r="F2746" s="46" t="s">
        <v>61</v>
      </c>
      <c r="G2746" s="46">
        <v>1</v>
      </c>
      <c r="H2746" s="47" t="s">
        <v>78</v>
      </c>
      <c r="I2746" s="47" t="s">
        <v>101</v>
      </c>
      <c r="J2746" s="48">
        <v>4</v>
      </c>
      <c r="K2746" s="48">
        <v>0</v>
      </c>
      <c r="R2746" s="46">
        <f t="shared" si="265"/>
        <v>1</v>
      </c>
      <c r="S2746" s="46">
        <f t="shared" si="266"/>
        <v>0</v>
      </c>
      <c r="T2746" s="46">
        <f t="shared" si="269"/>
        <v>90</v>
      </c>
      <c r="U2746" s="46">
        <f t="shared" si="267"/>
        <v>90</v>
      </c>
      <c r="V2746" s="54">
        <f t="shared" si="268"/>
        <v>75.666666666666671</v>
      </c>
    </row>
    <row r="2747" spans="1:22" x14ac:dyDescent="0.2">
      <c r="A2747" s="46" t="s">
        <v>201</v>
      </c>
      <c r="B2747" s="46" t="s">
        <v>47</v>
      </c>
      <c r="C2747" s="46" t="s">
        <v>88</v>
      </c>
      <c r="D2747" s="46" t="s">
        <v>178</v>
      </c>
      <c r="E2747" s="46">
        <v>5</v>
      </c>
      <c r="F2747" s="46" t="s">
        <v>60</v>
      </c>
      <c r="G2747" s="46">
        <v>1</v>
      </c>
      <c r="H2747" s="47">
        <v>1</v>
      </c>
      <c r="I2747" s="47" t="s">
        <v>101</v>
      </c>
      <c r="J2747" s="48">
        <v>4</v>
      </c>
      <c r="K2747" s="48">
        <v>1</v>
      </c>
      <c r="R2747" s="46">
        <f t="shared" si="265"/>
        <v>1</v>
      </c>
      <c r="S2747" s="46">
        <f t="shared" si="266"/>
        <v>0</v>
      </c>
      <c r="T2747" s="46">
        <f t="shared" si="269"/>
        <v>80</v>
      </c>
      <c r="U2747" s="46">
        <f t="shared" si="267"/>
        <v>80</v>
      </c>
      <c r="V2747" s="54">
        <f t="shared" si="268"/>
        <v>75.666666666666671</v>
      </c>
    </row>
    <row r="2748" spans="1:22" x14ac:dyDescent="0.2">
      <c r="A2748" s="46" t="s">
        <v>201</v>
      </c>
      <c r="B2748" s="46" t="s">
        <v>47</v>
      </c>
      <c r="C2748" s="46" t="s">
        <v>88</v>
      </c>
      <c r="D2748" s="46" t="s">
        <v>178</v>
      </c>
      <c r="E2748" s="46">
        <v>5</v>
      </c>
      <c r="F2748" s="46" t="s">
        <v>60</v>
      </c>
      <c r="G2748" s="46">
        <v>4</v>
      </c>
      <c r="H2748" s="47">
        <v>12</v>
      </c>
      <c r="I2748" s="47" t="s">
        <v>102</v>
      </c>
      <c r="J2748" s="48">
        <v>4</v>
      </c>
      <c r="K2748" s="48">
        <v>1</v>
      </c>
      <c r="R2748" s="46">
        <f t="shared" si="265"/>
        <v>1</v>
      </c>
      <c r="S2748" s="46">
        <f t="shared" si="266"/>
        <v>0</v>
      </c>
      <c r="T2748" s="46">
        <f t="shared" ref="T2748:T2755" si="270">quizscore(J2748,K2748)</f>
        <v>80</v>
      </c>
      <c r="U2748" s="46">
        <f t="shared" si="267"/>
        <v>80</v>
      </c>
      <c r="V2748" s="54">
        <f t="shared" si="268"/>
        <v>75.666666666666671</v>
      </c>
    </row>
    <row r="2749" spans="1:22" x14ac:dyDescent="0.2">
      <c r="A2749" s="46" t="s">
        <v>201</v>
      </c>
      <c r="B2749" s="46" t="s">
        <v>47</v>
      </c>
      <c r="C2749" s="46" t="s">
        <v>88</v>
      </c>
      <c r="D2749" s="46" t="s">
        <v>178</v>
      </c>
      <c r="E2749" s="46">
        <v>5</v>
      </c>
      <c r="F2749" s="46" t="s">
        <v>60</v>
      </c>
      <c r="G2749" s="46">
        <v>1</v>
      </c>
      <c r="H2749" s="47">
        <v>13</v>
      </c>
      <c r="I2749" s="47" t="s">
        <v>101</v>
      </c>
      <c r="J2749" s="48">
        <v>4</v>
      </c>
      <c r="K2749" s="48">
        <v>1</v>
      </c>
      <c r="R2749" s="46">
        <f t="shared" si="265"/>
        <v>1</v>
      </c>
      <c r="S2749" s="46">
        <f t="shared" si="266"/>
        <v>0</v>
      </c>
      <c r="T2749" s="46">
        <f t="shared" si="270"/>
        <v>80</v>
      </c>
      <c r="U2749" s="46">
        <f t="shared" si="267"/>
        <v>80</v>
      </c>
      <c r="V2749" s="54">
        <f t="shared" si="268"/>
        <v>75.666666666666671</v>
      </c>
    </row>
    <row r="2750" spans="1:22" x14ac:dyDescent="0.2">
      <c r="A2750" s="46" t="s">
        <v>201</v>
      </c>
      <c r="B2750" s="46" t="s">
        <v>47</v>
      </c>
      <c r="C2750" s="46" t="s">
        <v>88</v>
      </c>
      <c r="D2750" s="46" t="s">
        <v>178</v>
      </c>
      <c r="E2750" s="46">
        <v>5</v>
      </c>
      <c r="F2750" s="46" t="s">
        <v>60</v>
      </c>
      <c r="G2750" s="46">
        <v>2</v>
      </c>
      <c r="H2750" s="47">
        <v>22</v>
      </c>
      <c r="I2750" s="47" t="s">
        <v>127</v>
      </c>
      <c r="J2750" s="48">
        <v>4</v>
      </c>
      <c r="K2750" s="48">
        <v>1</v>
      </c>
      <c r="R2750" s="46">
        <f t="shared" si="265"/>
        <v>1</v>
      </c>
      <c r="S2750" s="46">
        <f t="shared" si="266"/>
        <v>0</v>
      </c>
      <c r="T2750" s="46">
        <f t="shared" si="270"/>
        <v>80</v>
      </c>
      <c r="U2750" s="46">
        <f t="shared" si="267"/>
        <v>80</v>
      </c>
      <c r="V2750" s="54">
        <f t="shared" si="268"/>
        <v>75.666666666666671</v>
      </c>
    </row>
    <row r="2751" spans="1:22" x14ac:dyDescent="0.2">
      <c r="A2751" s="46" t="s">
        <v>201</v>
      </c>
      <c r="B2751" s="46" t="s">
        <v>47</v>
      </c>
      <c r="C2751" s="46" t="s">
        <v>88</v>
      </c>
      <c r="D2751" s="46" t="s">
        <v>178</v>
      </c>
      <c r="E2751" s="46">
        <v>5</v>
      </c>
      <c r="F2751" s="46" t="s">
        <v>60</v>
      </c>
      <c r="G2751" s="46">
        <v>3</v>
      </c>
      <c r="H2751" s="47">
        <v>35</v>
      </c>
      <c r="I2751" s="47" t="s">
        <v>159</v>
      </c>
      <c r="J2751" s="48">
        <v>3</v>
      </c>
      <c r="K2751" s="48">
        <v>0</v>
      </c>
      <c r="R2751" s="46">
        <f t="shared" si="265"/>
        <v>0</v>
      </c>
      <c r="S2751" s="46">
        <f t="shared" si="266"/>
        <v>0</v>
      </c>
      <c r="T2751" s="46">
        <f t="shared" si="270"/>
        <v>60</v>
      </c>
      <c r="U2751" s="46">
        <f t="shared" si="267"/>
        <v>60</v>
      </c>
      <c r="V2751" s="54">
        <f t="shared" si="268"/>
        <v>75.666666666666671</v>
      </c>
    </row>
    <row r="2752" spans="1:22" x14ac:dyDescent="0.2">
      <c r="A2752" s="46" t="s">
        <v>201</v>
      </c>
      <c r="B2752" s="46" t="s">
        <v>47</v>
      </c>
      <c r="C2752" s="46" t="s">
        <v>88</v>
      </c>
      <c r="D2752" s="46" t="s">
        <v>178</v>
      </c>
      <c r="E2752" s="46">
        <v>5</v>
      </c>
      <c r="F2752" s="46" t="s">
        <v>60</v>
      </c>
      <c r="G2752" s="46">
        <v>2</v>
      </c>
      <c r="H2752" s="47">
        <v>42</v>
      </c>
      <c r="I2752" s="47" t="s">
        <v>127</v>
      </c>
      <c r="J2752" s="48">
        <v>4</v>
      </c>
      <c r="K2752" s="48">
        <v>1</v>
      </c>
      <c r="O2752" s="48">
        <v>1</v>
      </c>
      <c r="R2752" s="46">
        <f t="shared" si="265"/>
        <v>1</v>
      </c>
      <c r="S2752" s="46">
        <f t="shared" si="266"/>
        <v>0</v>
      </c>
      <c r="T2752" s="46">
        <f t="shared" si="270"/>
        <v>80</v>
      </c>
      <c r="U2752" s="46">
        <f t="shared" si="267"/>
        <v>90</v>
      </c>
      <c r="V2752" s="54">
        <f t="shared" si="268"/>
        <v>75.666666666666671</v>
      </c>
    </row>
    <row r="2753" spans="1:22" x14ac:dyDescent="0.2">
      <c r="A2753" s="46" t="s">
        <v>201</v>
      </c>
      <c r="B2753" s="46" t="s">
        <v>47</v>
      </c>
      <c r="C2753" s="46" t="s">
        <v>88</v>
      </c>
      <c r="D2753" s="46" t="s">
        <v>178</v>
      </c>
      <c r="E2753" s="46">
        <v>5</v>
      </c>
      <c r="F2753" s="46" t="s">
        <v>61</v>
      </c>
      <c r="G2753" s="46">
        <v>1</v>
      </c>
      <c r="H2753" s="47" t="s">
        <v>67</v>
      </c>
      <c r="I2753" s="47" t="s">
        <v>101</v>
      </c>
      <c r="J2753" s="48">
        <v>4</v>
      </c>
      <c r="K2753" s="48">
        <v>0</v>
      </c>
      <c r="R2753" s="46">
        <f t="shared" si="265"/>
        <v>1</v>
      </c>
      <c r="S2753" s="46">
        <f t="shared" si="266"/>
        <v>0</v>
      </c>
      <c r="T2753" s="46">
        <f t="shared" si="270"/>
        <v>90</v>
      </c>
      <c r="U2753" s="46">
        <f t="shared" si="267"/>
        <v>90</v>
      </c>
      <c r="V2753" s="54">
        <f t="shared" si="268"/>
        <v>75.666666666666671</v>
      </c>
    </row>
    <row r="2754" spans="1:22" x14ac:dyDescent="0.2">
      <c r="A2754" s="46" t="s">
        <v>201</v>
      </c>
      <c r="B2754" s="46" t="s">
        <v>47</v>
      </c>
      <c r="C2754" s="46" t="s">
        <v>88</v>
      </c>
      <c r="D2754" s="46" t="s">
        <v>178</v>
      </c>
      <c r="E2754" s="46">
        <v>5</v>
      </c>
      <c r="F2754" s="46" t="s">
        <v>61</v>
      </c>
      <c r="G2754" s="46">
        <v>1</v>
      </c>
      <c r="H2754" s="47" t="s">
        <v>75</v>
      </c>
      <c r="I2754" s="47" t="s">
        <v>101</v>
      </c>
      <c r="J2754" s="48">
        <v>3</v>
      </c>
      <c r="K2754" s="48">
        <v>0</v>
      </c>
      <c r="M2754" s="48">
        <v>1</v>
      </c>
      <c r="R2754" s="46">
        <f t="shared" ref="R2754:R2817" si="271">IF(J2754=4,1,0)</f>
        <v>0</v>
      </c>
      <c r="S2754" s="46">
        <f t="shared" ref="S2754:S2817" si="272">IF(K2754=3,1,0)</f>
        <v>0</v>
      </c>
      <c r="T2754" s="46">
        <f t="shared" si="270"/>
        <v>60</v>
      </c>
      <c r="U2754" s="46">
        <f t="shared" ref="U2754:U2817" si="273">T2754+M2754*(20) + (SUM(O2754:Q2754)*(10)) - L2754*(5) - N2754*(5)</f>
        <v>80</v>
      </c>
      <c r="V2754" s="54">
        <f t="shared" ref="V2754:V2817" si="274">AVERAGEIFS(U:U,A:A,A2754,F:F,"Pre")</f>
        <v>75.666666666666671</v>
      </c>
    </row>
    <row r="2755" spans="1:22" x14ac:dyDescent="0.2">
      <c r="A2755" s="46" t="s">
        <v>201</v>
      </c>
      <c r="B2755" s="46" t="s">
        <v>47</v>
      </c>
      <c r="C2755" s="46" t="s">
        <v>88</v>
      </c>
      <c r="D2755" s="46" t="s">
        <v>178</v>
      </c>
      <c r="E2755" s="46">
        <v>5</v>
      </c>
      <c r="F2755" s="46" t="s">
        <v>61</v>
      </c>
      <c r="G2755" s="46">
        <v>1</v>
      </c>
      <c r="H2755" s="47" t="s">
        <v>69</v>
      </c>
      <c r="I2755" s="47" t="s">
        <v>101</v>
      </c>
      <c r="J2755" s="48">
        <v>2</v>
      </c>
      <c r="K2755" s="48">
        <v>3</v>
      </c>
      <c r="M2755" s="48">
        <v>1</v>
      </c>
      <c r="R2755" s="46">
        <f t="shared" si="271"/>
        <v>0</v>
      </c>
      <c r="S2755" s="46">
        <f t="shared" si="272"/>
        <v>1</v>
      </c>
      <c r="T2755" s="46">
        <f t="shared" si="270"/>
        <v>20</v>
      </c>
      <c r="U2755" s="46">
        <f t="shared" si="273"/>
        <v>40</v>
      </c>
      <c r="V2755" s="54">
        <f t="shared" si="274"/>
        <v>75.666666666666671</v>
      </c>
    </row>
    <row r="2756" spans="1:22" x14ac:dyDescent="0.2">
      <c r="A2756" s="46" t="s">
        <v>201</v>
      </c>
      <c r="B2756" s="46" t="s">
        <v>47</v>
      </c>
      <c r="C2756" s="46" t="s">
        <v>88</v>
      </c>
      <c r="D2756" s="46" t="s">
        <v>178</v>
      </c>
      <c r="E2756" s="46">
        <v>5</v>
      </c>
      <c r="F2756" s="46" t="s">
        <v>61</v>
      </c>
      <c r="G2756" s="46">
        <v>1</v>
      </c>
      <c r="H2756" s="47" t="s">
        <v>78</v>
      </c>
      <c r="I2756" s="47" t="s">
        <v>101</v>
      </c>
      <c r="J2756" s="48">
        <v>3</v>
      </c>
      <c r="K2756" s="48">
        <v>1</v>
      </c>
      <c r="R2756" s="46">
        <f t="shared" si="271"/>
        <v>0</v>
      </c>
      <c r="S2756" s="46">
        <f t="shared" si="272"/>
        <v>0</v>
      </c>
      <c r="U2756" s="46">
        <f t="shared" si="273"/>
        <v>0</v>
      </c>
      <c r="V2756" s="54">
        <f t="shared" si="274"/>
        <v>75.666666666666671</v>
      </c>
    </row>
    <row r="2757" spans="1:22" x14ac:dyDescent="0.2">
      <c r="A2757" s="46" t="s">
        <v>201</v>
      </c>
      <c r="B2757" s="46" t="s">
        <v>47</v>
      </c>
      <c r="C2757" s="46" t="s">
        <v>88</v>
      </c>
      <c r="D2757" s="46" t="s">
        <v>178</v>
      </c>
      <c r="E2757" s="46">
        <v>5</v>
      </c>
      <c r="F2757" s="46" t="s">
        <v>61</v>
      </c>
      <c r="G2757" s="46">
        <v>1</v>
      </c>
      <c r="H2757" s="47" t="s">
        <v>78</v>
      </c>
      <c r="I2757" s="47" t="s">
        <v>101</v>
      </c>
      <c r="J2757" s="48">
        <v>1</v>
      </c>
      <c r="K2757" s="48">
        <v>3</v>
      </c>
      <c r="M2757" s="48">
        <v>1</v>
      </c>
      <c r="R2757" s="46">
        <f t="shared" si="271"/>
        <v>0</v>
      </c>
      <c r="S2757" s="46">
        <f t="shared" si="272"/>
        <v>1</v>
      </c>
      <c r="U2757" s="46">
        <f t="shared" si="273"/>
        <v>20</v>
      </c>
      <c r="V2757" s="54">
        <f t="shared" si="274"/>
        <v>75.666666666666671</v>
      </c>
    </row>
    <row r="2758" spans="1:22" x14ac:dyDescent="0.2">
      <c r="A2758" s="46" t="s">
        <v>110</v>
      </c>
      <c r="B2758" s="46" t="s">
        <v>49</v>
      </c>
      <c r="C2758" s="46" t="s">
        <v>93</v>
      </c>
      <c r="D2758" s="46" t="s">
        <v>178</v>
      </c>
      <c r="E2758" s="46">
        <v>1</v>
      </c>
      <c r="F2758" s="46" t="s">
        <v>60</v>
      </c>
      <c r="G2758" s="46">
        <v>2</v>
      </c>
      <c r="H2758" s="47">
        <v>50</v>
      </c>
      <c r="I2758" s="47" t="s">
        <v>127</v>
      </c>
      <c r="J2758" s="48">
        <v>0</v>
      </c>
      <c r="K2758" s="48">
        <v>2</v>
      </c>
      <c r="R2758" s="46">
        <f t="shared" si="271"/>
        <v>0</v>
      </c>
      <c r="S2758" s="46">
        <f t="shared" si="272"/>
        <v>0</v>
      </c>
      <c r="T2758" s="46">
        <f t="shared" ref="T2758:T2805" si="275">quizscore(J2758,K2758)</f>
        <v>-10</v>
      </c>
      <c r="U2758" s="46">
        <f t="shared" si="273"/>
        <v>-10</v>
      </c>
      <c r="V2758" s="54">
        <f t="shared" si="274"/>
        <v>46.5</v>
      </c>
    </row>
    <row r="2759" spans="1:22" x14ac:dyDescent="0.2">
      <c r="A2759" s="46" t="s">
        <v>110</v>
      </c>
      <c r="B2759" s="46" t="s">
        <v>49</v>
      </c>
      <c r="C2759" s="46" t="s">
        <v>93</v>
      </c>
      <c r="D2759" s="46" t="s">
        <v>178</v>
      </c>
      <c r="E2759" s="46">
        <v>2</v>
      </c>
      <c r="F2759" s="46" t="s">
        <v>60</v>
      </c>
      <c r="G2759" s="46">
        <v>2</v>
      </c>
      <c r="H2759" s="47">
        <v>2</v>
      </c>
      <c r="I2759" s="47" t="s">
        <v>127</v>
      </c>
      <c r="J2759" s="48">
        <v>1</v>
      </c>
      <c r="K2759" s="48">
        <v>2</v>
      </c>
      <c r="R2759" s="46">
        <f t="shared" si="271"/>
        <v>0</v>
      </c>
      <c r="S2759" s="46">
        <f t="shared" si="272"/>
        <v>0</v>
      </c>
      <c r="T2759" s="46">
        <f t="shared" si="275"/>
        <v>10</v>
      </c>
      <c r="U2759" s="46">
        <f t="shared" si="273"/>
        <v>10</v>
      </c>
      <c r="V2759" s="54">
        <f t="shared" si="274"/>
        <v>46.5</v>
      </c>
    </row>
    <row r="2760" spans="1:22" x14ac:dyDescent="0.2">
      <c r="A2760" s="46" t="s">
        <v>110</v>
      </c>
      <c r="B2760" s="46" t="s">
        <v>49</v>
      </c>
      <c r="C2760" s="46" t="s">
        <v>93</v>
      </c>
      <c r="D2760" s="46" t="s">
        <v>178</v>
      </c>
      <c r="E2760" s="46">
        <v>2</v>
      </c>
      <c r="F2760" s="46" t="s">
        <v>60</v>
      </c>
      <c r="G2760" s="46">
        <v>2</v>
      </c>
      <c r="H2760" s="47">
        <v>6</v>
      </c>
      <c r="I2760" s="47" t="s">
        <v>127</v>
      </c>
      <c r="J2760" s="48">
        <v>1</v>
      </c>
      <c r="K2760" s="48">
        <v>2</v>
      </c>
      <c r="R2760" s="46">
        <f t="shared" si="271"/>
        <v>0</v>
      </c>
      <c r="S2760" s="46">
        <f t="shared" si="272"/>
        <v>0</v>
      </c>
      <c r="T2760" s="46">
        <f t="shared" si="275"/>
        <v>10</v>
      </c>
      <c r="U2760" s="46">
        <f t="shared" si="273"/>
        <v>10</v>
      </c>
      <c r="V2760" s="54">
        <f t="shared" si="274"/>
        <v>46.5</v>
      </c>
    </row>
    <row r="2761" spans="1:22" x14ac:dyDescent="0.2">
      <c r="A2761" s="46" t="s">
        <v>110</v>
      </c>
      <c r="B2761" s="46" t="s">
        <v>49</v>
      </c>
      <c r="C2761" s="46" t="s">
        <v>93</v>
      </c>
      <c r="D2761" s="46" t="s">
        <v>178</v>
      </c>
      <c r="E2761" s="46">
        <v>1</v>
      </c>
      <c r="F2761" s="46" t="s">
        <v>60</v>
      </c>
      <c r="G2761" s="46">
        <v>1</v>
      </c>
      <c r="H2761" s="47">
        <v>9</v>
      </c>
      <c r="I2761" s="47" t="s">
        <v>101</v>
      </c>
      <c r="J2761" s="48">
        <v>1</v>
      </c>
      <c r="K2761" s="48">
        <v>2</v>
      </c>
      <c r="N2761" s="48">
        <v>1</v>
      </c>
      <c r="R2761" s="46">
        <f t="shared" si="271"/>
        <v>0</v>
      </c>
      <c r="S2761" s="46">
        <f t="shared" si="272"/>
        <v>0</v>
      </c>
      <c r="T2761" s="46">
        <f t="shared" si="275"/>
        <v>10</v>
      </c>
      <c r="U2761" s="46">
        <f t="shared" si="273"/>
        <v>5</v>
      </c>
      <c r="V2761" s="54">
        <f t="shared" si="274"/>
        <v>46.5</v>
      </c>
    </row>
    <row r="2762" spans="1:22" x14ac:dyDescent="0.2">
      <c r="A2762" s="46" t="s">
        <v>110</v>
      </c>
      <c r="B2762" s="46" t="s">
        <v>49</v>
      </c>
      <c r="C2762" s="46" t="s">
        <v>93</v>
      </c>
      <c r="D2762" s="46" t="s">
        <v>178</v>
      </c>
      <c r="E2762" s="46">
        <v>4</v>
      </c>
      <c r="F2762" s="46" t="s">
        <v>60</v>
      </c>
      <c r="G2762" s="46">
        <v>1</v>
      </c>
      <c r="H2762" s="47">
        <v>13</v>
      </c>
      <c r="I2762" s="47" t="s">
        <v>101</v>
      </c>
      <c r="J2762" s="48">
        <v>1</v>
      </c>
      <c r="K2762" s="48">
        <v>2</v>
      </c>
      <c r="R2762" s="46">
        <f t="shared" si="271"/>
        <v>0</v>
      </c>
      <c r="S2762" s="46">
        <f t="shared" si="272"/>
        <v>0</v>
      </c>
      <c r="T2762" s="46">
        <f t="shared" si="275"/>
        <v>10</v>
      </c>
      <c r="U2762" s="46">
        <f t="shared" si="273"/>
        <v>10</v>
      </c>
      <c r="V2762" s="54">
        <f t="shared" si="274"/>
        <v>46.5</v>
      </c>
    </row>
    <row r="2763" spans="1:22" x14ac:dyDescent="0.2">
      <c r="A2763" s="46" t="s">
        <v>110</v>
      </c>
      <c r="B2763" s="46" t="s">
        <v>49</v>
      </c>
      <c r="C2763" s="46" t="s">
        <v>93</v>
      </c>
      <c r="D2763" s="46" t="s">
        <v>178</v>
      </c>
      <c r="E2763" s="46">
        <v>2</v>
      </c>
      <c r="F2763" s="46" t="s">
        <v>60</v>
      </c>
      <c r="G2763" s="46">
        <v>4</v>
      </c>
      <c r="H2763" s="47">
        <v>20</v>
      </c>
      <c r="I2763" s="47" t="s">
        <v>102</v>
      </c>
      <c r="J2763" s="48">
        <v>1</v>
      </c>
      <c r="K2763" s="48">
        <v>2</v>
      </c>
      <c r="O2763" s="48">
        <v>1</v>
      </c>
      <c r="R2763" s="46">
        <f t="shared" si="271"/>
        <v>0</v>
      </c>
      <c r="S2763" s="46">
        <f t="shared" si="272"/>
        <v>0</v>
      </c>
      <c r="T2763" s="46">
        <f t="shared" si="275"/>
        <v>10</v>
      </c>
      <c r="U2763" s="46">
        <f t="shared" si="273"/>
        <v>20</v>
      </c>
      <c r="V2763" s="54">
        <f t="shared" si="274"/>
        <v>46.5</v>
      </c>
    </row>
    <row r="2764" spans="1:22" x14ac:dyDescent="0.2">
      <c r="A2764" s="46" t="s">
        <v>110</v>
      </c>
      <c r="B2764" s="46" t="s">
        <v>49</v>
      </c>
      <c r="C2764" s="46" t="s">
        <v>93</v>
      </c>
      <c r="D2764" s="46" t="s">
        <v>178</v>
      </c>
      <c r="E2764" s="46">
        <v>4</v>
      </c>
      <c r="F2764" s="46" t="s">
        <v>62</v>
      </c>
      <c r="G2764" s="46">
        <v>2</v>
      </c>
      <c r="H2764" s="47" t="s">
        <v>86</v>
      </c>
      <c r="I2764" s="47" t="s">
        <v>127</v>
      </c>
      <c r="J2764" s="48">
        <v>1</v>
      </c>
      <c r="K2764" s="48">
        <v>2</v>
      </c>
      <c r="M2764" s="48">
        <v>1</v>
      </c>
      <c r="R2764" s="46">
        <f t="shared" si="271"/>
        <v>0</v>
      </c>
      <c r="S2764" s="46">
        <f t="shared" si="272"/>
        <v>0</v>
      </c>
      <c r="T2764" s="46">
        <f t="shared" si="275"/>
        <v>10</v>
      </c>
      <c r="U2764" s="46">
        <f t="shared" si="273"/>
        <v>30</v>
      </c>
      <c r="V2764" s="54">
        <f t="shared" si="274"/>
        <v>46.5</v>
      </c>
    </row>
    <row r="2765" spans="1:22" x14ac:dyDescent="0.2">
      <c r="A2765" s="46" t="s">
        <v>110</v>
      </c>
      <c r="B2765" s="46" t="s">
        <v>49</v>
      </c>
      <c r="C2765" s="46" t="s">
        <v>93</v>
      </c>
      <c r="D2765" s="46" t="s">
        <v>178</v>
      </c>
      <c r="E2765" s="46">
        <v>2</v>
      </c>
      <c r="F2765" s="46" t="s">
        <v>60</v>
      </c>
      <c r="G2765" s="46">
        <v>4</v>
      </c>
      <c r="H2765" s="47">
        <v>28</v>
      </c>
      <c r="I2765" s="47" t="s">
        <v>102</v>
      </c>
      <c r="J2765" s="48">
        <v>1</v>
      </c>
      <c r="K2765" s="48">
        <v>1</v>
      </c>
      <c r="R2765" s="46">
        <f t="shared" si="271"/>
        <v>0</v>
      </c>
      <c r="S2765" s="46">
        <f t="shared" si="272"/>
        <v>0</v>
      </c>
      <c r="T2765" s="46">
        <f t="shared" si="275"/>
        <v>20</v>
      </c>
      <c r="U2765" s="46">
        <f t="shared" si="273"/>
        <v>20</v>
      </c>
      <c r="V2765" s="54">
        <f t="shared" si="274"/>
        <v>46.5</v>
      </c>
    </row>
    <row r="2766" spans="1:22" x14ac:dyDescent="0.2">
      <c r="A2766" s="46" t="s">
        <v>110</v>
      </c>
      <c r="B2766" s="46" t="s">
        <v>49</v>
      </c>
      <c r="C2766" s="46" t="s">
        <v>93</v>
      </c>
      <c r="D2766" s="46" t="s">
        <v>178</v>
      </c>
      <c r="E2766" s="46">
        <v>4</v>
      </c>
      <c r="F2766" s="46" t="s">
        <v>60</v>
      </c>
      <c r="G2766" s="46">
        <v>3</v>
      </c>
      <c r="H2766" s="47">
        <v>31</v>
      </c>
      <c r="I2766" s="47" t="s">
        <v>159</v>
      </c>
      <c r="J2766" s="48">
        <v>1</v>
      </c>
      <c r="K2766" s="48">
        <v>1</v>
      </c>
      <c r="R2766" s="46">
        <f t="shared" si="271"/>
        <v>0</v>
      </c>
      <c r="S2766" s="46">
        <f t="shared" si="272"/>
        <v>0</v>
      </c>
      <c r="T2766" s="46">
        <f t="shared" si="275"/>
        <v>20</v>
      </c>
      <c r="U2766" s="46">
        <f t="shared" si="273"/>
        <v>20</v>
      </c>
      <c r="V2766" s="54">
        <f t="shared" si="274"/>
        <v>46.5</v>
      </c>
    </row>
    <row r="2767" spans="1:22" x14ac:dyDescent="0.2">
      <c r="A2767" s="46" t="s">
        <v>110</v>
      </c>
      <c r="B2767" s="46" t="s">
        <v>49</v>
      </c>
      <c r="C2767" s="46" t="s">
        <v>93</v>
      </c>
      <c r="D2767" s="46" t="s">
        <v>178</v>
      </c>
      <c r="E2767" s="46">
        <v>1</v>
      </c>
      <c r="F2767" s="46" t="s">
        <v>60</v>
      </c>
      <c r="G2767" s="46">
        <v>1</v>
      </c>
      <c r="H2767" s="47">
        <v>33</v>
      </c>
      <c r="I2767" s="47" t="s">
        <v>101</v>
      </c>
      <c r="J2767" s="48">
        <v>1</v>
      </c>
      <c r="K2767" s="48">
        <v>1</v>
      </c>
      <c r="R2767" s="46">
        <f t="shared" si="271"/>
        <v>0</v>
      </c>
      <c r="S2767" s="46">
        <f t="shared" si="272"/>
        <v>0</v>
      </c>
      <c r="T2767" s="46">
        <f t="shared" si="275"/>
        <v>20</v>
      </c>
      <c r="U2767" s="46">
        <f t="shared" si="273"/>
        <v>20</v>
      </c>
      <c r="V2767" s="54">
        <f t="shared" si="274"/>
        <v>46.5</v>
      </c>
    </row>
    <row r="2768" spans="1:22" x14ac:dyDescent="0.2">
      <c r="A2768" s="46" t="s">
        <v>110</v>
      </c>
      <c r="B2768" s="46" t="s">
        <v>49</v>
      </c>
      <c r="C2768" s="46" t="s">
        <v>93</v>
      </c>
      <c r="D2768" s="46" t="s">
        <v>178</v>
      </c>
      <c r="E2768" s="46">
        <v>2</v>
      </c>
      <c r="F2768" s="46" t="s">
        <v>60</v>
      </c>
      <c r="G2768" s="46">
        <v>3</v>
      </c>
      <c r="H2768" s="47">
        <v>35</v>
      </c>
      <c r="I2768" s="47" t="s">
        <v>116</v>
      </c>
      <c r="J2768" s="48">
        <v>1</v>
      </c>
      <c r="K2768" s="48">
        <v>0</v>
      </c>
      <c r="O2768" s="48">
        <v>1</v>
      </c>
      <c r="R2768" s="46">
        <f t="shared" si="271"/>
        <v>0</v>
      </c>
      <c r="S2768" s="46">
        <f t="shared" si="272"/>
        <v>0</v>
      </c>
      <c r="T2768" s="46">
        <f t="shared" si="275"/>
        <v>20</v>
      </c>
      <c r="U2768" s="46">
        <f t="shared" si="273"/>
        <v>30</v>
      </c>
      <c r="V2768" s="54">
        <f t="shared" si="274"/>
        <v>46.5</v>
      </c>
    </row>
    <row r="2769" spans="1:22" x14ac:dyDescent="0.2">
      <c r="A2769" s="46" t="s">
        <v>110</v>
      </c>
      <c r="B2769" s="46" t="s">
        <v>49</v>
      </c>
      <c r="C2769" s="46" t="s">
        <v>93</v>
      </c>
      <c r="D2769" s="46" t="s">
        <v>178</v>
      </c>
      <c r="E2769" s="46">
        <v>3</v>
      </c>
      <c r="F2769" s="46" t="s">
        <v>60</v>
      </c>
      <c r="G2769" s="46">
        <v>1</v>
      </c>
      <c r="H2769" s="47">
        <v>37</v>
      </c>
      <c r="I2769" s="47" t="s">
        <v>101</v>
      </c>
      <c r="J2769" s="48">
        <v>1</v>
      </c>
      <c r="K2769" s="48">
        <v>0</v>
      </c>
      <c r="N2769" s="48">
        <v>1</v>
      </c>
      <c r="R2769" s="46">
        <f t="shared" si="271"/>
        <v>0</v>
      </c>
      <c r="S2769" s="46">
        <f t="shared" si="272"/>
        <v>0</v>
      </c>
      <c r="T2769" s="46">
        <f t="shared" si="275"/>
        <v>20</v>
      </c>
      <c r="U2769" s="46">
        <f t="shared" si="273"/>
        <v>15</v>
      </c>
      <c r="V2769" s="54">
        <f t="shared" si="274"/>
        <v>46.5</v>
      </c>
    </row>
    <row r="2770" spans="1:22" x14ac:dyDescent="0.2">
      <c r="A2770" s="46" t="s">
        <v>110</v>
      </c>
      <c r="B2770" s="46" t="s">
        <v>49</v>
      </c>
      <c r="C2770" s="46" t="s">
        <v>93</v>
      </c>
      <c r="D2770" s="46" t="s">
        <v>178</v>
      </c>
      <c r="E2770" s="46">
        <v>2</v>
      </c>
      <c r="F2770" s="46" t="s">
        <v>62</v>
      </c>
      <c r="G2770" s="46">
        <v>3</v>
      </c>
      <c r="H2770" s="47" t="s">
        <v>84</v>
      </c>
      <c r="I2770" s="47" t="s">
        <v>116</v>
      </c>
      <c r="J2770" s="48">
        <v>1</v>
      </c>
      <c r="K2770" s="48">
        <v>0</v>
      </c>
      <c r="R2770" s="46">
        <f t="shared" si="271"/>
        <v>0</v>
      </c>
      <c r="S2770" s="46">
        <f t="shared" si="272"/>
        <v>0</v>
      </c>
      <c r="T2770" s="46">
        <f t="shared" si="275"/>
        <v>20</v>
      </c>
      <c r="U2770" s="46">
        <f t="shared" si="273"/>
        <v>20</v>
      </c>
      <c r="V2770" s="54">
        <f t="shared" si="274"/>
        <v>46.5</v>
      </c>
    </row>
    <row r="2771" spans="1:22" x14ac:dyDescent="0.2">
      <c r="A2771" s="46" t="s">
        <v>110</v>
      </c>
      <c r="B2771" s="46" t="s">
        <v>49</v>
      </c>
      <c r="C2771" s="46" t="s">
        <v>93</v>
      </c>
      <c r="D2771" s="46" t="s">
        <v>178</v>
      </c>
      <c r="E2771" s="46">
        <v>3</v>
      </c>
      <c r="F2771" s="46" t="s">
        <v>62</v>
      </c>
      <c r="G2771" s="46">
        <v>2</v>
      </c>
      <c r="H2771" s="47" t="s">
        <v>86</v>
      </c>
      <c r="I2771" s="47" t="s">
        <v>127</v>
      </c>
      <c r="J2771" s="48">
        <v>1</v>
      </c>
      <c r="K2771" s="48">
        <v>1</v>
      </c>
      <c r="R2771" s="46">
        <f t="shared" si="271"/>
        <v>0</v>
      </c>
      <c r="S2771" s="46">
        <f t="shared" si="272"/>
        <v>0</v>
      </c>
      <c r="T2771" s="46">
        <f t="shared" si="275"/>
        <v>20</v>
      </c>
      <c r="U2771" s="46">
        <f t="shared" si="273"/>
        <v>20</v>
      </c>
      <c r="V2771" s="54">
        <f t="shared" si="274"/>
        <v>46.5</v>
      </c>
    </row>
    <row r="2772" spans="1:22" x14ac:dyDescent="0.2">
      <c r="A2772" s="46" t="s">
        <v>110</v>
      </c>
      <c r="B2772" s="46" t="s">
        <v>49</v>
      </c>
      <c r="C2772" s="46" t="s">
        <v>93</v>
      </c>
      <c r="D2772" s="46" t="s">
        <v>178</v>
      </c>
      <c r="E2772" s="46">
        <v>4</v>
      </c>
      <c r="F2772" s="46" t="s">
        <v>62</v>
      </c>
      <c r="G2772" s="46">
        <v>3</v>
      </c>
      <c r="H2772" s="47" t="s">
        <v>64</v>
      </c>
      <c r="I2772" s="47" t="s">
        <v>219</v>
      </c>
      <c r="J2772" s="48">
        <v>1</v>
      </c>
      <c r="K2772" s="48">
        <v>0</v>
      </c>
      <c r="O2772" s="48">
        <v>1</v>
      </c>
      <c r="R2772" s="46">
        <f t="shared" si="271"/>
        <v>0</v>
      </c>
      <c r="S2772" s="46">
        <f t="shared" si="272"/>
        <v>0</v>
      </c>
      <c r="T2772" s="46">
        <f t="shared" si="275"/>
        <v>20</v>
      </c>
      <c r="U2772" s="46">
        <f t="shared" si="273"/>
        <v>30</v>
      </c>
      <c r="V2772" s="54">
        <f t="shared" si="274"/>
        <v>46.5</v>
      </c>
    </row>
    <row r="2773" spans="1:22" x14ac:dyDescent="0.2">
      <c r="A2773" s="46" t="s">
        <v>110</v>
      </c>
      <c r="B2773" s="46" t="s">
        <v>49</v>
      </c>
      <c r="C2773" s="46" t="s">
        <v>93</v>
      </c>
      <c r="D2773" s="46" t="s">
        <v>178</v>
      </c>
      <c r="E2773" s="46">
        <v>3</v>
      </c>
      <c r="F2773" s="46" t="s">
        <v>62</v>
      </c>
      <c r="G2773" s="46">
        <v>2</v>
      </c>
      <c r="H2773" s="47" t="s">
        <v>83</v>
      </c>
      <c r="I2773" s="47" t="s">
        <v>127</v>
      </c>
      <c r="J2773" s="48">
        <v>1</v>
      </c>
      <c r="K2773" s="48">
        <v>0</v>
      </c>
      <c r="O2773" s="48">
        <v>1</v>
      </c>
      <c r="R2773" s="46">
        <f t="shared" si="271"/>
        <v>0</v>
      </c>
      <c r="S2773" s="46">
        <f t="shared" si="272"/>
        <v>0</v>
      </c>
      <c r="T2773" s="46">
        <f t="shared" si="275"/>
        <v>20</v>
      </c>
      <c r="U2773" s="46">
        <f t="shared" si="273"/>
        <v>30</v>
      </c>
      <c r="V2773" s="54">
        <f t="shared" si="274"/>
        <v>46.5</v>
      </c>
    </row>
    <row r="2774" spans="1:22" x14ac:dyDescent="0.2">
      <c r="A2774" s="46" t="s">
        <v>110</v>
      </c>
      <c r="B2774" s="46" t="s">
        <v>49</v>
      </c>
      <c r="C2774" s="46" t="s">
        <v>93</v>
      </c>
      <c r="D2774" s="46" t="s">
        <v>178</v>
      </c>
      <c r="E2774" s="46">
        <v>1</v>
      </c>
      <c r="F2774" s="46" t="s">
        <v>60</v>
      </c>
      <c r="G2774" s="46">
        <v>3</v>
      </c>
      <c r="H2774" s="47">
        <v>19</v>
      </c>
      <c r="I2774" s="47" t="s">
        <v>116</v>
      </c>
      <c r="J2774" s="48">
        <v>2</v>
      </c>
      <c r="K2774" s="48">
        <v>2</v>
      </c>
      <c r="R2774" s="46">
        <f t="shared" si="271"/>
        <v>0</v>
      </c>
      <c r="S2774" s="46">
        <f t="shared" si="272"/>
        <v>0</v>
      </c>
      <c r="T2774" s="46">
        <f t="shared" si="275"/>
        <v>30</v>
      </c>
      <c r="U2774" s="46">
        <f t="shared" si="273"/>
        <v>30</v>
      </c>
      <c r="V2774" s="54">
        <f t="shared" si="274"/>
        <v>46.5</v>
      </c>
    </row>
    <row r="2775" spans="1:22" x14ac:dyDescent="0.2">
      <c r="A2775" s="46" t="s">
        <v>110</v>
      </c>
      <c r="B2775" s="46" t="s">
        <v>49</v>
      </c>
      <c r="C2775" s="46" t="s">
        <v>93</v>
      </c>
      <c r="D2775" s="46" t="s">
        <v>178</v>
      </c>
      <c r="E2775" s="46">
        <v>3</v>
      </c>
      <c r="F2775" s="46" t="s">
        <v>60</v>
      </c>
      <c r="G2775" s="46">
        <v>4</v>
      </c>
      <c r="H2775" s="47">
        <v>8</v>
      </c>
      <c r="I2775" s="47" t="s">
        <v>102</v>
      </c>
      <c r="J2775" s="48">
        <v>2</v>
      </c>
      <c r="K2775" s="48">
        <v>1</v>
      </c>
      <c r="R2775" s="46">
        <f t="shared" si="271"/>
        <v>0</v>
      </c>
      <c r="S2775" s="46">
        <f t="shared" si="272"/>
        <v>0</v>
      </c>
      <c r="T2775" s="46">
        <f t="shared" si="275"/>
        <v>40</v>
      </c>
      <c r="U2775" s="46">
        <f t="shared" si="273"/>
        <v>40</v>
      </c>
      <c r="V2775" s="54">
        <f t="shared" si="274"/>
        <v>46.5</v>
      </c>
    </row>
    <row r="2776" spans="1:22" x14ac:dyDescent="0.2">
      <c r="A2776" s="46" t="s">
        <v>110</v>
      </c>
      <c r="B2776" s="46" t="s">
        <v>49</v>
      </c>
      <c r="C2776" s="46" t="s">
        <v>93</v>
      </c>
      <c r="D2776" s="46" t="s">
        <v>178</v>
      </c>
      <c r="E2776" s="46">
        <v>1</v>
      </c>
      <c r="F2776" s="46" t="s">
        <v>60</v>
      </c>
      <c r="G2776" s="46">
        <v>4</v>
      </c>
      <c r="H2776" s="47">
        <v>28</v>
      </c>
      <c r="I2776" s="47" t="s">
        <v>102</v>
      </c>
      <c r="J2776" s="48">
        <v>2</v>
      </c>
      <c r="K2776" s="48">
        <v>1</v>
      </c>
      <c r="R2776" s="46">
        <f t="shared" si="271"/>
        <v>0</v>
      </c>
      <c r="S2776" s="46">
        <f t="shared" si="272"/>
        <v>0</v>
      </c>
      <c r="T2776" s="46">
        <f t="shared" si="275"/>
        <v>40</v>
      </c>
      <c r="U2776" s="46">
        <f t="shared" si="273"/>
        <v>40</v>
      </c>
      <c r="V2776" s="54">
        <f t="shared" si="274"/>
        <v>46.5</v>
      </c>
    </row>
    <row r="2777" spans="1:22" x14ac:dyDescent="0.2">
      <c r="A2777" s="46" t="s">
        <v>110</v>
      </c>
      <c r="B2777" s="46" t="s">
        <v>49</v>
      </c>
      <c r="C2777" s="46" t="s">
        <v>93</v>
      </c>
      <c r="D2777" s="46" t="s">
        <v>178</v>
      </c>
      <c r="E2777" s="46">
        <v>3</v>
      </c>
      <c r="F2777" s="46" t="s">
        <v>60</v>
      </c>
      <c r="G2777" s="46">
        <v>3</v>
      </c>
      <c r="H2777" s="47">
        <v>31</v>
      </c>
      <c r="I2777" s="47" t="s">
        <v>116</v>
      </c>
      <c r="J2777" s="48">
        <v>2</v>
      </c>
      <c r="K2777" s="48">
        <v>1</v>
      </c>
      <c r="M2777" s="48">
        <v>1</v>
      </c>
      <c r="R2777" s="46">
        <f t="shared" si="271"/>
        <v>0</v>
      </c>
      <c r="S2777" s="46">
        <f t="shared" si="272"/>
        <v>0</v>
      </c>
      <c r="T2777" s="46">
        <f t="shared" si="275"/>
        <v>40</v>
      </c>
      <c r="U2777" s="46">
        <f t="shared" si="273"/>
        <v>60</v>
      </c>
      <c r="V2777" s="54">
        <f t="shared" si="274"/>
        <v>46.5</v>
      </c>
    </row>
    <row r="2778" spans="1:22" x14ac:dyDescent="0.2">
      <c r="A2778" s="46" t="s">
        <v>110</v>
      </c>
      <c r="B2778" s="46" t="s">
        <v>49</v>
      </c>
      <c r="C2778" s="46" t="s">
        <v>93</v>
      </c>
      <c r="D2778" s="46" t="s">
        <v>178</v>
      </c>
      <c r="E2778" s="46">
        <v>2</v>
      </c>
      <c r="F2778" s="46" t="s">
        <v>60</v>
      </c>
      <c r="G2778" s="46">
        <v>1</v>
      </c>
      <c r="H2778" s="47">
        <v>45</v>
      </c>
      <c r="I2778" s="47" t="s">
        <v>101</v>
      </c>
      <c r="J2778" s="48">
        <v>2</v>
      </c>
      <c r="K2778" s="48">
        <v>0</v>
      </c>
      <c r="R2778" s="46">
        <f t="shared" si="271"/>
        <v>0</v>
      </c>
      <c r="S2778" s="46">
        <f t="shared" si="272"/>
        <v>0</v>
      </c>
      <c r="T2778" s="46">
        <f t="shared" si="275"/>
        <v>40</v>
      </c>
      <c r="U2778" s="46">
        <f t="shared" si="273"/>
        <v>40</v>
      </c>
      <c r="V2778" s="54">
        <f t="shared" si="274"/>
        <v>46.5</v>
      </c>
    </row>
    <row r="2779" spans="1:22" x14ac:dyDescent="0.2">
      <c r="A2779" s="46" t="s">
        <v>110</v>
      </c>
      <c r="B2779" s="46" t="s">
        <v>49</v>
      </c>
      <c r="C2779" s="46" t="s">
        <v>93</v>
      </c>
      <c r="D2779" s="46" t="s">
        <v>178</v>
      </c>
      <c r="E2779" s="46">
        <v>2</v>
      </c>
      <c r="F2779" s="46" t="s">
        <v>62</v>
      </c>
      <c r="G2779" s="46">
        <v>2</v>
      </c>
      <c r="H2779" s="47" t="s">
        <v>79</v>
      </c>
      <c r="I2779" s="47" t="s">
        <v>127</v>
      </c>
      <c r="J2779" s="48">
        <v>2</v>
      </c>
      <c r="K2779" s="48">
        <v>0</v>
      </c>
      <c r="R2779" s="46">
        <f t="shared" si="271"/>
        <v>0</v>
      </c>
      <c r="S2779" s="46">
        <f t="shared" si="272"/>
        <v>0</v>
      </c>
      <c r="T2779" s="46">
        <f t="shared" si="275"/>
        <v>40</v>
      </c>
      <c r="U2779" s="46">
        <f t="shared" si="273"/>
        <v>40</v>
      </c>
      <c r="V2779" s="54">
        <f t="shared" si="274"/>
        <v>46.5</v>
      </c>
    </row>
    <row r="2780" spans="1:22" x14ac:dyDescent="0.2">
      <c r="A2780" s="46" t="s">
        <v>110</v>
      </c>
      <c r="B2780" s="46" t="s">
        <v>49</v>
      </c>
      <c r="C2780" s="46" t="s">
        <v>93</v>
      </c>
      <c r="D2780" s="46" t="s">
        <v>178</v>
      </c>
      <c r="E2780" s="46">
        <v>4</v>
      </c>
      <c r="F2780" s="46" t="s">
        <v>62</v>
      </c>
      <c r="G2780" s="46">
        <v>2</v>
      </c>
      <c r="H2780" s="47" t="s">
        <v>82</v>
      </c>
      <c r="I2780" s="47" t="s">
        <v>127</v>
      </c>
      <c r="J2780" s="48">
        <v>2</v>
      </c>
      <c r="K2780" s="48">
        <v>0</v>
      </c>
      <c r="M2780" s="48">
        <v>1</v>
      </c>
      <c r="N2780" s="48">
        <v>1</v>
      </c>
      <c r="R2780" s="46">
        <f t="shared" si="271"/>
        <v>0</v>
      </c>
      <c r="S2780" s="46">
        <f t="shared" si="272"/>
        <v>0</v>
      </c>
      <c r="T2780" s="46">
        <f t="shared" si="275"/>
        <v>40</v>
      </c>
      <c r="U2780" s="46">
        <f t="shared" si="273"/>
        <v>55</v>
      </c>
      <c r="V2780" s="54">
        <f t="shared" si="274"/>
        <v>46.5</v>
      </c>
    </row>
    <row r="2781" spans="1:22" x14ac:dyDescent="0.2">
      <c r="A2781" s="46" t="s">
        <v>110</v>
      </c>
      <c r="B2781" s="46" t="s">
        <v>49</v>
      </c>
      <c r="C2781" s="46" t="s">
        <v>93</v>
      </c>
      <c r="D2781" s="46" t="s">
        <v>178</v>
      </c>
      <c r="E2781" s="46">
        <v>4</v>
      </c>
      <c r="F2781" s="46" t="s">
        <v>60</v>
      </c>
      <c r="G2781" s="46">
        <v>4</v>
      </c>
      <c r="H2781" s="47">
        <v>8</v>
      </c>
      <c r="I2781" s="47" t="s">
        <v>102</v>
      </c>
      <c r="J2781" s="48">
        <v>3</v>
      </c>
      <c r="K2781" s="48">
        <v>0</v>
      </c>
      <c r="R2781" s="46">
        <f t="shared" si="271"/>
        <v>0</v>
      </c>
      <c r="S2781" s="46">
        <f t="shared" si="272"/>
        <v>0</v>
      </c>
      <c r="T2781" s="46">
        <f t="shared" si="275"/>
        <v>60</v>
      </c>
      <c r="U2781" s="46">
        <f t="shared" si="273"/>
        <v>60</v>
      </c>
      <c r="V2781" s="54">
        <f t="shared" si="274"/>
        <v>46.5</v>
      </c>
    </row>
    <row r="2782" spans="1:22" x14ac:dyDescent="0.2">
      <c r="A2782" s="46" t="s">
        <v>110</v>
      </c>
      <c r="B2782" s="46" t="s">
        <v>49</v>
      </c>
      <c r="C2782" s="46" t="s">
        <v>93</v>
      </c>
      <c r="D2782" s="46" t="s">
        <v>178</v>
      </c>
      <c r="E2782" s="46">
        <v>4</v>
      </c>
      <c r="F2782" s="46" t="s">
        <v>60</v>
      </c>
      <c r="G2782" s="46">
        <v>3</v>
      </c>
      <c r="H2782" s="47">
        <v>39</v>
      </c>
      <c r="I2782" s="47" t="s">
        <v>159</v>
      </c>
      <c r="J2782" s="48">
        <v>3</v>
      </c>
      <c r="K2782" s="48">
        <v>1</v>
      </c>
      <c r="R2782" s="46">
        <f t="shared" si="271"/>
        <v>0</v>
      </c>
      <c r="S2782" s="46">
        <f t="shared" si="272"/>
        <v>0</v>
      </c>
      <c r="T2782" s="46">
        <f t="shared" si="275"/>
        <v>60</v>
      </c>
      <c r="U2782" s="46">
        <f t="shared" si="273"/>
        <v>60</v>
      </c>
      <c r="V2782" s="54">
        <f t="shared" si="274"/>
        <v>46.5</v>
      </c>
    </row>
    <row r="2783" spans="1:22" x14ac:dyDescent="0.2">
      <c r="A2783" s="46" t="s">
        <v>110</v>
      </c>
      <c r="B2783" s="46" t="s">
        <v>49</v>
      </c>
      <c r="C2783" s="46" t="s">
        <v>93</v>
      </c>
      <c r="D2783" s="46" t="s">
        <v>178</v>
      </c>
      <c r="E2783" s="46">
        <v>3</v>
      </c>
      <c r="F2783" s="46" t="s">
        <v>60</v>
      </c>
      <c r="G2783" s="46">
        <v>2</v>
      </c>
      <c r="H2783" s="47">
        <v>46</v>
      </c>
      <c r="I2783" s="47" t="s">
        <v>127</v>
      </c>
      <c r="J2783" s="48">
        <v>3</v>
      </c>
      <c r="K2783" s="48">
        <v>0</v>
      </c>
      <c r="R2783" s="46">
        <f t="shared" si="271"/>
        <v>0</v>
      </c>
      <c r="S2783" s="46">
        <f t="shared" si="272"/>
        <v>0</v>
      </c>
      <c r="T2783" s="46">
        <f t="shared" si="275"/>
        <v>60</v>
      </c>
      <c r="U2783" s="46">
        <f t="shared" si="273"/>
        <v>60</v>
      </c>
      <c r="V2783" s="54">
        <f t="shared" si="274"/>
        <v>46.5</v>
      </c>
    </row>
    <row r="2784" spans="1:22" x14ac:dyDescent="0.2">
      <c r="A2784" s="46" t="s">
        <v>110</v>
      </c>
      <c r="B2784" s="46" t="s">
        <v>49</v>
      </c>
      <c r="C2784" s="46" t="s">
        <v>93</v>
      </c>
      <c r="D2784" s="46" t="s">
        <v>178</v>
      </c>
      <c r="E2784" s="46">
        <v>4</v>
      </c>
      <c r="F2784" s="46" t="s">
        <v>60</v>
      </c>
      <c r="G2784" s="46">
        <v>4</v>
      </c>
      <c r="H2784" s="47">
        <v>48</v>
      </c>
      <c r="I2784" s="47" t="s">
        <v>102</v>
      </c>
      <c r="J2784" s="48">
        <v>3</v>
      </c>
      <c r="K2784" s="48">
        <v>1</v>
      </c>
      <c r="R2784" s="46">
        <f t="shared" si="271"/>
        <v>0</v>
      </c>
      <c r="S2784" s="46">
        <f t="shared" si="272"/>
        <v>0</v>
      </c>
      <c r="T2784" s="46">
        <f t="shared" si="275"/>
        <v>60</v>
      </c>
      <c r="U2784" s="46">
        <f t="shared" si="273"/>
        <v>60</v>
      </c>
      <c r="V2784" s="54">
        <f t="shared" si="274"/>
        <v>46.5</v>
      </c>
    </row>
    <row r="2785" spans="1:22" x14ac:dyDescent="0.2">
      <c r="A2785" s="46" t="s">
        <v>110</v>
      </c>
      <c r="B2785" s="46" t="s">
        <v>49</v>
      </c>
      <c r="C2785" s="46" t="s">
        <v>93</v>
      </c>
      <c r="D2785" s="46" t="s">
        <v>178</v>
      </c>
      <c r="E2785" s="46">
        <v>4</v>
      </c>
      <c r="F2785" s="46" t="s">
        <v>62</v>
      </c>
      <c r="G2785" s="46">
        <v>2</v>
      </c>
      <c r="H2785" s="47" t="s">
        <v>81</v>
      </c>
      <c r="I2785" s="47" t="s">
        <v>127</v>
      </c>
      <c r="J2785" s="48">
        <v>3</v>
      </c>
      <c r="K2785" s="48">
        <v>1</v>
      </c>
      <c r="O2785" s="48">
        <v>1</v>
      </c>
      <c r="R2785" s="46">
        <f t="shared" si="271"/>
        <v>0</v>
      </c>
      <c r="S2785" s="46">
        <f t="shared" si="272"/>
        <v>0</v>
      </c>
      <c r="T2785" s="46">
        <f t="shared" si="275"/>
        <v>60</v>
      </c>
      <c r="U2785" s="46">
        <f t="shared" si="273"/>
        <v>70</v>
      </c>
      <c r="V2785" s="54">
        <f t="shared" si="274"/>
        <v>46.5</v>
      </c>
    </row>
    <row r="2786" spans="1:22" x14ac:dyDescent="0.2">
      <c r="A2786" s="46" t="s">
        <v>110</v>
      </c>
      <c r="B2786" s="46" t="s">
        <v>49</v>
      </c>
      <c r="C2786" s="46" t="s">
        <v>93</v>
      </c>
      <c r="D2786" s="46" t="s">
        <v>178</v>
      </c>
      <c r="E2786" s="46">
        <v>3</v>
      </c>
      <c r="F2786" s="46" t="s">
        <v>62</v>
      </c>
      <c r="G2786" s="46">
        <v>2</v>
      </c>
      <c r="H2786" s="47" t="s">
        <v>82</v>
      </c>
      <c r="I2786" s="47" t="s">
        <v>127</v>
      </c>
      <c r="J2786" s="48">
        <v>3</v>
      </c>
      <c r="K2786" s="48">
        <v>1</v>
      </c>
      <c r="R2786" s="46">
        <f t="shared" si="271"/>
        <v>0</v>
      </c>
      <c r="S2786" s="46">
        <f t="shared" si="272"/>
        <v>0</v>
      </c>
      <c r="T2786" s="46">
        <f t="shared" si="275"/>
        <v>60</v>
      </c>
      <c r="U2786" s="46">
        <f t="shared" si="273"/>
        <v>60</v>
      </c>
      <c r="V2786" s="54">
        <f t="shared" si="274"/>
        <v>46.5</v>
      </c>
    </row>
    <row r="2787" spans="1:22" x14ac:dyDescent="0.2">
      <c r="A2787" s="46" t="s">
        <v>110</v>
      </c>
      <c r="B2787" s="46" t="s">
        <v>49</v>
      </c>
      <c r="C2787" s="46" t="s">
        <v>93</v>
      </c>
      <c r="D2787" s="46" t="s">
        <v>178</v>
      </c>
      <c r="E2787" s="46">
        <v>2</v>
      </c>
      <c r="F2787" s="46" t="s">
        <v>62</v>
      </c>
      <c r="G2787" s="46">
        <v>3</v>
      </c>
      <c r="H2787" s="47" t="s">
        <v>87</v>
      </c>
      <c r="I2787" s="47" t="s">
        <v>116</v>
      </c>
      <c r="J2787" s="48">
        <v>3</v>
      </c>
      <c r="K2787" s="48">
        <v>1</v>
      </c>
      <c r="M2787" s="48">
        <v>1</v>
      </c>
      <c r="R2787" s="46">
        <f t="shared" si="271"/>
        <v>0</v>
      </c>
      <c r="S2787" s="46">
        <f t="shared" si="272"/>
        <v>0</v>
      </c>
      <c r="T2787" s="46">
        <f t="shared" si="275"/>
        <v>60</v>
      </c>
      <c r="U2787" s="46">
        <f t="shared" si="273"/>
        <v>80</v>
      </c>
      <c r="V2787" s="54">
        <f t="shared" si="274"/>
        <v>46.5</v>
      </c>
    </row>
    <row r="2788" spans="1:22" x14ac:dyDescent="0.2">
      <c r="A2788" s="46" t="s">
        <v>110</v>
      </c>
      <c r="B2788" s="46" t="s">
        <v>49</v>
      </c>
      <c r="C2788" s="46" t="s">
        <v>93</v>
      </c>
      <c r="D2788" s="46" t="s">
        <v>178</v>
      </c>
      <c r="E2788" s="46">
        <v>1</v>
      </c>
      <c r="F2788" s="46" t="s">
        <v>63</v>
      </c>
      <c r="G2788" s="46">
        <v>4</v>
      </c>
      <c r="H2788" s="47" t="s">
        <v>146</v>
      </c>
      <c r="I2788" s="47" t="s">
        <v>102</v>
      </c>
      <c r="J2788" s="48">
        <v>3</v>
      </c>
      <c r="K2788" s="48">
        <v>1</v>
      </c>
      <c r="R2788" s="46">
        <f t="shared" si="271"/>
        <v>0</v>
      </c>
      <c r="S2788" s="46">
        <f t="shared" si="272"/>
        <v>0</v>
      </c>
      <c r="T2788" s="46">
        <f t="shared" si="275"/>
        <v>60</v>
      </c>
      <c r="U2788" s="46">
        <f t="shared" si="273"/>
        <v>60</v>
      </c>
      <c r="V2788" s="54">
        <f t="shared" si="274"/>
        <v>46.5</v>
      </c>
    </row>
    <row r="2789" spans="1:22" x14ac:dyDescent="0.2">
      <c r="A2789" s="46" t="s">
        <v>110</v>
      </c>
      <c r="B2789" s="46" t="s">
        <v>49</v>
      </c>
      <c r="C2789" s="46" t="s">
        <v>93</v>
      </c>
      <c r="D2789" s="46" t="s">
        <v>178</v>
      </c>
      <c r="E2789" s="46">
        <v>1</v>
      </c>
      <c r="F2789" s="46" t="s">
        <v>63</v>
      </c>
      <c r="G2789" s="46">
        <v>4</v>
      </c>
      <c r="H2789" s="47" t="s">
        <v>149</v>
      </c>
      <c r="I2789" s="47" t="s">
        <v>102</v>
      </c>
      <c r="J2789" s="48">
        <v>3</v>
      </c>
      <c r="K2789" s="48">
        <v>1</v>
      </c>
      <c r="R2789" s="46">
        <f t="shared" si="271"/>
        <v>0</v>
      </c>
      <c r="S2789" s="46">
        <f t="shared" si="272"/>
        <v>0</v>
      </c>
      <c r="T2789" s="46">
        <f t="shared" si="275"/>
        <v>60</v>
      </c>
      <c r="U2789" s="46">
        <f t="shared" si="273"/>
        <v>60</v>
      </c>
      <c r="V2789" s="54">
        <f t="shared" si="274"/>
        <v>46.5</v>
      </c>
    </row>
    <row r="2790" spans="1:22" x14ac:dyDescent="0.2">
      <c r="A2790" s="46" t="s">
        <v>110</v>
      </c>
      <c r="B2790" s="46" t="s">
        <v>49</v>
      </c>
      <c r="C2790" s="46" t="s">
        <v>93</v>
      </c>
      <c r="D2790" s="46" t="s">
        <v>178</v>
      </c>
      <c r="E2790" s="46">
        <v>1</v>
      </c>
      <c r="F2790" s="46" t="s">
        <v>60</v>
      </c>
      <c r="G2790" s="46">
        <v>4</v>
      </c>
      <c r="H2790" s="47">
        <v>44</v>
      </c>
      <c r="I2790" s="47" t="s">
        <v>102</v>
      </c>
      <c r="J2790" s="48">
        <v>4</v>
      </c>
      <c r="K2790" s="48">
        <v>1</v>
      </c>
      <c r="R2790" s="46">
        <f t="shared" si="271"/>
        <v>1</v>
      </c>
      <c r="S2790" s="46">
        <f t="shared" si="272"/>
        <v>0</v>
      </c>
      <c r="T2790" s="46">
        <f t="shared" si="275"/>
        <v>80</v>
      </c>
      <c r="U2790" s="46">
        <f t="shared" si="273"/>
        <v>80</v>
      </c>
      <c r="V2790" s="54">
        <f t="shared" si="274"/>
        <v>46.5</v>
      </c>
    </row>
    <row r="2791" spans="1:22" x14ac:dyDescent="0.2">
      <c r="A2791" s="46" t="s">
        <v>110</v>
      </c>
      <c r="B2791" s="46" t="s">
        <v>49</v>
      </c>
      <c r="C2791" s="46" t="s">
        <v>93</v>
      </c>
      <c r="D2791" s="46" t="s">
        <v>178</v>
      </c>
      <c r="E2791" s="46">
        <v>3</v>
      </c>
      <c r="F2791" s="46" t="s">
        <v>60</v>
      </c>
      <c r="G2791" s="46">
        <v>4</v>
      </c>
      <c r="H2791" s="47">
        <v>16</v>
      </c>
      <c r="I2791" s="47" t="s">
        <v>102</v>
      </c>
      <c r="J2791" s="48">
        <v>4</v>
      </c>
      <c r="K2791" s="48">
        <v>0</v>
      </c>
      <c r="R2791" s="46">
        <f t="shared" si="271"/>
        <v>1</v>
      </c>
      <c r="S2791" s="46">
        <f t="shared" si="272"/>
        <v>0</v>
      </c>
      <c r="T2791" s="46">
        <f t="shared" si="275"/>
        <v>90</v>
      </c>
      <c r="U2791" s="46">
        <f t="shared" si="273"/>
        <v>90</v>
      </c>
      <c r="V2791" s="54">
        <f t="shared" si="274"/>
        <v>46.5</v>
      </c>
    </row>
    <row r="2792" spans="1:22" x14ac:dyDescent="0.2">
      <c r="A2792" s="46" t="s">
        <v>110</v>
      </c>
      <c r="B2792" s="46" t="s">
        <v>49</v>
      </c>
      <c r="C2792" s="46" t="s">
        <v>93</v>
      </c>
      <c r="D2792" s="46" t="s">
        <v>178</v>
      </c>
      <c r="E2792" s="46">
        <v>4</v>
      </c>
      <c r="F2792" s="46" t="s">
        <v>60</v>
      </c>
      <c r="G2792" s="46">
        <v>2</v>
      </c>
      <c r="H2792" s="47">
        <v>22</v>
      </c>
      <c r="I2792" s="47" t="s">
        <v>127</v>
      </c>
      <c r="J2792" s="48">
        <v>4</v>
      </c>
      <c r="K2792" s="48">
        <v>0</v>
      </c>
      <c r="R2792" s="46">
        <f t="shared" si="271"/>
        <v>1</v>
      </c>
      <c r="S2792" s="46">
        <f t="shared" si="272"/>
        <v>0</v>
      </c>
      <c r="T2792" s="46">
        <f t="shared" si="275"/>
        <v>90</v>
      </c>
      <c r="U2792" s="46">
        <f t="shared" si="273"/>
        <v>90</v>
      </c>
      <c r="V2792" s="54">
        <f t="shared" si="274"/>
        <v>46.5</v>
      </c>
    </row>
    <row r="2793" spans="1:22" x14ac:dyDescent="0.2">
      <c r="A2793" s="46" t="s">
        <v>110</v>
      </c>
      <c r="B2793" s="46" t="s">
        <v>49</v>
      </c>
      <c r="C2793" s="46" t="s">
        <v>93</v>
      </c>
      <c r="D2793" s="46" t="s">
        <v>178</v>
      </c>
      <c r="E2793" s="46">
        <v>3</v>
      </c>
      <c r="F2793" s="46" t="s">
        <v>60</v>
      </c>
      <c r="G2793" s="46">
        <v>3</v>
      </c>
      <c r="H2793" s="47">
        <v>23</v>
      </c>
      <c r="I2793" s="47" t="s">
        <v>116</v>
      </c>
      <c r="J2793" s="48">
        <v>4</v>
      </c>
      <c r="K2793" s="48">
        <v>0</v>
      </c>
      <c r="R2793" s="46">
        <f t="shared" si="271"/>
        <v>1</v>
      </c>
      <c r="S2793" s="46">
        <f t="shared" si="272"/>
        <v>0</v>
      </c>
      <c r="T2793" s="46">
        <f t="shared" si="275"/>
        <v>90</v>
      </c>
      <c r="U2793" s="46">
        <f t="shared" si="273"/>
        <v>90</v>
      </c>
      <c r="V2793" s="54">
        <f t="shared" si="274"/>
        <v>46.5</v>
      </c>
    </row>
    <row r="2794" spans="1:22" x14ac:dyDescent="0.2">
      <c r="A2794" s="46" t="s">
        <v>110</v>
      </c>
      <c r="B2794" s="46" t="s">
        <v>49</v>
      </c>
      <c r="C2794" s="46" t="s">
        <v>93</v>
      </c>
      <c r="D2794" s="46" t="s">
        <v>178</v>
      </c>
      <c r="E2794" s="46">
        <v>3</v>
      </c>
      <c r="F2794" s="46" t="s">
        <v>62</v>
      </c>
      <c r="G2794" s="46">
        <v>2</v>
      </c>
      <c r="H2794" s="47" t="s">
        <v>81</v>
      </c>
      <c r="I2794" s="47" t="s">
        <v>127</v>
      </c>
      <c r="J2794" s="48">
        <v>4</v>
      </c>
      <c r="K2794" s="48">
        <v>0</v>
      </c>
      <c r="N2794" s="48">
        <v>1</v>
      </c>
      <c r="R2794" s="46">
        <f t="shared" si="271"/>
        <v>1</v>
      </c>
      <c r="S2794" s="46">
        <f t="shared" si="272"/>
        <v>0</v>
      </c>
      <c r="T2794" s="46">
        <f t="shared" si="275"/>
        <v>90</v>
      </c>
      <c r="U2794" s="46">
        <f t="shared" si="273"/>
        <v>85</v>
      </c>
      <c r="V2794" s="54">
        <f t="shared" si="274"/>
        <v>46.5</v>
      </c>
    </row>
    <row r="2795" spans="1:22" x14ac:dyDescent="0.2">
      <c r="A2795" s="46" t="s">
        <v>110</v>
      </c>
      <c r="B2795" s="46" t="s">
        <v>49</v>
      </c>
      <c r="C2795" s="46" t="s">
        <v>93</v>
      </c>
      <c r="D2795" s="46" t="s">
        <v>178</v>
      </c>
      <c r="E2795" s="46">
        <v>1</v>
      </c>
      <c r="F2795" s="46" t="s">
        <v>63</v>
      </c>
      <c r="G2795" s="46">
        <v>4</v>
      </c>
      <c r="H2795" s="47" t="s">
        <v>152</v>
      </c>
      <c r="I2795" s="47" t="s">
        <v>102</v>
      </c>
      <c r="J2795" s="48">
        <v>4</v>
      </c>
      <c r="K2795" s="48">
        <v>0</v>
      </c>
      <c r="R2795" s="46">
        <f t="shared" si="271"/>
        <v>1</v>
      </c>
      <c r="S2795" s="46">
        <f t="shared" si="272"/>
        <v>0</v>
      </c>
      <c r="T2795" s="46">
        <f t="shared" si="275"/>
        <v>90</v>
      </c>
      <c r="U2795" s="46">
        <f t="shared" si="273"/>
        <v>90</v>
      </c>
      <c r="V2795" s="54">
        <f t="shared" si="274"/>
        <v>46.5</v>
      </c>
    </row>
    <row r="2796" spans="1:22" x14ac:dyDescent="0.2">
      <c r="A2796" s="46" t="s">
        <v>110</v>
      </c>
      <c r="B2796" s="46" t="s">
        <v>49</v>
      </c>
      <c r="C2796" s="46" t="s">
        <v>93</v>
      </c>
      <c r="D2796" s="46" t="s">
        <v>178</v>
      </c>
      <c r="E2796" s="46">
        <v>1</v>
      </c>
      <c r="F2796" s="46" t="s">
        <v>63</v>
      </c>
      <c r="G2796" s="46">
        <v>4</v>
      </c>
      <c r="H2796" s="47" t="s">
        <v>172</v>
      </c>
      <c r="I2796" s="47" t="s">
        <v>102</v>
      </c>
      <c r="J2796" s="48">
        <v>4</v>
      </c>
      <c r="K2796" s="48">
        <v>0</v>
      </c>
      <c r="R2796" s="46">
        <f t="shared" si="271"/>
        <v>1</v>
      </c>
      <c r="S2796" s="46">
        <f t="shared" si="272"/>
        <v>0</v>
      </c>
      <c r="T2796" s="46">
        <f t="shared" si="275"/>
        <v>90</v>
      </c>
      <c r="U2796" s="46">
        <f t="shared" si="273"/>
        <v>90</v>
      </c>
      <c r="V2796" s="54">
        <f t="shared" si="274"/>
        <v>46.5</v>
      </c>
    </row>
    <row r="2797" spans="1:22" x14ac:dyDescent="0.2">
      <c r="A2797" s="46" t="s">
        <v>110</v>
      </c>
      <c r="B2797" s="46" t="s">
        <v>49</v>
      </c>
      <c r="C2797" s="46" t="s">
        <v>93</v>
      </c>
      <c r="D2797" s="46" t="s">
        <v>178</v>
      </c>
      <c r="E2797" s="46">
        <v>5</v>
      </c>
      <c r="F2797" s="46" t="s">
        <v>60</v>
      </c>
      <c r="G2797" s="46">
        <v>3</v>
      </c>
      <c r="H2797" s="47">
        <v>7</v>
      </c>
      <c r="I2797" s="47" t="s">
        <v>159</v>
      </c>
      <c r="J2797" s="48">
        <v>3</v>
      </c>
      <c r="K2797" s="48">
        <v>1</v>
      </c>
      <c r="R2797" s="46">
        <f t="shared" si="271"/>
        <v>0</v>
      </c>
      <c r="S2797" s="46">
        <f t="shared" si="272"/>
        <v>0</v>
      </c>
      <c r="T2797" s="46">
        <f t="shared" si="275"/>
        <v>60</v>
      </c>
      <c r="U2797" s="46">
        <f t="shared" si="273"/>
        <v>60</v>
      </c>
      <c r="V2797" s="54">
        <f t="shared" si="274"/>
        <v>46.5</v>
      </c>
    </row>
    <row r="2798" spans="1:22" x14ac:dyDescent="0.2">
      <c r="A2798" s="46" t="s">
        <v>110</v>
      </c>
      <c r="B2798" s="46" t="s">
        <v>49</v>
      </c>
      <c r="C2798" s="46" t="s">
        <v>93</v>
      </c>
      <c r="D2798" s="46" t="s">
        <v>178</v>
      </c>
      <c r="E2798" s="46">
        <v>5</v>
      </c>
      <c r="F2798" s="46" t="s">
        <v>60</v>
      </c>
      <c r="G2798" s="46">
        <v>4</v>
      </c>
      <c r="H2798" s="47">
        <v>20</v>
      </c>
      <c r="I2798" s="47" t="s">
        <v>102</v>
      </c>
      <c r="J2798" s="48">
        <v>4</v>
      </c>
      <c r="K2798" s="48">
        <v>0</v>
      </c>
      <c r="M2798" s="48">
        <v>1</v>
      </c>
      <c r="R2798" s="46">
        <f t="shared" si="271"/>
        <v>1</v>
      </c>
      <c r="S2798" s="46">
        <f t="shared" si="272"/>
        <v>0</v>
      </c>
      <c r="T2798" s="46">
        <f t="shared" si="275"/>
        <v>90</v>
      </c>
      <c r="U2798" s="46">
        <f t="shared" si="273"/>
        <v>110</v>
      </c>
      <c r="V2798" s="54">
        <f t="shared" si="274"/>
        <v>46.5</v>
      </c>
    </row>
    <row r="2799" spans="1:22" x14ac:dyDescent="0.2">
      <c r="A2799" s="46" t="s">
        <v>110</v>
      </c>
      <c r="B2799" s="46" t="s">
        <v>49</v>
      </c>
      <c r="C2799" s="46" t="s">
        <v>93</v>
      </c>
      <c r="D2799" s="46" t="s">
        <v>178</v>
      </c>
      <c r="E2799" s="46">
        <v>5</v>
      </c>
      <c r="F2799" s="46" t="s">
        <v>60</v>
      </c>
      <c r="G2799" s="46">
        <v>2</v>
      </c>
      <c r="H2799" s="47">
        <v>22</v>
      </c>
      <c r="I2799" s="47" t="s">
        <v>127</v>
      </c>
      <c r="J2799" s="48">
        <v>3</v>
      </c>
      <c r="K2799" s="48">
        <v>0</v>
      </c>
      <c r="N2799" s="48">
        <v>1</v>
      </c>
      <c r="R2799" s="46">
        <f t="shared" si="271"/>
        <v>0</v>
      </c>
      <c r="S2799" s="46">
        <f t="shared" si="272"/>
        <v>0</v>
      </c>
      <c r="T2799" s="46">
        <f t="shared" si="275"/>
        <v>60</v>
      </c>
      <c r="U2799" s="46">
        <f t="shared" si="273"/>
        <v>55</v>
      </c>
      <c r="V2799" s="54">
        <f t="shared" si="274"/>
        <v>46.5</v>
      </c>
    </row>
    <row r="2800" spans="1:22" x14ac:dyDescent="0.2">
      <c r="A2800" s="46" t="s">
        <v>110</v>
      </c>
      <c r="B2800" s="46" t="s">
        <v>49</v>
      </c>
      <c r="C2800" s="46" t="s">
        <v>93</v>
      </c>
      <c r="D2800" s="46" t="s">
        <v>178</v>
      </c>
      <c r="E2800" s="46">
        <v>5</v>
      </c>
      <c r="F2800" s="46" t="s">
        <v>60</v>
      </c>
      <c r="G2800" s="46">
        <v>2</v>
      </c>
      <c r="H2800" s="47">
        <v>30</v>
      </c>
      <c r="I2800" s="47" t="s">
        <v>127</v>
      </c>
      <c r="J2800" s="48">
        <v>4</v>
      </c>
      <c r="K2800" s="48">
        <v>0</v>
      </c>
      <c r="R2800" s="46">
        <f t="shared" si="271"/>
        <v>1</v>
      </c>
      <c r="S2800" s="46">
        <f t="shared" si="272"/>
        <v>0</v>
      </c>
      <c r="T2800" s="46">
        <f t="shared" si="275"/>
        <v>90</v>
      </c>
      <c r="U2800" s="46">
        <f t="shared" si="273"/>
        <v>90</v>
      </c>
      <c r="V2800" s="54">
        <f t="shared" si="274"/>
        <v>46.5</v>
      </c>
    </row>
    <row r="2801" spans="1:22" x14ac:dyDescent="0.2">
      <c r="A2801" s="46" t="s">
        <v>110</v>
      </c>
      <c r="B2801" s="46" t="s">
        <v>49</v>
      </c>
      <c r="C2801" s="46" t="s">
        <v>93</v>
      </c>
      <c r="D2801" s="46" t="s">
        <v>178</v>
      </c>
      <c r="E2801" s="46">
        <v>5</v>
      </c>
      <c r="F2801" s="46" t="s">
        <v>60</v>
      </c>
      <c r="G2801" s="46">
        <v>1</v>
      </c>
      <c r="H2801" s="47">
        <v>37</v>
      </c>
      <c r="I2801" s="47" t="s">
        <v>101</v>
      </c>
      <c r="J2801" s="48">
        <v>4</v>
      </c>
      <c r="K2801" s="48">
        <v>0</v>
      </c>
      <c r="R2801" s="46">
        <f t="shared" si="271"/>
        <v>1</v>
      </c>
      <c r="S2801" s="46">
        <f t="shared" si="272"/>
        <v>0</v>
      </c>
      <c r="T2801" s="46">
        <f t="shared" si="275"/>
        <v>90</v>
      </c>
      <c r="U2801" s="46">
        <f t="shared" si="273"/>
        <v>90</v>
      </c>
      <c r="V2801" s="54">
        <f t="shared" si="274"/>
        <v>46.5</v>
      </c>
    </row>
    <row r="2802" spans="1:22" x14ac:dyDescent="0.2">
      <c r="A2802" s="46" t="s">
        <v>110</v>
      </c>
      <c r="B2802" s="46" t="s">
        <v>49</v>
      </c>
      <c r="C2802" s="46" t="s">
        <v>93</v>
      </c>
      <c r="D2802" s="46" t="s">
        <v>178</v>
      </c>
      <c r="E2802" s="46">
        <v>5</v>
      </c>
      <c r="F2802" s="46" t="s">
        <v>60</v>
      </c>
      <c r="G2802" s="46">
        <v>1</v>
      </c>
      <c r="H2802" s="47">
        <v>45</v>
      </c>
      <c r="I2802" s="47" t="s">
        <v>101</v>
      </c>
      <c r="J2802" s="48">
        <v>2</v>
      </c>
      <c r="K2802" s="48">
        <v>0</v>
      </c>
      <c r="R2802" s="46">
        <f t="shared" si="271"/>
        <v>0</v>
      </c>
      <c r="S2802" s="46">
        <f t="shared" si="272"/>
        <v>0</v>
      </c>
      <c r="T2802" s="46">
        <f t="shared" si="275"/>
        <v>40</v>
      </c>
      <c r="U2802" s="46">
        <f t="shared" si="273"/>
        <v>40</v>
      </c>
      <c r="V2802" s="54">
        <f t="shared" si="274"/>
        <v>46.5</v>
      </c>
    </row>
    <row r="2803" spans="1:22" x14ac:dyDescent="0.2">
      <c r="A2803" s="46" t="s">
        <v>110</v>
      </c>
      <c r="B2803" s="46" t="s">
        <v>49</v>
      </c>
      <c r="C2803" s="46" t="s">
        <v>93</v>
      </c>
      <c r="D2803" s="46" t="s">
        <v>178</v>
      </c>
      <c r="E2803" s="46">
        <v>5</v>
      </c>
      <c r="F2803" s="46" t="s">
        <v>62</v>
      </c>
      <c r="G2803" s="46">
        <v>2</v>
      </c>
      <c r="H2803" s="47" t="s">
        <v>79</v>
      </c>
      <c r="I2803" s="47" t="s">
        <v>127</v>
      </c>
      <c r="J2803" s="48">
        <v>3</v>
      </c>
      <c r="K2803" s="48">
        <v>1</v>
      </c>
      <c r="R2803" s="46">
        <f t="shared" si="271"/>
        <v>0</v>
      </c>
      <c r="S2803" s="46">
        <f t="shared" si="272"/>
        <v>0</v>
      </c>
      <c r="T2803" s="46">
        <f t="shared" si="275"/>
        <v>60</v>
      </c>
      <c r="U2803" s="46">
        <f t="shared" si="273"/>
        <v>60</v>
      </c>
      <c r="V2803" s="54">
        <f t="shared" si="274"/>
        <v>46.5</v>
      </c>
    </row>
    <row r="2804" spans="1:22" x14ac:dyDescent="0.2">
      <c r="A2804" s="46" t="s">
        <v>110</v>
      </c>
      <c r="B2804" s="46" t="s">
        <v>49</v>
      </c>
      <c r="C2804" s="46" t="s">
        <v>93</v>
      </c>
      <c r="D2804" s="46" t="s">
        <v>178</v>
      </c>
      <c r="E2804" s="46">
        <v>5</v>
      </c>
      <c r="F2804" s="46" t="s">
        <v>62</v>
      </c>
      <c r="G2804" s="46">
        <v>2</v>
      </c>
      <c r="H2804" s="47" t="s">
        <v>82</v>
      </c>
      <c r="I2804" s="47" t="s">
        <v>127</v>
      </c>
      <c r="J2804" s="48">
        <v>0</v>
      </c>
      <c r="K2804" s="48">
        <v>1</v>
      </c>
      <c r="N2804" s="48">
        <v>1</v>
      </c>
      <c r="R2804" s="46">
        <f t="shared" si="271"/>
        <v>0</v>
      </c>
      <c r="S2804" s="46">
        <f t="shared" si="272"/>
        <v>0</v>
      </c>
      <c r="T2804" s="46">
        <f t="shared" si="275"/>
        <v>0</v>
      </c>
      <c r="U2804" s="46">
        <f t="shared" si="273"/>
        <v>-5</v>
      </c>
      <c r="V2804" s="54">
        <f t="shared" si="274"/>
        <v>46.5</v>
      </c>
    </row>
    <row r="2805" spans="1:22" x14ac:dyDescent="0.2">
      <c r="A2805" s="46" t="s">
        <v>110</v>
      </c>
      <c r="B2805" s="46" t="s">
        <v>49</v>
      </c>
      <c r="C2805" s="46" t="s">
        <v>93</v>
      </c>
      <c r="D2805" s="46" t="s">
        <v>178</v>
      </c>
      <c r="E2805" s="46">
        <v>5</v>
      </c>
      <c r="F2805" s="46" t="s">
        <v>62</v>
      </c>
      <c r="G2805" s="46">
        <v>2</v>
      </c>
      <c r="H2805" s="47" t="s">
        <v>86</v>
      </c>
      <c r="I2805" s="47" t="s">
        <v>127</v>
      </c>
      <c r="J2805" s="48">
        <v>4</v>
      </c>
      <c r="K2805" s="48">
        <v>0</v>
      </c>
      <c r="R2805" s="46">
        <f t="shared" si="271"/>
        <v>1</v>
      </c>
      <c r="S2805" s="46">
        <f t="shared" si="272"/>
        <v>0</v>
      </c>
      <c r="T2805" s="46">
        <f t="shared" si="275"/>
        <v>90</v>
      </c>
      <c r="U2805" s="46">
        <f t="shared" si="273"/>
        <v>90</v>
      </c>
      <c r="V2805" s="54">
        <f t="shared" si="274"/>
        <v>46.5</v>
      </c>
    </row>
    <row r="2806" spans="1:22" x14ac:dyDescent="0.2">
      <c r="A2806" s="46" t="s">
        <v>110</v>
      </c>
      <c r="B2806" s="46" t="s">
        <v>49</v>
      </c>
      <c r="C2806" s="46" t="str">
        <f>VLOOKUP(B2806,$B$2:$C$3219,2,FALSE)</f>
        <v>Lighthouse</v>
      </c>
      <c r="D2806" s="46" t="s">
        <v>178</v>
      </c>
      <c r="E2806" s="46">
        <v>5</v>
      </c>
      <c r="F2806" s="46" t="s">
        <v>62</v>
      </c>
      <c r="G2806" s="46">
        <v>3</v>
      </c>
      <c r="H2806" s="47" t="s">
        <v>83</v>
      </c>
      <c r="I2806" s="47" t="s">
        <v>219</v>
      </c>
      <c r="J2806" s="48">
        <v>4</v>
      </c>
      <c r="K2806" s="48">
        <v>0</v>
      </c>
      <c r="O2806" s="48">
        <v>1</v>
      </c>
      <c r="R2806" s="46">
        <f t="shared" si="271"/>
        <v>1</v>
      </c>
      <c r="S2806" s="46">
        <f t="shared" si="272"/>
        <v>0</v>
      </c>
      <c r="U2806" s="46">
        <f t="shared" si="273"/>
        <v>10</v>
      </c>
      <c r="V2806" s="54">
        <f t="shared" si="274"/>
        <v>46.5</v>
      </c>
    </row>
    <row r="2807" spans="1:22" x14ac:dyDescent="0.2">
      <c r="A2807" s="46" t="s">
        <v>173</v>
      </c>
      <c r="B2807" s="46" t="s">
        <v>50</v>
      </c>
      <c r="C2807" s="46" t="s">
        <v>93</v>
      </c>
      <c r="D2807" s="46" t="s">
        <v>178</v>
      </c>
      <c r="E2807" s="46">
        <v>4</v>
      </c>
      <c r="F2807" s="46" t="s">
        <v>60</v>
      </c>
      <c r="G2807" s="46">
        <v>2</v>
      </c>
      <c r="H2807" s="47">
        <v>2</v>
      </c>
      <c r="I2807" s="47" t="s">
        <v>127</v>
      </c>
      <c r="J2807" s="48">
        <v>0</v>
      </c>
      <c r="K2807" s="48">
        <v>2</v>
      </c>
      <c r="R2807" s="46">
        <f t="shared" si="271"/>
        <v>0</v>
      </c>
      <c r="S2807" s="46">
        <f t="shared" si="272"/>
        <v>0</v>
      </c>
      <c r="T2807" s="46">
        <f t="shared" ref="T2807:T2870" si="276">quizscore(J2807,K2807)</f>
        <v>-10</v>
      </c>
      <c r="U2807" s="46">
        <f t="shared" si="273"/>
        <v>-10</v>
      </c>
      <c r="V2807" s="54">
        <f t="shared" si="274"/>
        <v>2.8333333333333335</v>
      </c>
    </row>
    <row r="2808" spans="1:22" x14ac:dyDescent="0.2">
      <c r="A2808" s="46" t="s">
        <v>173</v>
      </c>
      <c r="B2808" s="46" t="s">
        <v>50</v>
      </c>
      <c r="C2808" s="46" t="s">
        <v>93</v>
      </c>
      <c r="D2808" s="46" t="s">
        <v>178</v>
      </c>
      <c r="E2808" s="46">
        <v>4</v>
      </c>
      <c r="F2808" s="46" t="s">
        <v>60</v>
      </c>
      <c r="G2808" s="46">
        <v>4</v>
      </c>
      <c r="H2808" s="47">
        <v>44</v>
      </c>
      <c r="I2808" s="47" t="s">
        <v>102</v>
      </c>
      <c r="J2808" s="48">
        <v>0</v>
      </c>
      <c r="K2808" s="48">
        <v>2</v>
      </c>
      <c r="R2808" s="46">
        <f t="shared" si="271"/>
        <v>0</v>
      </c>
      <c r="S2808" s="46">
        <f t="shared" si="272"/>
        <v>0</v>
      </c>
      <c r="T2808" s="46">
        <f t="shared" si="276"/>
        <v>-10</v>
      </c>
      <c r="U2808" s="46">
        <f t="shared" si="273"/>
        <v>-10</v>
      </c>
      <c r="V2808" s="54">
        <f t="shared" si="274"/>
        <v>2.8333333333333335</v>
      </c>
    </row>
    <row r="2809" spans="1:22" x14ac:dyDescent="0.2">
      <c r="A2809" s="46" t="s">
        <v>173</v>
      </c>
      <c r="B2809" s="46" t="s">
        <v>50</v>
      </c>
      <c r="C2809" s="46" t="s">
        <v>93</v>
      </c>
      <c r="D2809" s="46" t="s">
        <v>178</v>
      </c>
      <c r="E2809" s="46">
        <v>1</v>
      </c>
      <c r="F2809" s="46" t="s">
        <v>60</v>
      </c>
      <c r="G2809" s="46">
        <v>1</v>
      </c>
      <c r="H2809" s="47">
        <v>1</v>
      </c>
      <c r="I2809" s="47" t="s">
        <v>101</v>
      </c>
      <c r="J2809" s="48">
        <v>0</v>
      </c>
      <c r="K2809" s="48">
        <v>0</v>
      </c>
      <c r="R2809" s="46">
        <f t="shared" si="271"/>
        <v>0</v>
      </c>
      <c r="S2809" s="46">
        <f t="shared" si="272"/>
        <v>0</v>
      </c>
      <c r="T2809" s="46">
        <f t="shared" si="276"/>
        <v>0</v>
      </c>
      <c r="U2809" s="46">
        <f t="shared" si="273"/>
        <v>0</v>
      </c>
      <c r="V2809" s="54">
        <f t="shared" si="274"/>
        <v>2.8333333333333335</v>
      </c>
    </row>
    <row r="2810" spans="1:22" x14ac:dyDescent="0.2">
      <c r="A2810" s="46" t="s">
        <v>173</v>
      </c>
      <c r="B2810" s="46" t="s">
        <v>50</v>
      </c>
      <c r="C2810" s="46" t="s">
        <v>93</v>
      </c>
      <c r="D2810" s="46" t="s">
        <v>178</v>
      </c>
      <c r="E2810" s="46">
        <v>2</v>
      </c>
      <c r="F2810" s="46" t="s">
        <v>60</v>
      </c>
      <c r="G2810" s="46">
        <v>4</v>
      </c>
      <c r="H2810" s="47">
        <v>4</v>
      </c>
      <c r="I2810" s="47" t="s">
        <v>102</v>
      </c>
      <c r="J2810" s="48">
        <v>0</v>
      </c>
      <c r="K2810" s="48">
        <v>0</v>
      </c>
      <c r="R2810" s="46">
        <f t="shared" si="271"/>
        <v>0</v>
      </c>
      <c r="S2810" s="46">
        <f t="shared" si="272"/>
        <v>0</v>
      </c>
      <c r="T2810" s="46">
        <f t="shared" si="276"/>
        <v>0</v>
      </c>
      <c r="U2810" s="46">
        <f t="shared" si="273"/>
        <v>0</v>
      </c>
      <c r="V2810" s="54">
        <f t="shared" si="274"/>
        <v>2.8333333333333335</v>
      </c>
    </row>
    <row r="2811" spans="1:22" x14ac:dyDescent="0.2">
      <c r="A2811" s="46" t="s">
        <v>173</v>
      </c>
      <c r="B2811" s="46" t="s">
        <v>50</v>
      </c>
      <c r="C2811" s="46" t="s">
        <v>93</v>
      </c>
      <c r="D2811" s="46" t="s">
        <v>178</v>
      </c>
      <c r="E2811" s="46">
        <v>3</v>
      </c>
      <c r="F2811" s="46" t="s">
        <v>60</v>
      </c>
      <c r="G2811" s="46">
        <v>2</v>
      </c>
      <c r="H2811" s="47">
        <v>6</v>
      </c>
      <c r="I2811" s="47" t="s">
        <v>127</v>
      </c>
      <c r="J2811" s="48">
        <v>0</v>
      </c>
      <c r="K2811" s="48">
        <v>0</v>
      </c>
      <c r="R2811" s="46">
        <f t="shared" si="271"/>
        <v>0</v>
      </c>
      <c r="S2811" s="46">
        <f t="shared" si="272"/>
        <v>0</v>
      </c>
      <c r="T2811" s="46">
        <f t="shared" si="276"/>
        <v>0</v>
      </c>
      <c r="U2811" s="46">
        <f t="shared" si="273"/>
        <v>0</v>
      </c>
      <c r="V2811" s="54">
        <f t="shared" si="274"/>
        <v>2.8333333333333335</v>
      </c>
    </row>
    <row r="2812" spans="1:22" x14ac:dyDescent="0.2">
      <c r="A2812" s="46" t="s">
        <v>173</v>
      </c>
      <c r="B2812" s="46" t="s">
        <v>50</v>
      </c>
      <c r="C2812" s="46" t="s">
        <v>93</v>
      </c>
      <c r="D2812" s="46" t="s">
        <v>178</v>
      </c>
      <c r="E2812" s="46">
        <v>3</v>
      </c>
      <c r="F2812" s="46" t="s">
        <v>60</v>
      </c>
      <c r="G2812" s="46">
        <v>1</v>
      </c>
      <c r="H2812" s="47">
        <v>9</v>
      </c>
      <c r="I2812" s="47" t="s">
        <v>101</v>
      </c>
      <c r="J2812" s="48">
        <v>0</v>
      </c>
      <c r="K2812" s="48">
        <v>1</v>
      </c>
      <c r="R2812" s="46">
        <f t="shared" si="271"/>
        <v>0</v>
      </c>
      <c r="S2812" s="46">
        <f t="shared" si="272"/>
        <v>0</v>
      </c>
      <c r="T2812" s="46">
        <f t="shared" si="276"/>
        <v>0</v>
      </c>
      <c r="U2812" s="46">
        <f t="shared" si="273"/>
        <v>0</v>
      </c>
      <c r="V2812" s="54">
        <f t="shared" si="274"/>
        <v>2.8333333333333335</v>
      </c>
    </row>
    <row r="2813" spans="1:22" x14ac:dyDescent="0.2">
      <c r="A2813" s="46" t="s">
        <v>173</v>
      </c>
      <c r="B2813" s="46" t="s">
        <v>50</v>
      </c>
      <c r="C2813" s="46" t="s">
        <v>93</v>
      </c>
      <c r="D2813" s="46" t="s">
        <v>178</v>
      </c>
      <c r="E2813" s="46">
        <v>4</v>
      </c>
      <c r="F2813" s="46" t="s">
        <v>60</v>
      </c>
      <c r="G2813" s="46">
        <v>1</v>
      </c>
      <c r="H2813" s="47">
        <v>9</v>
      </c>
      <c r="I2813" s="47" t="s">
        <v>101</v>
      </c>
      <c r="J2813" s="48">
        <v>0</v>
      </c>
      <c r="K2813" s="48">
        <v>0</v>
      </c>
      <c r="R2813" s="46">
        <f t="shared" si="271"/>
        <v>0</v>
      </c>
      <c r="S2813" s="46">
        <f t="shared" si="272"/>
        <v>0</v>
      </c>
      <c r="T2813" s="46">
        <f t="shared" si="276"/>
        <v>0</v>
      </c>
      <c r="U2813" s="46">
        <f t="shared" si="273"/>
        <v>0</v>
      </c>
      <c r="V2813" s="54">
        <f t="shared" si="274"/>
        <v>2.8333333333333335</v>
      </c>
    </row>
    <row r="2814" spans="1:22" x14ac:dyDescent="0.2">
      <c r="A2814" s="46" t="s">
        <v>173</v>
      </c>
      <c r="B2814" s="46" t="s">
        <v>50</v>
      </c>
      <c r="C2814" s="46" t="s">
        <v>93</v>
      </c>
      <c r="D2814" s="46" t="s">
        <v>178</v>
      </c>
      <c r="E2814" s="46">
        <v>1</v>
      </c>
      <c r="F2814" s="46" t="s">
        <v>60</v>
      </c>
      <c r="G2814" s="46">
        <v>3</v>
      </c>
      <c r="H2814" s="47">
        <v>11</v>
      </c>
      <c r="I2814" s="47" t="s">
        <v>116</v>
      </c>
      <c r="J2814" s="48">
        <v>0</v>
      </c>
      <c r="K2814" s="48">
        <v>0</v>
      </c>
      <c r="R2814" s="46">
        <f t="shared" si="271"/>
        <v>0</v>
      </c>
      <c r="S2814" s="46">
        <f t="shared" si="272"/>
        <v>0</v>
      </c>
      <c r="T2814" s="46">
        <f t="shared" si="276"/>
        <v>0</v>
      </c>
      <c r="U2814" s="46">
        <f t="shared" si="273"/>
        <v>0</v>
      </c>
      <c r="V2814" s="54">
        <f t="shared" si="274"/>
        <v>2.8333333333333335</v>
      </c>
    </row>
    <row r="2815" spans="1:22" x14ac:dyDescent="0.2">
      <c r="A2815" s="46" t="s">
        <v>173</v>
      </c>
      <c r="B2815" s="46" t="s">
        <v>50</v>
      </c>
      <c r="C2815" s="46" t="s">
        <v>93</v>
      </c>
      <c r="D2815" s="46" t="s">
        <v>178</v>
      </c>
      <c r="E2815" s="46">
        <v>4</v>
      </c>
      <c r="F2815" s="46" t="s">
        <v>60</v>
      </c>
      <c r="G2815" s="46">
        <v>3</v>
      </c>
      <c r="H2815" s="47">
        <v>15</v>
      </c>
      <c r="I2815" s="47" t="s">
        <v>159</v>
      </c>
      <c r="J2815" s="48">
        <v>0</v>
      </c>
      <c r="K2815" s="48">
        <v>0</v>
      </c>
      <c r="R2815" s="46">
        <f t="shared" si="271"/>
        <v>0</v>
      </c>
      <c r="S2815" s="46">
        <f t="shared" si="272"/>
        <v>0</v>
      </c>
      <c r="T2815" s="46">
        <f t="shared" si="276"/>
        <v>0</v>
      </c>
      <c r="U2815" s="46">
        <f t="shared" si="273"/>
        <v>0</v>
      </c>
      <c r="V2815" s="54">
        <f t="shared" si="274"/>
        <v>2.8333333333333335</v>
      </c>
    </row>
    <row r="2816" spans="1:22" x14ac:dyDescent="0.2">
      <c r="A2816" s="46" t="s">
        <v>173</v>
      </c>
      <c r="B2816" s="46" t="s">
        <v>50</v>
      </c>
      <c r="C2816" s="46" t="s">
        <v>93</v>
      </c>
      <c r="D2816" s="46" t="s">
        <v>178</v>
      </c>
      <c r="E2816" s="46">
        <v>2</v>
      </c>
      <c r="F2816" s="46" t="s">
        <v>60</v>
      </c>
      <c r="G2816" s="46">
        <v>4</v>
      </c>
      <c r="H2816" s="47">
        <v>16</v>
      </c>
      <c r="I2816" s="47" t="s">
        <v>102</v>
      </c>
      <c r="J2816" s="48">
        <v>0</v>
      </c>
      <c r="K2816" s="48">
        <v>1</v>
      </c>
      <c r="R2816" s="46">
        <f t="shared" si="271"/>
        <v>0</v>
      </c>
      <c r="S2816" s="46">
        <f t="shared" si="272"/>
        <v>0</v>
      </c>
      <c r="T2816" s="46">
        <f t="shared" si="276"/>
        <v>0</v>
      </c>
      <c r="U2816" s="46">
        <f t="shared" si="273"/>
        <v>0</v>
      </c>
      <c r="V2816" s="54">
        <f t="shared" si="274"/>
        <v>2.8333333333333335</v>
      </c>
    </row>
    <row r="2817" spans="1:22" x14ac:dyDescent="0.2">
      <c r="A2817" s="46" t="s">
        <v>173</v>
      </c>
      <c r="B2817" s="46" t="s">
        <v>50</v>
      </c>
      <c r="C2817" s="46" t="s">
        <v>93</v>
      </c>
      <c r="D2817" s="46" t="s">
        <v>178</v>
      </c>
      <c r="E2817" s="46">
        <v>3</v>
      </c>
      <c r="F2817" s="46" t="s">
        <v>60</v>
      </c>
      <c r="G2817" s="46">
        <v>4</v>
      </c>
      <c r="H2817" s="47">
        <v>20</v>
      </c>
      <c r="I2817" s="47" t="s">
        <v>102</v>
      </c>
      <c r="J2817" s="48">
        <v>0</v>
      </c>
      <c r="K2817" s="48">
        <v>1</v>
      </c>
      <c r="N2817" s="48">
        <v>1</v>
      </c>
      <c r="R2817" s="46">
        <f t="shared" si="271"/>
        <v>0</v>
      </c>
      <c r="S2817" s="46">
        <f t="shared" si="272"/>
        <v>0</v>
      </c>
      <c r="T2817" s="46">
        <f t="shared" si="276"/>
        <v>0</v>
      </c>
      <c r="U2817" s="46">
        <f t="shared" si="273"/>
        <v>-5</v>
      </c>
      <c r="V2817" s="54">
        <f t="shared" si="274"/>
        <v>2.8333333333333335</v>
      </c>
    </row>
    <row r="2818" spans="1:22" x14ac:dyDescent="0.2">
      <c r="A2818" s="46" t="s">
        <v>173</v>
      </c>
      <c r="B2818" s="46" t="s">
        <v>50</v>
      </c>
      <c r="C2818" s="46" t="s">
        <v>93</v>
      </c>
      <c r="D2818" s="46" t="s">
        <v>178</v>
      </c>
      <c r="E2818" s="46">
        <v>2</v>
      </c>
      <c r="F2818" s="46" t="s">
        <v>60</v>
      </c>
      <c r="G2818" s="46">
        <v>2</v>
      </c>
      <c r="H2818" s="47">
        <v>22</v>
      </c>
      <c r="I2818" s="47" t="s">
        <v>127</v>
      </c>
      <c r="J2818" s="48">
        <v>0</v>
      </c>
      <c r="K2818" s="48">
        <v>0</v>
      </c>
      <c r="R2818" s="46">
        <f t="shared" ref="R2818:R2881" si="277">IF(J2818=4,1,0)</f>
        <v>0</v>
      </c>
      <c r="S2818" s="46">
        <f t="shared" ref="S2818:S2881" si="278">IF(K2818=3,1,0)</f>
        <v>0</v>
      </c>
      <c r="T2818" s="46">
        <f t="shared" si="276"/>
        <v>0</v>
      </c>
      <c r="U2818" s="46">
        <f t="shared" ref="U2818:U2881" si="279">T2818+M2818*(20) + (SUM(O2818:Q2818)*(10)) - L2818*(5) - N2818*(5)</f>
        <v>0</v>
      </c>
      <c r="V2818" s="54">
        <f t="shared" ref="V2818:V2881" si="280">AVERAGEIFS(U:U,A:A,A2818,F:F,"Pre")</f>
        <v>2.8333333333333335</v>
      </c>
    </row>
    <row r="2819" spans="1:22" x14ac:dyDescent="0.2">
      <c r="A2819" s="46" t="s">
        <v>173</v>
      </c>
      <c r="B2819" s="46" t="s">
        <v>50</v>
      </c>
      <c r="C2819" s="46" t="s">
        <v>93</v>
      </c>
      <c r="D2819" s="46" t="s">
        <v>178</v>
      </c>
      <c r="E2819" s="46">
        <v>4</v>
      </c>
      <c r="F2819" s="46" t="s">
        <v>60</v>
      </c>
      <c r="G2819" s="46">
        <v>2</v>
      </c>
      <c r="H2819" s="47">
        <v>22</v>
      </c>
      <c r="I2819" s="47" t="s">
        <v>127</v>
      </c>
      <c r="J2819" s="48">
        <v>0</v>
      </c>
      <c r="K2819" s="48">
        <v>0</v>
      </c>
      <c r="R2819" s="46">
        <f t="shared" si="277"/>
        <v>0</v>
      </c>
      <c r="S2819" s="46">
        <f t="shared" si="278"/>
        <v>0</v>
      </c>
      <c r="T2819" s="46">
        <f t="shared" si="276"/>
        <v>0</v>
      </c>
      <c r="U2819" s="46">
        <f t="shared" si="279"/>
        <v>0</v>
      </c>
      <c r="V2819" s="54">
        <f t="shared" si="280"/>
        <v>2.8333333333333335</v>
      </c>
    </row>
    <row r="2820" spans="1:22" x14ac:dyDescent="0.2">
      <c r="A2820" s="46" t="s">
        <v>173</v>
      </c>
      <c r="B2820" s="46" t="s">
        <v>50</v>
      </c>
      <c r="C2820" s="46" t="s">
        <v>93</v>
      </c>
      <c r="D2820" s="46" t="s">
        <v>178</v>
      </c>
      <c r="E2820" s="46">
        <v>3</v>
      </c>
      <c r="F2820" s="46" t="s">
        <v>60</v>
      </c>
      <c r="G2820" s="46">
        <v>3</v>
      </c>
      <c r="H2820" s="47">
        <v>27</v>
      </c>
      <c r="I2820" s="47" t="s">
        <v>116</v>
      </c>
      <c r="J2820" s="48">
        <v>0</v>
      </c>
      <c r="K2820" s="48">
        <v>0</v>
      </c>
      <c r="R2820" s="46">
        <f t="shared" si="277"/>
        <v>0</v>
      </c>
      <c r="S2820" s="46">
        <f t="shared" si="278"/>
        <v>0</v>
      </c>
      <c r="T2820" s="46">
        <f t="shared" si="276"/>
        <v>0</v>
      </c>
      <c r="U2820" s="46">
        <f t="shared" si="279"/>
        <v>0</v>
      </c>
      <c r="V2820" s="54">
        <f t="shared" si="280"/>
        <v>2.8333333333333335</v>
      </c>
    </row>
    <row r="2821" spans="1:22" x14ac:dyDescent="0.2">
      <c r="A2821" s="46" t="s">
        <v>173</v>
      </c>
      <c r="B2821" s="46" t="s">
        <v>50</v>
      </c>
      <c r="C2821" s="46" t="s">
        <v>93</v>
      </c>
      <c r="D2821" s="46" t="s">
        <v>178</v>
      </c>
      <c r="E2821" s="46">
        <v>2</v>
      </c>
      <c r="F2821" s="46" t="s">
        <v>60</v>
      </c>
      <c r="G2821" s="46">
        <v>3</v>
      </c>
      <c r="H2821" s="47">
        <v>31</v>
      </c>
      <c r="I2821" s="47" t="s">
        <v>116</v>
      </c>
      <c r="J2821" s="48">
        <v>0</v>
      </c>
      <c r="K2821" s="48">
        <v>0</v>
      </c>
      <c r="R2821" s="46">
        <f t="shared" si="277"/>
        <v>0</v>
      </c>
      <c r="S2821" s="46">
        <f t="shared" si="278"/>
        <v>0</v>
      </c>
      <c r="T2821" s="46">
        <f t="shared" si="276"/>
        <v>0</v>
      </c>
      <c r="U2821" s="46">
        <f t="shared" si="279"/>
        <v>0</v>
      </c>
      <c r="V2821" s="54">
        <f t="shared" si="280"/>
        <v>2.8333333333333335</v>
      </c>
    </row>
    <row r="2822" spans="1:22" x14ac:dyDescent="0.2">
      <c r="A2822" s="46" t="s">
        <v>173</v>
      </c>
      <c r="B2822" s="46" t="s">
        <v>50</v>
      </c>
      <c r="C2822" s="46" t="s">
        <v>93</v>
      </c>
      <c r="D2822" s="46" t="s">
        <v>178</v>
      </c>
      <c r="E2822" s="46">
        <v>1</v>
      </c>
      <c r="F2822" s="46" t="s">
        <v>60</v>
      </c>
      <c r="G2822" s="46">
        <v>2</v>
      </c>
      <c r="H2822" s="47">
        <v>34</v>
      </c>
      <c r="I2822" s="47" t="s">
        <v>127</v>
      </c>
      <c r="J2822" s="48">
        <v>0</v>
      </c>
      <c r="K2822" s="48">
        <v>0</v>
      </c>
      <c r="R2822" s="46">
        <f t="shared" si="277"/>
        <v>0</v>
      </c>
      <c r="S2822" s="46">
        <f t="shared" si="278"/>
        <v>0</v>
      </c>
      <c r="T2822" s="46">
        <f t="shared" si="276"/>
        <v>0</v>
      </c>
      <c r="U2822" s="46">
        <f t="shared" si="279"/>
        <v>0</v>
      </c>
      <c r="V2822" s="54">
        <f t="shared" si="280"/>
        <v>2.8333333333333335</v>
      </c>
    </row>
    <row r="2823" spans="1:22" x14ac:dyDescent="0.2">
      <c r="A2823" s="46" t="s">
        <v>173</v>
      </c>
      <c r="B2823" s="46" t="s">
        <v>50</v>
      </c>
      <c r="C2823" s="46" t="s">
        <v>93</v>
      </c>
      <c r="D2823" s="46" t="s">
        <v>178</v>
      </c>
      <c r="E2823" s="46">
        <v>3</v>
      </c>
      <c r="F2823" s="46" t="s">
        <v>60</v>
      </c>
      <c r="G2823" s="46">
        <v>3</v>
      </c>
      <c r="H2823" s="47">
        <v>35</v>
      </c>
      <c r="I2823" s="47" t="s">
        <v>116</v>
      </c>
      <c r="J2823" s="48">
        <v>0</v>
      </c>
      <c r="K2823" s="48">
        <v>0</v>
      </c>
      <c r="M2823" s="48">
        <v>1</v>
      </c>
      <c r="R2823" s="46">
        <f t="shared" si="277"/>
        <v>0</v>
      </c>
      <c r="S2823" s="46">
        <f t="shared" si="278"/>
        <v>0</v>
      </c>
      <c r="T2823" s="46">
        <f t="shared" si="276"/>
        <v>0</v>
      </c>
      <c r="U2823" s="46">
        <f t="shared" si="279"/>
        <v>20</v>
      </c>
      <c r="V2823" s="54">
        <f t="shared" si="280"/>
        <v>2.8333333333333335</v>
      </c>
    </row>
    <row r="2824" spans="1:22" x14ac:dyDescent="0.2">
      <c r="A2824" s="46" t="s">
        <v>173</v>
      </c>
      <c r="B2824" s="46" t="s">
        <v>50</v>
      </c>
      <c r="C2824" s="46" t="s">
        <v>93</v>
      </c>
      <c r="D2824" s="46" t="s">
        <v>178</v>
      </c>
      <c r="E2824" s="46">
        <v>4</v>
      </c>
      <c r="F2824" s="46" t="s">
        <v>60</v>
      </c>
      <c r="G2824" s="46">
        <v>3</v>
      </c>
      <c r="H2824" s="47">
        <v>35</v>
      </c>
      <c r="I2824" s="47" t="s">
        <v>159</v>
      </c>
      <c r="J2824" s="48">
        <v>0</v>
      </c>
      <c r="K2824" s="48">
        <v>0</v>
      </c>
      <c r="R2824" s="46">
        <f t="shared" si="277"/>
        <v>0</v>
      </c>
      <c r="S2824" s="46">
        <f t="shared" si="278"/>
        <v>0</v>
      </c>
      <c r="T2824" s="46">
        <f t="shared" si="276"/>
        <v>0</v>
      </c>
      <c r="U2824" s="46">
        <f t="shared" si="279"/>
        <v>0</v>
      </c>
      <c r="V2824" s="54">
        <f t="shared" si="280"/>
        <v>2.8333333333333335</v>
      </c>
    </row>
    <row r="2825" spans="1:22" x14ac:dyDescent="0.2">
      <c r="A2825" s="46" t="s">
        <v>173</v>
      </c>
      <c r="B2825" s="46" t="s">
        <v>50</v>
      </c>
      <c r="C2825" s="46" t="s">
        <v>93</v>
      </c>
      <c r="D2825" s="46" t="s">
        <v>178</v>
      </c>
      <c r="E2825" s="46">
        <v>2</v>
      </c>
      <c r="F2825" s="46" t="s">
        <v>60</v>
      </c>
      <c r="G2825" s="46">
        <v>1</v>
      </c>
      <c r="H2825" s="47">
        <v>37</v>
      </c>
      <c r="I2825" s="47" t="s">
        <v>101</v>
      </c>
      <c r="J2825" s="48">
        <v>0</v>
      </c>
      <c r="K2825" s="48">
        <v>0</v>
      </c>
      <c r="L2825" s="48">
        <v>1</v>
      </c>
      <c r="R2825" s="46">
        <f t="shared" si="277"/>
        <v>0</v>
      </c>
      <c r="S2825" s="46">
        <f t="shared" si="278"/>
        <v>0</v>
      </c>
      <c r="T2825" s="46">
        <f t="shared" si="276"/>
        <v>0</v>
      </c>
      <c r="U2825" s="46">
        <f t="shared" si="279"/>
        <v>-5</v>
      </c>
      <c r="V2825" s="54">
        <f t="shared" si="280"/>
        <v>2.8333333333333335</v>
      </c>
    </row>
    <row r="2826" spans="1:22" x14ac:dyDescent="0.2">
      <c r="A2826" s="46" t="s">
        <v>173</v>
      </c>
      <c r="B2826" s="46" t="s">
        <v>50</v>
      </c>
      <c r="C2826" s="46" t="s">
        <v>93</v>
      </c>
      <c r="D2826" s="46" t="s">
        <v>178</v>
      </c>
      <c r="E2826" s="46">
        <v>3</v>
      </c>
      <c r="F2826" s="46" t="s">
        <v>60</v>
      </c>
      <c r="G2826" s="46">
        <v>2</v>
      </c>
      <c r="H2826" s="47">
        <v>42</v>
      </c>
      <c r="I2826" s="47" t="s">
        <v>127</v>
      </c>
      <c r="J2826" s="48">
        <v>0</v>
      </c>
      <c r="K2826" s="48">
        <v>0</v>
      </c>
      <c r="R2826" s="46">
        <f t="shared" si="277"/>
        <v>0</v>
      </c>
      <c r="S2826" s="46">
        <f t="shared" si="278"/>
        <v>0</v>
      </c>
      <c r="T2826" s="46">
        <f t="shared" si="276"/>
        <v>0</v>
      </c>
      <c r="U2826" s="46">
        <f t="shared" si="279"/>
        <v>0</v>
      </c>
      <c r="V2826" s="54">
        <f t="shared" si="280"/>
        <v>2.8333333333333335</v>
      </c>
    </row>
    <row r="2827" spans="1:22" x14ac:dyDescent="0.2">
      <c r="A2827" s="46" t="s">
        <v>173</v>
      </c>
      <c r="B2827" s="46" t="s">
        <v>50</v>
      </c>
      <c r="C2827" s="46" t="s">
        <v>93</v>
      </c>
      <c r="D2827" s="46" t="s">
        <v>178</v>
      </c>
      <c r="E2827" s="46">
        <v>1</v>
      </c>
      <c r="F2827" s="46" t="s">
        <v>60</v>
      </c>
      <c r="G2827" s="46">
        <v>4</v>
      </c>
      <c r="H2827" s="47">
        <v>44</v>
      </c>
      <c r="I2827" s="47" t="s">
        <v>102</v>
      </c>
      <c r="J2827" s="48">
        <v>0</v>
      </c>
      <c r="K2827" s="48">
        <v>0</v>
      </c>
      <c r="R2827" s="46">
        <f t="shared" si="277"/>
        <v>0</v>
      </c>
      <c r="S2827" s="46">
        <f t="shared" si="278"/>
        <v>0</v>
      </c>
      <c r="T2827" s="46">
        <f t="shared" si="276"/>
        <v>0</v>
      </c>
      <c r="U2827" s="46">
        <f t="shared" si="279"/>
        <v>0</v>
      </c>
      <c r="V2827" s="54">
        <f t="shared" si="280"/>
        <v>2.8333333333333335</v>
      </c>
    </row>
    <row r="2828" spans="1:22" x14ac:dyDescent="0.2">
      <c r="A2828" s="46" t="s">
        <v>173</v>
      </c>
      <c r="B2828" s="46" t="s">
        <v>50</v>
      </c>
      <c r="C2828" s="46" t="s">
        <v>93</v>
      </c>
      <c r="D2828" s="46" t="s">
        <v>178</v>
      </c>
      <c r="E2828" s="46">
        <v>2</v>
      </c>
      <c r="F2828" s="46" t="s">
        <v>60</v>
      </c>
      <c r="G2828" s="46">
        <v>3</v>
      </c>
      <c r="H2828" s="47">
        <v>47</v>
      </c>
      <c r="I2828" s="47" t="s">
        <v>116</v>
      </c>
      <c r="J2828" s="48">
        <v>0</v>
      </c>
      <c r="K2828" s="48">
        <v>0</v>
      </c>
      <c r="R2828" s="46">
        <f t="shared" si="277"/>
        <v>0</v>
      </c>
      <c r="S2828" s="46">
        <f t="shared" si="278"/>
        <v>0</v>
      </c>
      <c r="T2828" s="46">
        <f t="shared" si="276"/>
        <v>0</v>
      </c>
      <c r="U2828" s="46">
        <f t="shared" si="279"/>
        <v>0</v>
      </c>
      <c r="V2828" s="54">
        <f t="shared" si="280"/>
        <v>2.8333333333333335</v>
      </c>
    </row>
    <row r="2829" spans="1:22" x14ac:dyDescent="0.2">
      <c r="A2829" s="46" t="s">
        <v>173</v>
      </c>
      <c r="B2829" s="46" t="s">
        <v>50</v>
      </c>
      <c r="C2829" s="46" t="s">
        <v>93</v>
      </c>
      <c r="D2829" s="46" t="s">
        <v>178</v>
      </c>
      <c r="E2829" s="46">
        <v>4</v>
      </c>
      <c r="F2829" s="46" t="s">
        <v>62</v>
      </c>
      <c r="G2829" s="46">
        <v>2</v>
      </c>
      <c r="H2829" s="47" t="s">
        <v>79</v>
      </c>
      <c r="I2829" s="47" t="s">
        <v>127</v>
      </c>
      <c r="J2829" s="48">
        <v>0</v>
      </c>
      <c r="K2829" s="48">
        <v>0</v>
      </c>
      <c r="R2829" s="46">
        <f t="shared" si="277"/>
        <v>0</v>
      </c>
      <c r="S2829" s="46">
        <f t="shared" si="278"/>
        <v>0</v>
      </c>
      <c r="T2829" s="46">
        <f t="shared" si="276"/>
        <v>0</v>
      </c>
      <c r="U2829" s="46">
        <f t="shared" si="279"/>
        <v>0</v>
      </c>
      <c r="V2829" s="54">
        <f t="shared" si="280"/>
        <v>2.8333333333333335</v>
      </c>
    </row>
    <row r="2830" spans="1:22" x14ac:dyDescent="0.2">
      <c r="A2830" s="46" t="s">
        <v>173</v>
      </c>
      <c r="B2830" s="46" t="s">
        <v>50</v>
      </c>
      <c r="C2830" s="46" t="s">
        <v>93</v>
      </c>
      <c r="D2830" s="46" t="s">
        <v>178</v>
      </c>
      <c r="E2830" s="46">
        <v>1</v>
      </c>
      <c r="F2830" s="46" t="s">
        <v>62</v>
      </c>
      <c r="G2830" s="46">
        <v>3</v>
      </c>
      <c r="H2830" s="47" t="s">
        <v>80</v>
      </c>
      <c r="I2830" s="47" t="s">
        <v>116</v>
      </c>
      <c r="J2830" s="48">
        <v>0</v>
      </c>
      <c r="K2830" s="48">
        <v>0</v>
      </c>
      <c r="R2830" s="46">
        <f t="shared" si="277"/>
        <v>0</v>
      </c>
      <c r="S2830" s="46">
        <f t="shared" si="278"/>
        <v>0</v>
      </c>
      <c r="T2830" s="46">
        <f t="shared" si="276"/>
        <v>0</v>
      </c>
      <c r="U2830" s="46">
        <f t="shared" si="279"/>
        <v>0</v>
      </c>
      <c r="V2830" s="54">
        <f t="shared" si="280"/>
        <v>2.8333333333333335</v>
      </c>
    </row>
    <row r="2831" spans="1:22" x14ac:dyDescent="0.2">
      <c r="A2831" s="46" t="s">
        <v>173</v>
      </c>
      <c r="B2831" s="46" t="s">
        <v>50</v>
      </c>
      <c r="C2831" s="46" t="s">
        <v>93</v>
      </c>
      <c r="D2831" s="46" t="s">
        <v>178</v>
      </c>
      <c r="E2831" s="46">
        <v>1</v>
      </c>
      <c r="F2831" s="46" t="s">
        <v>62</v>
      </c>
      <c r="G2831" s="46">
        <v>3</v>
      </c>
      <c r="H2831" s="47" t="s">
        <v>85</v>
      </c>
      <c r="I2831" s="47" t="s">
        <v>116</v>
      </c>
      <c r="J2831" s="48">
        <v>0</v>
      </c>
      <c r="K2831" s="48">
        <v>1</v>
      </c>
      <c r="R2831" s="46">
        <f t="shared" si="277"/>
        <v>0</v>
      </c>
      <c r="S2831" s="46">
        <f t="shared" si="278"/>
        <v>0</v>
      </c>
      <c r="T2831" s="46">
        <f t="shared" si="276"/>
        <v>0</v>
      </c>
      <c r="U2831" s="46">
        <f t="shared" si="279"/>
        <v>0</v>
      </c>
      <c r="V2831" s="54">
        <f t="shared" si="280"/>
        <v>2.8333333333333335</v>
      </c>
    </row>
    <row r="2832" spans="1:22" x14ac:dyDescent="0.2">
      <c r="A2832" s="46" t="s">
        <v>173</v>
      </c>
      <c r="B2832" s="46" t="s">
        <v>50</v>
      </c>
      <c r="C2832" s="46" t="s">
        <v>93</v>
      </c>
      <c r="D2832" s="46" t="s">
        <v>178</v>
      </c>
      <c r="E2832" s="46">
        <v>3</v>
      </c>
      <c r="F2832" s="46" t="s">
        <v>62</v>
      </c>
      <c r="G2832" s="46">
        <v>3</v>
      </c>
      <c r="H2832" s="47" t="s">
        <v>85</v>
      </c>
      <c r="I2832" s="47" t="s">
        <v>116</v>
      </c>
      <c r="J2832" s="48">
        <v>0</v>
      </c>
      <c r="K2832" s="48">
        <v>0</v>
      </c>
      <c r="R2832" s="46">
        <f t="shared" si="277"/>
        <v>0</v>
      </c>
      <c r="S2832" s="46">
        <f t="shared" si="278"/>
        <v>0</v>
      </c>
      <c r="T2832" s="46">
        <f t="shared" si="276"/>
        <v>0</v>
      </c>
      <c r="U2832" s="46">
        <f t="shared" si="279"/>
        <v>0</v>
      </c>
      <c r="V2832" s="54">
        <f t="shared" si="280"/>
        <v>2.8333333333333335</v>
      </c>
    </row>
    <row r="2833" spans="1:22" x14ac:dyDescent="0.2">
      <c r="A2833" s="46" t="s">
        <v>173</v>
      </c>
      <c r="B2833" s="46" t="s">
        <v>50</v>
      </c>
      <c r="C2833" s="46" t="s">
        <v>93</v>
      </c>
      <c r="D2833" s="46" t="s">
        <v>178</v>
      </c>
      <c r="E2833" s="46">
        <v>4</v>
      </c>
      <c r="F2833" s="46" t="s">
        <v>62</v>
      </c>
      <c r="G2833" s="46">
        <v>3</v>
      </c>
      <c r="H2833" s="47" t="s">
        <v>85</v>
      </c>
      <c r="I2833" s="47" t="s">
        <v>219</v>
      </c>
      <c r="J2833" s="48">
        <v>0</v>
      </c>
      <c r="K2833" s="48">
        <v>0</v>
      </c>
      <c r="R2833" s="46">
        <f t="shared" si="277"/>
        <v>0</v>
      </c>
      <c r="S2833" s="46">
        <f t="shared" si="278"/>
        <v>0</v>
      </c>
      <c r="T2833" s="46">
        <f t="shared" si="276"/>
        <v>0</v>
      </c>
      <c r="U2833" s="46">
        <f t="shared" si="279"/>
        <v>0</v>
      </c>
      <c r="V2833" s="54">
        <f t="shared" si="280"/>
        <v>2.8333333333333335</v>
      </c>
    </row>
    <row r="2834" spans="1:22" x14ac:dyDescent="0.2">
      <c r="A2834" s="46" t="s">
        <v>173</v>
      </c>
      <c r="B2834" s="46" t="s">
        <v>50</v>
      </c>
      <c r="C2834" s="46" t="s">
        <v>93</v>
      </c>
      <c r="D2834" s="46" t="s">
        <v>178</v>
      </c>
      <c r="E2834" s="46">
        <v>2</v>
      </c>
      <c r="F2834" s="46" t="s">
        <v>63</v>
      </c>
      <c r="G2834" s="46">
        <v>4</v>
      </c>
      <c r="H2834" s="47" t="s">
        <v>146</v>
      </c>
      <c r="I2834" s="47" t="s">
        <v>102</v>
      </c>
      <c r="J2834" s="48">
        <v>0</v>
      </c>
      <c r="K2834" s="48">
        <v>0</v>
      </c>
      <c r="R2834" s="46">
        <f t="shared" si="277"/>
        <v>0</v>
      </c>
      <c r="S2834" s="46">
        <f t="shared" si="278"/>
        <v>0</v>
      </c>
      <c r="T2834" s="46">
        <f t="shared" si="276"/>
        <v>0</v>
      </c>
      <c r="U2834" s="46">
        <f t="shared" si="279"/>
        <v>0</v>
      </c>
      <c r="V2834" s="54">
        <f t="shared" si="280"/>
        <v>2.8333333333333335</v>
      </c>
    </row>
    <row r="2835" spans="1:22" x14ac:dyDescent="0.2">
      <c r="A2835" s="46" t="s">
        <v>173</v>
      </c>
      <c r="B2835" s="46" t="s">
        <v>50</v>
      </c>
      <c r="C2835" s="46" t="s">
        <v>93</v>
      </c>
      <c r="D2835" s="46" t="s">
        <v>178</v>
      </c>
      <c r="E2835" s="46">
        <v>2</v>
      </c>
      <c r="F2835" s="46" t="s">
        <v>63</v>
      </c>
      <c r="G2835" s="46">
        <v>4</v>
      </c>
      <c r="H2835" s="47" t="s">
        <v>149</v>
      </c>
      <c r="I2835" s="47" t="s">
        <v>102</v>
      </c>
      <c r="J2835" s="48">
        <v>0</v>
      </c>
      <c r="K2835" s="48">
        <v>0</v>
      </c>
      <c r="R2835" s="46">
        <f t="shared" si="277"/>
        <v>0</v>
      </c>
      <c r="S2835" s="46">
        <f t="shared" si="278"/>
        <v>0</v>
      </c>
      <c r="T2835" s="46">
        <f t="shared" si="276"/>
        <v>0</v>
      </c>
      <c r="U2835" s="46">
        <f t="shared" si="279"/>
        <v>0</v>
      </c>
      <c r="V2835" s="54">
        <f t="shared" si="280"/>
        <v>2.8333333333333335</v>
      </c>
    </row>
    <row r="2836" spans="1:22" x14ac:dyDescent="0.2">
      <c r="A2836" s="46" t="s">
        <v>173</v>
      </c>
      <c r="B2836" s="46" t="s">
        <v>50</v>
      </c>
      <c r="C2836" s="46" t="s">
        <v>93</v>
      </c>
      <c r="D2836" s="46" t="s">
        <v>178</v>
      </c>
      <c r="E2836" s="46">
        <v>2</v>
      </c>
      <c r="F2836" s="46" t="s">
        <v>63</v>
      </c>
      <c r="G2836" s="46">
        <v>4</v>
      </c>
      <c r="H2836" s="47" t="s">
        <v>172</v>
      </c>
      <c r="I2836" s="47" t="s">
        <v>102</v>
      </c>
      <c r="J2836" s="48">
        <v>0</v>
      </c>
      <c r="K2836" s="48">
        <v>0</v>
      </c>
      <c r="M2836" s="48">
        <v>1</v>
      </c>
      <c r="R2836" s="46">
        <f t="shared" si="277"/>
        <v>0</v>
      </c>
      <c r="S2836" s="46">
        <f t="shared" si="278"/>
        <v>0</v>
      </c>
      <c r="T2836" s="46">
        <f t="shared" si="276"/>
        <v>0</v>
      </c>
      <c r="U2836" s="46">
        <f t="shared" si="279"/>
        <v>20</v>
      </c>
      <c r="V2836" s="54">
        <f t="shared" si="280"/>
        <v>2.8333333333333335</v>
      </c>
    </row>
    <row r="2837" spans="1:22" x14ac:dyDescent="0.2">
      <c r="A2837" s="46" t="s">
        <v>173</v>
      </c>
      <c r="B2837" s="46" t="s">
        <v>50</v>
      </c>
      <c r="C2837" s="46" t="s">
        <v>93</v>
      </c>
      <c r="D2837" s="46" t="s">
        <v>178</v>
      </c>
      <c r="E2837" s="46">
        <v>1</v>
      </c>
      <c r="F2837" s="46" t="s">
        <v>60</v>
      </c>
      <c r="G2837" s="46">
        <v>4</v>
      </c>
      <c r="H2837" s="47">
        <v>16</v>
      </c>
      <c r="I2837" s="47" t="s">
        <v>102</v>
      </c>
      <c r="J2837" s="48">
        <v>1</v>
      </c>
      <c r="K2837" s="48">
        <v>1</v>
      </c>
      <c r="R2837" s="46">
        <f t="shared" si="277"/>
        <v>0</v>
      </c>
      <c r="S2837" s="46">
        <f t="shared" si="278"/>
        <v>0</v>
      </c>
      <c r="T2837" s="46">
        <f t="shared" si="276"/>
        <v>20</v>
      </c>
      <c r="U2837" s="46">
        <f t="shared" si="279"/>
        <v>20</v>
      </c>
      <c r="V2837" s="54">
        <f t="shared" si="280"/>
        <v>2.8333333333333335</v>
      </c>
    </row>
    <row r="2838" spans="1:22" x14ac:dyDescent="0.2">
      <c r="A2838" s="46" t="s">
        <v>173</v>
      </c>
      <c r="B2838" s="46" t="s">
        <v>50</v>
      </c>
      <c r="C2838" s="46" t="s">
        <v>93</v>
      </c>
      <c r="D2838" s="46" t="s">
        <v>178</v>
      </c>
      <c r="E2838" s="46">
        <v>1</v>
      </c>
      <c r="F2838" s="46" t="s">
        <v>60</v>
      </c>
      <c r="G2838" s="46">
        <v>2</v>
      </c>
      <c r="H2838" s="47">
        <v>22</v>
      </c>
      <c r="I2838" s="47" t="s">
        <v>127</v>
      </c>
      <c r="J2838" s="48">
        <v>1</v>
      </c>
      <c r="K2838" s="48">
        <v>0</v>
      </c>
      <c r="R2838" s="46">
        <f t="shared" si="277"/>
        <v>0</v>
      </c>
      <c r="S2838" s="46">
        <f t="shared" si="278"/>
        <v>0</v>
      </c>
      <c r="T2838" s="46">
        <f t="shared" si="276"/>
        <v>20</v>
      </c>
      <c r="U2838" s="46">
        <f t="shared" si="279"/>
        <v>20</v>
      </c>
      <c r="V2838" s="54">
        <f t="shared" si="280"/>
        <v>2.8333333333333335</v>
      </c>
    </row>
    <row r="2839" spans="1:22" x14ac:dyDescent="0.2">
      <c r="A2839" s="46" t="s">
        <v>173</v>
      </c>
      <c r="B2839" s="46" t="s">
        <v>50</v>
      </c>
      <c r="C2839" s="46" t="s">
        <v>93</v>
      </c>
      <c r="D2839" s="46" t="s">
        <v>178</v>
      </c>
      <c r="E2839" s="46">
        <v>3</v>
      </c>
      <c r="F2839" s="46" t="s">
        <v>62</v>
      </c>
      <c r="G2839" s="46">
        <v>2</v>
      </c>
      <c r="H2839" s="47" t="s">
        <v>79</v>
      </c>
      <c r="I2839" s="47" t="s">
        <v>127</v>
      </c>
      <c r="J2839" s="48">
        <v>1</v>
      </c>
      <c r="K2839" s="48">
        <v>0</v>
      </c>
      <c r="R2839" s="46">
        <f t="shared" si="277"/>
        <v>0</v>
      </c>
      <c r="S2839" s="46">
        <f t="shared" si="278"/>
        <v>0</v>
      </c>
      <c r="T2839" s="46">
        <f t="shared" si="276"/>
        <v>20</v>
      </c>
      <c r="U2839" s="46">
        <f t="shared" si="279"/>
        <v>20</v>
      </c>
      <c r="V2839" s="54">
        <f t="shared" si="280"/>
        <v>2.8333333333333335</v>
      </c>
    </row>
    <row r="2840" spans="1:22" x14ac:dyDescent="0.2">
      <c r="A2840" s="46" t="s">
        <v>173</v>
      </c>
      <c r="B2840" s="46" t="s">
        <v>50</v>
      </c>
      <c r="C2840" s="46" t="s">
        <v>93</v>
      </c>
      <c r="D2840" s="46" t="s">
        <v>178</v>
      </c>
      <c r="E2840" s="46">
        <v>2</v>
      </c>
      <c r="F2840" s="46" t="s">
        <v>63</v>
      </c>
      <c r="G2840" s="46">
        <v>4</v>
      </c>
      <c r="H2840" s="47" t="s">
        <v>152</v>
      </c>
      <c r="I2840" s="47" t="s">
        <v>102</v>
      </c>
      <c r="J2840" s="48">
        <v>1</v>
      </c>
      <c r="K2840" s="48">
        <v>1</v>
      </c>
      <c r="R2840" s="46">
        <f t="shared" si="277"/>
        <v>0</v>
      </c>
      <c r="S2840" s="46">
        <f t="shared" si="278"/>
        <v>0</v>
      </c>
      <c r="T2840" s="46">
        <f t="shared" si="276"/>
        <v>20</v>
      </c>
      <c r="U2840" s="46">
        <f t="shared" si="279"/>
        <v>20</v>
      </c>
      <c r="V2840" s="54">
        <f t="shared" si="280"/>
        <v>2.8333333333333335</v>
      </c>
    </row>
    <row r="2841" spans="1:22" x14ac:dyDescent="0.2">
      <c r="A2841" s="46" t="s">
        <v>173</v>
      </c>
      <c r="B2841" s="46" t="s">
        <v>50</v>
      </c>
      <c r="C2841" s="46" t="s">
        <v>93</v>
      </c>
      <c r="D2841" s="46" t="s">
        <v>178</v>
      </c>
      <c r="E2841" s="46">
        <v>5</v>
      </c>
      <c r="F2841" s="46" t="s">
        <v>60</v>
      </c>
      <c r="G2841" s="46">
        <v>4</v>
      </c>
      <c r="H2841" s="47">
        <v>12</v>
      </c>
      <c r="I2841" s="47" t="s">
        <v>102</v>
      </c>
      <c r="J2841" s="48">
        <v>0</v>
      </c>
      <c r="K2841" s="48">
        <v>0</v>
      </c>
      <c r="R2841" s="46">
        <f t="shared" si="277"/>
        <v>0</v>
      </c>
      <c r="S2841" s="46">
        <f t="shared" si="278"/>
        <v>0</v>
      </c>
      <c r="T2841" s="46">
        <f t="shared" si="276"/>
        <v>0</v>
      </c>
      <c r="U2841" s="46">
        <f t="shared" si="279"/>
        <v>0</v>
      </c>
      <c r="V2841" s="54">
        <f t="shared" si="280"/>
        <v>2.8333333333333335</v>
      </c>
    </row>
    <row r="2842" spans="1:22" x14ac:dyDescent="0.2">
      <c r="A2842" s="46" t="s">
        <v>173</v>
      </c>
      <c r="B2842" s="46" t="s">
        <v>50</v>
      </c>
      <c r="C2842" s="46" t="s">
        <v>93</v>
      </c>
      <c r="D2842" s="46" t="s">
        <v>178</v>
      </c>
      <c r="E2842" s="46">
        <v>5</v>
      </c>
      <c r="F2842" s="46" t="s">
        <v>60</v>
      </c>
      <c r="G2842" s="46">
        <v>2</v>
      </c>
      <c r="H2842" s="47">
        <v>18</v>
      </c>
      <c r="I2842" s="47" t="s">
        <v>127</v>
      </c>
      <c r="J2842" s="48">
        <v>0</v>
      </c>
      <c r="K2842" s="48">
        <v>0</v>
      </c>
      <c r="R2842" s="46">
        <f t="shared" si="277"/>
        <v>0</v>
      </c>
      <c r="S2842" s="46">
        <f t="shared" si="278"/>
        <v>0</v>
      </c>
      <c r="T2842" s="46">
        <f t="shared" si="276"/>
        <v>0</v>
      </c>
      <c r="U2842" s="46">
        <f t="shared" si="279"/>
        <v>0</v>
      </c>
      <c r="V2842" s="54">
        <f t="shared" si="280"/>
        <v>2.8333333333333335</v>
      </c>
    </row>
    <row r="2843" spans="1:22" x14ac:dyDescent="0.2">
      <c r="A2843" s="46" t="s">
        <v>173</v>
      </c>
      <c r="B2843" s="46" t="s">
        <v>50</v>
      </c>
      <c r="C2843" s="46" t="s">
        <v>93</v>
      </c>
      <c r="D2843" s="46" t="s">
        <v>178</v>
      </c>
      <c r="E2843" s="46">
        <v>5</v>
      </c>
      <c r="F2843" s="46" t="s">
        <v>60</v>
      </c>
      <c r="G2843" s="46">
        <v>1</v>
      </c>
      <c r="H2843" s="47">
        <v>25</v>
      </c>
      <c r="I2843" s="47" t="s">
        <v>101</v>
      </c>
      <c r="J2843" s="48">
        <v>1</v>
      </c>
      <c r="K2843" s="48">
        <v>0</v>
      </c>
      <c r="N2843" s="48">
        <v>1</v>
      </c>
      <c r="R2843" s="46">
        <f t="shared" si="277"/>
        <v>0</v>
      </c>
      <c r="S2843" s="46">
        <f t="shared" si="278"/>
        <v>0</v>
      </c>
      <c r="T2843" s="46">
        <f t="shared" si="276"/>
        <v>20</v>
      </c>
      <c r="U2843" s="46">
        <f t="shared" si="279"/>
        <v>15</v>
      </c>
      <c r="V2843" s="54">
        <f t="shared" si="280"/>
        <v>2.8333333333333335</v>
      </c>
    </row>
    <row r="2844" spans="1:22" x14ac:dyDescent="0.2">
      <c r="A2844" s="46" t="s">
        <v>173</v>
      </c>
      <c r="B2844" s="46" t="s">
        <v>50</v>
      </c>
      <c r="C2844" s="46" t="s">
        <v>93</v>
      </c>
      <c r="D2844" s="46" t="s">
        <v>178</v>
      </c>
      <c r="E2844" s="46">
        <v>5</v>
      </c>
      <c r="F2844" s="46" t="s">
        <v>60</v>
      </c>
      <c r="G2844" s="46">
        <v>1</v>
      </c>
      <c r="H2844" s="47">
        <v>33</v>
      </c>
      <c r="I2844" s="47" t="s">
        <v>101</v>
      </c>
      <c r="J2844" s="48">
        <v>2</v>
      </c>
      <c r="K2844" s="48">
        <v>0</v>
      </c>
      <c r="R2844" s="46">
        <f t="shared" si="277"/>
        <v>0</v>
      </c>
      <c r="S2844" s="46">
        <f t="shared" si="278"/>
        <v>0</v>
      </c>
      <c r="T2844" s="46">
        <f t="shared" si="276"/>
        <v>40</v>
      </c>
      <c r="U2844" s="46">
        <f t="shared" si="279"/>
        <v>40</v>
      </c>
      <c r="V2844" s="54">
        <f t="shared" si="280"/>
        <v>2.8333333333333335</v>
      </c>
    </row>
    <row r="2845" spans="1:22" x14ac:dyDescent="0.2">
      <c r="A2845" s="46" t="s">
        <v>173</v>
      </c>
      <c r="B2845" s="46" t="s">
        <v>50</v>
      </c>
      <c r="C2845" s="46" t="s">
        <v>93</v>
      </c>
      <c r="D2845" s="46" t="s">
        <v>178</v>
      </c>
      <c r="E2845" s="46">
        <v>5</v>
      </c>
      <c r="F2845" s="46" t="s">
        <v>60</v>
      </c>
      <c r="G2845" s="46">
        <v>3</v>
      </c>
      <c r="H2845" s="47">
        <v>39</v>
      </c>
      <c r="I2845" s="47" t="s">
        <v>159</v>
      </c>
      <c r="J2845" s="48">
        <v>0</v>
      </c>
      <c r="K2845" s="48">
        <v>0</v>
      </c>
      <c r="R2845" s="46">
        <f t="shared" si="277"/>
        <v>0</v>
      </c>
      <c r="S2845" s="46">
        <f t="shared" si="278"/>
        <v>0</v>
      </c>
      <c r="T2845" s="46">
        <f t="shared" si="276"/>
        <v>0</v>
      </c>
      <c r="U2845" s="46">
        <f t="shared" si="279"/>
        <v>0</v>
      </c>
      <c r="V2845" s="54">
        <f t="shared" si="280"/>
        <v>2.8333333333333335</v>
      </c>
    </row>
    <row r="2846" spans="1:22" x14ac:dyDescent="0.2">
      <c r="A2846" s="46" t="s">
        <v>173</v>
      </c>
      <c r="B2846" s="46" t="s">
        <v>50</v>
      </c>
      <c r="C2846" s="46" t="s">
        <v>93</v>
      </c>
      <c r="D2846" s="46" t="s">
        <v>178</v>
      </c>
      <c r="E2846" s="46">
        <v>5</v>
      </c>
      <c r="F2846" s="46" t="s">
        <v>60</v>
      </c>
      <c r="G2846" s="46">
        <v>3</v>
      </c>
      <c r="H2846" s="47">
        <v>47</v>
      </c>
      <c r="I2846" s="47" t="s">
        <v>159</v>
      </c>
      <c r="J2846" s="48">
        <v>0</v>
      </c>
      <c r="K2846" s="48">
        <v>0</v>
      </c>
      <c r="R2846" s="46">
        <f t="shared" si="277"/>
        <v>0</v>
      </c>
      <c r="S2846" s="46">
        <f t="shared" si="278"/>
        <v>0</v>
      </c>
      <c r="T2846" s="46">
        <f t="shared" si="276"/>
        <v>0</v>
      </c>
      <c r="U2846" s="46">
        <f t="shared" si="279"/>
        <v>0</v>
      </c>
      <c r="V2846" s="54">
        <f t="shared" si="280"/>
        <v>2.8333333333333335</v>
      </c>
    </row>
    <row r="2847" spans="1:22" x14ac:dyDescent="0.2">
      <c r="A2847" s="46" t="s">
        <v>173</v>
      </c>
      <c r="B2847" s="46" t="s">
        <v>50</v>
      </c>
      <c r="C2847" s="46" t="s">
        <v>93</v>
      </c>
      <c r="D2847" s="46" t="s">
        <v>178</v>
      </c>
      <c r="E2847" s="46">
        <v>5</v>
      </c>
      <c r="F2847" s="46" t="s">
        <v>62</v>
      </c>
      <c r="G2847" s="46">
        <v>3</v>
      </c>
      <c r="H2847" s="47" t="s">
        <v>80</v>
      </c>
      <c r="I2847" s="47" t="s">
        <v>219</v>
      </c>
      <c r="J2847" s="48">
        <v>0</v>
      </c>
      <c r="K2847" s="48">
        <v>0</v>
      </c>
      <c r="R2847" s="46">
        <f t="shared" si="277"/>
        <v>0</v>
      </c>
      <c r="S2847" s="46">
        <f t="shared" si="278"/>
        <v>0</v>
      </c>
      <c r="T2847" s="46">
        <f t="shared" si="276"/>
        <v>0</v>
      </c>
      <c r="U2847" s="46">
        <f t="shared" si="279"/>
        <v>0</v>
      </c>
      <c r="V2847" s="54">
        <f t="shared" si="280"/>
        <v>2.8333333333333335</v>
      </c>
    </row>
    <row r="2848" spans="1:22" x14ac:dyDescent="0.2">
      <c r="A2848" s="46" t="s">
        <v>173</v>
      </c>
      <c r="B2848" s="46" t="s">
        <v>50</v>
      </c>
      <c r="C2848" s="46" t="s">
        <v>93</v>
      </c>
      <c r="D2848" s="46" t="s">
        <v>178</v>
      </c>
      <c r="E2848" s="46">
        <v>5</v>
      </c>
      <c r="F2848" s="46" t="s">
        <v>62</v>
      </c>
      <c r="G2848" s="46">
        <v>3</v>
      </c>
      <c r="H2848" s="47" t="s">
        <v>85</v>
      </c>
      <c r="I2848" s="47" t="s">
        <v>219</v>
      </c>
      <c r="J2848" s="48">
        <v>0</v>
      </c>
      <c r="K2848" s="48">
        <v>0</v>
      </c>
      <c r="R2848" s="46">
        <f t="shared" si="277"/>
        <v>0</v>
      </c>
      <c r="S2848" s="46">
        <f t="shared" si="278"/>
        <v>0</v>
      </c>
      <c r="T2848" s="46">
        <f t="shared" si="276"/>
        <v>0</v>
      </c>
      <c r="U2848" s="46">
        <f t="shared" si="279"/>
        <v>0</v>
      </c>
      <c r="V2848" s="54">
        <f t="shared" si="280"/>
        <v>2.8333333333333335</v>
      </c>
    </row>
    <row r="2849" spans="1:22" x14ac:dyDescent="0.2">
      <c r="A2849" s="46" t="s">
        <v>195</v>
      </c>
      <c r="B2849" s="46" t="s">
        <v>58</v>
      </c>
      <c r="C2849" s="46" t="s">
        <v>93</v>
      </c>
      <c r="D2849" s="46" t="s">
        <v>178</v>
      </c>
      <c r="E2849" s="46">
        <v>1</v>
      </c>
      <c r="F2849" s="46" t="s">
        <v>60</v>
      </c>
      <c r="G2849" s="46">
        <v>2</v>
      </c>
      <c r="H2849" s="47">
        <v>6</v>
      </c>
      <c r="I2849" s="47" t="s">
        <v>127</v>
      </c>
      <c r="J2849" s="48">
        <v>0</v>
      </c>
      <c r="K2849" s="48">
        <v>0</v>
      </c>
      <c r="R2849" s="46">
        <f t="shared" si="277"/>
        <v>0</v>
      </c>
      <c r="S2849" s="46">
        <f t="shared" si="278"/>
        <v>0</v>
      </c>
      <c r="T2849" s="46">
        <f t="shared" si="276"/>
        <v>0</v>
      </c>
      <c r="U2849" s="46">
        <f t="shared" si="279"/>
        <v>0</v>
      </c>
      <c r="V2849" s="54">
        <f t="shared" si="280"/>
        <v>0</v>
      </c>
    </row>
    <row r="2850" spans="1:22" x14ac:dyDescent="0.2">
      <c r="A2850" s="46" t="s">
        <v>195</v>
      </c>
      <c r="B2850" s="46" t="s">
        <v>58</v>
      </c>
      <c r="C2850" s="46" t="s">
        <v>93</v>
      </c>
      <c r="D2850" s="46" t="s">
        <v>178</v>
      </c>
      <c r="E2850" s="46">
        <v>2</v>
      </c>
      <c r="F2850" s="46" t="s">
        <v>60</v>
      </c>
      <c r="G2850" s="46">
        <v>3</v>
      </c>
      <c r="H2850" s="47">
        <v>7</v>
      </c>
      <c r="I2850" s="47" t="s">
        <v>116</v>
      </c>
      <c r="J2850" s="48">
        <v>0</v>
      </c>
      <c r="K2850" s="48">
        <v>0</v>
      </c>
      <c r="R2850" s="46">
        <f t="shared" si="277"/>
        <v>0</v>
      </c>
      <c r="S2850" s="46">
        <f t="shared" si="278"/>
        <v>0</v>
      </c>
      <c r="T2850" s="46">
        <f t="shared" si="276"/>
        <v>0</v>
      </c>
      <c r="U2850" s="46">
        <f t="shared" si="279"/>
        <v>0</v>
      </c>
      <c r="V2850" s="54">
        <f t="shared" si="280"/>
        <v>0</v>
      </c>
    </row>
    <row r="2851" spans="1:22" x14ac:dyDescent="0.2">
      <c r="A2851" s="46" t="s">
        <v>195</v>
      </c>
      <c r="B2851" s="46" t="s">
        <v>58</v>
      </c>
      <c r="C2851" s="46" t="s">
        <v>93</v>
      </c>
      <c r="D2851" s="46" t="s">
        <v>178</v>
      </c>
      <c r="E2851" s="46">
        <v>2</v>
      </c>
      <c r="F2851" s="46" t="s">
        <v>60</v>
      </c>
      <c r="G2851" s="46">
        <v>1</v>
      </c>
      <c r="H2851" s="47">
        <v>13</v>
      </c>
      <c r="I2851" s="47" t="s">
        <v>101</v>
      </c>
      <c r="J2851" s="48">
        <v>0</v>
      </c>
      <c r="K2851" s="48">
        <v>0</v>
      </c>
      <c r="R2851" s="46">
        <f t="shared" si="277"/>
        <v>0</v>
      </c>
      <c r="S2851" s="46">
        <f t="shared" si="278"/>
        <v>0</v>
      </c>
      <c r="T2851" s="46">
        <f t="shared" si="276"/>
        <v>0</v>
      </c>
      <c r="U2851" s="46">
        <f t="shared" si="279"/>
        <v>0</v>
      </c>
      <c r="V2851" s="54">
        <f t="shared" si="280"/>
        <v>0</v>
      </c>
    </row>
    <row r="2852" spans="1:22" x14ac:dyDescent="0.2">
      <c r="A2852" s="46" t="s">
        <v>195</v>
      </c>
      <c r="B2852" s="46" t="s">
        <v>58</v>
      </c>
      <c r="C2852" s="46" t="s">
        <v>93</v>
      </c>
      <c r="D2852" s="46" t="s">
        <v>178</v>
      </c>
      <c r="E2852" s="46">
        <v>1</v>
      </c>
      <c r="F2852" s="46" t="s">
        <v>60</v>
      </c>
      <c r="G2852" s="46">
        <v>2</v>
      </c>
      <c r="H2852" s="47">
        <v>18</v>
      </c>
      <c r="I2852" s="47" t="s">
        <v>127</v>
      </c>
      <c r="J2852" s="48">
        <v>0</v>
      </c>
      <c r="K2852" s="48">
        <v>0</v>
      </c>
      <c r="R2852" s="46">
        <f t="shared" si="277"/>
        <v>0</v>
      </c>
      <c r="S2852" s="46">
        <f t="shared" si="278"/>
        <v>0</v>
      </c>
      <c r="T2852" s="46">
        <f t="shared" si="276"/>
        <v>0</v>
      </c>
      <c r="U2852" s="46">
        <f t="shared" si="279"/>
        <v>0</v>
      </c>
      <c r="V2852" s="54">
        <f t="shared" si="280"/>
        <v>0</v>
      </c>
    </row>
    <row r="2853" spans="1:22" x14ac:dyDescent="0.2">
      <c r="A2853" s="46" t="s">
        <v>195</v>
      </c>
      <c r="B2853" s="46" t="s">
        <v>58</v>
      </c>
      <c r="C2853" s="46" t="s">
        <v>93</v>
      </c>
      <c r="D2853" s="46" t="s">
        <v>178</v>
      </c>
      <c r="E2853" s="46">
        <v>2</v>
      </c>
      <c r="F2853" s="46" t="s">
        <v>60</v>
      </c>
      <c r="G2853" s="46">
        <v>2</v>
      </c>
      <c r="H2853" s="47">
        <v>18</v>
      </c>
      <c r="I2853" s="47" t="s">
        <v>127</v>
      </c>
      <c r="J2853" s="48">
        <v>0</v>
      </c>
      <c r="K2853" s="48">
        <v>0</v>
      </c>
      <c r="R2853" s="46">
        <f t="shared" si="277"/>
        <v>0</v>
      </c>
      <c r="S2853" s="46">
        <f t="shared" si="278"/>
        <v>0</v>
      </c>
      <c r="T2853" s="46">
        <f t="shared" si="276"/>
        <v>0</v>
      </c>
      <c r="U2853" s="46">
        <f t="shared" si="279"/>
        <v>0</v>
      </c>
      <c r="V2853" s="54">
        <f t="shared" si="280"/>
        <v>0</v>
      </c>
    </row>
    <row r="2854" spans="1:22" x14ac:dyDescent="0.2">
      <c r="A2854" s="46" t="s">
        <v>195</v>
      </c>
      <c r="B2854" s="46" t="s">
        <v>58</v>
      </c>
      <c r="C2854" s="46" t="s">
        <v>93</v>
      </c>
      <c r="D2854" s="46" t="s">
        <v>178</v>
      </c>
      <c r="E2854" s="46">
        <v>1</v>
      </c>
      <c r="F2854" s="46" t="s">
        <v>60</v>
      </c>
      <c r="G2854" s="46">
        <v>1</v>
      </c>
      <c r="H2854" s="47">
        <v>25</v>
      </c>
      <c r="I2854" s="47" t="s">
        <v>101</v>
      </c>
      <c r="J2854" s="48">
        <v>0</v>
      </c>
      <c r="K2854" s="48">
        <v>0</v>
      </c>
      <c r="R2854" s="46">
        <f t="shared" si="277"/>
        <v>0</v>
      </c>
      <c r="S2854" s="46">
        <f t="shared" si="278"/>
        <v>0</v>
      </c>
      <c r="T2854" s="46">
        <f t="shared" si="276"/>
        <v>0</v>
      </c>
      <c r="U2854" s="46">
        <f t="shared" si="279"/>
        <v>0</v>
      </c>
      <c r="V2854" s="54">
        <f t="shared" si="280"/>
        <v>0</v>
      </c>
    </row>
    <row r="2855" spans="1:22" x14ac:dyDescent="0.2">
      <c r="A2855" s="46" t="s">
        <v>195</v>
      </c>
      <c r="B2855" s="46" t="s">
        <v>58</v>
      </c>
      <c r="C2855" s="46" t="s">
        <v>93</v>
      </c>
      <c r="D2855" s="46" t="s">
        <v>178</v>
      </c>
      <c r="E2855" s="46">
        <v>2</v>
      </c>
      <c r="F2855" s="46" t="s">
        <v>60</v>
      </c>
      <c r="G2855" s="46">
        <v>4</v>
      </c>
      <c r="H2855" s="47">
        <v>28</v>
      </c>
      <c r="I2855" s="47" t="s">
        <v>102</v>
      </c>
      <c r="J2855" s="48">
        <v>0</v>
      </c>
      <c r="K2855" s="48">
        <v>0</v>
      </c>
      <c r="R2855" s="46">
        <f t="shared" si="277"/>
        <v>0</v>
      </c>
      <c r="S2855" s="46">
        <f t="shared" si="278"/>
        <v>0</v>
      </c>
      <c r="T2855" s="46">
        <f t="shared" si="276"/>
        <v>0</v>
      </c>
      <c r="U2855" s="46">
        <f t="shared" si="279"/>
        <v>0</v>
      </c>
      <c r="V2855" s="54">
        <f t="shared" si="280"/>
        <v>0</v>
      </c>
    </row>
    <row r="2856" spans="1:22" x14ac:dyDescent="0.2">
      <c r="A2856" s="46" t="s">
        <v>195</v>
      </c>
      <c r="B2856" s="46" t="s">
        <v>58</v>
      </c>
      <c r="C2856" s="46" t="s">
        <v>93</v>
      </c>
      <c r="D2856" s="46" t="s">
        <v>178</v>
      </c>
      <c r="E2856" s="46">
        <v>1</v>
      </c>
      <c r="F2856" s="46" t="s">
        <v>60</v>
      </c>
      <c r="G2856" s="46">
        <v>3</v>
      </c>
      <c r="H2856" s="47">
        <v>35</v>
      </c>
      <c r="I2856" s="47" t="s">
        <v>116</v>
      </c>
      <c r="J2856" s="48">
        <v>0</v>
      </c>
      <c r="K2856" s="48">
        <v>0</v>
      </c>
      <c r="R2856" s="46">
        <f t="shared" si="277"/>
        <v>0</v>
      </c>
      <c r="S2856" s="46">
        <f t="shared" si="278"/>
        <v>0</v>
      </c>
      <c r="T2856" s="46">
        <f t="shared" si="276"/>
        <v>0</v>
      </c>
      <c r="U2856" s="46">
        <f t="shared" si="279"/>
        <v>0</v>
      </c>
      <c r="V2856" s="54">
        <f t="shared" si="280"/>
        <v>0</v>
      </c>
    </row>
    <row r="2857" spans="1:22" x14ac:dyDescent="0.2">
      <c r="A2857" s="46" t="s">
        <v>195</v>
      </c>
      <c r="B2857" s="46" t="s">
        <v>58</v>
      </c>
      <c r="C2857" s="46" t="s">
        <v>93</v>
      </c>
      <c r="D2857" s="46" t="s">
        <v>178</v>
      </c>
      <c r="E2857" s="46">
        <v>2</v>
      </c>
      <c r="F2857" s="46" t="s">
        <v>60</v>
      </c>
      <c r="G2857" s="46">
        <v>3</v>
      </c>
      <c r="H2857" s="47">
        <v>39</v>
      </c>
      <c r="I2857" s="47" t="s">
        <v>116</v>
      </c>
      <c r="J2857" s="48">
        <v>0</v>
      </c>
      <c r="K2857" s="48">
        <v>0</v>
      </c>
      <c r="R2857" s="46">
        <f t="shared" si="277"/>
        <v>0</v>
      </c>
      <c r="S2857" s="46">
        <f t="shared" si="278"/>
        <v>0</v>
      </c>
      <c r="T2857" s="46">
        <f t="shared" si="276"/>
        <v>0</v>
      </c>
      <c r="U2857" s="46">
        <f t="shared" si="279"/>
        <v>0</v>
      </c>
      <c r="V2857" s="54">
        <f t="shared" si="280"/>
        <v>0</v>
      </c>
    </row>
    <row r="2858" spans="1:22" x14ac:dyDescent="0.2">
      <c r="A2858" s="46" t="s">
        <v>195</v>
      </c>
      <c r="B2858" s="46" t="s">
        <v>58</v>
      </c>
      <c r="C2858" s="46" t="s">
        <v>93</v>
      </c>
      <c r="D2858" s="46" t="s">
        <v>178</v>
      </c>
      <c r="E2858" s="46">
        <v>1</v>
      </c>
      <c r="F2858" s="46" t="s">
        <v>60</v>
      </c>
      <c r="G2858" s="46">
        <v>4</v>
      </c>
      <c r="H2858" s="47">
        <v>40</v>
      </c>
      <c r="I2858" s="47" t="s">
        <v>102</v>
      </c>
      <c r="J2858" s="48">
        <v>0</v>
      </c>
      <c r="K2858" s="48">
        <v>0</v>
      </c>
      <c r="R2858" s="46">
        <f t="shared" si="277"/>
        <v>0</v>
      </c>
      <c r="S2858" s="46">
        <f t="shared" si="278"/>
        <v>0</v>
      </c>
      <c r="T2858" s="46">
        <f t="shared" si="276"/>
        <v>0</v>
      </c>
      <c r="U2858" s="46">
        <f t="shared" si="279"/>
        <v>0</v>
      </c>
      <c r="V2858" s="54">
        <f t="shared" si="280"/>
        <v>0</v>
      </c>
    </row>
    <row r="2859" spans="1:22" x14ac:dyDescent="0.2">
      <c r="A2859" s="46" t="s">
        <v>195</v>
      </c>
      <c r="B2859" s="46" t="s">
        <v>58</v>
      </c>
      <c r="C2859" s="46" t="s">
        <v>93</v>
      </c>
      <c r="D2859" s="46" t="s">
        <v>178</v>
      </c>
      <c r="E2859" s="46">
        <v>1</v>
      </c>
      <c r="F2859" s="46" t="s">
        <v>60</v>
      </c>
      <c r="G2859" s="46">
        <v>4</v>
      </c>
      <c r="H2859" s="47">
        <v>48</v>
      </c>
      <c r="I2859" s="47" t="s">
        <v>102</v>
      </c>
      <c r="J2859" s="48">
        <v>0</v>
      </c>
      <c r="K2859" s="48">
        <v>0</v>
      </c>
      <c r="R2859" s="46">
        <f t="shared" si="277"/>
        <v>0</v>
      </c>
      <c r="S2859" s="46">
        <f t="shared" si="278"/>
        <v>0</v>
      </c>
      <c r="T2859" s="46">
        <f t="shared" si="276"/>
        <v>0</v>
      </c>
      <c r="U2859" s="46">
        <f t="shared" si="279"/>
        <v>0</v>
      </c>
      <c r="V2859" s="54">
        <f t="shared" si="280"/>
        <v>0</v>
      </c>
    </row>
    <row r="2860" spans="1:22" x14ac:dyDescent="0.2">
      <c r="A2860" s="46" t="s">
        <v>195</v>
      </c>
      <c r="B2860" s="46" t="s">
        <v>58</v>
      </c>
      <c r="C2860" s="46" t="s">
        <v>93</v>
      </c>
      <c r="D2860" s="46" t="s">
        <v>178</v>
      </c>
      <c r="E2860" s="46">
        <v>2</v>
      </c>
      <c r="F2860" s="46" t="s">
        <v>60</v>
      </c>
      <c r="G2860" s="46">
        <v>1</v>
      </c>
      <c r="H2860" s="47">
        <v>49</v>
      </c>
      <c r="I2860" s="47" t="s">
        <v>101</v>
      </c>
      <c r="J2860" s="48">
        <v>0</v>
      </c>
      <c r="K2860" s="48">
        <v>0</v>
      </c>
      <c r="R2860" s="46">
        <f t="shared" si="277"/>
        <v>0</v>
      </c>
      <c r="S2860" s="46">
        <f t="shared" si="278"/>
        <v>0</v>
      </c>
      <c r="T2860" s="46">
        <f t="shared" si="276"/>
        <v>0</v>
      </c>
      <c r="U2860" s="46">
        <f t="shared" si="279"/>
        <v>0</v>
      </c>
      <c r="V2860" s="54">
        <f t="shared" si="280"/>
        <v>0</v>
      </c>
    </row>
    <row r="2861" spans="1:22" x14ac:dyDescent="0.2">
      <c r="A2861" s="46" t="s">
        <v>195</v>
      </c>
      <c r="B2861" s="46" t="s">
        <v>58</v>
      </c>
      <c r="C2861" s="46" t="s">
        <v>93</v>
      </c>
      <c r="D2861" s="46" t="s">
        <v>178</v>
      </c>
      <c r="E2861" s="46">
        <v>1</v>
      </c>
      <c r="F2861" s="46" t="s">
        <v>63</v>
      </c>
      <c r="G2861" s="46">
        <v>4</v>
      </c>
      <c r="H2861" s="47" t="s">
        <v>146</v>
      </c>
      <c r="I2861" s="47" t="s">
        <v>102</v>
      </c>
      <c r="J2861" s="48">
        <v>0</v>
      </c>
      <c r="K2861" s="48">
        <v>0</v>
      </c>
      <c r="R2861" s="46">
        <f t="shared" si="277"/>
        <v>0</v>
      </c>
      <c r="S2861" s="46">
        <f t="shared" si="278"/>
        <v>0</v>
      </c>
      <c r="T2861" s="46">
        <f t="shared" si="276"/>
        <v>0</v>
      </c>
      <c r="U2861" s="46">
        <f t="shared" si="279"/>
        <v>0</v>
      </c>
      <c r="V2861" s="54">
        <f t="shared" si="280"/>
        <v>0</v>
      </c>
    </row>
    <row r="2862" spans="1:22" x14ac:dyDescent="0.2">
      <c r="A2862" s="46" t="s">
        <v>195</v>
      </c>
      <c r="B2862" s="46" t="s">
        <v>58</v>
      </c>
      <c r="C2862" s="46" t="s">
        <v>93</v>
      </c>
      <c r="D2862" s="46" t="s">
        <v>178</v>
      </c>
      <c r="E2862" s="46">
        <v>1</v>
      </c>
      <c r="F2862" s="46" t="s">
        <v>63</v>
      </c>
      <c r="G2862" s="46">
        <v>4</v>
      </c>
      <c r="H2862" s="47" t="s">
        <v>147</v>
      </c>
      <c r="I2862" s="47" t="s">
        <v>102</v>
      </c>
      <c r="J2862" s="48">
        <v>0</v>
      </c>
      <c r="K2862" s="48">
        <v>0</v>
      </c>
      <c r="R2862" s="46">
        <f t="shared" si="277"/>
        <v>0</v>
      </c>
      <c r="S2862" s="46">
        <f t="shared" si="278"/>
        <v>0</v>
      </c>
      <c r="T2862" s="46">
        <f t="shared" si="276"/>
        <v>0</v>
      </c>
      <c r="U2862" s="46">
        <f t="shared" si="279"/>
        <v>0</v>
      </c>
      <c r="V2862" s="54">
        <f t="shared" si="280"/>
        <v>0</v>
      </c>
    </row>
    <row r="2863" spans="1:22" x14ac:dyDescent="0.2">
      <c r="A2863" s="46" t="s">
        <v>195</v>
      </c>
      <c r="B2863" s="46" t="s">
        <v>58</v>
      </c>
      <c r="C2863" s="46" t="s">
        <v>93</v>
      </c>
      <c r="D2863" s="46" t="s">
        <v>178</v>
      </c>
      <c r="E2863" s="46">
        <v>1</v>
      </c>
      <c r="F2863" s="46" t="s">
        <v>63</v>
      </c>
      <c r="G2863" s="46">
        <v>4</v>
      </c>
      <c r="H2863" s="47" t="s">
        <v>150</v>
      </c>
      <c r="I2863" s="47" t="s">
        <v>102</v>
      </c>
      <c r="J2863" s="48">
        <v>0</v>
      </c>
      <c r="K2863" s="48">
        <v>0</v>
      </c>
      <c r="R2863" s="46">
        <f t="shared" si="277"/>
        <v>0</v>
      </c>
      <c r="S2863" s="46">
        <f t="shared" si="278"/>
        <v>0</v>
      </c>
      <c r="T2863" s="46">
        <f t="shared" si="276"/>
        <v>0</v>
      </c>
      <c r="U2863" s="46">
        <f t="shared" si="279"/>
        <v>0</v>
      </c>
      <c r="V2863" s="54">
        <f t="shared" si="280"/>
        <v>0</v>
      </c>
    </row>
    <row r="2864" spans="1:22" x14ac:dyDescent="0.2">
      <c r="A2864" s="46" t="s">
        <v>195</v>
      </c>
      <c r="B2864" s="46" t="s">
        <v>58</v>
      </c>
      <c r="C2864" s="46" t="s">
        <v>93</v>
      </c>
      <c r="D2864" s="46" t="s">
        <v>178</v>
      </c>
      <c r="E2864" s="46">
        <v>2</v>
      </c>
      <c r="F2864" s="46" t="s">
        <v>63</v>
      </c>
      <c r="G2864" s="46">
        <v>4</v>
      </c>
      <c r="H2864" s="47" t="s">
        <v>151</v>
      </c>
      <c r="I2864" s="47" t="s">
        <v>102</v>
      </c>
      <c r="J2864" s="48">
        <v>0</v>
      </c>
      <c r="K2864" s="48">
        <v>0</v>
      </c>
      <c r="R2864" s="46">
        <f t="shared" si="277"/>
        <v>0</v>
      </c>
      <c r="S2864" s="46">
        <f t="shared" si="278"/>
        <v>0</v>
      </c>
      <c r="T2864" s="46">
        <f t="shared" si="276"/>
        <v>0</v>
      </c>
      <c r="U2864" s="46">
        <f t="shared" si="279"/>
        <v>0</v>
      </c>
      <c r="V2864" s="54">
        <f t="shared" si="280"/>
        <v>0</v>
      </c>
    </row>
    <row r="2865" spans="1:22" x14ac:dyDescent="0.2">
      <c r="A2865" s="46" t="s">
        <v>195</v>
      </c>
      <c r="B2865" s="46" t="s">
        <v>58</v>
      </c>
      <c r="C2865" s="46" t="s">
        <v>93</v>
      </c>
      <c r="D2865" s="46" t="s">
        <v>178</v>
      </c>
      <c r="E2865" s="46">
        <v>1</v>
      </c>
      <c r="F2865" s="46" t="s">
        <v>63</v>
      </c>
      <c r="G2865" s="46">
        <v>4</v>
      </c>
      <c r="H2865" s="47" t="s">
        <v>172</v>
      </c>
      <c r="I2865" s="47" t="s">
        <v>102</v>
      </c>
      <c r="J2865" s="48">
        <v>0</v>
      </c>
      <c r="K2865" s="48">
        <v>0</v>
      </c>
      <c r="R2865" s="46">
        <f t="shared" si="277"/>
        <v>0</v>
      </c>
      <c r="S2865" s="46">
        <f t="shared" si="278"/>
        <v>0</v>
      </c>
      <c r="T2865" s="46">
        <f t="shared" si="276"/>
        <v>0</v>
      </c>
      <c r="U2865" s="46">
        <f t="shared" si="279"/>
        <v>0</v>
      </c>
      <c r="V2865" s="54">
        <f t="shared" si="280"/>
        <v>0</v>
      </c>
    </row>
    <row r="2866" spans="1:22" x14ac:dyDescent="0.2">
      <c r="A2866" s="46" t="s">
        <v>195</v>
      </c>
      <c r="B2866" s="46" t="s">
        <v>58</v>
      </c>
      <c r="C2866" s="46" t="s">
        <v>93</v>
      </c>
      <c r="D2866" s="46" t="s">
        <v>178</v>
      </c>
      <c r="E2866" s="46">
        <v>2</v>
      </c>
      <c r="F2866" s="46" t="s">
        <v>63</v>
      </c>
      <c r="G2866" s="46">
        <v>4</v>
      </c>
      <c r="H2866" s="47" t="s">
        <v>147</v>
      </c>
      <c r="I2866" s="47" t="s">
        <v>102</v>
      </c>
      <c r="J2866" s="48">
        <v>1</v>
      </c>
      <c r="K2866" s="48">
        <v>0</v>
      </c>
      <c r="O2866" s="48">
        <v>1</v>
      </c>
      <c r="R2866" s="46">
        <f t="shared" si="277"/>
        <v>0</v>
      </c>
      <c r="S2866" s="46">
        <f t="shared" si="278"/>
        <v>0</v>
      </c>
      <c r="T2866" s="46">
        <f t="shared" si="276"/>
        <v>20</v>
      </c>
      <c r="U2866" s="46">
        <f t="shared" si="279"/>
        <v>30</v>
      </c>
      <c r="V2866" s="54">
        <f t="shared" si="280"/>
        <v>0</v>
      </c>
    </row>
    <row r="2867" spans="1:22" x14ac:dyDescent="0.2">
      <c r="A2867" s="46" t="s">
        <v>195</v>
      </c>
      <c r="B2867" s="46" t="s">
        <v>58</v>
      </c>
      <c r="C2867" s="46" t="s">
        <v>93</v>
      </c>
      <c r="D2867" s="46" t="s">
        <v>178</v>
      </c>
      <c r="E2867" s="46">
        <v>2</v>
      </c>
      <c r="F2867" s="46" t="s">
        <v>63</v>
      </c>
      <c r="G2867" s="46">
        <v>4</v>
      </c>
      <c r="H2867" s="47" t="s">
        <v>152</v>
      </c>
      <c r="I2867" s="47" t="s">
        <v>102</v>
      </c>
      <c r="J2867" s="48">
        <v>1</v>
      </c>
      <c r="K2867" s="48">
        <v>0</v>
      </c>
      <c r="R2867" s="46">
        <f t="shared" si="277"/>
        <v>0</v>
      </c>
      <c r="S2867" s="46">
        <f t="shared" si="278"/>
        <v>0</v>
      </c>
      <c r="T2867" s="46">
        <f t="shared" si="276"/>
        <v>20</v>
      </c>
      <c r="U2867" s="46">
        <f t="shared" si="279"/>
        <v>20</v>
      </c>
      <c r="V2867" s="54">
        <f t="shared" si="280"/>
        <v>0</v>
      </c>
    </row>
    <row r="2868" spans="1:22" x14ac:dyDescent="0.2">
      <c r="A2868" s="46" t="s">
        <v>142</v>
      </c>
      <c r="B2868" s="46" t="s">
        <v>48</v>
      </c>
      <c r="C2868" s="46" t="s">
        <v>88</v>
      </c>
      <c r="D2868" s="46" t="s">
        <v>178</v>
      </c>
      <c r="E2868" s="46">
        <v>1</v>
      </c>
      <c r="F2868" s="46" t="s">
        <v>60</v>
      </c>
      <c r="G2868" s="46">
        <v>1</v>
      </c>
      <c r="H2868" s="47">
        <v>1</v>
      </c>
      <c r="I2868" s="47" t="s">
        <v>101</v>
      </c>
      <c r="J2868" s="48">
        <v>0</v>
      </c>
      <c r="K2868" s="48">
        <v>0</v>
      </c>
      <c r="R2868" s="46">
        <f t="shared" si="277"/>
        <v>0</v>
      </c>
      <c r="S2868" s="46">
        <f t="shared" si="278"/>
        <v>0</v>
      </c>
      <c r="T2868" s="46">
        <f t="shared" si="276"/>
        <v>0</v>
      </c>
      <c r="U2868" s="46">
        <f t="shared" si="279"/>
        <v>0</v>
      </c>
      <c r="V2868" s="54">
        <f t="shared" si="280"/>
        <v>8.6666666666666661</v>
      </c>
    </row>
    <row r="2869" spans="1:22" x14ac:dyDescent="0.2">
      <c r="A2869" s="46" t="s">
        <v>142</v>
      </c>
      <c r="B2869" s="46" t="s">
        <v>103</v>
      </c>
      <c r="C2869" s="46" t="s">
        <v>88</v>
      </c>
      <c r="D2869" s="46" t="s">
        <v>178</v>
      </c>
      <c r="E2869" s="46">
        <v>2</v>
      </c>
      <c r="F2869" s="46" t="s">
        <v>60</v>
      </c>
      <c r="G2869" s="46">
        <v>2</v>
      </c>
      <c r="H2869" s="47">
        <v>6</v>
      </c>
      <c r="I2869" s="47" t="s">
        <v>127</v>
      </c>
      <c r="J2869" s="48">
        <v>0</v>
      </c>
      <c r="K2869" s="48">
        <v>0</v>
      </c>
      <c r="R2869" s="46">
        <f t="shared" si="277"/>
        <v>0</v>
      </c>
      <c r="S2869" s="46">
        <f t="shared" si="278"/>
        <v>0</v>
      </c>
      <c r="T2869" s="46">
        <f t="shared" si="276"/>
        <v>0</v>
      </c>
      <c r="U2869" s="46">
        <f t="shared" si="279"/>
        <v>0</v>
      </c>
      <c r="V2869" s="54">
        <f t="shared" si="280"/>
        <v>8.6666666666666661</v>
      </c>
    </row>
    <row r="2870" spans="1:22" x14ac:dyDescent="0.2">
      <c r="A2870" s="46" t="s">
        <v>142</v>
      </c>
      <c r="B2870" s="46" t="s">
        <v>103</v>
      </c>
      <c r="C2870" s="46" t="s">
        <v>88</v>
      </c>
      <c r="D2870" s="46" t="s">
        <v>178</v>
      </c>
      <c r="E2870" s="46">
        <v>3</v>
      </c>
      <c r="F2870" s="46" t="s">
        <v>60</v>
      </c>
      <c r="G2870" s="46">
        <v>4</v>
      </c>
      <c r="H2870" s="47">
        <v>8</v>
      </c>
      <c r="I2870" s="47" t="s">
        <v>102</v>
      </c>
      <c r="J2870" s="48">
        <v>0</v>
      </c>
      <c r="K2870" s="48">
        <v>1</v>
      </c>
      <c r="R2870" s="46">
        <f t="shared" si="277"/>
        <v>0</v>
      </c>
      <c r="S2870" s="46">
        <f t="shared" si="278"/>
        <v>0</v>
      </c>
      <c r="T2870" s="46">
        <f t="shared" si="276"/>
        <v>0</v>
      </c>
      <c r="U2870" s="46">
        <f t="shared" si="279"/>
        <v>0</v>
      </c>
      <c r="V2870" s="54">
        <f t="shared" si="280"/>
        <v>8.6666666666666661</v>
      </c>
    </row>
    <row r="2871" spans="1:22" x14ac:dyDescent="0.2">
      <c r="A2871" s="46" t="s">
        <v>142</v>
      </c>
      <c r="B2871" s="46" t="s">
        <v>103</v>
      </c>
      <c r="C2871" s="46" t="s">
        <v>88</v>
      </c>
      <c r="D2871" s="46" t="s">
        <v>178</v>
      </c>
      <c r="E2871" s="46">
        <v>4</v>
      </c>
      <c r="F2871" s="46" t="s">
        <v>60</v>
      </c>
      <c r="G2871" s="46">
        <v>1</v>
      </c>
      <c r="H2871" s="47">
        <v>9</v>
      </c>
      <c r="I2871" s="47" t="s">
        <v>101</v>
      </c>
      <c r="J2871" s="48">
        <v>0</v>
      </c>
      <c r="K2871" s="48">
        <v>1</v>
      </c>
      <c r="R2871" s="46">
        <f t="shared" si="277"/>
        <v>0</v>
      </c>
      <c r="S2871" s="46">
        <f t="shared" si="278"/>
        <v>0</v>
      </c>
      <c r="T2871" s="46">
        <f t="shared" ref="T2871:T2934" si="281">quizscore(J2871,K2871)</f>
        <v>0</v>
      </c>
      <c r="U2871" s="46">
        <f t="shared" si="279"/>
        <v>0</v>
      </c>
      <c r="V2871" s="54">
        <f t="shared" si="280"/>
        <v>8.6666666666666661</v>
      </c>
    </row>
    <row r="2872" spans="1:22" x14ac:dyDescent="0.2">
      <c r="A2872" s="46" t="s">
        <v>142</v>
      </c>
      <c r="B2872" s="46" t="s">
        <v>48</v>
      </c>
      <c r="C2872" s="46" t="s">
        <v>88</v>
      </c>
      <c r="D2872" s="46" t="s">
        <v>178</v>
      </c>
      <c r="E2872" s="46">
        <v>1</v>
      </c>
      <c r="F2872" s="46" t="s">
        <v>60</v>
      </c>
      <c r="G2872" s="46">
        <v>2</v>
      </c>
      <c r="H2872" s="47">
        <v>10</v>
      </c>
      <c r="I2872" s="47" t="s">
        <v>127</v>
      </c>
      <c r="J2872" s="48">
        <v>0</v>
      </c>
      <c r="K2872" s="48">
        <v>0</v>
      </c>
      <c r="R2872" s="46">
        <f t="shared" si="277"/>
        <v>0</v>
      </c>
      <c r="S2872" s="46">
        <f t="shared" si="278"/>
        <v>0</v>
      </c>
      <c r="T2872" s="46">
        <f t="shared" si="281"/>
        <v>0</v>
      </c>
      <c r="U2872" s="46">
        <f t="shared" si="279"/>
        <v>0</v>
      </c>
      <c r="V2872" s="54">
        <f t="shared" si="280"/>
        <v>8.6666666666666661</v>
      </c>
    </row>
    <row r="2873" spans="1:22" x14ac:dyDescent="0.2">
      <c r="A2873" s="46" t="s">
        <v>142</v>
      </c>
      <c r="B2873" s="46" t="s">
        <v>103</v>
      </c>
      <c r="C2873" s="46" t="s">
        <v>88</v>
      </c>
      <c r="D2873" s="46" t="s">
        <v>178</v>
      </c>
      <c r="E2873" s="46">
        <v>2</v>
      </c>
      <c r="F2873" s="46" t="s">
        <v>60</v>
      </c>
      <c r="G2873" s="46">
        <v>2</v>
      </c>
      <c r="H2873" s="47">
        <v>14</v>
      </c>
      <c r="I2873" s="47" t="s">
        <v>127</v>
      </c>
      <c r="J2873" s="48">
        <v>0</v>
      </c>
      <c r="K2873" s="48">
        <v>0</v>
      </c>
      <c r="R2873" s="46">
        <f t="shared" si="277"/>
        <v>0</v>
      </c>
      <c r="S2873" s="46">
        <f t="shared" si="278"/>
        <v>0</v>
      </c>
      <c r="T2873" s="46">
        <f t="shared" si="281"/>
        <v>0</v>
      </c>
      <c r="U2873" s="46">
        <f t="shared" si="279"/>
        <v>0</v>
      </c>
      <c r="V2873" s="54">
        <f t="shared" si="280"/>
        <v>8.6666666666666661</v>
      </c>
    </row>
    <row r="2874" spans="1:22" x14ac:dyDescent="0.2">
      <c r="A2874" s="46" t="s">
        <v>142</v>
      </c>
      <c r="B2874" s="46" t="s">
        <v>48</v>
      </c>
      <c r="C2874" s="46" t="s">
        <v>88</v>
      </c>
      <c r="D2874" s="46" t="s">
        <v>178</v>
      </c>
      <c r="E2874" s="46">
        <v>1</v>
      </c>
      <c r="F2874" s="46" t="s">
        <v>60</v>
      </c>
      <c r="G2874" s="46">
        <v>3</v>
      </c>
      <c r="H2874" s="47">
        <v>19</v>
      </c>
      <c r="I2874" s="47" t="s">
        <v>116</v>
      </c>
      <c r="J2874" s="48">
        <v>0</v>
      </c>
      <c r="K2874" s="48">
        <v>0</v>
      </c>
      <c r="R2874" s="46">
        <f t="shared" si="277"/>
        <v>0</v>
      </c>
      <c r="S2874" s="46">
        <f t="shared" si="278"/>
        <v>0</v>
      </c>
      <c r="T2874" s="46">
        <f t="shared" si="281"/>
        <v>0</v>
      </c>
      <c r="U2874" s="46">
        <f t="shared" si="279"/>
        <v>0</v>
      </c>
      <c r="V2874" s="54">
        <f t="shared" si="280"/>
        <v>8.6666666666666661</v>
      </c>
    </row>
    <row r="2875" spans="1:22" x14ac:dyDescent="0.2">
      <c r="A2875" s="46" t="s">
        <v>142</v>
      </c>
      <c r="B2875" s="46" t="s">
        <v>103</v>
      </c>
      <c r="C2875" s="46" t="s">
        <v>88</v>
      </c>
      <c r="D2875" s="46" t="s">
        <v>178</v>
      </c>
      <c r="E2875" s="46">
        <v>3</v>
      </c>
      <c r="F2875" s="46" t="s">
        <v>60</v>
      </c>
      <c r="G2875" s="46">
        <v>1</v>
      </c>
      <c r="H2875" s="47">
        <v>21</v>
      </c>
      <c r="I2875" s="47" t="s">
        <v>101</v>
      </c>
      <c r="J2875" s="48">
        <v>0</v>
      </c>
      <c r="K2875" s="48">
        <v>0</v>
      </c>
      <c r="R2875" s="46">
        <f t="shared" si="277"/>
        <v>0</v>
      </c>
      <c r="S2875" s="46">
        <f t="shared" si="278"/>
        <v>0</v>
      </c>
      <c r="T2875" s="46">
        <f t="shared" si="281"/>
        <v>0</v>
      </c>
      <c r="U2875" s="46">
        <f t="shared" si="279"/>
        <v>0</v>
      </c>
      <c r="V2875" s="54">
        <f t="shared" si="280"/>
        <v>8.6666666666666661</v>
      </c>
    </row>
    <row r="2876" spans="1:22" x14ac:dyDescent="0.2">
      <c r="A2876" s="46" t="s">
        <v>142</v>
      </c>
      <c r="B2876" s="46" t="s">
        <v>103</v>
      </c>
      <c r="C2876" s="46" t="s">
        <v>88</v>
      </c>
      <c r="D2876" s="46" t="s">
        <v>178</v>
      </c>
      <c r="E2876" s="46">
        <v>4</v>
      </c>
      <c r="F2876" s="46" t="s">
        <v>60</v>
      </c>
      <c r="G2876" s="46">
        <v>3</v>
      </c>
      <c r="H2876" s="47">
        <v>23</v>
      </c>
      <c r="I2876" s="47" t="s">
        <v>159</v>
      </c>
      <c r="J2876" s="48">
        <v>0</v>
      </c>
      <c r="K2876" s="48">
        <v>0</v>
      </c>
      <c r="R2876" s="46">
        <f t="shared" si="277"/>
        <v>0</v>
      </c>
      <c r="S2876" s="46">
        <f t="shared" si="278"/>
        <v>0</v>
      </c>
      <c r="T2876" s="46">
        <f t="shared" si="281"/>
        <v>0</v>
      </c>
      <c r="U2876" s="46">
        <f t="shared" si="279"/>
        <v>0</v>
      </c>
      <c r="V2876" s="54">
        <f t="shared" si="280"/>
        <v>8.6666666666666661</v>
      </c>
    </row>
    <row r="2877" spans="1:22" x14ac:dyDescent="0.2">
      <c r="A2877" s="46" t="s">
        <v>142</v>
      </c>
      <c r="B2877" s="46" t="s">
        <v>103</v>
      </c>
      <c r="C2877" s="46" t="s">
        <v>88</v>
      </c>
      <c r="D2877" s="46" t="s">
        <v>178</v>
      </c>
      <c r="E2877" s="46">
        <v>2</v>
      </c>
      <c r="F2877" s="46" t="s">
        <v>60</v>
      </c>
      <c r="G2877" s="46">
        <v>4</v>
      </c>
      <c r="H2877" s="47">
        <v>24</v>
      </c>
      <c r="I2877" s="47" t="s">
        <v>102</v>
      </c>
      <c r="J2877" s="48">
        <v>0</v>
      </c>
      <c r="K2877" s="48">
        <v>0</v>
      </c>
      <c r="R2877" s="46">
        <f t="shared" si="277"/>
        <v>0</v>
      </c>
      <c r="S2877" s="46">
        <f t="shared" si="278"/>
        <v>0</v>
      </c>
      <c r="T2877" s="46">
        <f t="shared" si="281"/>
        <v>0</v>
      </c>
      <c r="U2877" s="46">
        <f t="shared" si="279"/>
        <v>0</v>
      </c>
      <c r="V2877" s="54">
        <f t="shared" si="280"/>
        <v>8.6666666666666661</v>
      </c>
    </row>
    <row r="2878" spans="1:22" x14ac:dyDescent="0.2">
      <c r="A2878" s="46" t="s">
        <v>142</v>
      </c>
      <c r="B2878" s="46" t="s">
        <v>103</v>
      </c>
      <c r="C2878" s="46" t="s">
        <v>88</v>
      </c>
      <c r="D2878" s="46" t="s">
        <v>178</v>
      </c>
      <c r="E2878" s="46">
        <v>3</v>
      </c>
      <c r="F2878" s="46" t="s">
        <v>60</v>
      </c>
      <c r="G2878" s="46">
        <v>3</v>
      </c>
      <c r="H2878" s="47">
        <v>27</v>
      </c>
      <c r="I2878" s="47" t="s">
        <v>116</v>
      </c>
      <c r="J2878" s="48">
        <v>0</v>
      </c>
      <c r="K2878" s="48">
        <v>1</v>
      </c>
      <c r="R2878" s="46">
        <f t="shared" si="277"/>
        <v>0</v>
      </c>
      <c r="S2878" s="46">
        <f t="shared" si="278"/>
        <v>0</v>
      </c>
      <c r="T2878" s="46">
        <f t="shared" si="281"/>
        <v>0</v>
      </c>
      <c r="U2878" s="46">
        <f t="shared" si="279"/>
        <v>0</v>
      </c>
      <c r="V2878" s="54">
        <f t="shared" si="280"/>
        <v>8.6666666666666661</v>
      </c>
    </row>
    <row r="2879" spans="1:22" x14ac:dyDescent="0.2">
      <c r="A2879" s="46" t="s">
        <v>142</v>
      </c>
      <c r="B2879" s="46" t="s">
        <v>48</v>
      </c>
      <c r="C2879" s="46" t="s">
        <v>88</v>
      </c>
      <c r="D2879" s="46" t="s">
        <v>178</v>
      </c>
      <c r="E2879" s="46">
        <v>1</v>
      </c>
      <c r="F2879" s="46" t="s">
        <v>60</v>
      </c>
      <c r="G2879" s="46">
        <v>4</v>
      </c>
      <c r="H2879" s="47">
        <v>32</v>
      </c>
      <c r="I2879" s="47" t="s">
        <v>102</v>
      </c>
      <c r="J2879" s="48">
        <v>0</v>
      </c>
      <c r="K2879" s="48">
        <v>0</v>
      </c>
      <c r="R2879" s="46">
        <f t="shared" si="277"/>
        <v>0</v>
      </c>
      <c r="S2879" s="46">
        <f t="shared" si="278"/>
        <v>0</v>
      </c>
      <c r="T2879" s="46">
        <f t="shared" si="281"/>
        <v>0</v>
      </c>
      <c r="U2879" s="46">
        <f t="shared" si="279"/>
        <v>0</v>
      </c>
      <c r="V2879" s="54">
        <f t="shared" si="280"/>
        <v>8.6666666666666661</v>
      </c>
    </row>
    <row r="2880" spans="1:22" x14ac:dyDescent="0.2">
      <c r="A2880" s="46" t="s">
        <v>142</v>
      </c>
      <c r="B2880" s="46" t="s">
        <v>103</v>
      </c>
      <c r="C2880" s="46" t="s">
        <v>88</v>
      </c>
      <c r="D2880" s="46" t="s">
        <v>178</v>
      </c>
      <c r="E2880" s="46">
        <v>2</v>
      </c>
      <c r="F2880" s="46" t="s">
        <v>60</v>
      </c>
      <c r="G2880" s="46">
        <v>4</v>
      </c>
      <c r="H2880" s="47">
        <v>32</v>
      </c>
      <c r="I2880" s="47" t="s">
        <v>102</v>
      </c>
      <c r="J2880" s="48">
        <v>0</v>
      </c>
      <c r="K2880" s="48">
        <v>0</v>
      </c>
      <c r="R2880" s="46">
        <f t="shared" si="277"/>
        <v>0</v>
      </c>
      <c r="S2880" s="46">
        <f t="shared" si="278"/>
        <v>0</v>
      </c>
      <c r="T2880" s="46">
        <f t="shared" si="281"/>
        <v>0</v>
      </c>
      <c r="U2880" s="46">
        <f t="shared" si="279"/>
        <v>0</v>
      </c>
      <c r="V2880" s="54">
        <f t="shared" si="280"/>
        <v>8.6666666666666661</v>
      </c>
    </row>
    <row r="2881" spans="1:22" x14ac:dyDescent="0.2">
      <c r="A2881" s="46" t="s">
        <v>142</v>
      </c>
      <c r="B2881" s="46" t="s">
        <v>103</v>
      </c>
      <c r="C2881" s="46" t="s">
        <v>88</v>
      </c>
      <c r="D2881" s="46" t="s">
        <v>178</v>
      </c>
      <c r="E2881" s="46">
        <v>3</v>
      </c>
      <c r="F2881" s="46" t="s">
        <v>60</v>
      </c>
      <c r="G2881" s="46">
        <v>2</v>
      </c>
      <c r="H2881" s="47">
        <v>34</v>
      </c>
      <c r="I2881" s="47" t="s">
        <v>127</v>
      </c>
      <c r="J2881" s="48">
        <v>0</v>
      </c>
      <c r="K2881" s="48">
        <v>0</v>
      </c>
      <c r="R2881" s="46">
        <f t="shared" si="277"/>
        <v>0</v>
      </c>
      <c r="S2881" s="46">
        <f t="shared" si="278"/>
        <v>0</v>
      </c>
      <c r="T2881" s="46">
        <f t="shared" si="281"/>
        <v>0</v>
      </c>
      <c r="U2881" s="46">
        <f t="shared" si="279"/>
        <v>0</v>
      </c>
      <c r="V2881" s="54">
        <f t="shared" si="280"/>
        <v>8.6666666666666661</v>
      </c>
    </row>
    <row r="2882" spans="1:22" x14ac:dyDescent="0.2">
      <c r="A2882" s="46" t="s">
        <v>142</v>
      </c>
      <c r="B2882" s="46" t="s">
        <v>48</v>
      </c>
      <c r="C2882" s="46" t="s">
        <v>88</v>
      </c>
      <c r="D2882" s="46" t="s">
        <v>178</v>
      </c>
      <c r="E2882" s="46">
        <v>1</v>
      </c>
      <c r="F2882" s="46" t="s">
        <v>60</v>
      </c>
      <c r="G2882" s="46">
        <v>4</v>
      </c>
      <c r="H2882" s="47">
        <v>36</v>
      </c>
      <c r="I2882" s="47" t="s">
        <v>102</v>
      </c>
      <c r="J2882" s="48">
        <v>0</v>
      </c>
      <c r="K2882" s="48">
        <v>0</v>
      </c>
      <c r="R2882" s="46">
        <f t="shared" ref="R2882:R2945" si="282">IF(J2882=4,1,0)</f>
        <v>0</v>
      </c>
      <c r="S2882" s="46">
        <f t="shared" ref="S2882:S2945" si="283">IF(K2882=3,1,0)</f>
        <v>0</v>
      </c>
      <c r="T2882" s="46">
        <f t="shared" si="281"/>
        <v>0</v>
      </c>
      <c r="U2882" s="46">
        <f t="shared" ref="U2882:U2945" si="284">T2882+M2882*(20) + (SUM(O2882:Q2882)*(10)) - L2882*(5) - N2882*(5)</f>
        <v>0</v>
      </c>
      <c r="V2882" s="54">
        <f t="shared" ref="V2882:V2945" si="285">AVERAGEIFS(U:U,A:A,A2882,F:F,"Pre")</f>
        <v>8.6666666666666661</v>
      </c>
    </row>
    <row r="2883" spans="1:22" x14ac:dyDescent="0.2">
      <c r="A2883" s="46" t="s">
        <v>142</v>
      </c>
      <c r="B2883" s="46" t="s">
        <v>103</v>
      </c>
      <c r="C2883" s="46" t="s">
        <v>88</v>
      </c>
      <c r="D2883" s="46" t="s">
        <v>178</v>
      </c>
      <c r="E2883" s="46">
        <v>4</v>
      </c>
      <c r="F2883" s="46" t="s">
        <v>60</v>
      </c>
      <c r="G2883" s="46">
        <v>4</v>
      </c>
      <c r="H2883" s="47">
        <v>36</v>
      </c>
      <c r="I2883" s="47" t="s">
        <v>102</v>
      </c>
      <c r="J2883" s="48">
        <v>0</v>
      </c>
      <c r="K2883" s="48">
        <v>0</v>
      </c>
      <c r="R2883" s="46">
        <f t="shared" si="282"/>
        <v>0</v>
      </c>
      <c r="S2883" s="46">
        <f t="shared" si="283"/>
        <v>0</v>
      </c>
      <c r="T2883" s="46">
        <f t="shared" si="281"/>
        <v>0</v>
      </c>
      <c r="U2883" s="46">
        <f t="shared" si="284"/>
        <v>0</v>
      </c>
      <c r="V2883" s="54">
        <f t="shared" si="285"/>
        <v>8.6666666666666661</v>
      </c>
    </row>
    <row r="2884" spans="1:22" x14ac:dyDescent="0.2">
      <c r="A2884" s="46" t="s">
        <v>142</v>
      </c>
      <c r="B2884" s="46" t="s">
        <v>48</v>
      </c>
      <c r="C2884" s="46" t="s">
        <v>88</v>
      </c>
      <c r="D2884" s="46" t="s">
        <v>178</v>
      </c>
      <c r="E2884" s="46">
        <v>1</v>
      </c>
      <c r="F2884" s="46" t="s">
        <v>60</v>
      </c>
      <c r="G2884" s="46">
        <v>1</v>
      </c>
      <c r="H2884" s="47">
        <v>41</v>
      </c>
      <c r="I2884" s="47" t="s">
        <v>101</v>
      </c>
      <c r="J2884" s="48">
        <v>0</v>
      </c>
      <c r="K2884" s="48">
        <v>0</v>
      </c>
      <c r="R2884" s="46">
        <f t="shared" si="282"/>
        <v>0</v>
      </c>
      <c r="S2884" s="46">
        <f t="shared" si="283"/>
        <v>0</v>
      </c>
      <c r="T2884" s="46">
        <f t="shared" si="281"/>
        <v>0</v>
      </c>
      <c r="U2884" s="46">
        <f t="shared" si="284"/>
        <v>0</v>
      </c>
      <c r="V2884" s="54">
        <f t="shared" si="285"/>
        <v>8.6666666666666661</v>
      </c>
    </row>
    <row r="2885" spans="1:22" x14ac:dyDescent="0.2">
      <c r="A2885" s="46" t="s">
        <v>142</v>
      </c>
      <c r="B2885" s="46" t="s">
        <v>103</v>
      </c>
      <c r="C2885" s="46" t="s">
        <v>88</v>
      </c>
      <c r="D2885" s="46" t="s">
        <v>178</v>
      </c>
      <c r="E2885" s="46">
        <v>4</v>
      </c>
      <c r="F2885" s="46" t="s">
        <v>60</v>
      </c>
      <c r="G2885" s="46">
        <v>1</v>
      </c>
      <c r="H2885" s="47">
        <v>41</v>
      </c>
      <c r="I2885" s="47" t="s">
        <v>101</v>
      </c>
      <c r="J2885" s="48">
        <v>0</v>
      </c>
      <c r="K2885" s="48">
        <v>0</v>
      </c>
      <c r="M2885" s="48">
        <v>1</v>
      </c>
      <c r="R2885" s="46">
        <f t="shared" si="282"/>
        <v>0</v>
      </c>
      <c r="S2885" s="46">
        <f t="shared" si="283"/>
        <v>0</v>
      </c>
      <c r="T2885" s="46">
        <f t="shared" si="281"/>
        <v>0</v>
      </c>
      <c r="U2885" s="46">
        <f t="shared" si="284"/>
        <v>20</v>
      </c>
      <c r="V2885" s="54">
        <f t="shared" si="285"/>
        <v>8.6666666666666661</v>
      </c>
    </row>
    <row r="2886" spans="1:22" x14ac:dyDescent="0.2">
      <c r="A2886" s="46" t="s">
        <v>142</v>
      </c>
      <c r="B2886" s="46" t="s">
        <v>103</v>
      </c>
      <c r="C2886" s="46" t="s">
        <v>88</v>
      </c>
      <c r="D2886" s="46" t="s">
        <v>178</v>
      </c>
      <c r="E2886" s="46">
        <v>2</v>
      </c>
      <c r="F2886" s="46" t="s">
        <v>60</v>
      </c>
      <c r="G2886" s="46">
        <v>3</v>
      </c>
      <c r="H2886" s="47">
        <v>43</v>
      </c>
      <c r="I2886" s="47" t="s">
        <v>116</v>
      </c>
      <c r="J2886" s="48">
        <v>0</v>
      </c>
      <c r="K2886" s="48">
        <v>0</v>
      </c>
      <c r="R2886" s="46">
        <f t="shared" si="282"/>
        <v>0</v>
      </c>
      <c r="S2886" s="46">
        <f t="shared" si="283"/>
        <v>0</v>
      </c>
      <c r="T2886" s="46">
        <f t="shared" si="281"/>
        <v>0</v>
      </c>
      <c r="U2886" s="46">
        <f t="shared" si="284"/>
        <v>0</v>
      </c>
      <c r="V2886" s="54">
        <f t="shared" si="285"/>
        <v>8.6666666666666661</v>
      </c>
    </row>
    <row r="2887" spans="1:22" x14ac:dyDescent="0.2">
      <c r="A2887" s="46" t="s">
        <v>142</v>
      </c>
      <c r="B2887" s="46" t="s">
        <v>103</v>
      </c>
      <c r="C2887" s="46" t="s">
        <v>88</v>
      </c>
      <c r="D2887" s="46" t="s">
        <v>178</v>
      </c>
      <c r="E2887" s="46">
        <v>4</v>
      </c>
      <c r="F2887" s="46" t="s">
        <v>60</v>
      </c>
      <c r="G2887" s="46">
        <v>2</v>
      </c>
      <c r="H2887" s="47">
        <v>46</v>
      </c>
      <c r="I2887" s="47" t="s">
        <v>127</v>
      </c>
      <c r="J2887" s="48">
        <v>0</v>
      </c>
      <c r="K2887" s="48">
        <v>1</v>
      </c>
      <c r="R2887" s="46">
        <f t="shared" si="282"/>
        <v>0</v>
      </c>
      <c r="S2887" s="46">
        <f t="shared" si="283"/>
        <v>0</v>
      </c>
      <c r="T2887" s="46">
        <f t="shared" si="281"/>
        <v>0</v>
      </c>
      <c r="U2887" s="46">
        <f t="shared" si="284"/>
        <v>0</v>
      </c>
      <c r="V2887" s="54">
        <f t="shared" si="285"/>
        <v>8.6666666666666661</v>
      </c>
    </row>
    <row r="2888" spans="1:22" x14ac:dyDescent="0.2">
      <c r="A2888" s="46" t="s">
        <v>142</v>
      </c>
      <c r="B2888" s="46" t="s">
        <v>48</v>
      </c>
      <c r="C2888" s="46" t="s">
        <v>88</v>
      </c>
      <c r="D2888" s="46" t="s">
        <v>178</v>
      </c>
      <c r="E2888" s="46">
        <v>1</v>
      </c>
      <c r="F2888" s="46" t="s">
        <v>61</v>
      </c>
      <c r="G2888" s="46">
        <v>1</v>
      </c>
      <c r="H2888" s="47" t="s">
        <v>67</v>
      </c>
      <c r="I2888" s="47" t="s">
        <v>101</v>
      </c>
      <c r="J2888" s="48">
        <v>0</v>
      </c>
      <c r="K2888" s="48">
        <v>1</v>
      </c>
      <c r="R2888" s="46">
        <f t="shared" si="282"/>
        <v>0</v>
      </c>
      <c r="S2888" s="46">
        <f t="shared" si="283"/>
        <v>0</v>
      </c>
      <c r="T2888" s="46">
        <f t="shared" si="281"/>
        <v>0</v>
      </c>
      <c r="U2888" s="46">
        <f t="shared" si="284"/>
        <v>0</v>
      </c>
      <c r="V2888" s="54">
        <f t="shared" si="285"/>
        <v>8.6666666666666661</v>
      </c>
    </row>
    <row r="2889" spans="1:22" x14ac:dyDescent="0.2">
      <c r="A2889" s="46" t="s">
        <v>142</v>
      </c>
      <c r="B2889" s="46" t="s">
        <v>103</v>
      </c>
      <c r="C2889" s="46" t="s">
        <v>88</v>
      </c>
      <c r="D2889" s="46" t="s">
        <v>178</v>
      </c>
      <c r="E2889" s="46">
        <v>2</v>
      </c>
      <c r="F2889" s="46" t="s">
        <v>62</v>
      </c>
      <c r="G2889" s="46">
        <v>3</v>
      </c>
      <c r="H2889" s="47" t="s">
        <v>80</v>
      </c>
      <c r="I2889" s="47" t="s">
        <v>116</v>
      </c>
      <c r="J2889" s="48">
        <v>0</v>
      </c>
      <c r="K2889" s="48">
        <v>1</v>
      </c>
      <c r="R2889" s="46">
        <f t="shared" si="282"/>
        <v>0</v>
      </c>
      <c r="S2889" s="46">
        <f t="shared" si="283"/>
        <v>0</v>
      </c>
      <c r="T2889" s="46">
        <f t="shared" si="281"/>
        <v>0</v>
      </c>
      <c r="U2889" s="46">
        <f t="shared" si="284"/>
        <v>0</v>
      </c>
      <c r="V2889" s="54">
        <f t="shared" si="285"/>
        <v>8.6666666666666661</v>
      </c>
    </row>
    <row r="2890" spans="1:22" x14ac:dyDescent="0.2">
      <c r="A2890" s="46" t="s">
        <v>142</v>
      </c>
      <c r="B2890" s="46" t="s">
        <v>103</v>
      </c>
      <c r="C2890" s="46" t="s">
        <v>88</v>
      </c>
      <c r="D2890" s="46" t="s">
        <v>178</v>
      </c>
      <c r="E2890" s="46">
        <v>2</v>
      </c>
      <c r="F2890" s="46" t="s">
        <v>62</v>
      </c>
      <c r="G2890" s="46">
        <v>3</v>
      </c>
      <c r="H2890" s="47" t="s">
        <v>85</v>
      </c>
      <c r="I2890" s="47" t="s">
        <v>116</v>
      </c>
      <c r="J2890" s="48">
        <v>0</v>
      </c>
      <c r="K2890" s="48">
        <v>0</v>
      </c>
      <c r="R2890" s="46">
        <f t="shared" si="282"/>
        <v>0</v>
      </c>
      <c r="S2890" s="46">
        <f t="shared" si="283"/>
        <v>0</v>
      </c>
      <c r="T2890" s="46">
        <f t="shared" si="281"/>
        <v>0</v>
      </c>
      <c r="U2890" s="46">
        <f t="shared" si="284"/>
        <v>0</v>
      </c>
      <c r="V2890" s="54">
        <f t="shared" si="285"/>
        <v>8.6666666666666661</v>
      </c>
    </row>
    <row r="2891" spans="1:22" x14ac:dyDescent="0.2">
      <c r="A2891" s="46" t="s">
        <v>142</v>
      </c>
      <c r="B2891" s="46" t="s">
        <v>103</v>
      </c>
      <c r="C2891" s="46" t="s">
        <v>88</v>
      </c>
      <c r="D2891" s="46" t="s">
        <v>178</v>
      </c>
      <c r="E2891" s="46">
        <v>3</v>
      </c>
      <c r="F2891" s="46" t="s">
        <v>63</v>
      </c>
      <c r="G2891" s="46">
        <v>4</v>
      </c>
      <c r="H2891" s="47" t="s">
        <v>146</v>
      </c>
      <c r="I2891" s="47" t="s">
        <v>102</v>
      </c>
      <c r="J2891" s="48">
        <v>0</v>
      </c>
      <c r="K2891" s="48">
        <v>1</v>
      </c>
      <c r="R2891" s="46">
        <f t="shared" si="282"/>
        <v>0</v>
      </c>
      <c r="S2891" s="46">
        <f t="shared" si="283"/>
        <v>0</v>
      </c>
      <c r="T2891" s="46">
        <f t="shared" si="281"/>
        <v>0</v>
      </c>
      <c r="U2891" s="46">
        <f t="shared" si="284"/>
        <v>0</v>
      </c>
      <c r="V2891" s="54">
        <f t="shared" si="285"/>
        <v>8.6666666666666661</v>
      </c>
    </row>
    <row r="2892" spans="1:22" x14ac:dyDescent="0.2">
      <c r="A2892" s="46" t="s">
        <v>142</v>
      </c>
      <c r="B2892" s="46" t="s">
        <v>103</v>
      </c>
      <c r="C2892" s="46" t="s">
        <v>88</v>
      </c>
      <c r="D2892" s="46" t="s">
        <v>178</v>
      </c>
      <c r="E2892" s="46">
        <v>3</v>
      </c>
      <c r="F2892" s="46" t="s">
        <v>63</v>
      </c>
      <c r="G2892" s="46">
        <v>4</v>
      </c>
      <c r="H2892" s="47" t="s">
        <v>150</v>
      </c>
      <c r="I2892" s="47" t="s">
        <v>102</v>
      </c>
      <c r="J2892" s="48">
        <v>0</v>
      </c>
      <c r="K2892" s="48">
        <v>0</v>
      </c>
      <c r="R2892" s="46">
        <f t="shared" si="282"/>
        <v>0</v>
      </c>
      <c r="S2892" s="46">
        <f t="shared" si="283"/>
        <v>0</v>
      </c>
      <c r="T2892" s="46">
        <f t="shared" si="281"/>
        <v>0</v>
      </c>
      <c r="U2892" s="46">
        <f t="shared" si="284"/>
        <v>0</v>
      </c>
      <c r="V2892" s="54">
        <f t="shared" si="285"/>
        <v>8.6666666666666661</v>
      </c>
    </row>
    <row r="2893" spans="1:22" x14ac:dyDescent="0.2">
      <c r="A2893" s="46" t="s">
        <v>142</v>
      </c>
      <c r="B2893" s="46" t="s">
        <v>103</v>
      </c>
      <c r="C2893" s="46" t="s">
        <v>88</v>
      </c>
      <c r="D2893" s="46" t="s">
        <v>178</v>
      </c>
      <c r="E2893" s="46">
        <v>4</v>
      </c>
      <c r="F2893" s="46" t="s">
        <v>63</v>
      </c>
      <c r="G2893" s="46">
        <v>4</v>
      </c>
      <c r="H2893" s="47" t="s">
        <v>151</v>
      </c>
      <c r="I2893" s="47" t="s">
        <v>102</v>
      </c>
      <c r="J2893" s="48">
        <v>0</v>
      </c>
      <c r="K2893" s="48">
        <v>0</v>
      </c>
      <c r="R2893" s="46">
        <f t="shared" si="282"/>
        <v>0</v>
      </c>
      <c r="S2893" s="46">
        <f t="shared" si="283"/>
        <v>0</v>
      </c>
      <c r="T2893" s="46">
        <f t="shared" si="281"/>
        <v>0</v>
      </c>
      <c r="U2893" s="46">
        <f t="shared" si="284"/>
        <v>0</v>
      </c>
      <c r="V2893" s="54">
        <f t="shared" si="285"/>
        <v>8.6666666666666661</v>
      </c>
    </row>
    <row r="2894" spans="1:22" x14ac:dyDescent="0.2">
      <c r="A2894" s="46" t="s">
        <v>142</v>
      </c>
      <c r="B2894" s="46" t="s">
        <v>103</v>
      </c>
      <c r="C2894" s="46" t="s">
        <v>88</v>
      </c>
      <c r="D2894" s="46" t="s">
        <v>178</v>
      </c>
      <c r="E2894" s="46">
        <v>4</v>
      </c>
      <c r="F2894" s="46" t="s">
        <v>63</v>
      </c>
      <c r="G2894" s="46">
        <v>4</v>
      </c>
      <c r="H2894" s="47" t="s">
        <v>152</v>
      </c>
      <c r="I2894" s="47" t="s">
        <v>102</v>
      </c>
      <c r="J2894" s="48">
        <v>0</v>
      </c>
      <c r="K2894" s="48">
        <v>0</v>
      </c>
      <c r="R2894" s="46">
        <f t="shared" si="282"/>
        <v>0</v>
      </c>
      <c r="S2894" s="46">
        <f t="shared" si="283"/>
        <v>0</v>
      </c>
      <c r="T2894" s="46">
        <f t="shared" si="281"/>
        <v>0</v>
      </c>
      <c r="U2894" s="46">
        <f t="shared" si="284"/>
        <v>0</v>
      </c>
      <c r="V2894" s="54">
        <f t="shared" si="285"/>
        <v>8.6666666666666661</v>
      </c>
    </row>
    <row r="2895" spans="1:22" x14ac:dyDescent="0.2">
      <c r="A2895" s="46" t="s">
        <v>142</v>
      </c>
      <c r="B2895" s="46" t="s">
        <v>48</v>
      </c>
      <c r="C2895" s="46" t="s">
        <v>88</v>
      </c>
      <c r="D2895" s="46" t="s">
        <v>178</v>
      </c>
      <c r="E2895" s="46">
        <v>1</v>
      </c>
      <c r="F2895" s="46" t="s">
        <v>61</v>
      </c>
      <c r="G2895" s="46">
        <v>1</v>
      </c>
      <c r="H2895" s="47" t="s">
        <v>75</v>
      </c>
      <c r="I2895" s="47" t="s">
        <v>101</v>
      </c>
      <c r="J2895" s="48">
        <v>0</v>
      </c>
      <c r="K2895" s="48">
        <v>0</v>
      </c>
      <c r="R2895" s="46">
        <f t="shared" si="282"/>
        <v>0</v>
      </c>
      <c r="S2895" s="46">
        <f t="shared" si="283"/>
        <v>0</v>
      </c>
      <c r="T2895" s="46">
        <f t="shared" si="281"/>
        <v>0</v>
      </c>
      <c r="U2895" s="46">
        <f t="shared" si="284"/>
        <v>0</v>
      </c>
      <c r="V2895" s="54">
        <f t="shared" si="285"/>
        <v>8.6666666666666661</v>
      </c>
    </row>
    <row r="2896" spans="1:22" x14ac:dyDescent="0.2">
      <c r="A2896" s="46" t="s">
        <v>142</v>
      </c>
      <c r="B2896" s="46" t="s">
        <v>48</v>
      </c>
      <c r="C2896" s="46" t="s">
        <v>88</v>
      </c>
      <c r="D2896" s="46" t="s">
        <v>178</v>
      </c>
      <c r="E2896" s="46">
        <v>1</v>
      </c>
      <c r="F2896" s="46" t="s">
        <v>61</v>
      </c>
      <c r="G2896" s="46">
        <v>1</v>
      </c>
      <c r="H2896" s="47" t="s">
        <v>69</v>
      </c>
      <c r="I2896" s="47" t="s">
        <v>101</v>
      </c>
      <c r="J2896" s="48">
        <v>0</v>
      </c>
      <c r="K2896" s="48">
        <v>0</v>
      </c>
      <c r="R2896" s="46">
        <f t="shared" si="282"/>
        <v>0</v>
      </c>
      <c r="S2896" s="46">
        <f t="shared" si="283"/>
        <v>0</v>
      </c>
      <c r="T2896" s="46">
        <f t="shared" si="281"/>
        <v>0</v>
      </c>
      <c r="U2896" s="46">
        <f t="shared" si="284"/>
        <v>0</v>
      </c>
      <c r="V2896" s="54">
        <f t="shared" si="285"/>
        <v>8.6666666666666661</v>
      </c>
    </row>
    <row r="2897" spans="1:22" x14ac:dyDescent="0.2">
      <c r="A2897" s="46" t="s">
        <v>142</v>
      </c>
      <c r="B2897" s="46" t="s">
        <v>48</v>
      </c>
      <c r="C2897" s="46" t="s">
        <v>88</v>
      </c>
      <c r="D2897" s="46" t="s">
        <v>178</v>
      </c>
      <c r="E2897" s="46">
        <v>1</v>
      </c>
      <c r="F2897" s="46" t="s">
        <v>61</v>
      </c>
      <c r="G2897" s="46">
        <v>1</v>
      </c>
      <c r="H2897" s="47" t="s">
        <v>71</v>
      </c>
      <c r="I2897" s="47" t="s">
        <v>101</v>
      </c>
      <c r="J2897" s="48">
        <v>0</v>
      </c>
      <c r="K2897" s="48">
        <v>0</v>
      </c>
      <c r="R2897" s="46">
        <f t="shared" si="282"/>
        <v>0</v>
      </c>
      <c r="S2897" s="46">
        <f t="shared" si="283"/>
        <v>0</v>
      </c>
      <c r="T2897" s="46">
        <f t="shared" si="281"/>
        <v>0</v>
      </c>
      <c r="U2897" s="46">
        <f t="shared" si="284"/>
        <v>0</v>
      </c>
      <c r="V2897" s="54">
        <f t="shared" si="285"/>
        <v>8.6666666666666661</v>
      </c>
    </row>
    <row r="2898" spans="1:22" x14ac:dyDescent="0.2">
      <c r="A2898" s="46" t="s">
        <v>142</v>
      </c>
      <c r="B2898" s="46" t="s">
        <v>103</v>
      </c>
      <c r="C2898" s="46" t="s">
        <v>88</v>
      </c>
      <c r="D2898" s="46" t="s">
        <v>178</v>
      </c>
      <c r="E2898" s="46">
        <v>4</v>
      </c>
      <c r="F2898" s="46" t="s">
        <v>60</v>
      </c>
      <c r="G2898" s="46">
        <v>3</v>
      </c>
      <c r="H2898" s="47">
        <v>3</v>
      </c>
      <c r="I2898" s="47" t="s">
        <v>159</v>
      </c>
      <c r="J2898" s="48">
        <v>1</v>
      </c>
      <c r="K2898" s="48">
        <v>1</v>
      </c>
      <c r="R2898" s="46">
        <f t="shared" si="282"/>
        <v>0</v>
      </c>
      <c r="S2898" s="46">
        <f t="shared" si="283"/>
        <v>0</v>
      </c>
      <c r="T2898" s="46">
        <f t="shared" si="281"/>
        <v>20</v>
      </c>
      <c r="U2898" s="46">
        <f t="shared" si="284"/>
        <v>20</v>
      </c>
      <c r="V2898" s="54">
        <f t="shared" si="285"/>
        <v>8.6666666666666661</v>
      </c>
    </row>
    <row r="2899" spans="1:22" x14ac:dyDescent="0.2">
      <c r="A2899" s="46" t="s">
        <v>142</v>
      </c>
      <c r="B2899" s="46" t="s">
        <v>103</v>
      </c>
      <c r="C2899" s="46" t="s">
        <v>88</v>
      </c>
      <c r="D2899" s="46" t="s">
        <v>178</v>
      </c>
      <c r="E2899" s="46">
        <v>3</v>
      </c>
      <c r="F2899" s="46" t="s">
        <v>60</v>
      </c>
      <c r="G2899" s="46">
        <v>2</v>
      </c>
      <c r="H2899" s="47">
        <v>14</v>
      </c>
      <c r="I2899" s="47" t="s">
        <v>127</v>
      </c>
      <c r="J2899" s="48">
        <v>1</v>
      </c>
      <c r="K2899" s="48">
        <v>0</v>
      </c>
      <c r="R2899" s="46">
        <f t="shared" si="282"/>
        <v>0</v>
      </c>
      <c r="S2899" s="46">
        <f t="shared" si="283"/>
        <v>0</v>
      </c>
      <c r="T2899" s="46">
        <f t="shared" si="281"/>
        <v>20</v>
      </c>
      <c r="U2899" s="46">
        <f t="shared" si="284"/>
        <v>20</v>
      </c>
      <c r="V2899" s="54">
        <f t="shared" si="285"/>
        <v>8.6666666666666661</v>
      </c>
    </row>
    <row r="2900" spans="1:22" x14ac:dyDescent="0.2">
      <c r="A2900" s="46" t="s">
        <v>142</v>
      </c>
      <c r="B2900" s="46" t="s">
        <v>103</v>
      </c>
      <c r="C2900" s="46" t="s">
        <v>88</v>
      </c>
      <c r="D2900" s="46" t="s">
        <v>178</v>
      </c>
      <c r="E2900" s="46">
        <v>3</v>
      </c>
      <c r="F2900" s="46" t="s">
        <v>60</v>
      </c>
      <c r="G2900" s="46">
        <v>1</v>
      </c>
      <c r="H2900" s="47">
        <v>45</v>
      </c>
      <c r="I2900" s="47" t="s">
        <v>101</v>
      </c>
      <c r="J2900" s="48">
        <v>2</v>
      </c>
      <c r="K2900" s="48">
        <v>0</v>
      </c>
      <c r="R2900" s="46">
        <f t="shared" si="282"/>
        <v>0</v>
      </c>
      <c r="S2900" s="46">
        <f t="shared" si="283"/>
        <v>0</v>
      </c>
      <c r="T2900" s="46">
        <f t="shared" si="281"/>
        <v>40</v>
      </c>
      <c r="U2900" s="46">
        <f t="shared" si="284"/>
        <v>40</v>
      </c>
      <c r="V2900" s="54">
        <f t="shared" si="285"/>
        <v>8.6666666666666661</v>
      </c>
    </row>
    <row r="2901" spans="1:22" x14ac:dyDescent="0.2">
      <c r="A2901" s="46" t="s">
        <v>142</v>
      </c>
      <c r="B2901" s="46" t="s">
        <v>103</v>
      </c>
      <c r="C2901" s="46" t="s">
        <v>88</v>
      </c>
      <c r="D2901" s="46" t="s">
        <v>178</v>
      </c>
      <c r="E2901" s="46">
        <v>4</v>
      </c>
      <c r="F2901" s="46" t="s">
        <v>63</v>
      </c>
      <c r="G2901" s="46">
        <v>4</v>
      </c>
      <c r="H2901" s="47" t="s">
        <v>147</v>
      </c>
      <c r="I2901" s="47" t="s">
        <v>102</v>
      </c>
      <c r="J2901" s="48">
        <v>2</v>
      </c>
      <c r="K2901" s="48">
        <v>1</v>
      </c>
      <c r="R2901" s="46">
        <f t="shared" si="282"/>
        <v>0</v>
      </c>
      <c r="S2901" s="46">
        <f t="shared" si="283"/>
        <v>0</v>
      </c>
      <c r="T2901" s="46">
        <f t="shared" si="281"/>
        <v>40</v>
      </c>
      <c r="U2901" s="46">
        <f t="shared" si="284"/>
        <v>40</v>
      </c>
      <c r="V2901" s="54">
        <f t="shared" si="285"/>
        <v>8.6666666666666661</v>
      </c>
    </row>
    <row r="2902" spans="1:22" x14ac:dyDescent="0.2">
      <c r="A2902" s="46" t="s">
        <v>142</v>
      </c>
      <c r="B2902" s="46" t="s">
        <v>103</v>
      </c>
      <c r="C2902" s="46" t="s">
        <v>88</v>
      </c>
      <c r="D2902" s="46" t="s">
        <v>178</v>
      </c>
      <c r="E2902" s="46">
        <v>2</v>
      </c>
      <c r="F2902" s="46" t="s">
        <v>60</v>
      </c>
      <c r="G2902" s="46">
        <v>1</v>
      </c>
      <c r="H2902" s="47">
        <v>49</v>
      </c>
      <c r="I2902" s="47" t="s">
        <v>101</v>
      </c>
      <c r="J2902" s="48">
        <v>3</v>
      </c>
      <c r="K2902" s="48">
        <v>0</v>
      </c>
      <c r="R2902" s="46">
        <f t="shared" si="282"/>
        <v>0</v>
      </c>
      <c r="S2902" s="46">
        <f t="shared" si="283"/>
        <v>0</v>
      </c>
      <c r="T2902" s="46">
        <f t="shared" si="281"/>
        <v>60</v>
      </c>
      <c r="U2902" s="46">
        <f t="shared" si="284"/>
        <v>60</v>
      </c>
      <c r="V2902" s="54">
        <f t="shared" si="285"/>
        <v>8.6666666666666661</v>
      </c>
    </row>
    <row r="2903" spans="1:22" x14ac:dyDescent="0.2">
      <c r="A2903" s="46" t="s">
        <v>142</v>
      </c>
      <c r="B2903" s="46" t="s">
        <v>103</v>
      </c>
      <c r="C2903" s="46" t="s">
        <v>88</v>
      </c>
      <c r="D2903" s="46" t="s">
        <v>178</v>
      </c>
      <c r="E2903" s="46">
        <v>3</v>
      </c>
      <c r="F2903" s="46" t="s">
        <v>63</v>
      </c>
      <c r="G2903" s="46">
        <v>4</v>
      </c>
      <c r="H2903" s="47" t="s">
        <v>147</v>
      </c>
      <c r="I2903" s="47" t="s">
        <v>102</v>
      </c>
      <c r="J2903" s="48">
        <v>4</v>
      </c>
      <c r="K2903" s="48">
        <v>1</v>
      </c>
      <c r="R2903" s="46">
        <f t="shared" si="282"/>
        <v>1</v>
      </c>
      <c r="S2903" s="46">
        <f t="shared" si="283"/>
        <v>0</v>
      </c>
      <c r="T2903" s="46">
        <f t="shared" si="281"/>
        <v>80</v>
      </c>
      <c r="U2903" s="46">
        <f t="shared" si="284"/>
        <v>80</v>
      </c>
      <c r="V2903" s="54">
        <f t="shared" si="285"/>
        <v>8.6666666666666661</v>
      </c>
    </row>
    <row r="2904" spans="1:22" x14ac:dyDescent="0.2">
      <c r="A2904" s="46" t="s">
        <v>142</v>
      </c>
      <c r="B2904" s="46" t="s">
        <v>103</v>
      </c>
      <c r="C2904" s="46" t="s">
        <v>88</v>
      </c>
      <c r="D2904" s="46" t="s">
        <v>178</v>
      </c>
      <c r="E2904" s="46">
        <v>4</v>
      </c>
      <c r="F2904" s="46" t="s">
        <v>63</v>
      </c>
      <c r="G2904" s="46">
        <v>4</v>
      </c>
      <c r="H2904" s="47" t="s">
        <v>172</v>
      </c>
      <c r="I2904" s="47" t="s">
        <v>102</v>
      </c>
      <c r="J2904" s="48">
        <v>2</v>
      </c>
      <c r="K2904" s="48">
        <v>1</v>
      </c>
      <c r="R2904" s="46">
        <f t="shared" si="282"/>
        <v>0</v>
      </c>
      <c r="S2904" s="46">
        <f t="shared" si="283"/>
        <v>0</v>
      </c>
      <c r="T2904" s="46">
        <f t="shared" si="281"/>
        <v>40</v>
      </c>
      <c r="U2904" s="46">
        <f t="shared" si="284"/>
        <v>40</v>
      </c>
      <c r="V2904" s="54">
        <f t="shared" si="285"/>
        <v>8.6666666666666661</v>
      </c>
    </row>
    <row r="2905" spans="1:22" x14ac:dyDescent="0.2">
      <c r="A2905" s="46" t="s">
        <v>142</v>
      </c>
      <c r="B2905" s="46" t="s">
        <v>103</v>
      </c>
      <c r="C2905" s="46" t="s">
        <v>88</v>
      </c>
      <c r="D2905" s="46" t="s">
        <v>178</v>
      </c>
      <c r="E2905" s="46">
        <v>5</v>
      </c>
      <c r="F2905" s="46" t="s">
        <v>60</v>
      </c>
      <c r="G2905" s="46">
        <v>4</v>
      </c>
      <c r="H2905" s="47">
        <v>4</v>
      </c>
      <c r="I2905" s="47" t="s">
        <v>102</v>
      </c>
      <c r="J2905" s="48">
        <v>0</v>
      </c>
      <c r="K2905" s="48">
        <v>0</v>
      </c>
      <c r="M2905" s="48">
        <v>1</v>
      </c>
      <c r="R2905" s="46">
        <f t="shared" si="282"/>
        <v>0</v>
      </c>
      <c r="S2905" s="46">
        <f t="shared" si="283"/>
        <v>0</v>
      </c>
      <c r="T2905" s="46">
        <f t="shared" si="281"/>
        <v>0</v>
      </c>
      <c r="U2905" s="46">
        <f t="shared" si="284"/>
        <v>20</v>
      </c>
      <c r="V2905" s="54">
        <f t="shared" si="285"/>
        <v>8.6666666666666661</v>
      </c>
    </row>
    <row r="2906" spans="1:22" x14ac:dyDescent="0.2">
      <c r="A2906" s="46" t="s">
        <v>142</v>
      </c>
      <c r="B2906" s="46" t="s">
        <v>103</v>
      </c>
      <c r="C2906" s="46" t="s">
        <v>88</v>
      </c>
      <c r="D2906" s="46" t="s">
        <v>178</v>
      </c>
      <c r="E2906" s="46">
        <v>5</v>
      </c>
      <c r="F2906" s="46" t="s">
        <v>60</v>
      </c>
      <c r="G2906" s="46">
        <v>4</v>
      </c>
      <c r="H2906" s="47">
        <v>12</v>
      </c>
      <c r="I2906" s="47" t="s">
        <v>102</v>
      </c>
      <c r="J2906" s="48">
        <v>1</v>
      </c>
      <c r="K2906" s="48">
        <v>0</v>
      </c>
      <c r="R2906" s="46">
        <f t="shared" si="282"/>
        <v>0</v>
      </c>
      <c r="S2906" s="46">
        <f t="shared" si="283"/>
        <v>0</v>
      </c>
      <c r="T2906" s="46">
        <f t="shared" si="281"/>
        <v>20</v>
      </c>
      <c r="U2906" s="46">
        <f t="shared" si="284"/>
        <v>20</v>
      </c>
      <c r="V2906" s="54">
        <f t="shared" si="285"/>
        <v>8.6666666666666661</v>
      </c>
    </row>
    <row r="2907" spans="1:22" x14ac:dyDescent="0.2">
      <c r="A2907" s="46" t="s">
        <v>142</v>
      </c>
      <c r="B2907" s="46" t="s">
        <v>103</v>
      </c>
      <c r="C2907" s="46" t="s">
        <v>88</v>
      </c>
      <c r="D2907" s="46" t="s">
        <v>178</v>
      </c>
      <c r="E2907" s="46">
        <v>5</v>
      </c>
      <c r="F2907" s="46" t="s">
        <v>60</v>
      </c>
      <c r="G2907" s="46">
        <v>1</v>
      </c>
      <c r="H2907" s="47">
        <v>17</v>
      </c>
      <c r="I2907" s="47" t="s">
        <v>101</v>
      </c>
      <c r="J2907" s="48">
        <v>1</v>
      </c>
      <c r="K2907" s="48">
        <v>0</v>
      </c>
      <c r="R2907" s="46">
        <f t="shared" si="282"/>
        <v>0</v>
      </c>
      <c r="S2907" s="46">
        <f t="shared" si="283"/>
        <v>0</v>
      </c>
      <c r="T2907" s="46">
        <f t="shared" si="281"/>
        <v>20</v>
      </c>
      <c r="U2907" s="46">
        <f t="shared" si="284"/>
        <v>20</v>
      </c>
      <c r="V2907" s="54">
        <f t="shared" si="285"/>
        <v>8.6666666666666661</v>
      </c>
    </row>
    <row r="2908" spans="1:22" x14ac:dyDescent="0.2">
      <c r="A2908" s="46" t="s">
        <v>142</v>
      </c>
      <c r="B2908" s="46" t="s">
        <v>103</v>
      </c>
      <c r="C2908" s="46" t="s">
        <v>88</v>
      </c>
      <c r="D2908" s="46" t="s">
        <v>178</v>
      </c>
      <c r="E2908" s="46">
        <v>5</v>
      </c>
      <c r="F2908" s="46" t="s">
        <v>60</v>
      </c>
      <c r="G2908" s="46">
        <v>3</v>
      </c>
      <c r="H2908" s="47">
        <v>27</v>
      </c>
      <c r="I2908" s="47" t="s">
        <v>159</v>
      </c>
      <c r="J2908" s="48">
        <v>1</v>
      </c>
      <c r="K2908" s="48">
        <v>0</v>
      </c>
      <c r="R2908" s="46">
        <f t="shared" si="282"/>
        <v>0</v>
      </c>
      <c r="S2908" s="46">
        <f t="shared" si="283"/>
        <v>0</v>
      </c>
      <c r="T2908" s="46">
        <f t="shared" si="281"/>
        <v>20</v>
      </c>
      <c r="U2908" s="46">
        <f t="shared" si="284"/>
        <v>20</v>
      </c>
      <c r="V2908" s="54">
        <f t="shared" si="285"/>
        <v>8.6666666666666661</v>
      </c>
    </row>
    <row r="2909" spans="1:22" x14ac:dyDescent="0.2">
      <c r="A2909" s="46" t="s">
        <v>142</v>
      </c>
      <c r="B2909" s="46" t="s">
        <v>103</v>
      </c>
      <c r="C2909" s="46" t="s">
        <v>88</v>
      </c>
      <c r="D2909" s="46" t="s">
        <v>178</v>
      </c>
      <c r="E2909" s="46">
        <v>5</v>
      </c>
      <c r="F2909" s="46" t="s">
        <v>60</v>
      </c>
      <c r="G2909" s="46">
        <v>2</v>
      </c>
      <c r="H2909" s="47">
        <v>38</v>
      </c>
      <c r="I2909" s="47" t="s">
        <v>127</v>
      </c>
      <c r="J2909" s="48">
        <v>0</v>
      </c>
      <c r="K2909" s="48">
        <v>0</v>
      </c>
      <c r="R2909" s="46">
        <f t="shared" si="282"/>
        <v>0</v>
      </c>
      <c r="S2909" s="46">
        <f t="shared" si="283"/>
        <v>0</v>
      </c>
      <c r="T2909" s="46">
        <f t="shared" si="281"/>
        <v>0</v>
      </c>
      <c r="U2909" s="46">
        <f t="shared" si="284"/>
        <v>0</v>
      </c>
      <c r="V2909" s="54">
        <f t="shared" si="285"/>
        <v>8.6666666666666661</v>
      </c>
    </row>
    <row r="2910" spans="1:22" x14ac:dyDescent="0.2">
      <c r="A2910" s="46" t="s">
        <v>142</v>
      </c>
      <c r="B2910" s="46" t="s">
        <v>103</v>
      </c>
      <c r="C2910" s="46" t="s">
        <v>88</v>
      </c>
      <c r="D2910" s="46" t="s">
        <v>178</v>
      </c>
      <c r="E2910" s="46">
        <v>5</v>
      </c>
      <c r="F2910" s="46" t="s">
        <v>60</v>
      </c>
      <c r="G2910" s="46">
        <v>1</v>
      </c>
      <c r="H2910" s="47">
        <v>49</v>
      </c>
      <c r="I2910" s="47" t="s">
        <v>101</v>
      </c>
      <c r="J2910" s="48">
        <v>1</v>
      </c>
      <c r="K2910" s="48">
        <v>1</v>
      </c>
      <c r="R2910" s="46">
        <f t="shared" si="282"/>
        <v>0</v>
      </c>
      <c r="S2910" s="46">
        <f t="shared" si="283"/>
        <v>0</v>
      </c>
      <c r="T2910" s="46">
        <f t="shared" si="281"/>
        <v>20</v>
      </c>
      <c r="U2910" s="46">
        <f t="shared" si="284"/>
        <v>20</v>
      </c>
      <c r="V2910" s="54">
        <f t="shared" si="285"/>
        <v>8.6666666666666661</v>
      </c>
    </row>
    <row r="2911" spans="1:22" x14ac:dyDescent="0.2">
      <c r="A2911" s="46" t="s">
        <v>142</v>
      </c>
      <c r="B2911" s="46" t="s">
        <v>103</v>
      </c>
      <c r="C2911" s="46" t="s">
        <v>88</v>
      </c>
      <c r="D2911" s="46" t="s">
        <v>178</v>
      </c>
      <c r="E2911" s="46">
        <v>5</v>
      </c>
      <c r="F2911" s="46" t="s">
        <v>62</v>
      </c>
      <c r="G2911" s="46">
        <v>2</v>
      </c>
      <c r="H2911" s="47" t="s">
        <v>79</v>
      </c>
      <c r="I2911" s="47" t="s">
        <v>127</v>
      </c>
      <c r="J2911" s="48">
        <v>1</v>
      </c>
      <c r="K2911" s="48">
        <v>1</v>
      </c>
      <c r="R2911" s="46">
        <f t="shared" si="282"/>
        <v>0</v>
      </c>
      <c r="S2911" s="46">
        <f t="shared" si="283"/>
        <v>0</v>
      </c>
      <c r="T2911" s="46">
        <f t="shared" si="281"/>
        <v>20</v>
      </c>
      <c r="U2911" s="46">
        <f t="shared" si="284"/>
        <v>20</v>
      </c>
      <c r="V2911" s="54">
        <f t="shared" si="285"/>
        <v>8.6666666666666661</v>
      </c>
    </row>
    <row r="2912" spans="1:22" x14ac:dyDescent="0.2">
      <c r="A2912" s="46" t="s">
        <v>142</v>
      </c>
      <c r="B2912" s="46" t="s">
        <v>103</v>
      </c>
      <c r="C2912" s="46" t="s">
        <v>88</v>
      </c>
      <c r="D2912" s="46" t="s">
        <v>178</v>
      </c>
      <c r="E2912" s="46">
        <v>5</v>
      </c>
      <c r="F2912" s="46" t="s">
        <v>62</v>
      </c>
      <c r="G2912" s="46">
        <v>3</v>
      </c>
      <c r="H2912" s="47" t="s">
        <v>84</v>
      </c>
      <c r="I2912" s="47" t="s">
        <v>219</v>
      </c>
      <c r="J2912" s="48">
        <v>2</v>
      </c>
      <c r="K2912" s="48">
        <v>0</v>
      </c>
      <c r="R2912" s="46">
        <f t="shared" si="282"/>
        <v>0</v>
      </c>
      <c r="S2912" s="46">
        <f t="shared" si="283"/>
        <v>0</v>
      </c>
      <c r="T2912" s="46">
        <f t="shared" si="281"/>
        <v>40</v>
      </c>
      <c r="U2912" s="46">
        <f t="shared" si="284"/>
        <v>40</v>
      </c>
      <c r="V2912" s="54">
        <f t="shared" si="285"/>
        <v>8.6666666666666661</v>
      </c>
    </row>
    <row r="2913" spans="1:22" x14ac:dyDescent="0.2">
      <c r="A2913" s="46" t="s">
        <v>142</v>
      </c>
      <c r="B2913" s="46" t="s">
        <v>103</v>
      </c>
      <c r="C2913" s="46" t="s">
        <v>88</v>
      </c>
      <c r="D2913" s="46" t="s">
        <v>178</v>
      </c>
      <c r="E2913" s="46">
        <v>5</v>
      </c>
      <c r="F2913" s="46" t="s">
        <v>62</v>
      </c>
      <c r="G2913" s="46">
        <v>3</v>
      </c>
      <c r="H2913" s="47" t="s">
        <v>87</v>
      </c>
      <c r="I2913" s="47" t="s">
        <v>219</v>
      </c>
      <c r="J2913" s="48">
        <v>1</v>
      </c>
      <c r="K2913" s="48">
        <v>1</v>
      </c>
      <c r="R2913" s="46">
        <f t="shared" si="282"/>
        <v>0</v>
      </c>
      <c r="S2913" s="46">
        <f t="shared" si="283"/>
        <v>0</v>
      </c>
      <c r="T2913" s="46">
        <f t="shared" si="281"/>
        <v>20</v>
      </c>
      <c r="U2913" s="46">
        <f t="shared" si="284"/>
        <v>20</v>
      </c>
      <c r="V2913" s="54">
        <f t="shared" si="285"/>
        <v>8.6666666666666661</v>
      </c>
    </row>
    <row r="2914" spans="1:22" x14ac:dyDescent="0.2">
      <c r="A2914" s="46" t="s">
        <v>191</v>
      </c>
      <c r="B2914" s="46" t="s">
        <v>115</v>
      </c>
      <c r="C2914" s="46" t="s">
        <v>93</v>
      </c>
      <c r="D2914" s="46" t="s">
        <v>178</v>
      </c>
      <c r="E2914" s="46">
        <v>1</v>
      </c>
      <c r="F2914" s="46" t="s">
        <v>60</v>
      </c>
      <c r="G2914" s="46">
        <v>2</v>
      </c>
      <c r="H2914" s="47">
        <v>6</v>
      </c>
      <c r="I2914" s="47" t="s">
        <v>127</v>
      </c>
      <c r="J2914" s="48">
        <v>0</v>
      </c>
      <c r="K2914" s="48">
        <v>0</v>
      </c>
      <c r="R2914" s="46">
        <f t="shared" si="282"/>
        <v>0</v>
      </c>
      <c r="S2914" s="46">
        <f t="shared" si="283"/>
        <v>0</v>
      </c>
      <c r="T2914" s="46">
        <f t="shared" si="281"/>
        <v>0</v>
      </c>
      <c r="U2914" s="46">
        <f t="shared" si="284"/>
        <v>0</v>
      </c>
      <c r="V2914" s="54">
        <f t="shared" si="285"/>
        <v>3.3333333333333335</v>
      </c>
    </row>
    <row r="2915" spans="1:22" x14ac:dyDescent="0.2">
      <c r="A2915" s="46" t="s">
        <v>191</v>
      </c>
      <c r="B2915" s="46" t="s">
        <v>115</v>
      </c>
      <c r="C2915" s="46" t="s">
        <v>93</v>
      </c>
      <c r="D2915" s="46" t="s">
        <v>178</v>
      </c>
      <c r="E2915" s="46">
        <v>1</v>
      </c>
      <c r="F2915" s="46" t="s">
        <v>60</v>
      </c>
      <c r="G2915" s="46">
        <v>3</v>
      </c>
      <c r="H2915" s="47">
        <v>23</v>
      </c>
      <c r="I2915" s="47" t="s">
        <v>116</v>
      </c>
      <c r="J2915" s="48">
        <v>0</v>
      </c>
      <c r="K2915" s="48">
        <v>0</v>
      </c>
      <c r="R2915" s="46">
        <f t="shared" si="282"/>
        <v>0</v>
      </c>
      <c r="S2915" s="46">
        <f t="shared" si="283"/>
        <v>0</v>
      </c>
      <c r="T2915" s="46">
        <f t="shared" si="281"/>
        <v>0</v>
      </c>
      <c r="U2915" s="46">
        <f t="shared" si="284"/>
        <v>0</v>
      </c>
      <c r="V2915" s="54">
        <f t="shared" si="285"/>
        <v>3.3333333333333335</v>
      </c>
    </row>
    <row r="2916" spans="1:22" x14ac:dyDescent="0.2">
      <c r="A2916" s="46" t="s">
        <v>191</v>
      </c>
      <c r="B2916" s="46" t="s">
        <v>115</v>
      </c>
      <c r="C2916" s="46" t="s">
        <v>93</v>
      </c>
      <c r="D2916" s="46" t="s">
        <v>178</v>
      </c>
      <c r="E2916" s="46">
        <v>1</v>
      </c>
      <c r="F2916" s="46" t="s">
        <v>60</v>
      </c>
      <c r="G2916" s="46">
        <v>2</v>
      </c>
      <c r="H2916" s="47">
        <v>30</v>
      </c>
      <c r="I2916" s="47" t="s">
        <v>127</v>
      </c>
      <c r="J2916" s="48">
        <v>0</v>
      </c>
      <c r="K2916" s="48">
        <v>0</v>
      </c>
      <c r="R2916" s="46">
        <f t="shared" si="282"/>
        <v>0</v>
      </c>
      <c r="S2916" s="46">
        <f t="shared" si="283"/>
        <v>0</v>
      </c>
      <c r="T2916" s="46">
        <f t="shared" si="281"/>
        <v>0</v>
      </c>
      <c r="U2916" s="46">
        <f t="shared" si="284"/>
        <v>0</v>
      </c>
      <c r="V2916" s="54">
        <f t="shared" si="285"/>
        <v>3.3333333333333335</v>
      </c>
    </row>
    <row r="2917" spans="1:22" x14ac:dyDescent="0.2">
      <c r="A2917" s="46" t="s">
        <v>191</v>
      </c>
      <c r="B2917" s="46" t="s">
        <v>115</v>
      </c>
      <c r="C2917" s="46" t="s">
        <v>93</v>
      </c>
      <c r="D2917" s="46" t="s">
        <v>178</v>
      </c>
      <c r="E2917" s="46">
        <v>1</v>
      </c>
      <c r="F2917" s="46" t="s">
        <v>60</v>
      </c>
      <c r="G2917" s="46">
        <v>1</v>
      </c>
      <c r="H2917" s="47">
        <v>41</v>
      </c>
      <c r="I2917" s="47" t="s">
        <v>101</v>
      </c>
      <c r="J2917" s="48">
        <v>0</v>
      </c>
      <c r="K2917" s="48">
        <v>0</v>
      </c>
      <c r="R2917" s="46">
        <f t="shared" si="282"/>
        <v>0</v>
      </c>
      <c r="S2917" s="46">
        <f t="shared" si="283"/>
        <v>0</v>
      </c>
      <c r="T2917" s="46">
        <f t="shared" si="281"/>
        <v>0</v>
      </c>
      <c r="U2917" s="46">
        <f t="shared" si="284"/>
        <v>0</v>
      </c>
      <c r="V2917" s="54">
        <f t="shared" si="285"/>
        <v>3.3333333333333335</v>
      </c>
    </row>
    <row r="2918" spans="1:22" x14ac:dyDescent="0.2">
      <c r="A2918" s="46" t="s">
        <v>191</v>
      </c>
      <c r="B2918" s="46" t="s">
        <v>115</v>
      </c>
      <c r="C2918" s="46" t="s">
        <v>93</v>
      </c>
      <c r="D2918" s="46" t="s">
        <v>178</v>
      </c>
      <c r="E2918" s="46">
        <v>1</v>
      </c>
      <c r="F2918" s="46" t="s">
        <v>60</v>
      </c>
      <c r="G2918" s="46">
        <v>1</v>
      </c>
      <c r="H2918" s="47">
        <v>49</v>
      </c>
      <c r="I2918" s="47" t="s">
        <v>101</v>
      </c>
      <c r="J2918" s="48">
        <v>0</v>
      </c>
      <c r="K2918" s="48">
        <v>0</v>
      </c>
      <c r="R2918" s="46">
        <f t="shared" si="282"/>
        <v>0</v>
      </c>
      <c r="S2918" s="46">
        <f t="shared" si="283"/>
        <v>0</v>
      </c>
      <c r="T2918" s="46">
        <f t="shared" si="281"/>
        <v>0</v>
      </c>
      <c r="U2918" s="46">
        <f t="shared" si="284"/>
        <v>0</v>
      </c>
      <c r="V2918" s="54">
        <f t="shared" si="285"/>
        <v>3.3333333333333335</v>
      </c>
    </row>
    <row r="2919" spans="1:22" x14ac:dyDescent="0.2">
      <c r="A2919" s="46" t="s">
        <v>191</v>
      </c>
      <c r="B2919" s="46" t="s">
        <v>115</v>
      </c>
      <c r="C2919" s="46" t="s">
        <v>93</v>
      </c>
      <c r="D2919" s="46" t="s">
        <v>178</v>
      </c>
      <c r="E2919" s="46">
        <v>1</v>
      </c>
      <c r="F2919" s="46" t="s">
        <v>63</v>
      </c>
      <c r="G2919" s="46">
        <v>4</v>
      </c>
      <c r="H2919" s="47" t="s">
        <v>146</v>
      </c>
      <c r="I2919" s="47" t="s">
        <v>102</v>
      </c>
      <c r="J2919" s="48">
        <v>0</v>
      </c>
      <c r="K2919" s="48">
        <v>1</v>
      </c>
      <c r="R2919" s="46">
        <f t="shared" si="282"/>
        <v>0</v>
      </c>
      <c r="S2919" s="46">
        <f t="shared" si="283"/>
        <v>0</v>
      </c>
      <c r="T2919" s="46">
        <f t="shared" si="281"/>
        <v>0</v>
      </c>
      <c r="U2919" s="46">
        <f t="shared" si="284"/>
        <v>0</v>
      </c>
      <c r="V2919" s="54">
        <f t="shared" si="285"/>
        <v>3.3333333333333335</v>
      </c>
    </row>
    <row r="2920" spans="1:22" x14ac:dyDescent="0.2">
      <c r="A2920" s="46" t="s">
        <v>191</v>
      </c>
      <c r="B2920" s="46" t="s">
        <v>115</v>
      </c>
      <c r="C2920" s="46" t="s">
        <v>93</v>
      </c>
      <c r="D2920" s="46" t="s">
        <v>178</v>
      </c>
      <c r="E2920" s="46">
        <v>1</v>
      </c>
      <c r="F2920" s="46" t="s">
        <v>63</v>
      </c>
      <c r="G2920" s="46">
        <v>4</v>
      </c>
      <c r="H2920" s="47" t="s">
        <v>148</v>
      </c>
      <c r="I2920" s="47" t="s">
        <v>102</v>
      </c>
      <c r="J2920" s="48">
        <v>0</v>
      </c>
      <c r="K2920" s="48">
        <v>1</v>
      </c>
      <c r="R2920" s="46">
        <f t="shared" si="282"/>
        <v>0</v>
      </c>
      <c r="S2920" s="46">
        <f t="shared" si="283"/>
        <v>0</v>
      </c>
      <c r="T2920" s="46">
        <f t="shared" si="281"/>
        <v>0</v>
      </c>
      <c r="U2920" s="46">
        <f t="shared" si="284"/>
        <v>0</v>
      </c>
      <c r="V2920" s="54">
        <f t="shared" si="285"/>
        <v>3.3333333333333335</v>
      </c>
    </row>
    <row r="2921" spans="1:22" x14ac:dyDescent="0.2">
      <c r="A2921" s="46" t="s">
        <v>191</v>
      </c>
      <c r="B2921" s="46" t="s">
        <v>115</v>
      </c>
      <c r="C2921" s="46" t="s">
        <v>93</v>
      </c>
      <c r="D2921" s="46" t="s">
        <v>178</v>
      </c>
      <c r="E2921" s="46">
        <v>1</v>
      </c>
      <c r="F2921" s="46" t="s">
        <v>60</v>
      </c>
      <c r="G2921" s="46">
        <v>4</v>
      </c>
      <c r="H2921" s="47">
        <v>16</v>
      </c>
      <c r="I2921" s="47" t="s">
        <v>102</v>
      </c>
      <c r="J2921" s="48">
        <v>1</v>
      </c>
      <c r="K2921" s="48">
        <v>0</v>
      </c>
      <c r="R2921" s="46">
        <f t="shared" si="282"/>
        <v>0</v>
      </c>
      <c r="S2921" s="46">
        <f t="shared" si="283"/>
        <v>0</v>
      </c>
      <c r="T2921" s="46">
        <f t="shared" si="281"/>
        <v>20</v>
      </c>
      <c r="U2921" s="46">
        <f t="shared" si="284"/>
        <v>20</v>
      </c>
      <c r="V2921" s="54">
        <f t="shared" si="285"/>
        <v>3.3333333333333335</v>
      </c>
    </row>
    <row r="2922" spans="1:22" x14ac:dyDescent="0.2">
      <c r="A2922" s="46" t="s">
        <v>191</v>
      </c>
      <c r="B2922" s="46" t="s">
        <v>115</v>
      </c>
      <c r="C2922" s="46" t="s">
        <v>93</v>
      </c>
      <c r="D2922" s="46" t="s">
        <v>178</v>
      </c>
      <c r="E2922" s="46">
        <v>1</v>
      </c>
      <c r="F2922" s="46" t="s">
        <v>63</v>
      </c>
      <c r="G2922" s="46">
        <v>4</v>
      </c>
      <c r="H2922" s="47" t="s">
        <v>151</v>
      </c>
      <c r="I2922" s="47" t="s">
        <v>102</v>
      </c>
      <c r="J2922" s="48">
        <v>1</v>
      </c>
      <c r="K2922" s="48">
        <v>0</v>
      </c>
      <c r="R2922" s="46">
        <f t="shared" si="282"/>
        <v>0</v>
      </c>
      <c r="S2922" s="46">
        <f t="shared" si="283"/>
        <v>0</v>
      </c>
      <c r="T2922" s="46">
        <f t="shared" si="281"/>
        <v>20</v>
      </c>
      <c r="U2922" s="46">
        <f t="shared" si="284"/>
        <v>20</v>
      </c>
      <c r="V2922" s="54">
        <f t="shared" si="285"/>
        <v>3.3333333333333335</v>
      </c>
    </row>
    <row r="2923" spans="1:22" x14ac:dyDescent="0.2">
      <c r="A2923" s="46" t="s">
        <v>28</v>
      </c>
      <c r="B2923" s="46" t="s">
        <v>48</v>
      </c>
      <c r="C2923" s="46" t="s">
        <v>88</v>
      </c>
      <c r="D2923" s="46" t="s">
        <v>178</v>
      </c>
      <c r="E2923" s="46">
        <v>4</v>
      </c>
      <c r="F2923" s="46" t="s">
        <v>60</v>
      </c>
      <c r="G2923" s="46">
        <v>3</v>
      </c>
      <c r="H2923" s="47">
        <v>11</v>
      </c>
      <c r="I2923" s="47" t="s">
        <v>159</v>
      </c>
      <c r="J2923" s="48">
        <v>0</v>
      </c>
      <c r="K2923" s="48">
        <v>2</v>
      </c>
      <c r="R2923" s="46">
        <f t="shared" si="282"/>
        <v>0</v>
      </c>
      <c r="S2923" s="46">
        <f t="shared" si="283"/>
        <v>0</v>
      </c>
      <c r="T2923" s="46">
        <f t="shared" si="281"/>
        <v>-10</v>
      </c>
      <c r="U2923" s="46">
        <f t="shared" si="284"/>
        <v>-10</v>
      </c>
      <c r="V2923" s="54">
        <f t="shared" si="285"/>
        <v>28.666666666666668</v>
      </c>
    </row>
    <row r="2924" spans="1:22" x14ac:dyDescent="0.2">
      <c r="A2924" s="46" t="s">
        <v>28</v>
      </c>
      <c r="B2924" s="46" t="s">
        <v>48</v>
      </c>
      <c r="C2924" s="46" t="s">
        <v>88</v>
      </c>
      <c r="D2924" s="46" t="s">
        <v>178</v>
      </c>
      <c r="E2924" s="46">
        <v>2</v>
      </c>
      <c r="F2924" s="46" t="s">
        <v>60</v>
      </c>
      <c r="G2924" s="46">
        <v>4</v>
      </c>
      <c r="H2924" s="47">
        <v>32</v>
      </c>
      <c r="I2924" s="47" t="s">
        <v>102</v>
      </c>
      <c r="J2924" s="48">
        <v>0</v>
      </c>
      <c r="K2924" s="48">
        <v>2</v>
      </c>
      <c r="R2924" s="46">
        <f t="shared" si="282"/>
        <v>0</v>
      </c>
      <c r="S2924" s="46">
        <f t="shared" si="283"/>
        <v>0</v>
      </c>
      <c r="T2924" s="46">
        <f t="shared" si="281"/>
        <v>-10</v>
      </c>
      <c r="U2924" s="46">
        <f t="shared" si="284"/>
        <v>-10</v>
      </c>
      <c r="V2924" s="54">
        <f t="shared" si="285"/>
        <v>28.666666666666668</v>
      </c>
    </row>
    <row r="2925" spans="1:22" x14ac:dyDescent="0.2">
      <c r="A2925" s="46" t="s">
        <v>28</v>
      </c>
      <c r="B2925" s="46" t="s">
        <v>48</v>
      </c>
      <c r="C2925" s="46" t="s">
        <v>88</v>
      </c>
      <c r="D2925" s="46" t="s">
        <v>178</v>
      </c>
      <c r="E2925" s="46">
        <v>4</v>
      </c>
      <c r="F2925" s="46" t="s">
        <v>60</v>
      </c>
      <c r="G2925" s="46">
        <v>1</v>
      </c>
      <c r="H2925" s="47">
        <v>21</v>
      </c>
      <c r="I2925" s="47" t="s">
        <v>101</v>
      </c>
      <c r="J2925" s="48">
        <v>0</v>
      </c>
      <c r="K2925" s="48">
        <v>0</v>
      </c>
      <c r="R2925" s="46">
        <f t="shared" si="282"/>
        <v>0</v>
      </c>
      <c r="S2925" s="46">
        <f t="shared" si="283"/>
        <v>0</v>
      </c>
      <c r="T2925" s="46">
        <f t="shared" si="281"/>
        <v>0</v>
      </c>
      <c r="U2925" s="46">
        <f t="shared" si="284"/>
        <v>0</v>
      </c>
      <c r="V2925" s="54">
        <f t="shared" si="285"/>
        <v>28.666666666666668</v>
      </c>
    </row>
    <row r="2926" spans="1:22" x14ac:dyDescent="0.2">
      <c r="A2926" s="46" t="s">
        <v>28</v>
      </c>
      <c r="B2926" s="46" t="s">
        <v>48</v>
      </c>
      <c r="C2926" s="46" t="s">
        <v>88</v>
      </c>
      <c r="D2926" s="46" t="s">
        <v>178</v>
      </c>
      <c r="E2926" s="46">
        <v>2</v>
      </c>
      <c r="F2926" s="46" t="s">
        <v>60</v>
      </c>
      <c r="G2926" s="46">
        <v>2</v>
      </c>
      <c r="H2926" s="47">
        <v>38</v>
      </c>
      <c r="I2926" s="47" t="s">
        <v>127</v>
      </c>
      <c r="J2926" s="48">
        <v>0</v>
      </c>
      <c r="K2926" s="48">
        <v>1</v>
      </c>
      <c r="R2926" s="46">
        <f t="shared" si="282"/>
        <v>0</v>
      </c>
      <c r="S2926" s="46">
        <f t="shared" si="283"/>
        <v>0</v>
      </c>
      <c r="T2926" s="46">
        <f t="shared" si="281"/>
        <v>0</v>
      </c>
      <c r="U2926" s="46">
        <f t="shared" si="284"/>
        <v>0</v>
      </c>
      <c r="V2926" s="54">
        <f t="shared" si="285"/>
        <v>28.666666666666668</v>
      </c>
    </row>
    <row r="2927" spans="1:22" x14ac:dyDescent="0.2">
      <c r="A2927" s="46" t="s">
        <v>28</v>
      </c>
      <c r="B2927" s="46" t="s">
        <v>48</v>
      </c>
      <c r="C2927" s="46" t="s">
        <v>88</v>
      </c>
      <c r="D2927" s="46" t="s">
        <v>178</v>
      </c>
      <c r="E2927" s="46">
        <v>4</v>
      </c>
      <c r="F2927" s="46" t="s">
        <v>60</v>
      </c>
      <c r="G2927" s="46">
        <v>3</v>
      </c>
      <c r="H2927" s="47">
        <v>43</v>
      </c>
      <c r="I2927" s="47" t="s">
        <v>159</v>
      </c>
      <c r="J2927" s="48">
        <v>0</v>
      </c>
      <c r="K2927" s="48">
        <v>0</v>
      </c>
      <c r="R2927" s="46">
        <f t="shared" si="282"/>
        <v>0</v>
      </c>
      <c r="S2927" s="46">
        <f t="shared" si="283"/>
        <v>0</v>
      </c>
      <c r="T2927" s="46">
        <f t="shared" si="281"/>
        <v>0</v>
      </c>
      <c r="U2927" s="46">
        <f t="shared" si="284"/>
        <v>0</v>
      </c>
      <c r="V2927" s="54">
        <f t="shared" si="285"/>
        <v>28.666666666666668</v>
      </c>
    </row>
    <row r="2928" spans="1:22" x14ac:dyDescent="0.2">
      <c r="A2928" s="46" t="s">
        <v>28</v>
      </c>
      <c r="B2928" s="46" t="s">
        <v>48</v>
      </c>
      <c r="C2928" s="46" t="s">
        <v>88</v>
      </c>
      <c r="D2928" s="46" t="s">
        <v>178</v>
      </c>
      <c r="E2928" s="46">
        <v>2</v>
      </c>
      <c r="F2928" s="46" t="s">
        <v>60</v>
      </c>
      <c r="G2928" s="46">
        <v>4</v>
      </c>
      <c r="H2928" s="47">
        <v>48</v>
      </c>
      <c r="I2928" s="47" t="s">
        <v>102</v>
      </c>
      <c r="J2928" s="48">
        <v>0</v>
      </c>
      <c r="K2928" s="48">
        <v>0</v>
      </c>
      <c r="R2928" s="46">
        <f t="shared" si="282"/>
        <v>0</v>
      </c>
      <c r="S2928" s="46">
        <f t="shared" si="283"/>
        <v>0</v>
      </c>
      <c r="T2928" s="46">
        <f t="shared" si="281"/>
        <v>0</v>
      </c>
      <c r="U2928" s="46">
        <f t="shared" si="284"/>
        <v>0</v>
      </c>
      <c r="V2928" s="54">
        <f t="shared" si="285"/>
        <v>28.666666666666668</v>
      </c>
    </row>
    <row r="2929" spans="1:22" x14ac:dyDescent="0.2">
      <c r="A2929" s="46" t="s">
        <v>28</v>
      </c>
      <c r="B2929" s="46" t="s">
        <v>48</v>
      </c>
      <c r="C2929" s="46" t="s">
        <v>88</v>
      </c>
      <c r="D2929" s="46" t="s">
        <v>178</v>
      </c>
      <c r="E2929" s="46">
        <v>3</v>
      </c>
      <c r="F2929" s="46" t="s">
        <v>61</v>
      </c>
      <c r="G2929" s="46">
        <v>1</v>
      </c>
      <c r="H2929" s="47" t="s">
        <v>70</v>
      </c>
      <c r="I2929" s="47" t="s">
        <v>101</v>
      </c>
      <c r="J2929" s="48">
        <v>0</v>
      </c>
      <c r="K2929" s="48">
        <v>0</v>
      </c>
      <c r="R2929" s="46">
        <f t="shared" si="282"/>
        <v>0</v>
      </c>
      <c r="S2929" s="46">
        <f t="shared" si="283"/>
        <v>0</v>
      </c>
      <c r="T2929" s="46">
        <f t="shared" si="281"/>
        <v>0</v>
      </c>
      <c r="U2929" s="46">
        <f t="shared" si="284"/>
        <v>0</v>
      </c>
      <c r="V2929" s="54">
        <f t="shared" si="285"/>
        <v>28.666666666666668</v>
      </c>
    </row>
    <row r="2930" spans="1:22" x14ac:dyDescent="0.2">
      <c r="A2930" s="46" t="s">
        <v>28</v>
      </c>
      <c r="B2930" s="46" t="s">
        <v>48</v>
      </c>
      <c r="C2930" s="46" t="s">
        <v>88</v>
      </c>
      <c r="D2930" s="46" t="s">
        <v>178</v>
      </c>
      <c r="E2930" s="46">
        <v>4</v>
      </c>
      <c r="F2930" s="46" t="s">
        <v>61</v>
      </c>
      <c r="G2930" s="46">
        <v>1</v>
      </c>
      <c r="H2930" s="47" t="s">
        <v>74</v>
      </c>
      <c r="I2930" s="47" t="s">
        <v>101</v>
      </c>
      <c r="J2930" s="48">
        <v>0</v>
      </c>
      <c r="K2930" s="48">
        <v>0</v>
      </c>
      <c r="R2930" s="46">
        <f t="shared" si="282"/>
        <v>0</v>
      </c>
      <c r="S2930" s="46">
        <f t="shared" si="283"/>
        <v>0</v>
      </c>
      <c r="T2930" s="46">
        <f t="shared" si="281"/>
        <v>0</v>
      </c>
      <c r="U2930" s="46">
        <f t="shared" si="284"/>
        <v>0</v>
      </c>
      <c r="V2930" s="54">
        <f t="shared" si="285"/>
        <v>28.666666666666668</v>
      </c>
    </row>
    <row r="2931" spans="1:22" x14ac:dyDescent="0.2">
      <c r="A2931" s="46" t="s">
        <v>28</v>
      </c>
      <c r="B2931" s="46" t="s">
        <v>48</v>
      </c>
      <c r="C2931" s="46" t="s">
        <v>88</v>
      </c>
      <c r="D2931" s="46" t="s">
        <v>178</v>
      </c>
      <c r="E2931" s="46">
        <v>2</v>
      </c>
      <c r="F2931" s="46" t="s">
        <v>61</v>
      </c>
      <c r="G2931" s="46">
        <v>1</v>
      </c>
      <c r="H2931" s="47" t="s">
        <v>75</v>
      </c>
      <c r="I2931" s="47" t="s">
        <v>101</v>
      </c>
      <c r="J2931" s="48">
        <v>0</v>
      </c>
      <c r="K2931" s="48">
        <v>0</v>
      </c>
      <c r="M2931" s="48">
        <v>1</v>
      </c>
      <c r="R2931" s="46">
        <f t="shared" si="282"/>
        <v>0</v>
      </c>
      <c r="S2931" s="46">
        <f t="shared" si="283"/>
        <v>0</v>
      </c>
      <c r="T2931" s="46">
        <f t="shared" si="281"/>
        <v>0</v>
      </c>
      <c r="U2931" s="46">
        <f t="shared" si="284"/>
        <v>20</v>
      </c>
      <c r="V2931" s="54">
        <f t="shared" si="285"/>
        <v>28.666666666666668</v>
      </c>
    </row>
    <row r="2932" spans="1:22" x14ac:dyDescent="0.2">
      <c r="A2932" s="46" t="s">
        <v>28</v>
      </c>
      <c r="B2932" s="46" t="s">
        <v>48</v>
      </c>
      <c r="C2932" s="46" t="s">
        <v>88</v>
      </c>
      <c r="D2932" s="46" t="s">
        <v>178</v>
      </c>
      <c r="E2932" s="46">
        <v>3</v>
      </c>
      <c r="F2932" s="46" t="s">
        <v>61</v>
      </c>
      <c r="G2932" s="46">
        <v>2</v>
      </c>
      <c r="H2932" s="47" t="s">
        <v>76</v>
      </c>
      <c r="I2932" s="47" t="s">
        <v>127</v>
      </c>
      <c r="J2932" s="48">
        <v>0</v>
      </c>
      <c r="K2932" s="48">
        <v>0</v>
      </c>
      <c r="R2932" s="46">
        <f t="shared" si="282"/>
        <v>0</v>
      </c>
      <c r="S2932" s="46">
        <f t="shared" si="283"/>
        <v>0</v>
      </c>
      <c r="T2932" s="46">
        <f t="shared" si="281"/>
        <v>0</v>
      </c>
      <c r="U2932" s="46">
        <f t="shared" si="284"/>
        <v>0</v>
      </c>
      <c r="V2932" s="54">
        <f t="shared" si="285"/>
        <v>28.666666666666668</v>
      </c>
    </row>
    <row r="2933" spans="1:22" x14ac:dyDescent="0.2">
      <c r="A2933" s="46" t="s">
        <v>28</v>
      </c>
      <c r="B2933" s="46" t="s">
        <v>48</v>
      </c>
      <c r="C2933" s="46" t="s">
        <v>88</v>
      </c>
      <c r="D2933" s="46" t="s">
        <v>178</v>
      </c>
      <c r="E2933" s="46">
        <v>4</v>
      </c>
      <c r="F2933" s="46" t="s">
        <v>61</v>
      </c>
      <c r="G2933" s="46">
        <v>2</v>
      </c>
      <c r="H2933" s="47" t="s">
        <v>76</v>
      </c>
      <c r="I2933" s="47" t="s">
        <v>127</v>
      </c>
      <c r="J2933" s="48">
        <v>0</v>
      </c>
      <c r="K2933" s="48">
        <v>0</v>
      </c>
      <c r="R2933" s="46">
        <f t="shared" si="282"/>
        <v>0</v>
      </c>
      <c r="S2933" s="46">
        <f t="shared" si="283"/>
        <v>0</v>
      </c>
      <c r="T2933" s="46">
        <f t="shared" si="281"/>
        <v>0</v>
      </c>
      <c r="U2933" s="46">
        <f t="shared" si="284"/>
        <v>0</v>
      </c>
      <c r="V2933" s="54">
        <f t="shared" si="285"/>
        <v>28.666666666666668</v>
      </c>
    </row>
    <row r="2934" spans="1:22" x14ac:dyDescent="0.2">
      <c r="A2934" s="46" t="s">
        <v>28</v>
      </c>
      <c r="B2934" s="46" t="s">
        <v>48</v>
      </c>
      <c r="C2934" s="46" t="s">
        <v>88</v>
      </c>
      <c r="D2934" s="46" t="s">
        <v>178</v>
      </c>
      <c r="E2934" s="46">
        <v>2</v>
      </c>
      <c r="F2934" s="46" t="s">
        <v>61</v>
      </c>
      <c r="G2934" s="46">
        <v>1</v>
      </c>
      <c r="H2934" s="47" t="s">
        <v>78</v>
      </c>
      <c r="I2934" s="47" t="s">
        <v>101</v>
      </c>
      <c r="J2934" s="48">
        <v>0</v>
      </c>
      <c r="K2934" s="48">
        <v>1</v>
      </c>
      <c r="R2934" s="46">
        <f t="shared" si="282"/>
        <v>0</v>
      </c>
      <c r="S2934" s="46">
        <f t="shared" si="283"/>
        <v>0</v>
      </c>
      <c r="T2934" s="46">
        <f t="shared" si="281"/>
        <v>0</v>
      </c>
      <c r="U2934" s="46">
        <f t="shared" si="284"/>
        <v>0</v>
      </c>
      <c r="V2934" s="54">
        <f t="shared" si="285"/>
        <v>28.666666666666668</v>
      </c>
    </row>
    <row r="2935" spans="1:22" x14ac:dyDescent="0.2">
      <c r="A2935" s="46" t="s">
        <v>28</v>
      </c>
      <c r="B2935" s="46" t="s">
        <v>48</v>
      </c>
      <c r="C2935" s="46" t="s">
        <v>88</v>
      </c>
      <c r="D2935" s="46" t="s">
        <v>178</v>
      </c>
      <c r="E2935" s="46">
        <v>2</v>
      </c>
      <c r="F2935" s="46" t="s">
        <v>60</v>
      </c>
      <c r="G2935" s="46">
        <v>1</v>
      </c>
      <c r="H2935" s="47">
        <v>5</v>
      </c>
      <c r="I2935" s="47" t="s">
        <v>101</v>
      </c>
      <c r="J2935" s="48">
        <v>1</v>
      </c>
      <c r="K2935" s="48">
        <v>2</v>
      </c>
      <c r="O2935" s="48">
        <v>1</v>
      </c>
      <c r="R2935" s="46">
        <f t="shared" si="282"/>
        <v>0</v>
      </c>
      <c r="S2935" s="46">
        <f t="shared" si="283"/>
        <v>0</v>
      </c>
      <c r="T2935" s="46">
        <f t="shared" ref="T2935:T2998" si="286">quizscore(J2935,K2935)</f>
        <v>10</v>
      </c>
      <c r="U2935" s="46">
        <f t="shared" si="284"/>
        <v>20</v>
      </c>
      <c r="V2935" s="54">
        <f t="shared" si="285"/>
        <v>28.666666666666668</v>
      </c>
    </row>
    <row r="2936" spans="1:22" x14ac:dyDescent="0.2">
      <c r="A2936" s="46" t="s">
        <v>28</v>
      </c>
      <c r="B2936" s="46" t="s">
        <v>48</v>
      </c>
      <c r="C2936" s="46" t="s">
        <v>88</v>
      </c>
      <c r="D2936" s="46" t="s">
        <v>178</v>
      </c>
      <c r="E2936" s="46">
        <v>3</v>
      </c>
      <c r="F2936" s="46" t="s">
        <v>60</v>
      </c>
      <c r="G2936" s="46">
        <v>3</v>
      </c>
      <c r="H2936" s="47">
        <v>7</v>
      </c>
      <c r="I2936" s="47" t="s">
        <v>116</v>
      </c>
      <c r="J2936" s="48">
        <v>1</v>
      </c>
      <c r="K2936" s="48">
        <v>0</v>
      </c>
      <c r="R2936" s="46">
        <f t="shared" si="282"/>
        <v>0</v>
      </c>
      <c r="S2936" s="46">
        <f t="shared" si="283"/>
        <v>0</v>
      </c>
      <c r="T2936" s="46">
        <f t="shared" si="286"/>
        <v>20</v>
      </c>
      <c r="U2936" s="46">
        <f t="shared" si="284"/>
        <v>20</v>
      </c>
      <c r="V2936" s="54">
        <f t="shared" si="285"/>
        <v>28.666666666666668</v>
      </c>
    </row>
    <row r="2937" spans="1:22" x14ac:dyDescent="0.2">
      <c r="A2937" s="46" t="s">
        <v>28</v>
      </c>
      <c r="B2937" s="46" t="s">
        <v>48</v>
      </c>
      <c r="C2937" s="46" t="s">
        <v>88</v>
      </c>
      <c r="D2937" s="46" t="s">
        <v>178</v>
      </c>
      <c r="E2937" s="46">
        <v>4</v>
      </c>
      <c r="F2937" s="46" t="s">
        <v>60</v>
      </c>
      <c r="G2937" s="46">
        <v>4</v>
      </c>
      <c r="H2937" s="47">
        <v>16</v>
      </c>
      <c r="I2937" s="47" t="s">
        <v>102</v>
      </c>
      <c r="J2937" s="48">
        <v>1</v>
      </c>
      <c r="K2937" s="48">
        <v>1</v>
      </c>
      <c r="R2937" s="46">
        <f t="shared" si="282"/>
        <v>0</v>
      </c>
      <c r="S2937" s="46">
        <f t="shared" si="283"/>
        <v>0</v>
      </c>
      <c r="T2937" s="46">
        <f t="shared" si="286"/>
        <v>20</v>
      </c>
      <c r="U2937" s="46">
        <f t="shared" si="284"/>
        <v>20</v>
      </c>
      <c r="V2937" s="54">
        <f t="shared" si="285"/>
        <v>28.666666666666668</v>
      </c>
    </row>
    <row r="2938" spans="1:22" x14ac:dyDescent="0.2">
      <c r="A2938" s="46" t="s">
        <v>28</v>
      </c>
      <c r="B2938" s="46" t="s">
        <v>48</v>
      </c>
      <c r="C2938" s="46" t="s">
        <v>88</v>
      </c>
      <c r="D2938" s="46" t="s">
        <v>178</v>
      </c>
      <c r="E2938" s="46">
        <v>2</v>
      </c>
      <c r="F2938" s="46" t="s">
        <v>60</v>
      </c>
      <c r="G2938" s="46">
        <v>2</v>
      </c>
      <c r="H2938" s="47">
        <v>22</v>
      </c>
      <c r="I2938" s="47" t="s">
        <v>127</v>
      </c>
      <c r="J2938" s="48">
        <v>1</v>
      </c>
      <c r="K2938" s="48">
        <v>0</v>
      </c>
      <c r="R2938" s="46">
        <f t="shared" si="282"/>
        <v>0</v>
      </c>
      <c r="S2938" s="46">
        <f t="shared" si="283"/>
        <v>0</v>
      </c>
      <c r="T2938" s="46">
        <f t="shared" si="286"/>
        <v>20</v>
      </c>
      <c r="U2938" s="46">
        <f t="shared" si="284"/>
        <v>20</v>
      </c>
      <c r="V2938" s="54">
        <f t="shared" si="285"/>
        <v>28.666666666666668</v>
      </c>
    </row>
    <row r="2939" spans="1:22" x14ac:dyDescent="0.2">
      <c r="A2939" s="46" t="s">
        <v>28</v>
      </c>
      <c r="B2939" s="46" t="s">
        <v>48</v>
      </c>
      <c r="C2939" s="46" t="s">
        <v>88</v>
      </c>
      <c r="D2939" s="46" t="s">
        <v>178</v>
      </c>
      <c r="E2939" s="46">
        <v>3</v>
      </c>
      <c r="F2939" s="46" t="s">
        <v>60</v>
      </c>
      <c r="G2939" s="46">
        <v>1</v>
      </c>
      <c r="H2939" s="47">
        <v>25</v>
      </c>
      <c r="I2939" s="47" t="s">
        <v>116</v>
      </c>
      <c r="J2939" s="48">
        <v>1</v>
      </c>
      <c r="K2939" s="48">
        <v>0</v>
      </c>
      <c r="R2939" s="46">
        <f t="shared" si="282"/>
        <v>0</v>
      </c>
      <c r="S2939" s="46">
        <f t="shared" si="283"/>
        <v>0</v>
      </c>
      <c r="T2939" s="46">
        <f t="shared" si="286"/>
        <v>20</v>
      </c>
      <c r="U2939" s="46">
        <f t="shared" si="284"/>
        <v>20</v>
      </c>
      <c r="V2939" s="54">
        <f t="shared" si="285"/>
        <v>28.666666666666668</v>
      </c>
    </row>
    <row r="2940" spans="1:22" x14ac:dyDescent="0.2">
      <c r="A2940" s="46" t="s">
        <v>28</v>
      </c>
      <c r="B2940" s="46" t="s">
        <v>48</v>
      </c>
      <c r="C2940" s="46" t="s">
        <v>88</v>
      </c>
      <c r="D2940" s="46" t="s">
        <v>178</v>
      </c>
      <c r="E2940" s="46">
        <v>4</v>
      </c>
      <c r="F2940" s="46" t="s">
        <v>60</v>
      </c>
      <c r="G2940" s="46">
        <v>2</v>
      </c>
      <c r="H2940" s="47">
        <v>26</v>
      </c>
      <c r="I2940" s="47" t="s">
        <v>127</v>
      </c>
      <c r="J2940" s="48">
        <v>1</v>
      </c>
      <c r="K2940" s="48">
        <v>0</v>
      </c>
      <c r="R2940" s="46">
        <f t="shared" si="282"/>
        <v>0</v>
      </c>
      <c r="S2940" s="46">
        <f t="shared" si="283"/>
        <v>0</v>
      </c>
      <c r="T2940" s="46">
        <f t="shared" si="286"/>
        <v>20</v>
      </c>
      <c r="U2940" s="46">
        <f t="shared" si="284"/>
        <v>20</v>
      </c>
      <c r="V2940" s="54">
        <f t="shared" si="285"/>
        <v>28.666666666666668</v>
      </c>
    </row>
    <row r="2941" spans="1:22" x14ac:dyDescent="0.2">
      <c r="A2941" s="46" t="s">
        <v>28</v>
      </c>
      <c r="B2941" s="46" t="s">
        <v>48</v>
      </c>
      <c r="C2941" s="46" t="s">
        <v>88</v>
      </c>
      <c r="D2941" s="46" t="s">
        <v>178</v>
      </c>
      <c r="E2941" s="46">
        <v>3</v>
      </c>
      <c r="F2941" s="46" t="s">
        <v>60</v>
      </c>
      <c r="G2941" s="46">
        <v>1</v>
      </c>
      <c r="H2941" s="47">
        <v>41</v>
      </c>
      <c r="I2941" s="47" t="s">
        <v>101</v>
      </c>
      <c r="J2941" s="48">
        <v>1</v>
      </c>
      <c r="K2941" s="48">
        <v>0</v>
      </c>
      <c r="O2941" s="48">
        <v>1</v>
      </c>
      <c r="R2941" s="46">
        <f t="shared" si="282"/>
        <v>0</v>
      </c>
      <c r="S2941" s="46">
        <f t="shared" si="283"/>
        <v>0</v>
      </c>
      <c r="T2941" s="46">
        <f t="shared" si="286"/>
        <v>20</v>
      </c>
      <c r="U2941" s="46">
        <f t="shared" si="284"/>
        <v>30</v>
      </c>
      <c r="V2941" s="54">
        <f t="shared" si="285"/>
        <v>28.666666666666668</v>
      </c>
    </row>
    <row r="2942" spans="1:22" x14ac:dyDescent="0.2">
      <c r="A2942" s="46" t="s">
        <v>28</v>
      </c>
      <c r="B2942" s="46" t="s">
        <v>48</v>
      </c>
      <c r="C2942" s="46" t="s">
        <v>88</v>
      </c>
      <c r="D2942" s="46" t="s">
        <v>178</v>
      </c>
      <c r="E2942" s="46">
        <v>1</v>
      </c>
      <c r="F2942" s="46" t="s">
        <v>61</v>
      </c>
      <c r="G2942" s="46">
        <v>1</v>
      </c>
      <c r="H2942" s="47" t="s">
        <v>67</v>
      </c>
      <c r="I2942" s="47" t="s">
        <v>101</v>
      </c>
      <c r="J2942" s="48">
        <v>1</v>
      </c>
      <c r="K2942" s="48">
        <v>1</v>
      </c>
      <c r="R2942" s="46">
        <f t="shared" si="282"/>
        <v>0</v>
      </c>
      <c r="S2942" s="46">
        <f t="shared" si="283"/>
        <v>0</v>
      </c>
      <c r="T2942" s="46">
        <f t="shared" si="286"/>
        <v>20</v>
      </c>
      <c r="U2942" s="46">
        <f t="shared" si="284"/>
        <v>20</v>
      </c>
      <c r="V2942" s="54">
        <f t="shared" si="285"/>
        <v>28.666666666666668</v>
      </c>
    </row>
    <row r="2943" spans="1:22" x14ac:dyDescent="0.2">
      <c r="A2943" s="46" t="s">
        <v>28</v>
      </c>
      <c r="B2943" s="46" t="s">
        <v>48</v>
      </c>
      <c r="C2943" s="46" t="s">
        <v>88</v>
      </c>
      <c r="D2943" s="46" t="s">
        <v>178</v>
      </c>
      <c r="E2943" s="46">
        <v>2</v>
      </c>
      <c r="F2943" s="46" t="s">
        <v>61</v>
      </c>
      <c r="G2943" s="46">
        <v>1</v>
      </c>
      <c r="H2943" s="47" t="s">
        <v>67</v>
      </c>
      <c r="I2943" s="47" t="s">
        <v>101</v>
      </c>
      <c r="J2943" s="48">
        <v>1</v>
      </c>
      <c r="K2943" s="48">
        <v>0</v>
      </c>
      <c r="R2943" s="46">
        <f t="shared" si="282"/>
        <v>0</v>
      </c>
      <c r="S2943" s="46">
        <f t="shared" si="283"/>
        <v>0</v>
      </c>
      <c r="T2943" s="46">
        <f t="shared" si="286"/>
        <v>20</v>
      </c>
      <c r="U2943" s="46">
        <f t="shared" si="284"/>
        <v>20</v>
      </c>
      <c r="V2943" s="54">
        <f t="shared" si="285"/>
        <v>28.666666666666668</v>
      </c>
    </row>
    <row r="2944" spans="1:22" x14ac:dyDescent="0.2">
      <c r="A2944" s="46" t="s">
        <v>28</v>
      </c>
      <c r="B2944" s="46" t="s">
        <v>48</v>
      </c>
      <c r="C2944" s="46" t="s">
        <v>88</v>
      </c>
      <c r="D2944" s="46" t="s">
        <v>178</v>
      </c>
      <c r="E2944" s="46">
        <v>3</v>
      </c>
      <c r="F2944" s="46" t="s">
        <v>60</v>
      </c>
      <c r="G2944" s="46">
        <v>2</v>
      </c>
      <c r="H2944" s="47">
        <v>14</v>
      </c>
      <c r="I2944" s="47" t="s">
        <v>127</v>
      </c>
      <c r="J2944" s="48">
        <v>2</v>
      </c>
      <c r="K2944" s="48">
        <v>2</v>
      </c>
      <c r="R2944" s="46">
        <f t="shared" si="282"/>
        <v>0</v>
      </c>
      <c r="S2944" s="46">
        <f t="shared" si="283"/>
        <v>0</v>
      </c>
      <c r="T2944" s="46">
        <f t="shared" si="286"/>
        <v>30</v>
      </c>
      <c r="U2944" s="46">
        <f t="shared" si="284"/>
        <v>30</v>
      </c>
      <c r="V2944" s="54">
        <f t="shared" si="285"/>
        <v>28.666666666666668</v>
      </c>
    </row>
    <row r="2945" spans="1:22" x14ac:dyDescent="0.2">
      <c r="A2945" s="46" t="s">
        <v>28</v>
      </c>
      <c r="B2945" s="46" t="s">
        <v>48</v>
      </c>
      <c r="C2945" s="46" t="s">
        <v>88</v>
      </c>
      <c r="D2945" s="46" t="s">
        <v>178</v>
      </c>
      <c r="E2945" s="46">
        <v>4</v>
      </c>
      <c r="F2945" s="46" t="s">
        <v>60</v>
      </c>
      <c r="G2945" s="46">
        <v>4</v>
      </c>
      <c r="H2945" s="47">
        <v>4</v>
      </c>
      <c r="I2945" s="47" t="s">
        <v>102</v>
      </c>
      <c r="J2945" s="48">
        <v>2</v>
      </c>
      <c r="K2945" s="48">
        <v>0</v>
      </c>
      <c r="R2945" s="46">
        <f t="shared" si="282"/>
        <v>0</v>
      </c>
      <c r="S2945" s="46">
        <f t="shared" si="283"/>
        <v>0</v>
      </c>
      <c r="T2945" s="46">
        <f t="shared" si="286"/>
        <v>40</v>
      </c>
      <c r="U2945" s="46">
        <f t="shared" si="284"/>
        <v>40</v>
      </c>
      <c r="V2945" s="54">
        <f t="shared" si="285"/>
        <v>28.666666666666668</v>
      </c>
    </row>
    <row r="2946" spans="1:22" x14ac:dyDescent="0.2">
      <c r="A2946" s="46" t="s">
        <v>28</v>
      </c>
      <c r="B2946" s="46" t="s">
        <v>48</v>
      </c>
      <c r="C2946" s="46" t="s">
        <v>88</v>
      </c>
      <c r="D2946" s="46" t="s">
        <v>178</v>
      </c>
      <c r="E2946" s="46">
        <v>1</v>
      </c>
      <c r="F2946" s="46" t="s">
        <v>60</v>
      </c>
      <c r="G2946" s="46">
        <v>2</v>
      </c>
      <c r="H2946" s="47">
        <v>10</v>
      </c>
      <c r="I2946" s="47" t="s">
        <v>127</v>
      </c>
      <c r="J2946" s="48">
        <v>2</v>
      </c>
      <c r="K2946" s="48">
        <v>0</v>
      </c>
      <c r="R2946" s="46">
        <f t="shared" ref="R2946:R3009" si="287">IF(J2946=4,1,0)</f>
        <v>0</v>
      </c>
      <c r="S2946" s="46">
        <f t="shared" ref="S2946:S3009" si="288">IF(K2946=3,1,0)</f>
        <v>0</v>
      </c>
      <c r="T2946" s="46">
        <f t="shared" si="286"/>
        <v>40</v>
      </c>
      <c r="U2946" s="46">
        <f t="shared" ref="U2946:U3009" si="289">T2946+M2946*(20) + (SUM(O2946:Q2946)*(10)) - L2946*(5) - N2946*(5)</f>
        <v>40</v>
      </c>
      <c r="V2946" s="54">
        <f t="shared" ref="V2946:V3009" si="290">AVERAGEIFS(U:U,A:A,A2946,F:F,"Pre")</f>
        <v>28.666666666666668</v>
      </c>
    </row>
    <row r="2947" spans="1:22" x14ac:dyDescent="0.2">
      <c r="A2947" s="46" t="s">
        <v>28</v>
      </c>
      <c r="B2947" s="46" t="s">
        <v>48</v>
      </c>
      <c r="C2947" s="46" t="s">
        <v>88</v>
      </c>
      <c r="D2947" s="46" t="s">
        <v>178</v>
      </c>
      <c r="E2947" s="46">
        <v>3</v>
      </c>
      <c r="F2947" s="46" t="s">
        <v>60</v>
      </c>
      <c r="G2947" s="46">
        <v>3</v>
      </c>
      <c r="H2947" s="47">
        <v>35</v>
      </c>
      <c r="I2947" s="47" t="s">
        <v>116</v>
      </c>
      <c r="J2947" s="48">
        <v>2</v>
      </c>
      <c r="K2947" s="48">
        <v>0</v>
      </c>
      <c r="R2947" s="46">
        <f t="shared" si="287"/>
        <v>0</v>
      </c>
      <c r="S2947" s="46">
        <f t="shared" si="288"/>
        <v>0</v>
      </c>
      <c r="T2947" s="46">
        <f t="shared" si="286"/>
        <v>40</v>
      </c>
      <c r="U2947" s="46">
        <f t="shared" si="289"/>
        <v>40</v>
      </c>
      <c r="V2947" s="54">
        <f t="shared" si="290"/>
        <v>28.666666666666668</v>
      </c>
    </row>
    <row r="2948" spans="1:22" x14ac:dyDescent="0.2">
      <c r="A2948" s="46" t="s">
        <v>28</v>
      </c>
      <c r="B2948" s="46" t="s">
        <v>48</v>
      </c>
      <c r="C2948" s="46" t="s">
        <v>88</v>
      </c>
      <c r="D2948" s="46" t="s">
        <v>178</v>
      </c>
      <c r="E2948" s="46">
        <v>3</v>
      </c>
      <c r="F2948" s="46" t="s">
        <v>60</v>
      </c>
      <c r="G2948" s="46">
        <v>2</v>
      </c>
      <c r="H2948" s="47">
        <v>50</v>
      </c>
      <c r="I2948" s="47" t="s">
        <v>127</v>
      </c>
      <c r="J2948" s="48">
        <v>2</v>
      </c>
      <c r="K2948" s="48">
        <v>1</v>
      </c>
      <c r="O2948" s="48">
        <v>1</v>
      </c>
      <c r="R2948" s="46">
        <f t="shared" si="287"/>
        <v>0</v>
      </c>
      <c r="S2948" s="46">
        <f t="shared" si="288"/>
        <v>0</v>
      </c>
      <c r="T2948" s="46">
        <f t="shared" si="286"/>
        <v>40</v>
      </c>
      <c r="U2948" s="46">
        <f t="shared" si="289"/>
        <v>50</v>
      </c>
      <c r="V2948" s="54">
        <f t="shared" si="290"/>
        <v>28.666666666666668</v>
      </c>
    </row>
    <row r="2949" spans="1:22" x14ac:dyDescent="0.2">
      <c r="A2949" s="46" t="s">
        <v>28</v>
      </c>
      <c r="B2949" s="46" t="s">
        <v>48</v>
      </c>
      <c r="C2949" s="46" t="s">
        <v>88</v>
      </c>
      <c r="D2949" s="46" t="s">
        <v>178</v>
      </c>
      <c r="E2949" s="46">
        <v>1</v>
      </c>
      <c r="F2949" s="46" t="s">
        <v>61</v>
      </c>
      <c r="G2949" s="46">
        <v>1</v>
      </c>
      <c r="H2949" s="47" t="s">
        <v>75</v>
      </c>
      <c r="I2949" s="47" t="s">
        <v>101</v>
      </c>
      <c r="J2949" s="48">
        <v>2</v>
      </c>
      <c r="K2949" s="48">
        <v>0</v>
      </c>
      <c r="R2949" s="46">
        <f t="shared" si="287"/>
        <v>0</v>
      </c>
      <c r="S2949" s="46">
        <f t="shared" si="288"/>
        <v>0</v>
      </c>
      <c r="T2949" s="46">
        <f t="shared" si="286"/>
        <v>40</v>
      </c>
      <c r="U2949" s="46">
        <f t="shared" si="289"/>
        <v>40</v>
      </c>
      <c r="V2949" s="54">
        <f t="shared" si="290"/>
        <v>28.666666666666668</v>
      </c>
    </row>
    <row r="2950" spans="1:22" x14ac:dyDescent="0.2">
      <c r="A2950" s="46" t="s">
        <v>28</v>
      </c>
      <c r="B2950" s="46" t="s">
        <v>48</v>
      </c>
      <c r="C2950" s="46" t="s">
        <v>88</v>
      </c>
      <c r="D2950" s="46" t="s">
        <v>178</v>
      </c>
      <c r="E2950" s="46">
        <v>1</v>
      </c>
      <c r="F2950" s="46" t="s">
        <v>61</v>
      </c>
      <c r="G2950" s="46">
        <v>1</v>
      </c>
      <c r="H2950" s="47" t="s">
        <v>69</v>
      </c>
      <c r="I2950" s="47" t="s">
        <v>101</v>
      </c>
      <c r="J2950" s="48">
        <v>2</v>
      </c>
      <c r="K2950" s="48">
        <v>0</v>
      </c>
      <c r="R2950" s="46">
        <f t="shared" si="287"/>
        <v>0</v>
      </c>
      <c r="S2950" s="46">
        <f t="shared" si="288"/>
        <v>0</v>
      </c>
      <c r="T2950" s="46">
        <f t="shared" si="286"/>
        <v>40</v>
      </c>
      <c r="U2950" s="46">
        <f t="shared" si="289"/>
        <v>40</v>
      </c>
      <c r="V2950" s="54">
        <f t="shared" si="290"/>
        <v>28.666666666666668</v>
      </c>
    </row>
    <row r="2951" spans="1:22" x14ac:dyDescent="0.2">
      <c r="A2951" s="46" t="s">
        <v>28</v>
      </c>
      <c r="B2951" s="46" t="s">
        <v>48</v>
      </c>
      <c r="C2951" s="46" t="s">
        <v>88</v>
      </c>
      <c r="D2951" s="46" t="s">
        <v>178</v>
      </c>
      <c r="E2951" s="46">
        <v>1</v>
      </c>
      <c r="F2951" s="46" t="s">
        <v>61</v>
      </c>
      <c r="G2951" s="46">
        <v>1</v>
      </c>
      <c r="H2951" s="47" t="s">
        <v>71</v>
      </c>
      <c r="I2951" s="47" t="s">
        <v>101</v>
      </c>
      <c r="J2951" s="48">
        <v>3</v>
      </c>
      <c r="K2951" s="48">
        <v>2</v>
      </c>
      <c r="R2951" s="46">
        <f t="shared" si="287"/>
        <v>0</v>
      </c>
      <c r="S2951" s="46">
        <f t="shared" si="288"/>
        <v>0</v>
      </c>
      <c r="T2951" s="46">
        <f t="shared" si="286"/>
        <v>50</v>
      </c>
      <c r="U2951" s="46">
        <f t="shared" si="289"/>
        <v>50</v>
      </c>
      <c r="V2951" s="54">
        <f t="shared" si="290"/>
        <v>28.666666666666668</v>
      </c>
    </row>
    <row r="2952" spans="1:22" x14ac:dyDescent="0.2">
      <c r="A2952" s="46" t="s">
        <v>28</v>
      </c>
      <c r="B2952" s="46" t="s">
        <v>48</v>
      </c>
      <c r="C2952" s="46" t="s">
        <v>88</v>
      </c>
      <c r="D2952" s="46" t="s">
        <v>178</v>
      </c>
      <c r="E2952" s="46">
        <v>1</v>
      </c>
      <c r="F2952" s="46" t="s">
        <v>60</v>
      </c>
      <c r="G2952" s="46">
        <v>1</v>
      </c>
      <c r="H2952" s="47">
        <v>1</v>
      </c>
      <c r="I2952" s="47" t="s">
        <v>101</v>
      </c>
      <c r="J2952" s="48">
        <v>3</v>
      </c>
      <c r="K2952" s="48">
        <v>0</v>
      </c>
      <c r="R2952" s="46">
        <f t="shared" si="287"/>
        <v>0</v>
      </c>
      <c r="S2952" s="46">
        <f t="shared" si="288"/>
        <v>0</v>
      </c>
      <c r="T2952" s="46">
        <f t="shared" si="286"/>
        <v>60</v>
      </c>
      <c r="U2952" s="46">
        <f t="shared" si="289"/>
        <v>60</v>
      </c>
      <c r="V2952" s="54">
        <f t="shared" si="290"/>
        <v>28.666666666666668</v>
      </c>
    </row>
    <row r="2953" spans="1:22" x14ac:dyDescent="0.2">
      <c r="A2953" s="46" t="s">
        <v>28</v>
      </c>
      <c r="B2953" s="46" t="s">
        <v>48</v>
      </c>
      <c r="C2953" s="46" t="s">
        <v>88</v>
      </c>
      <c r="D2953" s="46" t="s">
        <v>178</v>
      </c>
      <c r="E2953" s="46">
        <v>1</v>
      </c>
      <c r="F2953" s="46" t="s">
        <v>60</v>
      </c>
      <c r="G2953" s="46">
        <v>4</v>
      </c>
      <c r="H2953" s="47">
        <v>36</v>
      </c>
      <c r="I2953" s="47" t="s">
        <v>102</v>
      </c>
      <c r="J2953" s="48">
        <v>3</v>
      </c>
      <c r="K2953" s="48">
        <v>0</v>
      </c>
      <c r="R2953" s="46">
        <f t="shared" si="287"/>
        <v>0</v>
      </c>
      <c r="S2953" s="46">
        <f t="shared" si="288"/>
        <v>0</v>
      </c>
      <c r="T2953" s="46">
        <f t="shared" si="286"/>
        <v>60</v>
      </c>
      <c r="U2953" s="46">
        <f t="shared" si="289"/>
        <v>60</v>
      </c>
      <c r="V2953" s="54">
        <f t="shared" si="290"/>
        <v>28.666666666666668</v>
      </c>
    </row>
    <row r="2954" spans="1:22" x14ac:dyDescent="0.2">
      <c r="A2954" s="46" t="s">
        <v>28</v>
      </c>
      <c r="B2954" s="46" t="s">
        <v>48</v>
      </c>
      <c r="C2954" s="46" t="s">
        <v>88</v>
      </c>
      <c r="D2954" s="46" t="s">
        <v>178</v>
      </c>
      <c r="E2954" s="46">
        <v>2</v>
      </c>
      <c r="F2954" s="46" t="s">
        <v>61</v>
      </c>
      <c r="G2954" s="46">
        <v>1</v>
      </c>
      <c r="H2954" s="47" t="s">
        <v>78</v>
      </c>
      <c r="I2954" s="47" t="s">
        <v>101</v>
      </c>
      <c r="J2954" s="48">
        <v>3</v>
      </c>
      <c r="K2954" s="48">
        <v>0</v>
      </c>
      <c r="R2954" s="46">
        <f t="shared" si="287"/>
        <v>0</v>
      </c>
      <c r="S2954" s="46">
        <f t="shared" si="288"/>
        <v>0</v>
      </c>
      <c r="T2954" s="46">
        <f t="shared" si="286"/>
        <v>60</v>
      </c>
      <c r="U2954" s="46">
        <f t="shared" si="289"/>
        <v>60</v>
      </c>
      <c r="V2954" s="54">
        <f t="shared" si="290"/>
        <v>28.666666666666668</v>
      </c>
    </row>
    <row r="2955" spans="1:22" x14ac:dyDescent="0.2">
      <c r="A2955" s="46" t="s">
        <v>28</v>
      </c>
      <c r="B2955" s="46" t="s">
        <v>48</v>
      </c>
      <c r="C2955" s="46" t="s">
        <v>88</v>
      </c>
      <c r="D2955" s="46" t="s">
        <v>178</v>
      </c>
      <c r="E2955" s="46">
        <v>2</v>
      </c>
      <c r="F2955" s="46" t="s">
        <v>60</v>
      </c>
      <c r="G2955" s="46">
        <v>3</v>
      </c>
      <c r="H2955" s="47">
        <v>15</v>
      </c>
      <c r="I2955" s="47" t="s">
        <v>116</v>
      </c>
      <c r="J2955" s="48">
        <v>4</v>
      </c>
      <c r="K2955" s="48">
        <v>1</v>
      </c>
      <c r="R2955" s="46">
        <f t="shared" si="287"/>
        <v>1</v>
      </c>
      <c r="S2955" s="46">
        <f t="shared" si="288"/>
        <v>0</v>
      </c>
      <c r="T2955" s="46">
        <f t="shared" si="286"/>
        <v>80</v>
      </c>
      <c r="U2955" s="46">
        <f t="shared" si="289"/>
        <v>80</v>
      </c>
      <c r="V2955" s="54">
        <f t="shared" si="290"/>
        <v>28.666666666666668</v>
      </c>
    </row>
    <row r="2956" spans="1:22" x14ac:dyDescent="0.2">
      <c r="A2956" s="46" t="s">
        <v>28</v>
      </c>
      <c r="B2956" s="46" t="s">
        <v>48</v>
      </c>
      <c r="C2956" s="46" t="s">
        <v>88</v>
      </c>
      <c r="D2956" s="46" t="s">
        <v>178</v>
      </c>
      <c r="E2956" s="46">
        <v>1</v>
      </c>
      <c r="F2956" s="46" t="s">
        <v>60</v>
      </c>
      <c r="G2956" s="46">
        <v>3</v>
      </c>
      <c r="H2956" s="47">
        <v>19</v>
      </c>
      <c r="I2956" s="47" t="s">
        <v>116</v>
      </c>
      <c r="J2956" s="48">
        <v>4</v>
      </c>
      <c r="K2956" s="48">
        <v>0</v>
      </c>
      <c r="R2956" s="46">
        <f t="shared" si="287"/>
        <v>1</v>
      </c>
      <c r="S2956" s="46">
        <f t="shared" si="288"/>
        <v>0</v>
      </c>
      <c r="T2956" s="46">
        <f t="shared" si="286"/>
        <v>90</v>
      </c>
      <c r="U2956" s="46">
        <f t="shared" si="289"/>
        <v>90</v>
      </c>
      <c r="V2956" s="54">
        <f t="shared" si="290"/>
        <v>28.666666666666668</v>
      </c>
    </row>
    <row r="2957" spans="1:22" x14ac:dyDescent="0.2">
      <c r="A2957" s="46" t="s">
        <v>28</v>
      </c>
      <c r="B2957" s="46" t="s">
        <v>48</v>
      </c>
      <c r="C2957" s="46" t="s">
        <v>88</v>
      </c>
      <c r="D2957" s="46" t="s">
        <v>178</v>
      </c>
      <c r="E2957" s="46">
        <v>1</v>
      </c>
      <c r="F2957" s="46" t="s">
        <v>60</v>
      </c>
      <c r="G2957" s="46">
        <v>4</v>
      </c>
      <c r="H2957" s="47">
        <v>32</v>
      </c>
      <c r="I2957" s="47" t="s">
        <v>102</v>
      </c>
      <c r="J2957" s="48">
        <v>4</v>
      </c>
      <c r="K2957" s="48">
        <v>0</v>
      </c>
      <c r="R2957" s="46">
        <f t="shared" si="287"/>
        <v>1</v>
      </c>
      <c r="S2957" s="46">
        <f t="shared" si="288"/>
        <v>0</v>
      </c>
      <c r="T2957" s="46">
        <f t="shared" si="286"/>
        <v>90</v>
      </c>
      <c r="U2957" s="46">
        <f t="shared" si="289"/>
        <v>90</v>
      </c>
      <c r="V2957" s="54">
        <f t="shared" si="290"/>
        <v>28.666666666666668</v>
      </c>
    </row>
    <row r="2958" spans="1:22" x14ac:dyDescent="0.2">
      <c r="A2958" s="46" t="s">
        <v>28</v>
      </c>
      <c r="B2958" s="46" t="s">
        <v>48</v>
      </c>
      <c r="C2958" s="46" t="s">
        <v>88</v>
      </c>
      <c r="D2958" s="46" t="s">
        <v>178</v>
      </c>
      <c r="E2958" s="46">
        <v>1</v>
      </c>
      <c r="F2958" s="46" t="s">
        <v>60</v>
      </c>
      <c r="G2958" s="46">
        <v>1</v>
      </c>
      <c r="H2958" s="47">
        <v>41</v>
      </c>
      <c r="I2958" s="47" t="s">
        <v>101</v>
      </c>
      <c r="J2958" s="48">
        <v>4</v>
      </c>
      <c r="K2958" s="48">
        <v>0</v>
      </c>
      <c r="R2958" s="46">
        <f t="shared" si="287"/>
        <v>1</v>
      </c>
      <c r="S2958" s="46">
        <f t="shared" si="288"/>
        <v>0</v>
      </c>
      <c r="T2958" s="46">
        <f t="shared" si="286"/>
        <v>90</v>
      </c>
      <c r="U2958" s="46">
        <f t="shared" si="289"/>
        <v>90</v>
      </c>
      <c r="V2958" s="54">
        <f t="shared" si="290"/>
        <v>28.666666666666668</v>
      </c>
    </row>
    <row r="2959" spans="1:22" x14ac:dyDescent="0.2">
      <c r="A2959" s="46" t="s">
        <v>28</v>
      </c>
      <c r="B2959" s="46" t="s">
        <v>48</v>
      </c>
      <c r="C2959" s="46" t="s">
        <v>88</v>
      </c>
      <c r="D2959" s="46" t="s">
        <v>178</v>
      </c>
      <c r="E2959" s="46">
        <v>5</v>
      </c>
      <c r="F2959" s="46" t="s">
        <v>60</v>
      </c>
      <c r="G2959" s="46">
        <v>1</v>
      </c>
      <c r="H2959" s="47">
        <v>1</v>
      </c>
      <c r="I2959" s="47" t="s">
        <v>101</v>
      </c>
      <c r="J2959" s="48">
        <v>0</v>
      </c>
      <c r="K2959" s="48">
        <v>0</v>
      </c>
      <c r="R2959" s="46">
        <f t="shared" si="287"/>
        <v>0</v>
      </c>
      <c r="S2959" s="46">
        <f t="shared" si="288"/>
        <v>0</v>
      </c>
      <c r="T2959" s="46">
        <f t="shared" si="286"/>
        <v>0</v>
      </c>
      <c r="U2959" s="46">
        <f t="shared" si="289"/>
        <v>0</v>
      </c>
      <c r="V2959" s="54">
        <f t="shared" si="290"/>
        <v>28.666666666666668</v>
      </c>
    </row>
    <row r="2960" spans="1:22" x14ac:dyDescent="0.2">
      <c r="A2960" s="46" t="s">
        <v>28</v>
      </c>
      <c r="B2960" s="46" t="s">
        <v>48</v>
      </c>
      <c r="C2960" s="46" t="s">
        <v>88</v>
      </c>
      <c r="D2960" s="46" t="s">
        <v>178</v>
      </c>
      <c r="E2960" s="46">
        <v>5</v>
      </c>
      <c r="F2960" s="46" t="s">
        <v>60</v>
      </c>
      <c r="G2960" s="46">
        <v>4</v>
      </c>
      <c r="H2960" s="47">
        <v>8</v>
      </c>
      <c r="I2960" s="47" t="s">
        <v>102</v>
      </c>
      <c r="J2960" s="48">
        <v>0</v>
      </c>
      <c r="K2960" s="48">
        <v>0</v>
      </c>
      <c r="R2960" s="46">
        <f t="shared" si="287"/>
        <v>0</v>
      </c>
      <c r="S2960" s="46">
        <f t="shared" si="288"/>
        <v>0</v>
      </c>
      <c r="T2960" s="46">
        <f t="shared" si="286"/>
        <v>0</v>
      </c>
      <c r="U2960" s="46">
        <f t="shared" si="289"/>
        <v>0</v>
      </c>
      <c r="V2960" s="54">
        <f t="shared" si="290"/>
        <v>28.666666666666668</v>
      </c>
    </row>
    <row r="2961" spans="1:22" x14ac:dyDescent="0.2">
      <c r="A2961" s="46" t="s">
        <v>28</v>
      </c>
      <c r="B2961" s="46" t="s">
        <v>48</v>
      </c>
      <c r="C2961" s="46" t="s">
        <v>88</v>
      </c>
      <c r="D2961" s="46" t="s">
        <v>178</v>
      </c>
      <c r="E2961" s="46">
        <v>5</v>
      </c>
      <c r="F2961" s="46" t="s">
        <v>60</v>
      </c>
      <c r="G2961" s="46">
        <v>2</v>
      </c>
      <c r="H2961" s="47">
        <v>14</v>
      </c>
      <c r="I2961" s="47" t="s">
        <v>127</v>
      </c>
      <c r="J2961" s="48">
        <v>1</v>
      </c>
      <c r="K2961" s="48">
        <v>1</v>
      </c>
      <c r="O2961" s="48">
        <v>1</v>
      </c>
      <c r="R2961" s="46">
        <f t="shared" si="287"/>
        <v>0</v>
      </c>
      <c r="S2961" s="46">
        <f t="shared" si="288"/>
        <v>0</v>
      </c>
      <c r="T2961" s="46">
        <f t="shared" si="286"/>
        <v>20</v>
      </c>
      <c r="U2961" s="46">
        <f t="shared" si="289"/>
        <v>30</v>
      </c>
      <c r="V2961" s="54">
        <f t="shared" si="290"/>
        <v>28.666666666666668</v>
      </c>
    </row>
    <row r="2962" spans="1:22" x14ac:dyDescent="0.2">
      <c r="A2962" s="46" t="s">
        <v>28</v>
      </c>
      <c r="B2962" s="46" t="s">
        <v>48</v>
      </c>
      <c r="C2962" s="46" t="s">
        <v>88</v>
      </c>
      <c r="D2962" s="46" t="s">
        <v>178</v>
      </c>
      <c r="E2962" s="46">
        <v>5</v>
      </c>
      <c r="F2962" s="46" t="s">
        <v>60</v>
      </c>
      <c r="G2962" s="46">
        <v>3</v>
      </c>
      <c r="H2962" s="47">
        <v>27</v>
      </c>
      <c r="I2962" s="47" t="s">
        <v>159</v>
      </c>
      <c r="J2962" s="48">
        <v>1</v>
      </c>
      <c r="K2962" s="48">
        <v>0</v>
      </c>
      <c r="O2962" s="48">
        <v>1</v>
      </c>
      <c r="R2962" s="46">
        <f t="shared" si="287"/>
        <v>0</v>
      </c>
      <c r="S2962" s="46">
        <f t="shared" si="288"/>
        <v>0</v>
      </c>
      <c r="T2962" s="46">
        <f t="shared" si="286"/>
        <v>20</v>
      </c>
      <c r="U2962" s="46">
        <f t="shared" si="289"/>
        <v>30</v>
      </c>
      <c r="V2962" s="54">
        <f t="shared" si="290"/>
        <v>28.666666666666668</v>
      </c>
    </row>
    <row r="2963" spans="1:22" x14ac:dyDescent="0.2">
      <c r="A2963" s="46" t="s">
        <v>28</v>
      </c>
      <c r="B2963" s="46" t="s">
        <v>48</v>
      </c>
      <c r="C2963" s="46" t="s">
        <v>88</v>
      </c>
      <c r="D2963" s="46" t="s">
        <v>178</v>
      </c>
      <c r="E2963" s="46">
        <v>5</v>
      </c>
      <c r="F2963" s="46" t="s">
        <v>60</v>
      </c>
      <c r="G2963" s="46">
        <v>3</v>
      </c>
      <c r="H2963" s="47">
        <v>39</v>
      </c>
      <c r="I2963" s="47" t="s">
        <v>159</v>
      </c>
      <c r="J2963" s="48">
        <v>0</v>
      </c>
      <c r="K2963" s="48">
        <v>0</v>
      </c>
      <c r="R2963" s="46">
        <f t="shared" si="287"/>
        <v>0</v>
      </c>
      <c r="S2963" s="46">
        <f t="shared" si="288"/>
        <v>0</v>
      </c>
      <c r="T2963" s="46">
        <f t="shared" si="286"/>
        <v>0</v>
      </c>
      <c r="U2963" s="46">
        <f t="shared" si="289"/>
        <v>0</v>
      </c>
      <c r="V2963" s="54">
        <f t="shared" si="290"/>
        <v>28.666666666666668</v>
      </c>
    </row>
    <row r="2964" spans="1:22" x14ac:dyDescent="0.2">
      <c r="A2964" s="46" t="s">
        <v>28</v>
      </c>
      <c r="B2964" s="46" t="s">
        <v>48</v>
      </c>
      <c r="C2964" s="46" t="s">
        <v>88</v>
      </c>
      <c r="D2964" s="46" t="s">
        <v>178</v>
      </c>
      <c r="E2964" s="46">
        <v>5</v>
      </c>
      <c r="F2964" s="46" t="s">
        <v>60</v>
      </c>
      <c r="G2964" s="46">
        <v>1</v>
      </c>
      <c r="H2964" s="47">
        <v>45</v>
      </c>
      <c r="I2964" s="47" t="s">
        <v>101</v>
      </c>
      <c r="J2964" s="48">
        <v>0</v>
      </c>
      <c r="K2964" s="48">
        <v>0</v>
      </c>
      <c r="R2964" s="46">
        <f t="shared" si="287"/>
        <v>0</v>
      </c>
      <c r="S2964" s="46">
        <f t="shared" si="288"/>
        <v>0</v>
      </c>
      <c r="T2964" s="46">
        <f t="shared" si="286"/>
        <v>0</v>
      </c>
      <c r="U2964" s="46">
        <f t="shared" si="289"/>
        <v>0</v>
      </c>
      <c r="V2964" s="54">
        <f t="shared" si="290"/>
        <v>28.666666666666668</v>
      </c>
    </row>
    <row r="2965" spans="1:22" x14ac:dyDescent="0.2">
      <c r="A2965" s="46" t="s">
        <v>28</v>
      </c>
      <c r="B2965" s="46" t="s">
        <v>48</v>
      </c>
      <c r="C2965" s="46" t="s">
        <v>88</v>
      </c>
      <c r="D2965" s="46" t="s">
        <v>178</v>
      </c>
      <c r="E2965" s="46">
        <v>5</v>
      </c>
      <c r="F2965" s="46" t="s">
        <v>61</v>
      </c>
      <c r="G2965" s="46">
        <v>1</v>
      </c>
      <c r="H2965" s="47" t="s">
        <v>74</v>
      </c>
      <c r="I2965" s="47" t="s">
        <v>101</v>
      </c>
      <c r="J2965" s="48">
        <v>0</v>
      </c>
      <c r="K2965" s="48">
        <v>0</v>
      </c>
      <c r="R2965" s="46">
        <f t="shared" si="287"/>
        <v>0</v>
      </c>
      <c r="S2965" s="46">
        <f t="shared" si="288"/>
        <v>0</v>
      </c>
      <c r="T2965" s="46">
        <f t="shared" si="286"/>
        <v>0</v>
      </c>
      <c r="U2965" s="46">
        <f t="shared" si="289"/>
        <v>0</v>
      </c>
      <c r="V2965" s="54">
        <f t="shared" si="290"/>
        <v>28.666666666666668</v>
      </c>
    </row>
    <row r="2966" spans="1:22" x14ac:dyDescent="0.2">
      <c r="A2966" s="46" t="s">
        <v>28</v>
      </c>
      <c r="B2966" s="46" t="s">
        <v>48</v>
      </c>
      <c r="C2966" s="46" t="s">
        <v>88</v>
      </c>
      <c r="D2966" s="46" t="s">
        <v>178</v>
      </c>
      <c r="E2966" s="46">
        <v>5</v>
      </c>
      <c r="F2966" s="46" t="s">
        <v>61</v>
      </c>
      <c r="G2966" s="46">
        <v>2</v>
      </c>
      <c r="H2966" s="47" t="s">
        <v>76</v>
      </c>
      <c r="I2966" s="47" t="s">
        <v>127</v>
      </c>
      <c r="J2966" s="48">
        <v>1</v>
      </c>
      <c r="K2966" s="48">
        <v>1</v>
      </c>
      <c r="O2966" s="48">
        <v>1</v>
      </c>
      <c r="R2966" s="46">
        <f t="shared" si="287"/>
        <v>0</v>
      </c>
      <c r="S2966" s="46">
        <f t="shared" si="288"/>
        <v>0</v>
      </c>
      <c r="T2966" s="46">
        <f t="shared" si="286"/>
        <v>20</v>
      </c>
      <c r="U2966" s="46">
        <f t="shared" si="289"/>
        <v>30</v>
      </c>
      <c r="V2966" s="54">
        <f t="shared" si="290"/>
        <v>28.666666666666668</v>
      </c>
    </row>
    <row r="2967" spans="1:22" x14ac:dyDescent="0.2">
      <c r="A2967" s="46" t="s">
        <v>28</v>
      </c>
      <c r="B2967" s="46" t="s">
        <v>48</v>
      </c>
      <c r="C2967" s="46" t="s">
        <v>88</v>
      </c>
      <c r="D2967" s="46" t="s">
        <v>178</v>
      </c>
      <c r="E2967" s="46">
        <v>5</v>
      </c>
      <c r="F2967" s="46" t="s">
        <v>61</v>
      </c>
      <c r="G2967" s="46">
        <v>2</v>
      </c>
      <c r="H2967" s="47" t="s">
        <v>66</v>
      </c>
      <c r="I2967" s="47" t="s">
        <v>127</v>
      </c>
      <c r="J2967" s="48">
        <v>0</v>
      </c>
      <c r="K2967" s="48">
        <v>0</v>
      </c>
      <c r="N2967" s="48">
        <v>1</v>
      </c>
      <c r="R2967" s="46">
        <f t="shared" si="287"/>
        <v>0</v>
      </c>
      <c r="S2967" s="46">
        <f t="shared" si="288"/>
        <v>0</v>
      </c>
      <c r="T2967" s="46">
        <f t="shared" si="286"/>
        <v>0</v>
      </c>
      <c r="U2967" s="46">
        <f t="shared" si="289"/>
        <v>-5</v>
      </c>
      <c r="V2967" s="54">
        <f t="shared" si="290"/>
        <v>28.666666666666668</v>
      </c>
    </row>
    <row r="2968" spans="1:22" x14ac:dyDescent="0.2">
      <c r="A2968" s="46" t="s">
        <v>28</v>
      </c>
      <c r="B2968" s="46" t="s">
        <v>48</v>
      </c>
      <c r="C2968" s="46" t="s">
        <v>88</v>
      </c>
      <c r="D2968" s="46" t="s">
        <v>178</v>
      </c>
      <c r="E2968" s="46">
        <v>5</v>
      </c>
      <c r="F2968" s="46" t="s">
        <v>61</v>
      </c>
      <c r="G2968" s="46">
        <v>1</v>
      </c>
      <c r="H2968" s="47" t="s">
        <v>71</v>
      </c>
      <c r="I2968" s="47" t="s">
        <v>101</v>
      </c>
      <c r="J2968" s="48">
        <v>0</v>
      </c>
      <c r="K2968" s="48">
        <v>0</v>
      </c>
      <c r="R2968" s="46">
        <f t="shared" si="287"/>
        <v>0</v>
      </c>
      <c r="S2968" s="46">
        <f t="shared" si="288"/>
        <v>0</v>
      </c>
      <c r="T2968" s="46">
        <f t="shared" si="286"/>
        <v>0</v>
      </c>
      <c r="U2968" s="46">
        <f t="shared" si="289"/>
        <v>0</v>
      </c>
      <c r="V2968" s="54">
        <f t="shared" si="290"/>
        <v>28.666666666666668</v>
      </c>
    </row>
    <row r="2969" spans="1:22" x14ac:dyDescent="0.2">
      <c r="A2969" s="46" t="s">
        <v>158</v>
      </c>
      <c r="B2969" s="46" t="s">
        <v>51</v>
      </c>
      <c r="C2969" s="46" t="s">
        <v>92</v>
      </c>
      <c r="D2969" s="46" t="s">
        <v>178</v>
      </c>
      <c r="E2969" s="46">
        <v>4</v>
      </c>
      <c r="F2969" s="46" t="s">
        <v>61</v>
      </c>
      <c r="G2969" s="46">
        <v>1</v>
      </c>
      <c r="H2969" s="47" t="s">
        <v>75</v>
      </c>
      <c r="I2969" s="47" t="s">
        <v>101</v>
      </c>
      <c r="J2969" s="48">
        <v>0</v>
      </c>
      <c r="K2969" s="48">
        <v>2</v>
      </c>
      <c r="R2969" s="46">
        <f t="shared" si="287"/>
        <v>0</v>
      </c>
      <c r="S2969" s="46">
        <f t="shared" si="288"/>
        <v>0</v>
      </c>
      <c r="T2969" s="46">
        <f t="shared" si="286"/>
        <v>-10</v>
      </c>
      <c r="U2969" s="46">
        <f t="shared" si="289"/>
        <v>-10</v>
      </c>
      <c r="V2969" s="54">
        <f t="shared" si="290"/>
        <v>76.333333333333329</v>
      </c>
    </row>
    <row r="2970" spans="1:22" x14ac:dyDescent="0.2">
      <c r="A2970" s="46" t="s">
        <v>158</v>
      </c>
      <c r="B2970" s="46" t="s">
        <v>51</v>
      </c>
      <c r="C2970" s="46" t="s">
        <v>92</v>
      </c>
      <c r="D2970" s="46" t="s">
        <v>178</v>
      </c>
      <c r="E2970" s="46">
        <v>2</v>
      </c>
      <c r="F2970" s="46" t="s">
        <v>61</v>
      </c>
      <c r="G2970" s="46">
        <v>1</v>
      </c>
      <c r="H2970" s="47" t="s">
        <v>71</v>
      </c>
      <c r="I2970" s="47" t="s">
        <v>101</v>
      </c>
      <c r="J2970" s="48">
        <v>0</v>
      </c>
      <c r="K2970" s="48">
        <v>2</v>
      </c>
      <c r="M2970" s="48">
        <v>1</v>
      </c>
      <c r="R2970" s="46">
        <f t="shared" si="287"/>
        <v>0</v>
      </c>
      <c r="S2970" s="46">
        <f t="shared" si="288"/>
        <v>0</v>
      </c>
      <c r="T2970" s="46">
        <f t="shared" si="286"/>
        <v>-10</v>
      </c>
      <c r="U2970" s="46">
        <f t="shared" si="289"/>
        <v>10</v>
      </c>
      <c r="V2970" s="54">
        <f t="shared" si="290"/>
        <v>76.333333333333329</v>
      </c>
    </row>
    <row r="2971" spans="1:22" x14ac:dyDescent="0.2">
      <c r="A2971" s="46" t="s">
        <v>158</v>
      </c>
      <c r="B2971" s="46" t="s">
        <v>51</v>
      </c>
      <c r="C2971" s="46" t="s">
        <v>92</v>
      </c>
      <c r="D2971" s="46" t="s">
        <v>178</v>
      </c>
      <c r="E2971" s="46">
        <v>2</v>
      </c>
      <c r="F2971" s="46" t="s">
        <v>60</v>
      </c>
      <c r="G2971" s="46">
        <v>1</v>
      </c>
      <c r="H2971" s="47">
        <v>17</v>
      </c>
      <c r="I2971" s="47" t="s">
        <v>101</v>
      </c>
      <c r="J2971" s="48">
        <v>0</v>
      </c>
      <c r="K2971" s="48">
        <v>1</v>
      </c>
      <c r="R2971" s="46">
        <f t="shared" si="287"/>
        <v>0</v>
      </c>
      <c r="S2971" s="46">
        <f t="shared" si="288"/>
        <v>0</v>
      </c>
      <c r="T2971" s="46">
        <f t="shared" si="286"/>
        <v>0</v>
      </c>
      <c r="U2971" s="46">
        <f t="shared" si="289"/>
        <v>0</v>
      </c>
      <c r="V2971" s="54">
        <f t="shared" si="290"/>
        <v>76.333333333333329</v>
      </c>
    </row>
    <row r="2972" spans="1:22" x14ac:dyDescent="0.2">
      <c r="A2972" s="46" t="s">
        <v>158</v>
      </c>
      <c r="B2972" s="46" t="s">
        <v>51</v>
      </c>
      <c r="C2972" s="46" t="s">
        <v>92</v>
      </c>
      <c r="D2972" s="46" t="s">
        <v>178</v>
      </c>
      <c r="E2972" s="46">
        <v>2</v>
      </c>
      <c r="F2972" s="46" t="s">
        <v>61</v>
      </c>
      <c r="G2972" s="46">
        <v>1</v>
      </c>
      <c r="H2972" s="47" t="s">
        <v>68</v>
      </c>
      <c r="I2972" s="47" t="s">
        <v>101</v>
      </c>
      <c r="J2972" s="48">
        <v>1</v>
      </c>
      <c r="K2972" s="48">
        <v>2</v>
      </c>
      <c r="R2972" s="46">
        <f t="shared" si="287"/>
        <v>0</v>
      </c>
      <c r="S2972" s="46">
        <f t="shared" si="288"/>
        <v>0</v>
      </c>
      <c r="T2972" s="46">
        <f t="shared" si="286"/>
        <v>10</v>
      </c>
      <c r="U2972" s="46">
        <f t="shared" si="289"/>
        <v>10</v>
      </c>
      <c r="V2972" s="54">
        <f t="shared" si="290"/>
        <v>76.333333333333329</v>
      </c>
    </row>
    <row r="2973" spans="1:22" x14ac:dyDescent="0.2">
      <c r="A2973" s="46" t="s">
        <v>158</v>
      </c>
      <c r="B2973" s="46" t="s">
        <v>51</v>
      </c>
      <c r="C2973" s="46" t="s">
        <v>92</v>
      </c>
      <c r="D2973" s="46" t="s">
        <v>178</v>
      </c>
      <c r="E2973" s="46">
        <v>4</v>
      </c>
      <c r="F2973" s="46" t="s">
        <v>60</v>
      </c>
      <c r="G2973" s="46">
        <v>2</v>
      </c>
      <c r="H2973" s="47">
        <v>50</v>
      </c>
      <c r="I2973" s="47" t="s">
        <v>127</v>
      </c>
      <c r="J2973" s="48">
        <v>2</v>
      </c>
      <c r="K2973" s="48">
        <v>3</v>
      </c>
      <c r="R2973" s="46">
        <f t="shared" si="287"/>
        <v>0</v>
      </c>
      <c r="S2973" s="46">
        <f t="shared" si="288"/>
        <v>1</v>
      </c>
      <c r="T2973" s="46">
        <f t="shared" si="286"/>
        <v>20</v>
      </c>
      <c r="U2973" s="46">
        <f t="shared" si="289"/>
        <v>20</v>
      </c>
      <c r="V2973" s="54">
        <f t="shared" si="290"/>
        <v>76.333333333333329</v>
      </c>
    </row>
    <row r="2974" spans="1:22" x14ac:dyDescent="0.2">
      <c r="A2974" s="46" t="s">
        <v>158</v>
      </c>
      <c r="B2974" s="46" t="s">
        <v>51</v>
      </c>
      <c r="C2974" s="46" t="s">
        <v>92</v>
      </c>
      <c r="D2974" s="46" t="s">
        <v>178</v>
      </c>
      <c r="E2974" s="46">
        <v>3</v>
      </c>
      <c r="F2974" s="46" t="s">
        <v>61</v>
      </c>
      <c r="G2974" s="46">
        <v>1</v>
      </c>
      <c r="H2974" s="47" t="s">
        <v>67</v>
      </c>
      <c r="I2974" s="47" t="s">
        <v>101</v>
      </c>
      <c r="J2974" s="48">
        <v>2</v>
      </c>
      <c r="K2974" s="48">
        <v>3</v>
      </c>
      <c r="R2974" s="46">
        <f t="shared" si="287"/>
        <v>0</v>
      </c>
      <c r="S2974" s="46">
        <f t="shared" si="288"/>
        <v>1</v>
      </c>
      <c r="T2974" s="46">
        <f t="shared" si="286"/>
        <v>20</v>
      </c>
      <c r="U2974" s="46">
        <f t="shared" si="289"/>
        <v>20</v>
      </c>
      <c r="V2974" s="54">
        <f t="shared" si="290"/>
        <v>76.333333333333329</v>
      </c>
    </row>
    <row r="2975" spans="1:22" x14ac:dyDescent="0.2">
      <c r="A2975" s="46" t="s">
        <v>158</v>
      </c>
      <c r="B2975" s="46" t="s">
        <v>51</v>
      </c>
      <c r="C2975" s="46" t="s">
        <v>92</v>
      </c>
      <c r="D2975" s="46" t="s">
        <v>178</v>
      </c>
      <c r="E2975" s="46">
        <v>2</v>
      </c>
      <c r="F2975" s="46" t="s">
        <v>61</v>
      </c>
      <c r="G2975" s="46">
        <v>1</v>
      </c>
      <c r="H2975" s="47" t="s">
        <v>69</v>
      </c>
      <c r="I2975" s="47" t="s">
        <v>101</v>
      </c>
      <c r="J2975" s="48">
        <v>1</v>
      </c>
      <c r="K2975" s="48">
        <v>0</v>
      </c>
      <c r="M2975" s="48">
        <v>2</v>
      </c>
      <c r="R2975" s="46">
        <f t="shared" si="287"/>
        <v>0</v>
      </c>
      <c r="S2975" s="46">
        <f t="shared" si="288"/>
        <v>0</v>
      </c>
      <c r="T2975" s="46">
        <f t="shared" si="286"/>
        <v>20</v>
      </c>
      <c r="U2975" s="46">
        <f t="shared" si="289"/>
        <v>60</v>
      </c>
      <c r="V2975" s="54">
        <f t="shared" si="290"/>
        <v>76.333333333333329</v>
      </c>
    </row>
    <row r="2976" spans="1:22" x14ac:dyDescent="0.2">
      <c r="A2976" s="46" t="s">
        <v>158</v>
      </c>
      <c r="B2976" s="46" t="s">
        <v>51</v>
      </c>
      <c r="C2976" s="46" t="s">
        <v>92</v>
      </c>
      <c r="D2976" s="46" t="s">
        <v>178</v>
      </c>
      <c r="E2976" s="46">
        <v>3</v>
      </c>
      <c r="F2976" s="46" t="s">
        <v>61</v>
      </c>
      <c r="G2976" s="46">
        <v>1</v>
      </c>
      <c r="H2976" s="47" t="s">
        <v>78</v>
      </c>
      <c r="I2976" s="47" t="s">
        <v>101</v>
      </c>
      <c r="J2976" s="48">
        <v>2</v>
      </c>
      <c r="K2976" s="48">
        <v>2</v>
      </c>
      <c r="R2976" s="46">
        <f t="shared" si="287"/>
        <v>0</v>
      </c>
      <c r="S2976" s="46">
        <f t="shared" si="288"/>
        <v>0</v>
      </c>
      <c r="T2976" s="46">
        <f t="shared" si="286"/>
        <v>30</v>
      </c>
      <c r="U2976" s="46">
        <f t="shared" si="289"/>
        <v>30</v>
      </c>
      <c r="V2976" s="54">
        <f t="shared" si="290"/>
        <v>76.333333333333329</v>
      </c>
    </row>
    <row r="2977" spans="1:22" x14ac:dyDescent="0.2">
      <c r="A2977" s="46" t="s">
        <v>158</v>
      </c>
      <c r="B2977" s="46" t="s">
        <v>51</v>
      </c>
      <c r="C2977" s="46" t="s">
        <v>92</v>
      </c>
      <c r="D2977" s="46" t="s">
        <v>178</v>
      </c>
      <c r="E2977" s="46">
        <v>3</v>
      </c>
      <c r="F2977" s="46" t="s">
        <v>61</v>
      </c>
      <c r="G2977" s="46">
        <v>1</v>
      </c>
      <c r="H2977" s="47" t="s">
        <v>78</v>
      </c>
      <c r="I2977" s="47" t="s">
        <v>101</v>
      </c>
      <c r="J2977" s="48">
        <v>2</v>
      </c>
      <c r="K2977" s="48">
        <v>2</v>
      </c>
      <c r="R2977" s="46">
        <f t="shared" si="287"/>
        <v>0</v>
      </c>
      <c r="S2977" s="46">
        <f t="shared" si="288"/>
        <v>0</v>
      </c>
      <c r="T2977" s="46">
        <f t="shared" si="286"/>
        <v>30</v>
      </c>
      <c r="U2977" s="46">
        <f t="shared" si="289"/>
        <v>30</v>
      </c>
      <c r="V2977" s="54">
        <f t="shared" si="290"/>
        <v>76.333333333333329</v>
      </c>
    </row>
    <row r="2978" spans="1:22" x14ac:dyDescent="0.2">
      <c r="A2978" s="46" t="s">
        <v>158</v>
      </c>
      <c r="B2978" s="46" t="s">
        <v>51</v>
      </c>
      <c r="C2978" s="46" t="s">
        <v>92</v>
      </c>
      <c r="D2978" s="46" t="s">
        <v>178</v>
      </c>
      <c r="E2978" s="46">
        <v>3</v>
      </c>
      <c r="F2978" s="46" t="s">
        <v>60</v>
      </c>
      <c r="G2978" s="46">
        <v>3</v>
      </c>
      <c r="H2978" s="47">
        <v>19</v>
      </c>
      <c r="I2978" s="47" t="s">
        <v>116</v>
      </c>
      <c r="J2978" s="48">
        <v>3</v>
      </c>
      <c r="K2978" s="48">
        <v>3</v>
      </c>
      <c r="R2978" s="46">
        <f t="shared" si="287"/>
        <v>0</v>
      </c>
      <c r="S2978" s="46">
        <f t="shared" si="288"/>
        <v>1</v>
      </c>
      <c r="T2978" s="46">
        <f t="shared" si="286"/>
        <v>40</v>
      </c>
      <c r="U2978" s="46">
        <f t="shared" si="289"/>
        <v>40</v>
      </c>
      <c r="V2978" s="54">
        <f t="shared" si="290"/>
        <v>76.333333333333329</v>
      </c>
    </row>
    <row r="2979" spans="1:22" x14ac:dyDescent="0.2">
      <c r="A2979" s="46" t="s">
        <v>158</v>
      </c>
      <c r="B2979" s="46" t="s">
        <v>51</v>
      </c>
      <c r="C2979" s="46" t="s">
        <v>92</v>
      </c>
      <c r="D2979" s="46" t="s">
        <v>178</v>
      </c>
      <c r="E2979" s="46">
        <v>4</v>
      </c>
      <c r="F2979" s="46" t="s">
        <v>60</v>
      </c>
      <c r="G2979" s="46">
        <v>3</v>
      </c>
      <c r="H2979" s="47">
        <v>43</v>
      </c>
      <c r="I2979" s="47" t="s">
        <v>159</v>
      </c>
      <c r="J2979" s="48">
        <v>3</v>
      </c>
      <c r="K2979" s="48">
        <v>3</v>
      </c>
      <c r="R2979" s="46">
        <f t="shared" si="287"/>
        <v>0</v>
      </c>
      <c r="S2979" s="46">
        <f t="shared" si="288"/>
        <v>1</v>
      </c>
      <c r="T2979" s="46">
        <f t="shared" si="286"/>
        <v>40</v>
      </c>
      <c r="U2979" s="46">
        <f t="shared" si="289"/>
        <v>40</v>
      </c>
      <c r="V2979" s="54">
        <f t="shared" si="290"/>
        <v>76.333333333333329</v>
      </c>
    </row>
    <row r="2980" spans="1:22" x14ac:dyDescent="0.2">
      <c r="A2980" s="46" t="s">
        <v>158</v>
      </c>
      <c r="B2980" s="46" t="s">
        <v>51</v>
      </c>
      <c r="C2980" s="46" t="s">
        <v>92</v>
      </c>
      <c r="D2980" s="46" t="s">
        <v>178</v>
      </c>
      <c r="E2980" s="46">
        <v>4</v>
      </c>
      <c r="F2980" s="46" t="s">
        <v>61</v>
      </c>
      <c r="G2980" s="46">
        <v>1</v>
      </c>
      <c r="H2980" s="47" t="s">
        <v>69</v>
      </c>
      <c r="I2980" s="47" t="s">
        <v>101</v>
      </c>
      <c r="J2980" s="48">
        <v>2</v>
      </c>
      <c r="K2980" s="48">
        <v>1</v>
      </c>
      <c r="R2980" s="46">
        <f t="shared" si="287"/>
        <v>0</v>
      </c>
      <c r="S2980" s="46">
        <f t="shared" si="288"/>
        <v>0</v>
      </c>
      <c r="T2980" s="46">
        <f t="shared" si="286"/>
        <v>40</v>
      </c>
      <c r="U2980" s="46">
        <f t="shared" si="289"/>
        <v>40</v>
      </c>
      <c r="V2980" s="54">
        <f t="shared" si="290"/>
        <v>76.333333333333329</v>
      </c>
    </row>
    <row r="2981" spans="1:22" x14ac:dyDescent="0.2">
      <c r="A2981" s="46" t="s">
        <v>158</v>
      </c>
      <c r="B2981" s="46" t="s">
        <v>51</v>
      </c>
      <c r="C2981" s="46" t="s">
        <v>92</v>
      </c>
      <c r="D2981" s="46" t="s">
        <v>178</v>
      </c>
      <c r="E2981" s="46">
        <v>3</v>
      </c>
      <c r="F2981" s="46" t="s">
        <v>61</v>
      </c>
      <c r="G2981" s="46">
        <v>1</v>
      </c>
      <c r="H2981" s="47" t="s">
        <v>71</v>
      </c>
      <c r="I2981" s="47" t="s">
        <v>101</v>
      </c>
      <c r="J2981" s="48">
        <v>2</v>
      </c>
      <c r="K2981" s="48">
        <v>0</v>
      </c>
      <c r="R2981" s="46">
        <f t="shared" si="287"/>
        <v>0</v>
      </c>
      <c r="S2981" s="46">
        <f t="shared" si="288"/>
        <v>0</v>
      </c>
      <c r="T2981" s="46">
        <f t="shared" si="286"/>
        <v>40</v>
      </c>
      <c r="U2981" s="46">
        <f t="shared" si="289"/>
        <v>40</v>
      </c>
      <c r="V2981" s="54">
        <f t="shared" si="290"/>
        <v>76.333333333333329</v>
      </c>
    </row>
    <row r="2982" spans="1:22" x14ac:dyDescent="0.2">
      <c r="A2982" s="46" t="s">
        <v>158</v>
      </c>
      <c r="B2982" s="46" t="s">
        <v>51</v>
      </c>
      <c r="C2982" s="46" t="s">
        <v>92</v>
      </c>
      <c r="D2982" s="46" t="s">
        <v>178</v>
      </c>
      <c r="E2982" s="46">
        <v>2</v>
      </c>
      <c r="F2982" s="46" t="s">
        <v>60</v>
      </c>
      <c r="G2982" s="46">
        <v>3</v>
      </c>
      <c r="H2982" s="47">
        <v>11</v>
      </c>
      <c r="I2982" s="47" t="s">
        <v>116</v>
      </c>
      <c r="J2982" s="48">
        <v>3</v>
      </c>
      <c r="K2982" s="48">
        <v>2</v>
      </c>
      <c r="R2982" s="46">
        <f t="shared" si="287"/>
        <v>0</v>
      </c>
      <c r="S2982" s="46">
        <f t="shared" si="288"/>
        <v>0</v>
      </c>
      <c r="T2982" s="46">
        <f t="shared" si="286"/>
        <v>50</v>
      </c>
      <c r="U2982" s="46">
        <f t="shared" si="289"/>
        <v>50</v>
      </c>
      <c r="V2982" s="54">
        <f t="shared" si="290"/>
        <v>76.333333333333329</v>
      </c>
    </row>
    <row r="2983" spans="1:22" x14ac:dyDescent="0.2">
      <c r="A2983" s="46" t="s">
        <v>158</v>
      </c>
      <c r="B2983" s="46" t="s">
        <v>53</v>
      </c>
      <c r="C2983" s="46" t="s">
        <v>92</v>
      </c>
      <c r="D2983" s="46" t="s">
        <v>178</v>
      </c>
      <c r="E2983" s="46">
        <v>1</v>
      </c>
      <c r="F2983" s="46" t="s">
        <v>60</v>
      </c>
      <c r="G2983" s="46">
        <v>2</v>
      </c>
      <c r="H2983" s="47">
        <v>10</v>
      </c>
      <c r="I2983" s="47" t="s">
        <v>127</v>
      </c>
      <c r="J2983" s="48">
        <v>3</v>
      </c>
      <c r="K2983" s="48">
        <v>1</v>
      </c>
      <c r="M2983" s="48">
        <v>1</v>
      </c>
      <c r="R2983" s="46">
        <f t="shared" si="287"/>
        <v>0</v>
      </c>
      <c r="S2983" s="46">
        <f t="shared" si="288"/>
        <v>0</v>
      </c>
      <c r="T2983" s="46">
        <f t="shared" si="286"/>
        <v>60</v>
      </c>
      <c r="U2983" s="46">
        <f t="shared" si="289"/>
        <v>80</v>
      </c>
      <c r="V2983" s="54">
        <f t="shared" si="290"/>
        <v>76.333333333333329</v>
      </c>
    </row>
    <row r="2984" spans="1:22" x14ac:dyDescent="0.2">
      <c r="A2984" s="46" t="s">
        <v>158</v>
      </c>
      <c r="B2984" s="46" t="s">
        <v>51</v>
      </c>
      <c r="C2984" s="46" t="s">
        <v>92</v>
      </c>
      <c r="D2984" s="46" t="s">
        <v>178</v>
      </c>
      <c r="E2984" s="46">
        <v>4</v>
      </c>
      <c r="F2984" s="46" t="s">
        <v>61</v>
      </c>
      <c r="G2984" s="46">
        <v>1</v>
      </c>
      <c r="H2984" s="47" t="s">
        <v>70</v>
      </c>
      <c r="I2984" s="47" t="s">
        <v>101</v>
      </c>
      <c r="J2984" s="48">
        <v>3</v>
      </c>
      <c r="K2984" s="48">
        <v>0</v>
      </c>
      <c r="R2984" s="46">
        <f t="shared" si="287"/>
        <v>0</v>
      </c>
      <c r="S2984" s="46">
        <f t="shared" si="288"/>
        <v>0</v>
      </c>
      <c r="T2984" s="46">
        <f t="shared" si="286"/>
        <v>60</v>
      </c>
      <c r="U2984" s="46">
        <f t="shared" si="289"/>
        <v>60</v>
      </c>
      <c r="V2984" s="54">
        <f t="shared" si="290"/>
        <v>76.333333333333329</v>
      </c>
    </row>
    <row r="2985" spans="1:22" x14ac:dyDescent="0.2">
      <c r="A2985" s="46" t="s">
        <v>158</v>
      </c>
      <c r="B2985" s="46" t="s">
        <v>51</v>
      </c>
      <c r="C2985" s="46" t="s">
        <v>92</v>
      </c>
      <c r="D2985" s="46" t="s">
        <v>178</v>
      </c>
      <c r="E2985" s="46">
        <v>4</v>
      </c>
      <c r="F2985" s="46" t="s">
        <v>60</v>
      </c>
      <c r="G2985" s="46">
        <v>1</v>
      </c>
      <c r="H2985" s="47">
        <v>5</v>
      </c>
      <c r="I2985" s="47" t="s">
        <v>101</v>
      </c>
      <c r="J2985" s="48">
        <v>4</v>
      </c>
      <c r="K2985" s="48">
        <v>2</v>
      </c>
      <c r="R2985" s="46">
        <f t="shared" si="287"/>
        <v>1</v>
      </c>
      <c r="S2985" s="46">
        <f t="shared" si="288"/>
        <v>0</v>
      </c>
      <c r="T2985" s="46">
        <f t="shared" si="286"/>
        <v>70</v>
      </c>
      <c r="U2985" s="46">
        <f t="shared" si="289"/>
        <v>70</v>
      </c>
      <c r="V2985" s="54">
        <f t="shared" si="290"/>
        <v>76.333333333333329</v>
      </c>
    </row>
    <row r="2986" spans="1:22" x14ac:dyDescent="0.2">
      <c r="A2986" s="46" t="s">
        <v>158</v>
      </c>
      <c r="B2986" s="46" t="s">
        <v>51</v>
      </c>
      <c r="C2986" s="46" t="s">
        <v>92</v>
      </c>
      <c r="D2986" s="46" t="s">
        <v>178</v>
      </c>
      <c r="E2986" s="46">
        <v>4</v>
      </c>
      <c r="F2986" s="46" t="s">
        <v>60</v>
      </c>
      <c r="G2986" s="46">
        <v>4</v>
      </c>
      <c r="H2986" s="47">
        <v>32</v>
      </c>
      <c r="I2986" s="47" t="s">
        <v>102</v>
      </c>
      <c r="J2986" s="48">
        <v>4</v>
      </c>
      <c r="K2986" s="48">
        <v>2</v>
      </c>
      <c r="R2986" s="46">
        <f t="shared" si="287"/>
        <v>1</v>
      </c>
      <c r="S2986" s="46">
        <f t="shared" si="288"/>
        <v>0</v>
      </c>
      <c r="T2986" s="46">
        <f t="shared" si="286"/>
        <v>70</v>
      </c>
      <c r="U2986" s="46">
        <f t="shared" si="289"/>
        <v>70</v>
      </c>
      <c r="V2986" s="54">
        <f t="shared" si="290"/>
        <v>76.333333333333329</v>
      </c>
    </row>
    <row r="2987" spans="1:22" x14ac:dyDescent="0.2">
      <c r="A2987" s="46" t="s">
        <v>158</v>
      </c>
      <c r="B2987" s="46" t="s">
        <v>53</v>
      </c>
      <c r="C2987" s="46" t="s">
        <v>92</v>
      </c>
      <c r="D2987" s="46" t="s">
        <v>178</v>
      </c>
      <c r="E2987" s="46">
        <v>1</v>
      </c>
      <c r="F2987" s="46" t="s">
        <v>62</v>
      </c>
      <c r="G2987" s="46">
        <v>2</v>
      </c>
      <c r="H2987" s="47" t="s">
        <v>83</v>
      </c>
      <c r="I2987" s="47" t="s">
        <v>127</v>
      </c>
      <c r="J2987" s="48">
        <v>4</v>
      </c>
      <c r="K2987" s="48">
        <v>2</v>
      </c>
      <c r="R2987" s="46">
        <f t="shared" si="287"/>
        <v>1</v>
      </c>
      <c r="S2987" s="46">
        <f t="shared" si="288"/>
        <v>0</v>
      </c>
      <c r="T2987" s="46">
        <f t="shared" si="286"/>
        <v>70</v>
      </c>
      <c r="U2987" s="46">
        <f t="shared" si="289"/>
        <v>70</v>
      </c>
      <c r="V2987" s="54">
        <f t="shared" si="290"/>
        <v>76.333333333333329</v>
      </c>
    </row>
    <row r="2988" spans="1:22" x14ac:dyDescent="0.2">
      <c r="A2988" s="46" t="s">
        <v>158</v>
      </c>
      <c r="B2988" s="46" t="s">
        <v>51</v>
      </c>
      <c r="C2988" s="46" t="s">
        <v>92</v>
      </c>
      <c r="D2988" s="46" t="s">
        <v>178</v>
      </c>
      <c r="E2988" s="46">
        <v>3</v>
      </c>
      <c r="F2988" s="46" t="s">
        <v>60</v>
      </c>
      <c r="G2988" s="46">
        <v>1</v>
      </c>
      <c r="H2988" s="47">
        <v>29</v>
      </c>
      <c r="I2988" s="47" t="s">
        <v>101</v>
      </c>
      <c r="J2988" s="48">
        <v>4</v>
      </c>
      <c r="K2988" s="48">
        <v>1</v>
      </c>
      <c r="R2988" s="46">
        <f t="shared" si="287"/>
        <v>1</v>
      </c>
      <c r="S2988" s="46">
        <f t="shared" si="288"/>
        <v>0</v>
      </c>
      <c r="T2988" s="46">
        <f t="shared" si="286"/>
        <v>80</v>
      </c>
      <c r="U2988" s="46">
        <f t="shared" si="289"/>
        <v>80</v>
      </c>
      <c r="V2988" s="54">
        <f t="shared" si="290"/>
        <v>76.333333333333329</v>
      </c>
    </row>
    <row r="2989" spans="1:22" x14ac:dyDescent="0.2">
      <c r="A2989" s="46" t="s">
        <v>158</v>
      </c>
      <c r="B2989" s="46" t="s">
        <v>53</v>
      </c>
      <c r="C2989" s="46" t="s">
        <v>92</v>
      </c>
      <c r="D2989" s="46" t="s">
        <v>178</v>
      </c>
      <c r="E2989" s="46">
        <v>1</v>
      </c>
      <c r="F2989" s="46" t="s">
        <v>60</v>
      </c>
      <c r="G2989" s="46">
        <v>3</v>
      </c>
      <c r="H2989" s="47">
        <v>35</v>
      </c>
      <c r="I2989" s="47" t="s">
        <v>116</v>
      </c>
      <c r="J2989" s="48">
        <v>4</v>
      </c>
      <c r="K2989" s="48">
        <v>1</v>
      </c>
      <c r="R2989" s="46">
        <f t="shared" si="287"/>
        <v>1</v>
      </c>
      <c r="S2989" s="46">
        <f t="shared" si="288"/>
        <v>0</v>
      </c>
      <c r="T2989" s="46">
        <f t="shared" si="286"/>
        <v>80</v>
      </c>
      <c r="U2989" s="46">
        <f t="shared" si="289"/>
        <v>80</v>
      </c>
      <c r="V2989" s="54">
        <f t="shared" si="290"/>
        <v>76.333333333333329</v>
      </c>
    </row>
    <row r="2990" spans="1:22" x14ac:dyDescent="0.2">
      <c r="A2990" s="46" t="s">
        <v>158</v>
      </c>
      <c r="B2990" s="46" t="s">
        <v>53</v>
      </c>
      <c r="C2990" s="46" t="s">
        <v>92</v>
      </c>
      <c r="D2990" s="46" t="s">
        <v>178</v>
      </c>
      <c r="E2990" s="46">
        <v>1</v>
      </c>
      <c r="F2990" s="46" t="s">
        <v>60</v>
      </c>
      <c r="G2990" s="46">
        <v>2</v>
      </c>
      <c r="H2990" s="47">
        <v>46</v>
      </c>
      <c r="I2990" s="47" t="s">
        <v>127</v>
      </c>
      <c r="J2990" s="48">
        <v>4</v>
      </c>
      <c r="K2990" s="48">
        <v>1</v>
      </c>
      <c r="R2990" s="46">
        <f t="shared" si="287"/>
        <v>1</v>
      </c>
      <c r="S2990" s="46">
        <f t="shared" si="288"/>
        <v>0</v>
      </c>
      <c r="T2990" s="46">
        <f t="shared" si="286"/>
        <v>80</v>
      </c>
      <c r="U2990" s="46">
        <f t="shared" si="289"/>
        <v>80</v>
      </c>
      <c r="V2990" s="54">
        <f t="shared" si="290"/>
        <v>76.333333333333329</v>
      </c>
    </row>
    <row r="2991" spans="1:22" x14ac:dyDescent="0.2">
      <c r="A2991" s="46" t="s">
        <v>158</v>
      </c>
      <c r="B2991" s="46" t="s">
        <v>51</v>
      </c>
      <c r="C2991" s="46" t="s">
        <v>92</v>
      </c>
      <c r="D2991" s="46" t="s">
        <v>178</v>
      </c>
      <c r="E2991" s="46">
        <v>3</v>
      </c>
      <c r="F2991" s="46" t="s">
        <v>60</v>
      </c>
      <c r="G2991" s="46">
        <v>3</v>
      </c>
      <c r="H2991" s="47">
        <v>47</v>
      </c>
      <c r="I2991" s="47" t="s">
        <v>116</v>
      </c>
      <c r="J2991" s="48">
        <v>4</v>
      </c>
      <c r="K2991" s="48">
        <v>1</v>
      </c>
      <c r="R2991" s="46">
        <f t="shared" si="287"/>
        <v>1</v>
      </c>
      <c r="S2991" s="46">
        <f t="shared" si="288"/>
        <v>0</v>
      </c>
      <c r="T2991" s="46">
        <f t="shared" si="286"/>
        <v>80</v>
      </c>
      <c r="U2991" s="46">
        <f t="shared" si="289"/>
        <v>80</v>
      </c>
      <c r="V2991" s="54">
        <f t="shared" si="290"/>
        <v>76.333333333333329</v>
      </c>
    </row>
    <row r="2992" spans="1:22" x14ac:dyDescent="0.2">
      <c r="A2992" s="46" t="s">
        <v>158</v>
      </c>
      <c r="B2992" s="46" t="s">
        <v>51</v>
      </c>
      <c r="C2992" s="46" t="s">
        <v>92</v>
      </c>
      <c r="D2992" s="46" t="s">
        <v>178</v>
      </c>
      <c r="E2992" s="46">
        <v>2</v>
      </c>
      <c r="F2992" s="46" t="s">
        <v>60</v>
      </c>
      <c r="G2992" s="46">
        <v>4</v>
      </c>
      <c r="H2992" s="47">
        <v>48</v>
      </c>
      <c r="I2992" s="47" t="s">
        <v>102</v>
      </c>
      <c r="J2992" s="48">
        <v>4</v>
      </c>
      <c r="K2992" s="48">
        <v>1</v>
      </c>
      <c r="R2992" s="46">
        <f t="shared" si="287"/>
        <v>1</v>
      </c>
      <c r="S2992" s="46">
        <f t="shared" si="288"/>
        <v>0</v>
      </c>
      <c r="T2992" s="46">
        <f t="shared" si="286"/>
        <v>80</v>
      </c>
      <c r="U2992" s="46">
        <f t="shared" si="289"/>
        <v>80</v>
      </c>
      <c r="V2992" s="54">
        <f t="shared" si="290"/>
        <v>76.333333333333329</v>
      </c>
    </row>
    <row r="2993" spans="1:22" x14ac:dyDescent="0.2">
      <c r="A2993" s="46" t="s">
        <v>158</v>
      </c>
      <c r="B2993" s="46" t="s">
        <v>51</v>
      </c>
      <c r="C2993" s="46" t="s">
        <v>92</v>
      </c>
      <c r="D2993" s="46" t="s">
        <v>178</v>
      </c>
      <c r="E2993" s="46">
        <v>2</v>
      </c>
      <c r="F2993" s="46" t="s">
        <v>61</v>
      </c>
      <c r="G2993" s="46">
        <v>1</v>
      </c>
      <c r="H2993" s="47" t="s">
        <v>67</v>
      </c>
      <c r="I2993" s="47" t="s">
        <v>101</v>
      </c>
      <c r="J2993" s="48">
        <v>4</v>
      </c>
      <c r="K2993" s="48">
        <v>1</v>
      </c>
      <c r="R2993" s="46">
        <f t="shared" si="287"/>
        <v>1</v>
      </c>
      <c r="S2993" s="46">
        <f t="shared" si="288"/>
        <v>0</v>
      </c>
      <c r="T2993" s="46">
        <f t="shared" si="286"/>
        <v>80</v>
      </c>
      <c r="U2993" s="46">
        <f t="shared" si="289"/>
        <v>80</v>
      </c>
      <c r="V2993" s="54">
        <f t="shared" si="290"/>
        <v>76.333333333333329</v>
      </c>
    </row>
    <row r="2994" spans="1:22" x14ac:dyDescent="0.2">
      <c r="A2994" s="46" t="s">
        <v>158</v>
      </c>
      <c r="B2994" s="46" t="s">
        <v>53</v>
      </c>
      <c r="C2994" s="46" t="s">
        <v>92</v>
      </c>
      <c r="D2994" s="46" t="s">
        <v>178</v>
      </c>
      <c r="E2994" s="46">
        <v>1</v>
      </c>
      <c r="F2994" s="46" t="s">
        <v>62</v>
      </c>
      <c r="G2994" s="46">
        <v>2</v>
      </c>
      <c r="H2994" s="47" t="s">
        <v>86</v>
      </c>
      <c r="I2994" s="47" t="s">
        <v>127</v>
      </c>
      <c r="J2994" s="48">
        <v>4</v>
      </c>
      <c r="K2994" s="48">
        <v>1</v>
      </c>
      <c r="R2994" s="46">
        <f t="shared" si="287"/>
        <v>1</v>
      </c>
      <c r="S2994" s="46">
        <f t="shared" si="288"/>
        <v>0</v>
      </c>
      <c r="T2994" s="46">
        <f t="shared" si="286"/>
        <v>80</v>
      </c>
      <c r="U2994" s="46">
        <f t="shared" si="289"/>
        <v>80</v>
      </c>
      <c r="V2994" s="54">
        <f t="shared" si="290"/>
        <v>76.333333333333329</v>
      </c>
    </row>
    <row r="2995" spans="1:22" x14ac:dyDescent="0.2">
      <c r="A2995" s="46" t="s">
        <v>158</v>
      </c>
      <c r="B2995" s="46" t="s">
        <v>51</v>
      </c>
      <c r="C2995" s="46" t="s">
        <v>92</v>
      </c>
      <c r="D2995" s="46" t="s">
        <v>178</v>
      </c>
      <c r="E2995" s="46">
        <v>3</v>
      </c>
      <c r="F2995" s="46" t="s">
        <v>61</v>
      </c>
      <c r="G2995" s="46">
        <v>1</v>
      </c>
      <c r="H2995" s="47" t="s">
        <v>68</v>
      </c>
      <c r="I2995" s="47" t="s">
        <v>101</v>
      </c>
      <c r="J2995" s="48">
        <v>4</v>
      </c>
      <c r="K2995" s="48">
        <v>1</v>
      </c>
      <c r="R2995" s="46">
        <f t="shared" si="287"/>
        <v>1</v>
      </c>
      <c r="S2995" s="46">
        <f t="shared" si="288"/>
        <v>0</v>
      </c>
      <c r="T2995" s="46">
        <f t="shared" si="286"/>
        <v>80</v>
      </c>
      <c r="U2995" s="46">
        <f t="shared" si="289"/>
        <v>80</v>
      </c>
      <c r="V2995" s="54">
        <f t="shared" si="290"/>
        <v>76.333333333333329</v>
      </c>
    </row>
    <row r="2996" spans="1:22" x14ac:dyDescent="0.2">
      <c r="A2996" s="46" t="s">
        <v>158</v>
      </c>
      <c r="B2996" s="46" t="s">
        <v>51</v>
      </c>
      <c r="C2996" s="46" t="s">
        <v>92</v>
      </c>
      <c r="D2996" s="46" t="s">
        <v>178</v>
      </c>
      <c r="E2996" s="46">
        <v>3</v>
      </c>
      <c r="F2996" s="46" t="s">
        <v>61</v>
      </c>
      <c r="G2996" s="46">
        <v>2</v>
      </c>
      <c r="H2996" s="47" t="s">
        <v>66</v>
      </c>
      <c r="I2996" s="47" t="s">
        <v>127</v>
      </c>
      <c r="J2996" s="48">
        <v>4</v>
      </c>
      <c r="K2996" s="48">
        <v>1</v>
      </c>
      <c r="M2996" s="48">
        <v>1</v>
      </c>
      <c r="R2996" s="46">
        <f t="shared" si="287"/>
        <v>1</v>
      </c>
      <c r="S2996" s="46">
        <f t="shared" si="288"/>
        <v>0</v>
      </c>
      <c r="T2996" s="46">
        <f t="shared" si="286"/>
        <v>80</v>
      </c>
      <c r="U2996" s="46">
        <f t="shared" si="289"/>
        <v>100</v>
      </c>
      <c r="V2996" s="54">
        <f t="shared" si="290"/>
        <v>76.333333333333329</v>
      </c>
    </row>
    <row r="2997" spans="1:22" x14ac:dyDescent="0.2">
      <c r="A2997" s="46" t="s">
        <v>158</v>
      </c>
      <c r="B2997" s="46" t="s">
        <v>51</v>
      </c>
      <c r="C2997" s="46" t="s">
        <v>92</v>
      </c>
      <c r="D2997" s="46" t="s">
        <v>178</v>
      </c>
      <c r="E2997" s="46">
        <v>3</v>
      </c>
      <c r="F2997" s="46" t="s">
        <v>60</v>
      </c>
      <c r="G2997" s="46">
        <v>2</v>
      </c>
      <c r="H2997" s="47">
        <v>2</v>
      </c>
      <c r="I2997" s="47" t="s">
        <v>127</v>
      </c>
      <c r="J2997" s="48">
        <v>4</v>
      </c>
      <c r="K2997" s="48">
        <v>0</v>
      </c>
      <c r="R2997" s="46">
        <f t="shared" si="287"/>
        <v>1</v>
      </c>
      <c r="S2997" s="46">
        <f t="shared" si="288"/>
        <v>0</v>
      </c>
      <c r="T2997" s="46">
        <f t="shared" si="286"/>
        <v>90</v>
      </c>
      <c r="U2997" s="46">
        <f t="shared" si="289"/>
        <v>90</v>
      </c>
      <c r="V2997" s="54">
        <f t="shared" si="290"/>
        <v>76.333333333333329</v>
      </c>
    </row>
    <row r="2998" spans="1:22" x14ac:dyDescent="0.2">
      <c r="A2998" s="46" t="s">
        <v>158</v>
      </c>
      <c r="B2998" s="46" t="s">
        <v>51</v>
      </c>
      <c r="C2998" s="46" t="s">
        <v>92</v>
      </c>
      <c r="D2998" s="46" t="s">
        <v>178</v>
      </c>
      <c r="E2998" s="46">
        <v>3</v>
      </c>
      <c r="F2998" s="46" t="s">
        <v>60</v>
      </c>
      <c r="G2998" s="46">
        <v>1</v>
      </c>
      <c r="H2998" s="47">
        <v>9</v>
      </c>
      <c r="I2998" s="47" t="s">
        <v>101</v>
      </c>
      <c r="J2998" s="48">
        <v>4</v>
      </c>
      <c r="K2998" s="48">
        <v>0</v>
      </c>
      <c r="R2998" s="46">
        <f t="shared" si="287"/>
        <v>1</v>
      </c>
      <c r="S2998" s="46">
        <f t="shared" si="288"/>
        <v>0</v>
      </c>
      <c r="T2998" s="46">
        <f t="shared" si="286"/>
        <v>90</v>
      </c>
      <c r="U2998" s="46">
        <f t="shared" si="289"/>
        <v>90</v>
      </c>
      <c r="V2998" s="54">
        <f t="shared" si="290"/>
        <v>76.333333333333329</v>
      </c>
    </row>
    <row r="2999" spans="1:22" x14ac:dyDescent="0.2">
      <c r="A2999" s="46" t="s">
        <v>158</v>
      </c>
      <c r="B2999" s="46" t="s">
        <v>53</v>
      </c>
      <c r="C2999" s="46" t="s">
        <v>92</v>
      </c>
      <c r="D2999" s="46" t="s">
        <v>178</v>
      </c>
      <c r="E2999" s="46">
        <v>1</v>
      </c>
      <c r="F2999" s="46" t="s">
        <v>60</v>
      </c>
      <c r="G2999" s="46">
        <v>1</v>
      </c>
      <c r="H2999" s="47">
        <v>17</v>
      </c>
      <c r="I2999" s="47" t="s">
        <v>101</v>
      </c>
      <c r="J2999" s="48">
        <v>4</v>
      </c>
      <c r="K2999" s="48">
        <v>0</v>
      </c>
      <c r="R2999" s="46">
        <f t="shared" si="287"/>
        <v>1</v>
      </c>
      <c r="S2999" s="46">
        <f t="shared" si="288"/>
        <v>0</v>
      </c>
      <c r="T2999" s="46">
        <f t="shared" ref="T2999:T3062" si="291">quizscore(J2999,K2999)</f>
        <v>90</v>
      </c>
      <c r="U2999" s="46">
        <f t="shared" si="289"/>
        <v>90</v>
      </c>
      <c r="V2999" s="54">
        <f t="shared" si="290"/>
        <v>76.333333333333329</v>
      </c>
    </row>
    <row r="3000" spans="1:22" x14ac:dyDescent="0.2">
      <c r="A3000" s="46" t="s">
        <v>158</v>
      </c>
      <c r="B3000" s="46" t="s">
        <v>51</v>
      </c>
      <c r="C3000" s="46" t="s">
        <v>92</v>
      </c>
      <c r="D3000" s="46" t="s">
        <v>178</v>
      </c>
      <c r="E3000" s="46">
        <v>4</v>
      </c>
      <c r="F3000" s="46" t="s">
        <v>60</v>
      </c>
      <c r="G3000" s="46">
        <v>3</v>
      </c>
      <c r="H3000" s="47">
        <v>19</v>
      </c>
      <c r="I3000" s="47" t="s">
        <v>159</v>
      </c>
      <c r="J3000" s="48">
        <v>4</v>
      </c>
      <c r="K3000" s="48">
        <v>0</v>
      </c>
      <c r="R3000" s="46">
        <f t="shared" si="287"/>
        <v>1</v>
      </c>
      <c r="S3000" s="46">
        <f t="shared" si="288"/>
        <v>0</v>
      </c>
      <c r="T3000" s="46">
        <f t="shared" si="291"/>
        <v>90</v>
      </c>
      <c r="U3000" s="46">
        <f t="shared" si="289"/>
        <v>90</v>
      </c>
      <c r="V3000" s="54">
        <f t="shared" si="290"/>
        <v>76.333333333333329</v>
      </c>
    </row>
    <row r="3001" spans="1:22" x14ac:dyDescent="0.2">
      <c r="A3001" s="46" t="s">
        <v>158</v>
      </c>
      <c r="B3001" s="46" t="s">
        <v>53</v>
      </c>
      <c r="C3001" s="46" t="s">
        <v>92</v>
      </c>
      <c r="D3001" s="46" t="s">
        <v>178</v>
      </c>
      <c r="E3001" s="46">
        <v>1</v>
      </c>
      <c r="F3001" s="46" t="s">
        <v>60</v>
      </c>
      <c r="G3001" s="46">
        <v>4</v>
      </c>
      <c r="H3001" s="47">
        <v>24</v>
      </c>
      <c r="I3001" s="47" t="s">
        <v>102</v>
      </c>
      <c r="J3001" s="48">
        <v>4</v>
      </c>
      <c r="K3001" s="48">
        <v>0</v>
      </c>
      <c r="R3001" s="46">
        <f t="shared" si="287"/>
        <v>1</v>
      </c>
      <c r="S3001" s="46">
        <f t="shared" si="288"/>
        <v>0</v>
      </c>
      <c r="T3001" s="46">
        <f t="shared" si="291"/>
        <v>90</v>
      </c>
      <c r="U3001" s="46">
        <f t="shared" si="289"/>
        <v>90</v>
      </c>
      <c r="V3001" s="54">
        <f t="shared" si="290"/>
        <v>76.333333333333329</v>
      </c>
    </row>
    <row r="3002" spans="1:22" x14ac:dyDescent="0.2">
      <c r="A3002" s="46" t="s">
        <v>158</v>
      </c>
      <c r="B3002" s="46" t="s">
        <v>51</v>
      </c>
      <c r="C3002" s="46" t="s">
        <v>92</v>
      </c>
      <c r="D3002" s="46" t="s">
        <v>178</v>
      </c>
      <c r="E3002" s="46">
        <v>2</v>
      </c>
      <c r="F3002" s="46" t="s">
        <v>60</v>
      </c>
      <c r="G3002" s="46">
        <v>2</v>
      </c>
      <c r="H3002" s="47">
        <v>26</v>
      </c>
      <c r="I3002" s="47" t="s">
        <v>127</v>
      </c>
      <c r="J3002" s="48">
        <v>4</v>
      </c>
      <c r="K3002" s="48">
        <v>0</v>
      </c>
      <c r="R3002" s="46">
        <f t="shared" si="287"/>
        <v>1</v>
      </c>
      <c r="S3002" s="46">
        <f t="shared" si="288"/>
        <v>0</v>
      </c>
      <c r="T3002" s="46">
        <f t="shared" si="291"/>
        <v>90</v>
      </c>
      <c r="U3002" s="46">
        <f t="shared" si="289"/>
        <v>90</v>
      </c>
      <c r="V3002" s="54">
        <f t="shared" si="290"/>
        <v>76.333333333333329</v>
      </c>
    </row>
    <row r="3003" spans="1:22" x14ac:dyDescent="0.2">
      <c r="A3003" s="46" t="s">
        <v>158</v>
      </c>
      <c r="B3003" s="46" t="s">
        <v>53</v>
      </c>
      <c r="C3003" s="46" t="s">
        <v>92</v>
      </c>
      <c r="D3003" s="46" t="s">
        <v>178</v>
      </c>
      <c r="E3003" s="46">
        <v>1</v>
      </c>
      <c r="F3003" s="46" t="s">
        <v>60</v>
      </c>
      <c r="G3003" s="46">
        <v>3</v>
      </c>
      <c r="H3003" s="47">
        <v>31</v>
      </c>
      <c r="I3003" s="47" t="s">
        <v>116</v>
      </c>
      <c r="J3003" s="48">
        <v>4</v>
      </c>
      <c r="K3003" s="48">
        <v>0</v>
      </c>
      <c r="R3003" s="46">
        <f t="shared" si="287"/>
        <v>1</v>
      </c>
      <c r="S3003" s="46">
        <f t="shared" si="288"/>
        <v>0</v>
      </c>
      <c r="T3003" s="46">
        <f t="shared" si="291"/>
        <v>90</v>
      </c>
      <c r="U3003" s="46">
        <f t="shared" si="289"/>
        <v>90</v>
      </c>
      <c r="V3003" s="54">
        <f t="shared" si="290"/>
        <v>76.333333333333329</v>
      </c>
    </row>
    <row r="3004" spans="1:22" x14ac:dyDescent="0.2">
      <c r="A3004" s="46" t="s">
        <v>158</v>
      </c>
      <c r="B3004" s="46" t="s">
        <v>51</v>
      </c>
      <c r="C3004" s="46" t="s">
        <v>92</v>
      </c>
      <c r="D3004" s="46" t="s">
        <v>178</v>
      </c>
      <c r="E3004" s="46">
        <v>2</v>
      </c>
      <c r="F3004" s="46" t="s">
        <v>60</v>
      </c>
      <c r="G3004" s="46">
        <v>2</v>
      </c>
      <c r="H3004" s="47">
        <v>34</v>
      </c>
      <c r="I3004" s="47" t="s">
        <v>127</v>
      </c>
      <c r="J3004" s="48">
        <v>4</v>
      </c>
      <c r="K3004" s="48">
        <v>0</v>
      </c>
      <c r="R3004" s="46">
        <f t="shared" si="287"/>
        <v>1</v>
      </c>
      <c r="S3004" s="46">
        <f t="shared" si="288"/>
        <v>0</v>
      </c>
      <c r="T3004" s="46">
        <f t="shared" si="291"/>
        <v>90</v>
      </c>
      <c r="U3004" s="46">
        <f t="shared" si="289"/>
        <v>90</v>
      </c>
      <c r="V3004" s="54">
        <f t="shared" si="290"/>
        <v>76.333333333333329</v>
      </c>
    </row>
    <row r="3005" spans="1:22" x14ac:dyDescent="0.2">
      <c r="A3005" s="46" t="s">
        <v>158</v>
      </c>
      <c r="B3005" s="46" t="s">
        <v>51</v>
      </c>
      <c r="C3005" s="46" t="s">
        <v>92</v>
      </c>
      <c r="D3005" s="46" t="s">
        <v>178</v>
      </c>
      <c r="E3005" s="46">
        <v>4</v>
      </c>
      <c r="F3005" s="46" t="s">
        <v>60</v>
      </c>
      <c r="G3005" s="46">
        <v>2</v>
      </c>
      <c r="H3005" s="47">
        <v>34</v>
      </c>
      <c r="I3005" s="47" t="s">
        <v>127</v>
      </c>
      <c r="J3005" s="48">
        <v>4</v>
      </c>
      <c r="K3005" s="48">
        <v>0</v>
      </c>
      <c r="R3005" s="46">
        <f t="shared" si="287"/>
        <v>1</v>
      </c>
      <c r="S3005" s="46">
        <f t="shared" si="288"/>
        <v>0</v>
      </c>
      <c r="T3005" s="46">
        <f t="shared" si="291"/>
        <v>90</v>
      </c>
      <c r="U3005" s="46">
        <f t="shared" si="289"/>
        <v>90</v>
      </c>
      <c r="V3005" s="54">
        <f t="shared" si="290"/>
        <v>76.333333333333329</v>
      </c>
    </row>
    <row r="3006" spans="1:22" x14ac:dyDescent="0.2">
      <c r="A3006" s="46" t="s">
        <v>158</v>
      </c>
      <c r="B3006" s="46" t="s">
        <v>51</v>
      </c>
      <c r="C3006" s="46" t="s">
        <v>92</v>
      </c>
      <c r="D3006" s="46" t="s">
        <v>178</v>
      </c>
      <c r="E3006" s="46">
        <v>2</v>
      </c>
      <c r="F3006" s="46" t="s">
        <v>60</v>
      </c>
      <c r="G3006" s="46">
        <v>1</v>
      </c>
      <c r="H3006" s="47">
        <v>37</v>
      </c>
      <c r="I3006" s="47" t="s">
        <v>101</v>
      </c>
      <c r="J3006" s="48">
        <v>4</v>
      </c>
      <c r="K3006" s="48">
        <v>0</v>
      </c>
      <c r="R3006" s="46">
        <f t="shared" si="287"/>
        <v>1</v>
      </c>
      <c r="S3006" s="46">
        <f t="shared" si="288"/>
        <v>0</v>
      </c>
      <c r="T3006" s="46">
        <f t="shared" si="291"/>
        <v>90</v>
      </c>
      <c r="U3006" s="46">
        <f t="shared" si="289"/>
        <v>90</v>
      </c>
      <c r="V3006" s="54">
        <f t="shared" si="290"/>
        <v>76.333333333333329</v>
      </c>
    </row>
    <row r="3007" spans="1:22" x14ac:dyDescent="0.2">
      <c r="A3007" s="46" t="s">
        <v>158</v>
      </c>
      <c r="B3007" s="46" t="s">
        <v>51</v>
      </c>
      <c r="C3007" s="46" t="s">
        <v>92</v>
      </c>
      <c r="D3007" s="46" t="s">
        <v>178</v>
      </c>
      <c r="E3007" s="46">
        <v>3</v>
      </c>
      <c r="F3007" s="46" t="s">
        <v>60</v>
      </c>
      <c r="G3007" s="46">
        <v>4</v>
      </c>
      <c r="H3007" s="47">
        <v>40</v>
      </c>
      <c r="I3007" s="47" t="s">
        <v>102</v>
      </c>
      <c r="J3007" s="48">
        <v>4</v>
      </c>
      <c r="K3007" s="48">
        <v>0</v>
      </c>
      <c r="R3007" s="46">
        <f t="shared" si="287"/>
        <v>1</v>
      </c>
      <c r="S3007" s="46">
        <f t="shared" si="288"/>
        <v>0</v>
      </c>
      <c r="T3007" s="46">
        <f t="shared" si="291"/>
        <v>90</v>
      </c>
      <c r="U3007" s="46">
        <f t="shared" si="289"/>
        <v>90</v>
      </c>
      <c r="V3007" s="54">
        <f t="shared" si="290"/>
        <v>76.333333333333329</v>
      </c>
    </row>
    <row r="3008" spans="1:22" x14ac:dyDescent="0.2">
      <c r="A3008" s="46" t="s">
        <v>158</v>
      </c>
      <c r="B3008" s="46" t="s">
        <v>53</v>
      </c>
      <c r="C3008" s="46" t="s">
        <v>92</v>
      </c>
      <c r="D3008" s="46" t="s">
        <v>178</v>
      </c>
      <c r="E3008" s="46">
        <v>1</v>
      </c>
      <c r="F3008" s="46" t="s">
        <v>62</v>
      </c>
      <c r="G3008" s="46">
        <v>2</v>
      </c>
      <c r="H3008" s="47" t="s">
        <v>81</v>
      </c>
      <c r="I3008" s="47" t="s">
        <v>127</v>
      </c>
      <c r="J3008" s="48">
        <v>4</v>
      </c>
      <c r="K3008" s="48">
        <v>0</v>
      </c>
      <c r="R3008" s="46">
        <f t="shared" si="287"/>
        <v>1</v>
      </c>
      <c r="S3008" s="46">
        <f t="shared" si="288"/>
        <v>0</v>
      </c>
      <c r="T3008" s="46">
        <f t="shared" si="291"/>
        <v>90</v>
      </c>
      <c r="U3008" s="46">
        <f t="shared" si="289"/>
        <v>90</v>
      </c>
      <c r="V3008" s="54">
        <f t="shared" si="290"/>
        <v>76.333333333333329</v>
      </c>
    </row>
    <row r="3009" spans="1:22" x14ac:dyDescent="0.2">
      <c r="A3009" s="46" t="s">
        <v>158</v>
      </c>
      <c r="B3009" s="46" t="s">
        <v>53</v>
      </c>
      <c r="C3009" s="46" t="s">
        <v>92</v>
      </c>
      <c r="D3009" s="46" t="s">
        <v>178</v>
      </c>
      <c r="E3009" s="46">
        <v>1</v>
      </c>
      <c r="F3009" s="46" t="s">
        <v>62</v>
      </c>
      <c r="G3009" s="46">
        <v>2</v>
      </c>
      <c r="H3009" s="47" t="s">
        <v>82</v>
      </c>
      <c r="I3009" s="47" t="s">
        <v>127</v>
      </c>
      <c r="J3009" s="48">
        <v>4</v>
      </c>
      <c r="K3009" s="48">
        <v>0</v>
      </c>
      <c r="R3009" s="46">
        <f t="shared" si="287"/>
        <v>1</v>
      </c>
      <c r="S3009" s="46">
        <f t="shared" si="288"/>
        <v>0</v>
      </c>
      <c r="T3009" s="46">
        <f t="shared" si="291"/>
        <v>90</v>
      </c>
      <c r="U3009" s="46">
        <f t="shared" si="289"/>
        <v>90</v>
      </c>
      <c r="V3009" s="54">
        <f t="shared" si="290"/>
        <v>76.333333333333329</v>
      </c>
    </row>
    <row r="3010" spans="1:22" x14ac:dyDescent="0.2">
      <c r="A3010" s="46" t="s">
        <v>158</v>
      </c>
      <c r="B3010" s="46" t="s">
        <v>53</v>
      </c>
      <c r="C3010" s="46" t="s">
        <v>92</v>
      </c>
      <c r="D3010" s="46" t="s">
        <v>178</v>
      </c>
      <c r="E3010" s="46">
        <v>1</v>
      </c>
      <c r="F3010" s="46" t="s">
        <v>62</v>
      </c>
      <c r="G3010" s="46">
        <v>3</v>
      </c>
      <c r="H3010" s="47" t="s">
        <v>64</v>
      </c>
      <c r="I3010" s="47" t="s">
        <v>116</v>
      </c>
      <c r="J3010" s="48">
        <v>4</v>
      </c>
      <c r="K3010" s="48">
        <v>0</v>
      </c>
      <c r="R3010" s="46">
        <f t="shared" ref="R3010:R3073" si="292">IF(J3010=4,1,0)</f>
        <v>1</v>
      </c>
      <c r="S3010" s="46">
        <f t="shared" ref="S3010:S3073" si="293">IF(K3010=3,1,0)</f>
        <v>0</v>
      </c>
      <c r="T3010" s="46">
        <f t="shared" si="291"/>
        <v>90</v>
      </c>
      <c r="U3010" s="46">
        <f t="shared" ref="U3010:U3073" si="294">T3010+M3010*(20) + (SUM(O3010:Q3010)*(10)) - L3010*(5) - N3010*(5)</f>
        <v>90</v>
      </c>
      <c r="V3010" s="54">
        <f t="shared" ref="V3010:V3073" si="295">AVERAGEIFS(U:U,A:A,A3010,F:F,"Pre")</f>
        <v>76.333333333333329</v>
      </c>
    </row>
    <row r="3011" spans="1:22" x14ac:dyDescent="0.2">
      <c r="A3011" s="46" t="s">
        <v>158</v>
      </c>
      <c r="B3011" s="46" t="s">
        <v>51</v>
      </c>
      <c r="C3011" s="46" t="s">
        <v>92</v>
      </c>
      <c r="D3011" s="46" t="s">
        <v>178</v>
      </c>
      <c r="E3011" s="46">
        <v>4</v>
      </c>
      <c r="F3011" s="46" t="s">
        <v>61</v>
      </c>
      <c r="G3011" s="46">
        <v>1</v>
      </c>
      <c r="H3011" s="47" t="s">
        <v>78</v>
      </c>
      <c r="I3011" s="47" t="s">
        <v>101</v>
      </c>
      <c r="J3011" s="48">
        <v>2</v>
      </c>
      <c r="K3011" s="48">
        <v>1</v>
      </c>
      <c r="M3011" s="48">
        <v>1</v>
      </c>
      <c r="R3011" s="46">
        <f t="shared" si="292"/>
        <v>0</v>
      </c>
      <c r="S3011" s="46">
        <f t="shared" si="293"/>
        <v>0</v>
      </c>
      <c r="T3011" s="46">
        <f t="shared" si="291"/>
        <v>40</v>
      </c>
      <c r="U3011" s="46">
        <f t="shared" si="294"/>
        <v>60</v>
      </c>
      <c r="V3011" s="54">
        <f t="shared" si="295"/>
        <v>76.333333333333329</v>
      </c>
    </row>
    <row r="3012" spans="1:22" x14ac:dyDescent="0.2">
      <c r="A3012" s="46" t="s">
        <v>158</v>
      </c>
      <c r="B3012" s="46" t="s">
        <v>51</v>
      </c>
      <c r="C3012" s="46" t="s">
        <v>92</v>
      </c>
      <c r="D3012" s="46" t="s">
        <v>178</v>
      </c>
      <c r="E3012" s="46">
        <v>4</v>
      </c>
      <c r="F3012" s="46" t="s">
        <v>61</v>
      </c>
      <c r="G3012" s="46">
        <v>1</v>
      </c>
      <c r="H3012" s="47" t="s">
        <v>78</v>
      </c>
      <c r="I3012" s="47" t="s">
        <v>101</v>
      </c>
      <c r="J3012" s="48">
        <v>1</v>
      </c>
      <c r="K3012" s="48">
        <v>2</v>
      </c>
      <c r="R3012" s="46">
        <f t="shared" si="292"/>
        <v>0</v>
      </c>
      <c r="S3012" s="46">
        <f t="shared" si="293"/>
        <v>0</v>
      </c>
      <c r="T3012" s="46">
        <f t="shared" si="291"/>
        <v>10</v>
      </c>
      <c r="U3012" s="46">
        <f t="shared" si="294"/>
        <v>10</v>
      </c>
      <c r="V3012" s="54">
        <f t="shared" si="295"/>
        <v>76.333333333333329</v>
      </c>
    </row>
    <row r="3013" spans="1:22" x14ac:dyDescent="0.2">
      <c r="A3013" s="46" t="s">
        <v>158</v>
      </c>
      <c r="B3013" s="46" t="s">
        <v>51</v>
      </c>
      <c r="C3013" s="46" t="s">
        <v>92</v>
      </c>
      <c r="D3013" s="46" t="s">
        <v>178</v>
      </c>
      <c r="E3013" s="46">
        <v>4</v>
      </c>
      <c r="F3013" s="46" t="s">
        <v>61</v>
      </c>
      <c r="G3013" s="46">
        <v>1</v>
      </c>
      <c r="H3013" s="47" t="s">
        <v>78</v>
      </c>
      <c r="I3013" s="47" t="s">
        <v>101</v>
      </c>
      <c r="J3013" s="48">
        <v>1</v>
      </c>
      <c r="K3013" s="48">
        <v>2</v>
      </c>
      <c r="R3013" s="46">
        <f t="shared" si="292"/>
        <v>0</v>
      </c>
      <c r="S3013" s="46">
        <f t="shared" si="293"/>
        <v>0</v>
      </c>
      <c r="T3013" s="46">
        <f t="shared" si="291"/>
        <v>10</v>
      </c>
      <c r="U3013" s="46">
        <f t="shared" si="294"/>
        <v>10</v>
      </c>
      <c r="V3013" s="54">
        <f t="shared" si="295"/>
        <v>76.333333333333329</v>
      </c>
    </row>
    <row r="3014" spans="1:22" x14ac:dyDescent="0.2">
      <c r="A3014" s="46" t="s">
        <v>158</v>
      </c>
      <c r="B3014" s="46" t="s">
        <v>51</v>
      </c>
      <c r="C3014" s="46" t="s">
        <v>92</v>
      </c>
      <c r="D3014" s="46" t="s">
        <v>178</v>
      </c>
      <c r="E3014" s="46">
        <v>5</v>
      </c>
      <c r="F3014" s="46" t="s">
        <v>60</v>
      </c>
      <c r="G3014" s="46">
        <v>1</v>
      </c>
      <c r="H3014" s="47">
        <v>5</v>
      </c>
      <c r="I3014" s="47" t="s">
        <v>101</v>
      </c>
      <c r="J3014" s="48">
        <v>4</v>
      </c>
      <c r="K3014" s="48">
        <v>0</v>
      </c>
      <c r="R3014" s="46">
        <f t="shared" si="292"/>
        <v>1</v>
      </c>
      <c r="S3014" s="46">
        <f t="shared" si="293"/>
        <v>0</v>
      </c>
      <c r="T3014" s="46">
        <f t="shared" si="291"/>
        <v>90</v>
      </c>
      <c r="U3014" s="46">
        <f t="shared" si="294"/>
        <v>90</v>
      </c>
      <c r="V3014" s="54">
        <f t="shared" si="295"/>
        <v>76.333333333333329</v>
      </c>
    </row>
    <row r="3015" spans="1:22" x14ac:dyDescent="0.2">
      <c r="A3015" s="46" t="s">
        <v>158</v>
      </c>
      <c r="B3015" s="46" t="s">
        <v>51</v>
      </c>
      <c r="C3015" s="46" t="s">
        <v>92</v>
      </c>
      <c r="D3015" s="46" t="s">
        <v>178</v>
      </c>
      <c r="E3015" s="46">
        <v>5</v>
      </c>
      <c r="F3015" s="46" t="s">
        <v>60</v>
      </c>
      <c r="G3015" s="46">
        <v>2</v>
      </c>
      <c r="H3015" s="47">
        <v>10</v>
      </c>
      <c r="I3015" s="47" t="s">
        <v>127</v>
      </c>
      <c r="J3015" s="48">
        <v>3</v>
      </c>
      <c r="K3015" s="48">
        <v>1</v>
      </c>
      <c r="R3015" s="46">
        <f t="shared" si="292"/>
        <v>0</v>
      </c>
      <c r="S3015" s="46">
        <f t="shared" si="293"/>
        <v>0</v>
      </c>
      <c r="T3015" s="46">
        <f t="shared" si="291"/>
        <v>60</v>
      </c>
      <c r="U3015" s="46">
        <f t="shared" si="294"/>
        <v>60</v>
      </c>
      <c r="V3015" s="54">
        <f t="shared" si="295"/>
        <v>76.333333333333329</v>
      </c>
    </row>
    <row r="3016" spans="1:22" x14ac:dyDescent="0.2">
      <c r="A3016" s="46" t="s">
        <v>158</v>
      </c>
      <c r="B3016" s="46" t="s">
        <v>51</v>
      </c>
      <c r="C3016" s="46" t="s">
        <v>92</v>
      </c>
      <c r="D3016" s="46" t="s">
        <v>178</v>
      </c>
      <c r="E3016" s="46">
        <v>5</v>
      </c>
      <c r="F3016" s="46" t="s">
        <v>60</v>
      </c>
      <c r="G3016" s="46">
        <v>3</v>
      </c>
      <c r="H3016" s="47">
        <v>19</v>
      </c>
      <c r="I3016" s="47" t="s">
        <v>159</v>
      </c>
      <c r="J3016" s="48">
        <v>4</v>
      </c>
      <c r="K3016" s="48">
        <v>0</v>
      </c>
      <c r="M3016" s="48">
        <v>1</v>
      </c>
      <c r="R3016" s="46">
        <f t="shared" si="292"/>
        <v>1</v>
      </c>
      <c r="S3016" s="46">
        <f t="shared" si="293"/>
        <v>0</v>
      </c>
      <c r="T3016" s="46">
        <f t="shared" si="291"/>
        <v>90</v>
      </c>
      <c r="U3016" s="46">
        <f t="shared" si="294"/>
        <v>110</v>
      </c>
      <c r="V3016" s="54">
        <f t="shared" si="295"/>
        <v>76.333333333333329</v>
      </c>
    </row>
    <row r="3017" spans="1:22" x14ac:dyDescent="0.2">
      <c r="A3017" s="46" t="s">
        <v>158</v>
      </c>
      <c r="B3017" s="46" t="s">
        <v>51</v>
      </c>
      <c r="C3017" s="46" t="s">
        <v>92</v>
      </c>
      <c r="D3017" s="46" t="s">
        <v>178</v>
      </c>
      <c r="E3017" s="46">
        <v>5</v>
      </c>
      <c r="F3017" s="46" t="s">
        <v>60</v>
      </c>
      <c r="G3017" s="46">
        <v>1</v>
      </c>
      <c r="H3017" s="47">
        <v>25</v>
      </c>
      <c r="I3017" s="47" t="s">
        <v>101</v>
      </c>
      <c r="J3017" s="48">
        <v>4</v>
      </c>
      <c r="K3017" s="48">
        <v>0</v>
      </c>
      <c r="R3017" s="46">
        <f t="shared" si="292"/>
        <v>1</v>
      </c>
      <c r="S3017" s="46">
        <f t="shared" si="293"/>
        <v>0</v>
      </c>
      <c r="T3017" s="46">
        <f t="shared" si="291"/>
        <v>90</v>
      </c>
      <c r="U3017" s="46">
        <f t="shared" si="294"/>
        <v>90</v>
      </c>
      <c r="V3017" s="54">
        <f t="shared" si="295"/>
        <v>76.333333333333329</v>
      </c>
    </row>
    <row r="3018" spans="1:22" x14ac:dyDescent="0.2">
      <c r="A3018" s="46" t="s">
        <v>158</v>
      </c>
      <c r="B3018" s="46" t="s">
        <v>51</v>
      </c>
      <c r="C3018" s="46" t="s">
        <v>92</v>
      </c>
      <c r="D3018" s="46" t="s">
        <v>178</v>
      </c>
      <c r="E3018" s="46">
        <v>5</v>
      </c>
      <c r="F3018" s="46" t="s">
        <v>60</v>
      </c>
      <c r="G3018" s="46">
        <v>2</v>
      </c>
      <c r="H3018" s="47">
        <v>30</v>
      </c>
      <c r="I3018" s="47" t="s">
        <v>127</v>
      </c>
      <c r="J3018" s="48">
        <v>4</v>
      </c>
      <c r="K3018" s="48">
        <v>0</v>
      </c>
      <c r="R3018" s="46">
        <f t="shared" si="292"/>
        <v>1</v>
      </c>
      <c r="S3018" s="46">
        <f t="shared" si="293"/>
        <v>0</v>
      </c>
      <c r="T3018" s="46">
        <f t="shared" si="291"/>
        <v>90</v>
      </c>
      <c r="U3018" s="46">
        <f t="shared" si="294"/>
        <v>90</v>
      </c>
      <c r="V3018" s="54">
        <f t="shared" si="295"/>
        <v>76.333333333333329</v>
      </c>
    </row>
    <row r="3019" spans="1:22" x14ac:dyDescent="0.2">
      <c r="A3019" s="46" t="s">
        <v>158</v>
      </c>
      <c r="B3019" s="46" t="s">
        <v>51</v>
      </c>
      <c r="C3019" s="46" t="s">
        <v>92</v>
      </c>
      <c r="D3019" s="46" t="s">
        <v>178</v>
      </c>
      <c r="E3019" s="46">
        <v>5</v>
      </c>
      <c r="F3019" s="46" t="s">
        <v>60</v>
      </c>
      <c r="G3019" s="46">
        <v>4</v>
      </c>
      <c r="H3019" s="47">
        <v>44</v>
      </c>
      <c r="I3019" s="47" t="s">
        <v>102</v>
      </c>
      <c r="J3019" s="48">
        <v>4</v>
      </c>
      <c r="K3019" s="48">
        <v>0</v>
      </c>
      <c r="R3019" s="46">
        <f t="shared" si="292"/>
        <v>1</v>
      </c>
      <c r="S3019" s="46">
        <f t="shared" si="293"/>
        <v>0</v>
      </c>
      <c r="T3019" s="46">
        <f t="shared" si="291"/>
        <v>90</v>
      </c>
      <c r="U3019" s="46">
        <f t="shared" si="294"/>
        <v>90</v>
      </c>
      <c r="V3019" s="54">
        <f t="shared" si="295"/>
        <v>76.333333333333329</v>
      </c>
    </row>
    <row r="3020" spans="1:22" x14ac:dyDescent="0.2">
      <c r="A3020" s="46" t="s">
        <v>158</v>
      </c>
      <c r="B3020" s="46" t="s">
        <v>51</v>
      </c>
      <c r="C3020" s="46" t="s">
        <v>92</v>
      </c>
      <c r="D3020" s="46" t="s">
        <v>178</v>
      </c>
      <c r="E3020" s="46">
        <v>5</v>
      </c>
      <c r="F3020" s="46" t="s">
        <v>61</v>
      </c>
      <c r="G3020" s="46">
        <v>1</v>
      </c>
      <c r="H3020" s="47" t="s">
        <v>67</v>
      </c>
      <c r="I3020" s="47" t="s">
        <v>101</v>
      </c>
      <c r="J3020" s="48">
        <v>4</v>
      </c>
      <c r="K3020" s="48">
        <v>1</v>
      </c>
      <c r="M3020" s="48">
        <v>1</v>
      </c>
      <c r="R3020" s="46">
        <f t="shared" si="292"/>
        <v>1</v>
      </c>
      <c r="S3020" s="46">
        <f t="shared" si="293"/>
        <v>0</v>
      </c>
      <c r="T3020" s="46">
        <f t="shared" si="291"/>
        <v>80</v>
      </c>
      <c r="U3020" s="46">
        <f t="shared" si="294"/>
        <v>100</v>
      </c>
      <c r="V3020" s="54">
        <f t="shared" si="295"/>
        <v>76.333333333333329</v>
      </c>
    </row>
    <row r="3021" spans="1:22" x14ac:dyDescent="0.2">
      <c r="A3021" s="46" t="s">
        <v>158</v>
      </c>
      <c r="B3021" s="46" t="s">
        <v>51</v>
      </c>
      <c r="C3021" s="46" t="s">
        <v>92</v>
      </c>
      <c r="D3021" s="46" t="s">
        <v>178</v>
      </c>
      <c r="E3021" s="46">
        <v>5</v>
      </c>
      <c r="F3021" s="46" t="s">
        <v>61</v>
      </c>
      <c r="G3021" s="46">
        <v>2</v>
      </c>
      <c r="H3021" s="47" t="s">
        <v>76</v>
      </c>
      <c r="I3021" s="47" t="s">
        <v>127</v>
      </c>
      <c r="J3021" s="48">
        <v>4</v>
      </c>
      <c r="K3021" s="48">
        <v>0</v>
      </c>
      <c r="R3021" s="46">
        <f t="shared" si="292"/>
        <v>1</v>
      </c>
      <c r="S3021" s="46">
        <f t="shared" si="293"/>
        <v>0</v>
      </c>
      <c r="T3021" s="46">
        <f t="shared" si="291"/>
        <v>90</v>
      </c>
      <c r="U3021" s="46">
        <f t="shared" si="294"/>
        <v>90</v>
      </c>
      <c r="V3021" s="54">
        <f t="shared" si="295"/>
        <v>76.333333333333329</v>
      </c>
    </row>
    <row r="3022" spans="1:22" x14ac:dyDescent="0.2">
      <c r="A3022" s="46" t="s">
        <v>113</v>
      </c>
      <c r="B3022" s="46" t="s">
        <v>122</v>
      </c>
      <c r="C3022" s="46" t="s">
        <v>95</v>
      </c>
      <c r="D3022" s="46" t="s">
        <v>178</v>
      </c>
      <c r="E3022" s="46">
        <v>1</v>
      </c>
      <c r="F3022" s="46" t="s">
        <v>62</v>
      </c>
      <c r="G3022" s="46">
        <v>2</v>
      </c>
      <c r="H3022" s="47" t="s">
        <v>83</v>
      </c>
      <c r="I3022" s="47" t="s">
        <v>127</v>
      </c>
      <c r="J3022" s="48">
        <v>0</v>
      </c>
      <c r="K3022" s="48">
        <v>2</v>
      </c>
      <c r="R3022" s="46">
        <f t="shared" si="292"/>
        <v>0</v>
      </c>
      <c r="S3022" s="46">
        <f t="shared" si="293"/>
        <v>0</v>
      </c>
      <c r="T3022" s="46">
        <f t="shared" si="291"/>
        <v>-10</v>
      </c>
      <c r="U3022" s="46">
        <f t="shared" si="294"/>
        <v>-10</v>
      </c>
      <c r="V3022" s="54">
        <f t="shared" si="295"/>
        <v>8.3333333333333339</v>
      </c>
    </row>
    <row r="3023" spans="1:22" x14ac:dyDescent="0.2">
      <c r="A3023" s="46" t="s">
        <v>113</v>
      </c>
      <c r="B3023" s="46" t="s">
        <v>122</v>
      </c>
      <c r="C3023" s="46" t="s">
        <v>95</v>
      </c>
      <c r="D3023" s="46" t="s">
        <v>178</v>
      </c>
      <c r="E3023" s="46">
        <v>2</v>
      </c>
      <c r="F3023" s="46" t="s">
        <v>60</v>
      </c>
      <c r="G3023" s="46">
        <v>1</v>
      </c>
      <c r="H3023" s="47">
        <v>1</v>
      </c>
      <c r="I3023" s="47" t="s">
        <v>101</v>
      </c>
      <c r="J3023" s="48">
        <v>0</v>
      </c>
      <c r="K3023" s="48">
        <v>0</v>
      </c>
      <c r="R3023" s="46">
        <f t="shared" si="292"/>
        <v>0</v>
      </c>
      <c r="S3023" s="46">
        <f t="shared" si="293"/>
        <v>0</v>
      </c>
      <c r="T3023" s="46">
        <f t="shared" si="291"/>
        <v>0</v>
      </c>
      <c r="U3023" s="46">
        <f t="shared" si="294"/>
        <v>0</v>
      </c>
      <c r="V3023" s="54">
        <f t="shared" si="295"/>
        <v>8.3333333333333339</v>
      </c>
    </row>
    <row r="3024" spans="1:22" x14ac:dyDescent="0.2">
      <c r="A3024" s="46" t="s">
        <v>113</v>
      </c>
      <c r="B3024" s="46" t="s">
        <v>122</v>
      </c>
      <c r="C3024" s="46" t="s">
        <v>95</v>
      </c>
      <c r="D3024" s="46" t="s">
        <v>178</v>
      </c>
      <c r="E3024" s="46">
        <v>4</v>
      </c>
      <c r="F3024" s="46" t="s">
        <v>60</v>
      </c>
      <c r="G3024" s="46">
        <v>2</v>
      </c>
      <c r="H3024" s="47">
        <v>2</v>
      </c>
      <c r="I3024" s="47" t="s">
        <v>127</v>
      </c>
      <c r="J3024" s="48">
        <v>0</v>
      </c>
      <c r="K3024" s="48">
        <v>1</v>
      </c>
      <c r="R3024" s="46">
        <f t="shared" si="292"/>
        <v>0</v>
      </c>
      <c r="S3024" s="46">
        <f t="shared" si="293"/>
        <v>0</v>
      </c>
      <c r="T3024" s="46">
        <f t="shared" si="291"/>
        <v>0</v>
      </c>
      <c r="U3024" s="46">
        <f t="shared" si="294"/>
        <v>0</v>
      </c>
      <c r="V3024" s="54">
        <f t="shared" si="295"/>
        <v>8.3333333333333339</v>
      </c>
    </row>
    <row r="3025" spans="1:22" x14ac:dyDescent="0.2">
      <c r="A3025" s="46" t="s">
        <v>113</v>
      </c>
      <c r="B3025" s="46" t="s">
        <v>122</v>
      </c>
      <c r="C3025" s="46" t="s">
        <v>95</v>
      </c>
      <c r="D3025" s="46" t="s">
        <v>178</v>
      </c>
      <c r="E3025" s="46">
        <v>1</v>
      </c>
      <c r="F3025" s="46" t="s">
        <v>60</v>
      </c>
      <c r="G3025" s="46">
        <v>3</v>
      </c>
      <c r="H3025" s="47">
        <v>3</v>
      </c>
      <c r="I3025" s="47" t="s">
        <v>116</v>
      </c>
      <c r="J3025" s="48">
        <v>0</v>
      </c>
      <c r="K3025" s="48">
        <v>0</v>
      </c>
      <c r="R3025" s="46">
        <f t="shared" si="292"/>
        <v>0</v>
      </c>
      <c r="S3025" s="46">
        <f t="shared" si="293"/>
        <v>0</v>
      </c>
      <c r="T3025" s="46">
        <f t="shared" si="291"/>
        <v>0</v>
      </c>
      <c r="U3025" s="46">
        <f t="shared" si="294"/>
        <v>0</v>
      </c>
      <c r="V3025" s="54">
        <f t="shared" si="295"/>
        <v>8.3333333333333339</v>
      </c>
    </row>
    <row r="3026" spans="1:22" x14ac:dyDescent="0.2">
      <c r="A3026" s="46" t="s">
        <v>113</v>
      </c>
      <c r="B3026" s="46" t="s">
        <v>122</v>
      </c>
      <c r="C3026" s="46" t="s">
        <v>95</v>
      </c>
      <c r="D3026" s="46" t="s">
        <v>178</v>
      </c>
      <c r="E3026" s="46">
        <v>3</v>
      </c>
      <c r="F3026" s="46" t="s">
        <v>60</v>
      </c>
      <c r="G3026" s="46">
        <v>2</v>
      </c>
      <c r="H3026" s="47">
        <v>6</v>
      </c>
      <c r="I3026" s="47" t="s">
        <v>127</v>
      </c>
      <c r="J3026" s="48">
        <v>0</v>
      </c>
      <c r="K3026" s="48">
        <v>0</v>
      </c>
      <c r="R3026" s="46">
        <f t="shared" si="292"/>
        <v>0</v>
      </c>
      <c r="S3026" s="46">
        <f t="shared" si="293"/>
        <v>0</v>
      </c>
      <c r="T3026" s="46">
        <f t="shared" si="291"/>
        <v>0</v>
      </c>
      <c r="U3026" s="46">
        <f t="shared" si="294"/>
        <v>0</v>
      </c>
      <c r="V3026" s="54">
        <f t="shared" si="295"/>
        <v>8.3333333333333339</v>
      </c>
    </row>
    <row r="3027" spans="1:22" x14ac:dyDescent="0.2">
      <c r="A3027" s="46" t="s">
        <v>113</v>
      </c>
      <c r="B3027" s="46" t="s">
        <v>122</v>
      </c>
      <c r="C3027" s="46" t="s">
        <v>95</v>
      </c>
      <c r="D3027" s="46" t="s">
        <v>178</v>
      </c>
      <c r="E3027" s="46">
        <v>2</v>
      </c>
      <c r="F3027" s="46" t="s">
        <v>60</v>
      </c>
      <c r="G3027" s="46">
        <v>2</v>
      </c>
      <c r="H3027" s="47">
        <v>10</v>
      </c>
      <c r="I3027" s="47" t="s">
        <v>127</v>
      </c>
      <c r="J3027" s="48">
        <v>0</v>
      </c>
      <c r="K3027" s="48">
        <v>0</v>
      </c>
      <c r="R3027" s="46">
        <f t="shared" si="292"/>
        <v>0</v>
      </c>
      <c r="S3027" s="46">
        <f t="shared" si="293"/>
        <v>0</v>
      </c>
      <c r="T3027" s="46">
        <f t="shared" si="291"/>
        <v>0</v>
      </c>
      <c r="U3027" s="46">
        <f t="shared" si="294"/>
        <v>0</v>
      </c>
      <c r="V3027" s="54">
        <f t="shared" si="295"/>
        <v>8.3333333333333339</v>
      </c>
    </row>
    <row r="3028" spans="1:22" x14ac:dyDescent="0.2">
      <c r="A3028" s="46" t="s">
        <v>113</v>
      </c>
      <c r="B3028" s="46" t="s">
        <v>122</v>
      </c>
      <c r="C3028" s="46" t="s">
        <v>95</v>
      </c>
      <c r="D3028" s="46" t="s">
        <v>178</v>
      </c>
      <c r="E3028" s="46">
        <v>4</v>
      </c>
      <c r="F3028" s="46" t="s">
        <v>60</v>
      </c>
      <c r="G3028" s="46">
        <v>4</v>
      </c>
      <c r="H3028" s="47">
        <v>12</v>
      </c>
      <c r="I3028" s="47" t="s">
        <v>102</v>
      </c>
      <c r="J3028" s="48">
        <v>0</v>
      </c>
      <c r="K3028" s="48">
        <v>0</v>
      </c>
      <c r="R3028" s="46">
        <f t="shared" si="292"/>
        <v>0</v>
      </c>
      <c r="S3028" s="46">
        <f t="shared" si="293"/>
        <v>0</v>
      </c>
      <c r="T3028" s="46">
        <f t="shared" si="291"/>
        <v>0</v>
      </c>
      <c r="U3028" s="46">
        <f t="shared" si="294"/>
        <v>0</v>
      </c>
      <c r="V3028" s="54">
        <f t="shared" si="295"/>
        <v>8.3333333333333339</v>
      </c>
    </row>
    <row r="3029" spans="1:22" x14ac:dyDescent="0.2">
      <c r="A3029" s="46" t="s">
        <v>113</v>
      </c>
      <c r="B3029" s="46" t="s">
        <v>122</v>
      </c>
      <c r="C3029" s="46" t="s">
        <v>95</v>
      </c>
      <c r="D3029" s="46" t="s">
        <v>178</v>
      </c>
      <c r="E3029" s="46">
        <v>3</v>
      </c>
      <c r="F3029" s="46" t="s">
        <v>60</v>
      </c>
      <c r="G3029" s="46">
        <v>3</v>
      </c>
      <c r="H3029" s="47">
        <v>15</v>
      </c>
      <c r="I3029" s="47" t="s">
        <v>116</v>
      </c>
      <c r="J3029" s="48">
        <v>0</v>
      </c>
      <c r="K3029" s="48">
        <v>0</v>
      </c>
      <c r="R3029" s="46">
        <f t="shared" si="292"/>
        <v>0</v>
      </c>
      <c r="S3029" s="46">
        <f t="shared" si="293"/>
        <v>0</v>
      </c>
      <c r="T3029" s="46">
        <f t="shared" si="291"/>
        <v>0</v>
      </c>
      <c r="U3029" s="46">
        <f t="shared" si="294"/>
        <v>0</v>
      </c>
      <c r="V3029" s="54">
        <f t="shared" si="295"/>
        <v>8.3333333333333339</v>
      </c>
    </row>
    <row r="3030" spans="1:22" x14ac:dyDescent="0.2">
      <c r="A3030" s="46" t="s">
        <v>113</v>
      </c>
      <c r="B3030" s="46" t="s">
        <v>122</v>
      </c>
      <c r="C3030" s="46" t="s">
        <v>95</v>
      </c>
      <c r="D3030" s="46" t="s">
        <v>178</v>
      </c>
      <c r="E3030" s="46">
        <v>2</v>
      </c>
      <c r="F3030" s="46" t="s">
        <v>60</v>
      </c>
      <c r="G3030" s="46">
        <v>3</v>
      </c>
      <c r="H3030" s="47">
        <v>19</v>
      </c>
      <c r="I3030" s="47" t="s">
        <v>116</v>
      </c>
      <c r="J3030" s="48">
        <v>0</v>
      </c>
      <c r="K3030" s="48">
        <v>1</v>
      </c>
      <c r="R3030" s="46">
        <f t="shared" si="292"/>
        <v>0</v>
      </c>
      <c r="S3030" s="46">
        <f t="shared" si="293"/>
        <v>0</v>
      </c>
      <c r="T3030" s="46">
        <f t="shared" si="291"/>
        <v>0</v>
      </c>
      <c r="U3030" s="46">
        <f t="shared" si="294"/>
        <v>0</v>
      </c>
      <c r="V3030" s="54">
        <f t="shared" si="295"/>
        <v>8.3333333333333339</v>
      </c>
    </row>
    <row r="3031" spans="1:22" x14ac:dyDescent="0.2">
      <c r="A3031" s="46" t="s">
        <v>113</v>
      </c>
      <c r="B3031" s="46" t="s">
        <v>122</v>
      </c>
      <c r="C3031" s="46" t="s">
        <v>95</v>
      </c>
      <c r="D3031" s="46" t="s">
        <v>178</v>
      </c>
      <c r="E3031" s="46">
        <v>4</v>
      </c>
      <c r="F3031" s="46" t="s">
        <v>60</v>
      </c>
      <c r="G3031" s="46">
        <v>3</v>
      </c>
      <c r="H3031" s="47">
        <v>19</v>
      </c>
      <c r="I3031" s="47" t="s">
        <v>159</v>
      </c>
      <c r="J3031" s="48">
        <v>0</v>
      </c>
      <c r="K3031" s="48">
        <v>0</v>
      </c>
      <c r="R3031" s="46">
        <f t="shared" si="292"/>
        <v>0</v>
      </c>
      <c r="S3031" s="46">
        <f t="shared" si="293"/>
        <v>0</v>
      </c>
      <c r="T3031" s="46">
        <f t="shared" si="291"/>
        <v>0</v>
      </c>
      <c r="U3031" s="46">
        <f t="shared" si="294"/>
        <v>0</v>
      </c>
      <c r="V3031" s="54">
        <f t="shared" si="295"/>
        <v>8.3333333333333339</v>
      </c>
    </row>
    <row r="3032" spans="1:22" x14ac:dyDescent="0.2">
      <c r="A3032" s="46" t="s">
        <v>113</v>
      </c>
      <c r="B3032" s="46" t="s">
        <v>122</v>
      </c>
      <c r="C3032" s="46" t="s">
        <v>95</v>
      </c>
      <c r="D3032" s="46" t="s">
        <v>178</v>
      </c>
      <c r="E3032" s="46">
        <v>1</v>
      </c>
      <c r="F3032" s="46" t="s">
        <v>60</v>
      </c>
      <c r="G3032" s="46">
        <v>2</v>
      </c>
      <c r="H3032" s="47">
        <v>26</v>
      </c>
      <c r="I3032" s="47" t="s">
        <v>127</v>
      </c>
      <c r="J3032" s="48">
        <v>0</v>
      </c>
      <c r="K3032" s="48">
        <v>1</v>
      </c>
      <c r="R3032" s="46">
        <f t="shared" si="292"/>
        <v>0</v>
      </c>
      <c r="S3032" s="46">
        <f t="shared" si="293"/>
        <v>0</v>
      </c>
      <c r="T3032" s="46">
        <f t="shared" si="291"/>
        <v>0</v>
      </c>
      <c r="U3032" s="46">
        <f t="shared" si="294"/>
        <v>0</v>
      </c>
      <c r="V3032" s="54">
        <f t="shared" si="295"/>
        <v>8.3333333333333339</v>
      </c>
    </row>
    <row r="3033" spans="1:22" x14ac:dyDescent="0.2">
      <c r="A3033" s="46" t="s">
        <v>113</v>
      </c>
      <c r="B3033" s="46" t="s">
        <v>122</v>
      </c>
      <c r="C3033" s="46" t="s">
        <v>95</v>
      </c>
      <c r="D3033" s="46" t="s">
        <v>178</v>
      </c>
      <c r="E3033" s="46">
        <v>2</v>
      </c>
      <c r="F3033" s="46" t="s">
        <v>60</v>
      </c>
      <c r="G3033" s="46">
        <v>4</v>
      </c>
      <c r="H3033" s="47">
        <v>28</v>
      </c>
      <c r="I3033" s="47" t="s">
        <v>102</v>
      </c>
      <c r="J3033" s="48">
        <v>0</v>
      </c>
      <c r="K3033" s="48">
        <v>0</v>
      </c>
      <c r="R3033" s="46">
        <f t="shared" si="292"/>
        <v>0</v>
      </c>
      <c r="S3033" s="46">
        <f t="shared" si="293"/>
        <v>0</v>
      </c>
      <c r="T3033" s="46">
        <f t="shared" si="291"/>
        <v>0</v>
      </c>
      <c r="U3033" s="46">
        <f t="shared" si="294"/>
        <v>0</v>
      </c>
      <c r="V3033" s="54">
        <f t="shared" si="295"/>
        <v>8.3333333333333339</v>
      </c>
    </row>
    <row r="3034" spans="1:22" x14ac:dyDescent="0.2">
      <c r="A3034" s="46" t="s">
        <v>113</v>
      </c>
      <c r="B3034" s="46" t="s">
        <v>122</v>
      </c>
      <c r="C3034" s="46" t="s">
        <v>95</v>
      </c>
      <c r="D3034" s="46" t="s">
        <v>178</v>
      </c>
      <c r="E3034" s="46">
        <v>3</v>
      </c>
      <c r="F3034" s="46" t="s">
        <v>60</v>
      </c>
      <c r="G3034" s="46">
        <v>4</v>
      </c>
      <c r="H3034" s="47">
        <v>32</v>
      </c>
      <c r="I3034" s="47" t="s">
        <v>102</v>
      </c>
      <c r="J3034" s="48">
        <v>0</v>
      </c>
      <c r="K3034" s="48">
        <v>0</v>
      </c>
      <c r="R3034" s="46">
        <f t="shared" si="292"/>
        <v>0</v>
      </c>
      <c r="S3034" s="46">
        <f t="shared" si="293"/>
        <v>0</v>
      </c>
      <c r="T3034" s="46">
        <f t="shared" si="291"/>
        <v>0</v>
      </c>
      <c r="U3034" s="46">
        <f t="shared" si="294"/>
        <v>0</v>
      </c>
      <c r="V3034" s="54">
        <f t="shared" si="295"/>
        <v>8.3333333333333339</v>
      </c>
    </row>
    <row r="3035" spans="1:22" x14ac:dyDescent="0.2">
      <c r="A3035" s="46" t="s">
        <v>113</v>
      </c>
      <c r="B3035" s="46" t="s">
        <v>122</v>
      </c>
      <c r="C3035" s="46" t="s">
        <v>95</v>
      </c>
      <c r="D3035" s="46" t="s">
        <v>178</v>
      </c>
      <c r="E3035" s="46">
        <v>1</v>
      </c>
      <c r="F3035" s="46" t="s">
        <v>60</v>
      </c>
      <c r="G3035" s="46">
        <v>1</v>
      </c>
      <c r="H3035" s="47">
        <v>37</v>
      </c>
      <c r="I3035" s="47" t="s">
        <v>101</v>
      </c>
      <c r="J3035" s="48">
        <v>0</v>
      </c>
      <c r="K3035" s="48">
        <v>0</v>
      </c>
      <c r="R3035" s="46">
        <f t="shared" si="292"/>
        <v>0</v>
      </c>
      <c r="S3035" s="46">
        <f t="shared" si="293"/>
        <v>0</v>
      </c>
      <c r="T3035" s="46">
        <f t="shared" si="291"/>
        <v>0</v>
      </c>
      <c r="U3035" s="46">
        <f t="shared" si="294"/>
        <v>0</v>
      </c>
      <c r="V3035" s="54">
        <f t="shared" si="295"/>
        <v>8.3333333333333339</v>
      </c>
    </row>
    <row r="3036" spans="1:22" x14ac:dyDescent="0.2">
      <c r="A3036" s="46" t="s">
        <v>113</v>
      </c>
      <c r="B3036" s="46" t="s">
        <v>122</v>
      </c>
      <c r="C3036" s="46" t="s">
        <v>95</v>
      </c>
      <c r="D3036" s="46" t="s">
        <v>178</v>
      </c>
      <c r="E3036" s="46">
        <v>3</v>
      </c>
      <c r="F3036" s="46" t="s">
        <v>60</v>
      </c>
      <c r="G3036" s="46">
        <v>1</v>
      </c>
      <c r="H3036" s="47">
        <v>37</v>
      </c>
      <c r="I3036" s="47" t="s">
        <v>101</v>
      </c>
      <c r="J3036" s="48">
        <v>0</v>
      </c>
      <c r="K3036" s="48">
        <v>0</v>
      </c>
      <c r="N3036" s="48">
        <v>1</v>
      </c>
      <c r="R3036" s="46">
        <f t="shared" si="292"/>
        <v>0</v>
      </c>
      <c r="S3036" s="46">
        <f t="shared" si="293"/>
        <v>0</v>
      </c>
      <c r="T3036" s="46">
        <f t="shared" si="291"/>
        <v>0</v>
      </c>
      <c r="U3036" s="46">
        <f t="shared" si="294"/>
        <v>-5</v>
      </c>
      <c r="V3036" s="54">
        <f t="shared" si="295"/>
        <v>8.3333333333333339</v>
      </c>
    </row>
    <row r="3037" spans="1:22" x14ac:dyDescent="0.2">
      <c r="A3037" s="46" t="s">
        <v>113</v>
      </c>
      <c r="B3037" s="46" t="s">
        <v>122</v>
      </c>
      <c r="C3037" s="46" t="s">
        <v>95</v>
      </c>
      <c r="D3037" s="46" t="s">
        <v>178</v>
      </c>
      <c r="E3037" s="46">
        <v>4</v>
      </c>
      <c r="F3037" s="46" t="s">
        <v>60</v>
      </c>
      <c r="G3037" s="46">
        <v>4</v>
      </c>
      <c r="H3037" s="47">
        <v>40</v>
      </c>
      <c r="I3037" s="47" t="s">
        <v>102</v>
      </c>
      <c r="J3037" s="48">
        <v>0</v>
      </c>
      <c r="K3037" s="48">
        <v>0</v>
      </c>
      <c r="R3037" s="46">
        <f t="shared" si="292"/>
        <v>0</v>
      </c>
      <c r="S3037" s="46">
        <f t="shared" si="293"/>
        <v>0</v>
      </c>
      <c r="T3037" s="46">
        <f t="shared" si="291"/>
        <v>0</v>
      </c>
      <c r="U3037" s="46">
        <f t="shared" si="294"/>
        <v>0</v>
      </c>
      <c r="V3037" s="54">
        <f t="shared" si="295"/>
        <v>8.3333333333333339</v>
      </c>
    </row>
    <row r="3038" spans="1:22" x14ac:dyDescent="0.2">
      <c r="A3038" s="46" t="s">
        <v>113</v>
      </c>
      <c r="B3038" s="46" t="s">
        <v>122</v>
      </c>
      <c r="C3038" s="46" t="s">
        <v>95</v>
      </c>
      <c r="D3038" s="46" t="s">
        <v>178</v>
      </c>
      <c r="E3038" s="46">
        <v>2</v>
      </c>
      <c r="F3038" s="46" t="s">
        <v>60</v>
      </c>
      <c r="G3038" s="46">
        <v>1</v>
      </c>
      <c r="H3038" s="47">
        <v>41</v>
      </c>
      <c r="I3038" s="47" t="s">
        <v>101</v>
      </c>
      <c r="J3038" s="48">
        <v>0</v>
      </c>
      <c r="K3038" s="48">
        <v>0</v>
      </c>
      <c r="L3038" s="48">
        <v>1</v>
      </c>
      <c r="M3038" s="48">
        <v>1</v>
      </c>
      <c r="R3038" s="46">
        <f t="shared" si="292"/>
        <v>0</v>
      </c>
      <c r="S3038" s="46">
        <f t="shared" si="293"/>
        <v>0</v>
      </c>
      <c r="T3038" s="46">
        <f t="shared" si="291"/>
        <v>0</v>
      </c>
      <c r="U3038" s="46">
        <f t="shared" si="294"/>
        <v>15</v>
      </c>
      <c r="V3038" s="54">
        <f t="shared" si="295"/>
        <v>8.3333333333333339</v>
      </c>
    </row>
    <row r="3039" spans="1:22" x14ac:dyDescent="0.2">
      <c r="A3039" s="46" t="s">
        <v>113</v>
      </c>
      <c r="B3039" s="46" t="s">
        <v>122</v>
      </c>
      <c r="C3039" s="46" t="s">
        <v>95</v>
      </c>
      <c r="D3039" s="46" t="s">
        <v>178</v>
      </c>
      <c r="E3039" s="46">
        <v>4</v>
      </c>
      <c r="F3039" s="46" t="s">
        <v>60</v>
      </c>
      <c r="G3039" s="46">
        <v>1</v>
      </c>
      <c r="H3039" s="47">
        <v>45</v>
      </c>
      <c r="I3039" s="47" t="s">
        <v>101</v>
      </c>
      <c r="J3039" s="48">
        <v>0</v>
      </c>
      <c r="K3039" s="48">
        <v>0</v>
      </c>
      <c r="R3039" s="46">
        <f t="shared" si="292"/>
        <v>0</v>
      </c>
      <c r="S3039" s="46">
        <f t="shared" si="293"/>
        <v>0</v>
      </c>
      <c r="T3039" s="46">
        <f t="shared" si="291"/>
        <v>0</v>
      </c>
      <c r="U3039" s="46">
        <f t="shared" si="294"/>
        <v>0</v>
      </c>
      <c r="V3039" s="54">
        <f t="shared" si="295"/>
        <v>8.3333333333333339</v>
      </c>
    </row>
    <row r="3040" spans="1:22" x14ac:dyDescent="0.2">
      <c r="A3040" s="46" t="s">
        <v>113</v>
      </c>
      <c r="B3040" s="46" t="s">
        <v>122</v>
      </c>
      <c r="C3040" s="46" t="s">
        <v>95</v>
      </c>
      <c r="D3040" s="46" t="s">
        <v>178</v>
      </c>
      <c r="E3040" s="46">
        <v>2</v>
      </c>
      <c r="F3040" s="46" t="s">
        <v>62</v>
      </c>
      <c r="G3040" s="46">
        <v>2</v>
      </c>
      <c r="H3040" s="47" t="s">
        <v>79</v>
      </c>
      <c r="I3040" s="47" t="s">
        <v>127</v>
      </c>
      <c r="J3040" s="48">
        <v>0</v>
      </c>
      <c r="K3040" s="48">
        <v>0</v>
      </c>
      <c r="R3040" s="46">
        <f t="shared" si="292"/>
        <v>0</v>
      </c>
      <c r="S3040" s="46">
        <f t="shared" si="293"/>
        <v>0</v>
      </c>
      <c r="T3040" s="46">
        <f t="shared" si="291"/>
        <v>0</v>
      </c>
      <c r="U3040" s="46">
        <f t="shared" si="294"/>
        <v>0</v>
      </c>
      <c r="V3040" s="54">
        <f t="shared" si="295"/>
        <v>8.3333333333333339</v>
      </c>
    </row>
    <row r="3041" spans="1:22" x14ac:dyDescent="0.2">
      <c r="A3041" s="46" t="s">
        <v>113</v>
      </c>
      <c r="B3041" s="46" t="s">
        <v>122</v>
      </c>
      <c r="C3041" s="46" t="s">
        <v>95</v>
      </c>
      <c r="D3041" s="46" t="s">
        <v>178</v>
      </c>
      <c r="E3041" s="46">
        <v>4</v>
      </c>
      <c r="F3041" s="46" t="s">
        <v>62</v>
      </c>
      <c r="G3041" s="46">
        <v>3</v>
      </c>
      <c r="H3041" s="47" t="s">
        <v>80</v>
      </c>
      <c r="I3041" s="47" t="s">
        <v>219</v>
      </c>
      <c r="J3041" s="48">
        <v>0</v>
      </c>
      <c r="K3041" s="48">
        <v>0</v>
      </c>
      <c r="R3041" s="46">
        <f t="shared" si="292"/>
        <v>0</v>
      </c>
      <c r="S3041" s="46">
        <f t="shared" si="293"/>
        <v>0</v>
      </c>
      <c r="T3041" s="46">
        <f t="shared" si="291"/>
        <v>0</v>
      </c>
      <c r="U3041" s="46">
        <f t="shared" si="294"/>
        <v>0</v>
      </c>
      <c r="V3041" s="54">
        <f t="shared" si="295"/>
        <v>8.3333333333333339</v>
      </c>
    </row>
    <row r="3042" spans="1:22" x14ac:dyDescent="0.2">
      <c r="A3042" s="46" t="s">
        <v>113</v>
      </c>
      <c r="B3042" s="46" t="s">
        <v>122</v>
      </c>
      <c r="C3042" s="46" t="s">
        <v>95</v>
      </c>
      <c r="D3042" s="46" t="s">
        <v>178</v>
      </c>
      <c r="E3042" s="46">
        <v>4</v>
      </c>
      <c r="F3042" s="46" t="s">
        <v>62</v>
      </c>
      <c r="G3042" s="46">
        <v>3</v>
      </c>
      <c r="H3042" s="47" t="s">
        <v>64</v>
      </c>
      <c r="I3042" s="47" t="s">
        <v>219</v>
      </c>
      <c r="J3042" s="48">
        <v>0</v>
      </c>
      <c r="K3042" s="48">
        <v>1</v>
      </c>
      <c r="R3042" s="46">
        <f t="shared" si="292"/>
        <v>0</v>
      </c>
      <c r="S3042" s="46">
        <f t="shared" si="293"/>
        <v>0</v>
      </c>
      <c r="T3042" s="46">
        <f t="shared" si="291"/>
        <v>0</v>
      </c>
      <c r="U3042" s="46">
        <f t="shared" si="294"/>
        <v>0</v>
      </c>
      <c r="V3042" s="54">
        <f t="shared" si="295"/>
        <v>8.3333333333333339</v>
      </c>
    </row>
    <row r="3043" spans="1:22" x14ac:dyDescent="0.2">
      <c r="A3043" s="46" t="s">
        <v>113</v>
      </c>
      <c r="B3043" s="46" t="s">
        <v>122</v>
      </c>
      <c r="C3043" s="46" t="s">
        <v>95</v>
      </c>
      <c r="D3043" s="46" t="s">
        <v>178</v>
      </c>
      <c r="E3043" s="46">
        <v>1</v>
      </c>
      <c r="F3043" s="46" t="s">
        <v>60</v>
      </c>
      <c r="G3043" s="46">
        <v>4</v>
      </c>
      <c r="H3043" s="47">
        <v>20</v>
      </c>
      <c r="I3043" s="47" t="s">
        <v>102</v>
      </c>
      <c r="J3043" s="48">
        <v>1</v>
      </c>
      <c r="K3043" s="48">
        <v>1</v>
      </c>
      <c r="R3043" s="46">
        <f t="shared" si="292"/>
        <v>0</v>
      </c>
      <c r="S3043" s="46">
        <f t="shared" si="293"/>
        <v>0</v>
      </c>
      <c r="T3043" s="46">
        <f t="shared" si="291"/>
        <v>20</v>
      </c>
      <c r="U3043" s="46">
        <f t="shared" si="294"/>
        <v>20</v>
      </c>
      <c r="V3043" s="54">
        <f t="shared" si="295"/>
        <v>8.3333333333333339</v>
      </c>
    </row>
    <row r="3044" spans="1:22" x14ac:dyDescent="0.2">
      <c r="A3044" s="46" t="s">
        <v>113</v>
      </c>
      <c r="B3044" s="46" t="s">
        <v>122</v>
      </c>
      <c r="C3044" s="46" t="s">
        <v>95</v>
      </c>
      <c r="D3044" s="46" t="s">
        <v>178</v>
      </c>
      <c r="E3044" s="46">
        <v>4</v>
      </c>
      <c r="F3044" s="46" t="s">
        <v>60</v>
      </c>
      <c r="G3044" s="46">
        <v>3</v>
      </c>
      <c r="H3044" s="47">
        <v>27</v>
      </c>
      <c r="I3044" s="47" t="s">
        <v>159</v>
      </c>
      <c r="J3044" s="48">
        <v>1</v>
      </c>
      <c r="K3044" s="48">
        <v>0</v>
      </c>
      <c r="R3044" s="46">
        <f t="shared" si="292"/>
        <v>0</v>
      </c>
      <c r="S3044" s="46">
        <f t="shared" si="293"/>
        <v>0</v>
      </c>
      <c r="T3044" s="46">
        <f t="shared" si="291"/>
        <v>20</v>
      </c>
      <c r="U3044" s="46">
        <f t="shared" si="294"/>
        <v>20</v>
      </c>
      <c r="V3044" s="54">
        <f t="shared" si="295"/>
        <v>8.3333333333333339</v>
      </c>
    </row>
    <row r="3045" spans="1:22" x14ac:dyDescent="0.2">
      <c r="A3045" s="46" t="s">
        <v>113</v>
      </c>
      <c r="B3045" s="46" t="s">
        <v>122</v>
      </c>
      <c r="C3045" s="46" t="s">
        <v>95</v>
      </c>
      <c r="D3045" s="46" t="s">
        <v>178</v>
      </c>
      <c r="E3045" s="46">
        <v>2</v>
      </c>
      <c r="F3045" s="46" t="s">
        <v>60</v>
      </c>
      <c r="G3045" s="46">
        <v>2</v>
      </c>
      <c r="H3045" s="47">
        <v>34</v>
      </c>
      <c r="I3045" s="47" t="s">
        <v>127</v>
      </c>
      <c r="J3045" s="48">
        <v>1</v>
      </c>
      <c r="K3045" s="48">
        <v>0</v>
      </c>
      <c r="O3045" s="48">
        <v>1</v>
      </c>
      <c r="R3045" s="46">
        <f t="shared" si="292"/>
        <v>0</v>
      </c>
      <c r="S3045" s="46">
        <f t="shared" si="293"/>
        <v>0</v>
      </c>
      <c r="T3045" s="46">
        <f t="shared" si="291"/>
        <v>20</v>
      </c>
      <c r="U3045" s="46">
        <f t="shared" si="294"/>
        <v>30</v>
      </c>
      <c r="V3045" s="54">
        <f t="shared" si="295"/>
        <v>8.3333333333333339</v>
      </c>
    </row>
    <row r="3046" spans="1:22" x14ac:dyDescent="0.2">
      <c r="A3046" s="46" t="s">
        <v>113</v>
      </c>
      <c r="B3046" s="46" t="s">
        <v>122</v>
      </c>
      <c r="C3046" s="46" t="s">
        <v>95</v>
      </c>
      <c r="D3046" s="46" t="s">
        <v>178</v>
      </c>
      <c r="E3046" s="46">
        <v>1</v>
      </c>
      <c r="F3046" s="46" t="s">
        <v>60</v>
      </c>
      <c r="G3046" s="46">
        <v>2</v>
      </c>
      <c r="H3046" s="47">
        <v>46</v>
      </c>
      <c r="I3046" s="47" t="s">
        <v>127</v>
      </c>
      <c r="J3046" s="48">
        <v>1</v>
      </c>
      <c r="K3046" s="48">
        <v>0</v>
      </c>
      <c r="R3046" s="46">
        <f t="shared" si="292"/>
        <v>0</v>
      </c>
      <c r="S3046" s="46">
        <f t="shared" si="293"/>
        <v>0</v>
      </c>
      <c r="T3046" s="46">
        <f t="shared" si="291"/>
        <v>20</v>
      </c>
      <c r="U3046" s="46">
        <f t="shared" si="294"/>
        <v>20</v>
      </c>
      <c r="V3046" s="54">
        <f t="shared" si="295"/>
        <v>8.3333333333333339</v>
      </c>
    </row>
    <row r="3047" spans="1:22" x14ac:dyDescent="0.2">
      <c r="A3047" s="46" t="s">
        <v>113</v>
      </c>
      <c r="B3047" s="46" t="s">
        <v>122</v>
      </c>
      <c r="C3047" s="46" t="s">
        <v>95</v>
      </c>
      <c r="D3047" s="46" t="s">
        <v>178</v>
      </c>
      <c r="E3047" s="46">
        <v>1</v>
      </c>
      <c r="F3047" s="46" t="s">
        <v>62</v>
      </c>
      <c r="G3047" s="46">
        <v>2</v>
      </c>
      <c r="H3047" s="47" t="s">
        <v>82</v>
      </c>
      <c r="I3047" s="47" t="s">
        <v>127</v>
      </c>
      <c r="J3047" s="48">
        <v>1</v>
      </c>
      <c r="K3047" s="48">
        <v>0</v>
      </c>
      <c r="R3047" s="46">
        <f t="shared" si="292"/>
        <v>0</v>
      </c>
      <c r="S3047" s="46">
        <f t="shared" si="293"/>
        <v>0</v>
      </c>
      <c r="T3047" s="46">
        <f t="shared" si="291"/>
        <v>20</v>
      </c>
      <c r="U3047" s="46">
        <f t="shared" si="294"/>
        <v>20</v>
      </c>
      <c r="V3047" s="54">
        <f t="shared" si="295"/>
        <v>8.3333333333333339</v>
      </c>
    </row>
    <row r="3048" spans="1:22" x14ac:dyDescent="0.2">
      <c r="A3048" s="46" t="s">
        <v>113</v>
      </c>
      <c r="B3048" s="46" t="s">
        <v>122</v>
      </c>
      <c r="C3048" s="46" t="s">
        <v>95</v>
      </c>
      <c r="D3048" s="46" t="s">
        <v>178</v>
      </c>
      <c r="E3048" s="46">
        <v>4</v>
      </c>
      <c r="F3048" s="46" t="s">
        <v>62</v>
      </c>
      <c r="G3048" s="46">
        <v>3</v>
      </c>
      <c r="H3048" s="47" t="s">
        <v>84</v>
      </c>
      <c r="I3048" s="47" t="s">
        <v>219</v>
      </c>
      <c r="J3048" s="48">
        <v>1</v>
      </c>
      <c r="K3048" s="48">
        <v>1</v>
      </c>
      <c r="R3048" s="46">
        <f t="shared" si="292"/>
        <v>0</v>
      </c>
      <c r="S3048" s="46">
        <f t="shared" si="293"/>
        <v>0</v>
      </c>
      <c r="T3048" s="46">
        <f t="shared" si="291"/>
        <v>20</v>
      </c>
      <c r="U3048" s="46">
        <f t="shared" si="294"/>
        <v>20</v>
      </c>
      <c r="V3048" s="54">
        <f t="shared" si="295"/>
        <v>8.3333333333333339</v>
      </c>
    </row>
    <row r="3049" spans="1:22" x14ac:dyDescent="0.2">
      <c r="A3049" s="46" t="s">
        <v>113</v>
      </c>
      <c r="B3049" s="46" t="s">
        <v>122</v>
      </c>
      <c r="C3049" s="46" t="s">
        <v>95</v>
      </c>
      <c r="D3049" s="46" t="s">
        <v>178</v>
      </c>
      <c r="E3049" s="46">
        <v>4</v>
      </c>
      <c r="F3049" s="46" t="s">
        <v>62</v>
      </c>
      <c r="G3049" s="46">
        <v>2</v>
      </c>
      <c r="H3049" s="47" t="s">
        <v>86</v>
      </c>
      <c r="I3049" s="47" t="s">
        <v>127</v>
      </c>
      <c r="J3049" s="48">
        <v>1</v>
      </c>
      <c r="K3049" s="48">
        <v>1</v>
      </c>
      <c r="R3049" s="46">
        <f t="shared" si="292"/>
        <v>0</v>
      </c>
      <c r="S3049" s="46">
        <f t="shared" si="293"/>
        <v>0</v>
      </c>
      <c r="T3049" s="46">
        <f t="shared" si="291"/>
        <v>20</v>
      </c>
      <c r="U3049" s="46">
        <f t="shared" si="294"/>
        <v>20</v>
      </c>
      <c r="V3049" s="54">
        <f t="shared" si="295"/>
        <v>8.3333333333333339</v>
      </c>
    </row>
    <row r="3050" spans="1:22" x14ac:dyDescent="0.2">
      <c r="A3050" s="46" t="s">
        <v>113</v>
      </c>
      <c r="B3050" s="46" t="s">
        <v>122</v>
      </c>
      <c r="C3050" s="46" t="s">
        <v>95</v>
      </c>
      <c r="D3050" s="46" t="s">
        <v>178</v>
      </c>
      <c r="E3050" s="46">
        <v>2</v>
      </c>
      <c r="F3050" s="46" t="s">
        <v>62</v>
      </c>
      <c r="G3050" s="46">
        <v>3</v>
      </c>
      <c r="H3050" s="47" t="s">
        <v>87</v>
      </c>
      <c r="I3050" s="47" t="s">
        <v>116</v>
      </c>
      <c r="J3050" s="48">
        <v>1</v>
      </c>
      <c r="K3050" s="48">
        <v>0</v>
      </c>
      <c r="R3050" s="46">
        <f t="shared" si="292"/>
        <v>0</v>
      </c>
      <c r="S3050" s="46">
        <f t="shared" si="293"/>
        <v>0</v>
      </c>
      <c r="T3050" s="46">
        <f t="shared" si="291"/>
        <v>20</v>
      </c>
      <c r="U3050" s="46">
        <f t="shared" si="294"/>
        <v>20</v>
      </c>
      <c r="V3050" s="54">
        <f t="shared" si="295"/>
        <v>8.3333333333333339</v>
      </c>
    </row>
    <row r="3051" spans="1:22" x14ac:dyDescent="0.2">
      <c r="A3051" s="46" t="s">
        <v>113</v>
      </c>
      <c r="B3051" s="46" t="s">
        <v>122</v>
      </c>
      <c r="C3051" s="46" t="s">
        <v>95</v>
      </c>
      <c r="D3051" s="46" t="s">
        <v>178</v>
      </c>
      <c r="E3051" s="46">
        <v>3</v>
      </c>
      <c r="F3051" s="46" t="s">
        <v>62</v>
      </c>
      <c r="G3051" s="46">
        <v>3</v>
      </c>
      <c r="H3051" s="47" t="s">
        <v>80</v>
      </c>
      <c r="I3051" s="47" t="s">
        <v>116</v>
      </c>
      <c r="J3051" s="48">
        <v>2</v>
      </c>
      <c r="K3051" s="48">
        <v>2</v>
      </c>
      <c r="R3051" s="46">
        <f t="shared" si="292"/>
        <v>0</v>
      </c>
      <c r="S3051" s="46">
        <f t="shared" si="293"/>
        <v>0</v>
      </c>
      <c r="T3051" s="46">
        <f t="shared" si="291"/>
        <v>30</v>
      </c>
      <c r="U3051" s="46">
        <f t="shared" si="294"/>
        <v>30</v>
      </c>
      <c r="V3051" s="54">
        <f t="shared" si="295"/>
        <v>8.3333333333333339</v>
      </c>
    </row>
    <row r="3052" spans="1:22" x14ac:dyDescent="0.2">
      <c r="A3052" s="46" t="s">
        <v>113</v>
      </c>
      <c r="B3052" s="46" t="s">
        <v>122</v>
      </c>
      <c r="C3052" s="46" t="s">
        <v>95</v>
      </c>
      <c r="D3052" s="46" t="s">
        <v>178</v>
      </c>
      <c r="E3052" s="46">
        <v>1</v>
      </c>
      <c r="F3052" s="46" t="s">
        <v>60</v>
      </c>
      <c r="G3052" s="46">
        <v>3</v>
      </c>
      <c r="H3052" s="47">
        <v>11</v>
      </c>
      <c r="I3052" s="47" t="s">
        <v>116</v>
      </c>
      <c r="J3052" s="48">
        <v>2</v>
      </c>
      <c r="K3052" s="48">
        <v>0</v>
      </c>
      <c r="R3052" s="46">
        <f t="shared" si="292"/>
        <v>0</v>
      </c>
      <c r="S3052" s="46">
        <f t="shared" si="293"/>
        <v>0</v>
      </c>
      <c r="T3052" s="46">
        <f t="shared" si="291"/>
        <v>40</v>
      </c>
      <c r="U3052" s="46">
        <f t="shared" si="294"/>
        <v>40</v>
      </c>
      <c r="V3052" s="54">
        <f t="shared" si="295"/>
        <v>8.3333333333333339</v>
      </c>
    </row>
    <row r="3053" spans="1:22" x14ac:dyDescent="0.2">
      <c r="A3053" s="46" t="s">
        <v>113</v>
      </c>
      <c r="B3053" s="46" t="s">
        <v>122</v>
      </c>
      <c r="C3053" s="46" t="s">
        <v>95</v>
      </c>
      <c r="D3053" s="46" t="s">
        <v>178</v>
      </c>
      <c r="E3053" s="46">
        <v>3</v>
      </c>
      <c r="F3053" s="46" t="s">
        <v>60</v>
      </c>
      <c r="G3053" s="46">
        <v>1</v>
      </c>
      <c r="H3053" s="47">
        <v>21</v>
      </c>
      <c r="I3053" s="47" t="s">
        <v>101</v>
      </c>
      <c r="J3053" s="48">
        <v>2</v>
      </c>
      <c r="K3053" s="48">
        <v>0</v>
      </c>
      <c r="O3053" s="48">
        <v>1</v>
      </c>
      <c r="R3053" s="46">
        <f t="shared" si="292"/>
        <v>0</v>
      </c>
      <c r="S3053" s="46">
        <f t="shared" si="293"/>
        <v>0</v>
      </c>
      <c r="T3053" s="46">
        <f t="shared" si="291"/>
        <v>40</v>
      </c>
      <c r="U3053" s="46">
        <f t="shared" si="294"/>
        <v>50</v>
      </c>
      <c r="V3053" s="54">
        <f t="shared" si="295"/>
        <v>8.3333333333333339</v>
      </c>
    </row>
    <row r="3054" spans="1:22" x14ac:dyDescent="0.2">
      <c r="A3054" s="46" t="s">
        <v>113</v>
      </c>
      <c r="B3054" s="46" t="s">
        <v>122</v>
      </c>
      <c r="C3054" s="46" t="s">
        <v>95</v>
      </c>
      <c r="D3054" s="46" t="s">
        <v>178</v>
      </c>
      <c r="E3054" s="46">
        <v>1</v>
      </c>
      <c r="F3054" s="46" t="s">
        <v>62</v>
      </c>
      <c r="G3054" s="46">
        <v>3</v>
      </c>
      <c r="H3054" s="47" t="s">
        <v>80</v>
      </c>
      <c r="I3054" s="47" t="s">
        <v>116</v>
      </c>
      <c r="J3054" s="48">
        <v>2</v>
      </c>
      <c r="K3054" s="48">
        <v>0</v>
      </c>
      <c r="R3054" s="46">
        <f t="shared" si="292"/>
        <v>0</v>
      </c>
      <c r="S3054" s="46">
        <f t="shared" si="293"/>
        <v>0</v>
      </c>
      <c r="T3054" s="46">
        <f t="shared" si="291"/>
        <v>40</v>
      </c>
      <c r="U3054" s="46">
        <f t="shared" si="294"/>
        <v>40</v>
      </c>
      <c r="V3054" s="54">
        <f t="shared" si="295"/>
        <v>8.3333333333333339</v>
      </c>
    </row>
    <row r="3055" spans="1:22" x14ac:dyDescent="0.2">
      <c r="A3055" s="46" t="s">
        <v>113</v>
      </c>
      <c r="B3055" s="46" t="s">
        <v>122</v>
      </c>
      <c r="C3055" s="46" t="s">
        <v>95</v>
      </c>
      <c r="D3055" s="46" t="s">
        <v>178</v>
      </c>
      <c r="E3055" s="46">
        <v>2</v>
      </c>
      <c r="F3055" s="46" t="s">
        <v>62</v>
      </c>
      <c r="G3055" s="46">
        <v>3</v>
      </c>
      <c r="H3055" s="47" t="s">
        <v>85</v>
      </c>
      <c r="I3055" s="47" t="s">
        <v>116</v>
      </c>
      <c r="J3055" s="48">
        <v>2</v>
      </c>
      <c r="K3055" s="48">
        <v>0</v>
      </c>
      <c r="O3055" s="48">
        <v>1</v>
      </c>
      <c r="R3055" s="46">
        <f t="shared" si="292"/>
        <v>0</v>
      </c>
      <c r="S3055" s="46">
        <f t="shared" si="293"/>
        <v>0</v>
      </c>
      <c r="T3055" s="46">
        <f t="shared" si="291"/>
        <v>40</v>
      </c>
      <c r="U3055" s="46">
        <f t="shared" si="294"/>
        <v>50</v>
      </c>
      <c r="V3055" s="54">
        <f t="shared" si="295"/>
        <v>8.3333333333333339</v>
      </c>
    </row>
    <row r="3056" spans="1:22" x14ac:dyDescent="0.2">
      <c r="A3056" s="46" t="s">
        <v>113</v>
      </c>
      <c r="B3056" s="46" t="s">
        <v>122</v>
      </c>
      <c r="C3056" s="46" t="s">
        <v>95</v>
      </c>
      <c r="D3056" s="46" t="s">
        <v>178</v>
      </c>
      <c r="E3056" s="46">
        <v>3</v>
      </c>
      <c r="F3056" s="46" t="s">
        <v>60</v>
      </c>
      <c r="G3056" s="46">
        <v>4</v>
      </c>
      <c r="H3056" s="47">
        <v>48</v>
      </c>
      <c r="I3056" s="47" t="s">
        <v>102</v>
      </c>
      <c r="J3056" s="48">
        <v>3</v>
      </c>
      <c r="K3056" s="48">
        <v>1</v>
      </c>
      <c r="R3056" s="46">
        <f t="shared" si="292"/>
        <v>0</v>
      </c>
      <c r="S3056" s="46">
        <f t="shared" si="293"/>
        <v>0</v>
      </c>
      <c r="T3056" s="46">
        <f t="shared" si="291"/>
        <v>60</v>
      </c>
      <c r="U3056" s="46">
        <f t="shared" si="294"/>
        <v>60</v>
      </c>
      <c r="V3056" s="54">
        <f t="shared" si="295"/>
        <v>8.3333333333333339</v>
      </c>
    </row>
    <row r="3057" spans="1:22" x14ac:dyDescent="0.2">
      <c r="A3057" s="46" t="s">
        <v>113</v>
      </c>
      <c r="B3057" s="46" t="s">
        <v>122</v>
      </c>
      <c r="C3057" s="46" t="s">
        <v>95</v>
      </c>
      <c r="D3057" s="46" t="s">
        <v>178</v>
      </c>
      <c r="E3057" s="46">
        <v>3</v>
      </c>
      <c r="F3057" s="46" t="s">
        <v>62</v>
      </c>
      <c r="G3057" s="46">
        <v>3</v>
      </c>
      <c r="H3057" s="47" t="s">
        <v>85</v>
      </c>
      <c r="I3057" s="47" t="s">
        <v>116</v>
      </c>
      <c r="J3057" s="48">
        <v>4</v>
      </c>
      <c r="K3057" s="48">
        <v>0</v>
      </c>
      <c r="R3057" s="46">
        <f t="shared" si="292"/>
        <v>1</v>
      </c>
      <c r="S3057" s="46">
        <f t="shared" si="293"/>
        <v>0</v>
      </c>
      <c r="T3057" s="46">
        <f t="shared" si="291"/>
        <v>90</v>
      </c>
      <c r="U3057" s="46">
        <f t="shared" si="294"/>
        <v>90</v>
      </c>
      <c r="V3057" s="54">
        <f t="shared" si="295"/>
        <v>8.3333333333333339</v>
      </c>
    </row>
    <row r="3058" spans="1:22" x14ac:dyDescent="0.2">
      <c r="A3058" s="46" t="s">
        <v>113</v>
      </c>
      <c r="B3058" s="46" t="s">
        <v>122</v>
      </c>
      <c r="C3058" s="46" t="s">
        <v>95</v>
      </c>
      <c r="D3058" s="46" t="s">
        <v>178</v>
      </c>
      <c r="E3058" s="46">
        <v>5</v>
      </c>
      <c r="F3058" s="46" t="s">
        <v>60</v>
      </c>
      <c r="G3058" s="46">
        <v>2</v>
      </c>
      <c r="H3058" s="47">
        <v>6</v>
      </c>
      <c r="I3058" s="47" t="s">
        <v>127</v>
      </c>
      <c r="J3058" s="48">
        <v>0</v>
      </c>
      <c r="K3058" s="48">
        <v>0</v>
      </c>
      <c r="R3058" s="46">
        <f t="shared" si="292"/>
        <v>0</v>
      </c>
      <c r="S3058" s="46">
        <f t="shared" si="293"/>
        <v>0</v>
      </c>
      <c r="T3058" s="46">
        <f t="shared" si="291"/>
        <v>0</v>
      </c>
      <c r="U3058" s="46">
        <f t="shared" si="294"/>
        <v>0</v>
      </c>
      <c r="V3058" s="54">
        <f t="shared" si="295"/>
        <v>8.3333333333333339</v>
      </c>
    </row>
    <row r="3059" spans="1:22" x14ac:dyDescent="0.2">
      <c r="A3059" s="46" t="s">
        <v>113</v>
      </c>
      <c r="B3059" s="46" t="s">
        <v>122</v>
      </c>
      <c r="C3059" s="46" t="s">
        <v>95</v>
      </c>
      <c r="D3059" s="46" t="s">
        <v>178</v>
      </c>
      <c r="E3059" s="46">
        <v>5</v>
      </c>
      <c r="F3059" s="46" t="s">
        <v>60</v>
      </c>
      <c r="G3059" s="46">
        <v>3</v>
      </c>
      <c r="H3059" s="47">
        <v>15</v>
      </c>
      <c r="I3059" s="47" t="s">
        <v>159</v>
      </c>
      <c r="J3059" s="48">
        <v>0</v>
      </c>
      <c r="K3059" s="48">
        <v>0</v>
      </c>
      <c r="R3059" s="46">
        <f t="shared" si="292"/>
        <v>0</v>
      </c>
      <c r="S3059" s="46">
        <f t="shared" si="293"/>
        <v>0</v>
      </c>
      <c r="T3059" s="46">
        <f t="shared" si="291"/>
        <v>0</v>
      </c>
      <c r="U3059" s="46">
        <f t="shared" si="294"/>
        <v>0</v>
      </c>
      <c r="V3059" s="54">
        <f t="shared" si="295"/>
        <v>8.3333333333333339</v>
      </c>
    </row>
    <row r="3060" spans="1:22" x14ac:dyDescent="0.2">
      <c r="A3060" s="46" t="s">
        <v>113</v>
      </c>
      <c r="B3060" s="46" t="s">
        <v>122</v>
      </c>
      <c r="C3060" s="46" t="s">
        <v>95</v>
      </c>
      <c r="D3060" s="46" t="s">
        <v>178</v>
      </c>
      <c r="E3060" s="46">
        <v>5</v>
      </c>
      <c r="F3060" s="46" t="s">
        <v>60</v>
      </c>
      <c r="G3060" s="46">
        <v>2</v>
      </c>
      <c r="H3060" s="47">
        <v>22</v>
      </c>
      <c r="I3060" s="47" t="s">
        <v>127</v>
      </c>
      <c r="J3060" s="48">
        <v>0</v>
      </c>
      <c r="K3060" s="48">
        <v>0</v>
      </c>
      <c r="R3060" s="46">
        <f t="shared" si="292"/>
        <v>0</v>
      </c>
      <c r="S3060" s="46">
        <f t="shared" si="293"/>
        <v>0</v>
      </c>
      <c r="T3060" s="46">
        <f t="shared" si="291"/>
        <v>0</v>
      </c>
      <c r="U3060" s="46">
        <f t="shared" si="294"/>
        <v>0</v>
      </c>
      <c r="V3060" s="54">
        <f t="shared" si="295"/>
        <v>8.3333333333333339</v>
      </c>
    </row>
    <row r="3061" spans="1:22" x14ac:dyDescent="0.2">
      <c r="A3061" s="46" t="s">
        <v>113</v>
      </c>
      <c r="B3061" s="46" t="s">
        <v>122</v>
      </c>
      <c r="C3061" s="46" t="s">
        <v>95</v>
      </c>
      <c r="D3061" s="46" t="s">
        <v>178</v>
      </c>
      <c r="E3061" s="46">
        <v>5</v>
      </c>
      <c r="F3061" s="46" t="s">
        <v>60</v>
      </c>
      <c r="G3061" s="46">
        <v>3</v>
      </c>
      <c r="H3061" s="47">
        <v>31</v>
      </c>
      <c r="I3061" s="47" t="s">
        <v>159</v>
      </c>
      <c r="J3061" s="48">
        <v>0</v>
      </c>
      <c r="K3061" s="48">
        <v>0</v>
      </c>
      <c r="R3061" s="46">
        <f t="shared" si="292"/>
        <v>0</v>
      </c>
      <c r="S3061" s="46">
        <f t="shared" si="293"/>
        <v>0</v>
      </c>
      <c r="T3061" s="46">
        <f t="shared" si="291"/>
        <v>0</v>
      </c>
      <c r="U3061" s="46">
        <f t="shared" si="294"/>
        <v>0</v>
      </c>
      <c r="V3061" s="54">
        <f t="shared" si="295"/>
        <v>8.3333333333333339</v>
      </c>
    </row>
    <row r="3062" spans="1:22" x14ac:dyDescent="0.2">
      <c r="A3062" s="46" t="s">
        <v>113</v>
      </c>
      <c r="B3062" s="46" t="s">
        <v>122</v>
      </c>
      <c r="C3062" s="46" t="s">
        <v>95</v>
      </c>
      <c r="D3062" s="46" t="s">
        <v>178</v>
      </c>
      <c r="E3062" s="46">
        <v>5</v>
      </c>
      <c r="F3062" s="46" t="s">
        <v>60</v>
      </c>
      <c r="G3062" s="46">
        <v>1</v>
      </c>
      <c r="H3062" s="47">
        <v>33</v>
      </c>
      <c r="I3062" s="47" t="s">
        <v>101</v>
      </c>
      <c r="J3062" s="48">
        <v>0</v>
      </c>
      <c r="K3062" s="48">
        <v>0</v>
      </c>
      <c r="R3062" s="46">
        <f t="shared" si="292"/>
        <v>0</v>
      </c>
      <c r="S3062" s="46">
        <f t="shared" si="293"/>
        <v>0</v>
      </c>
      <c r="T3062" s="46">
        <f t="shared" si="291"/>
        <v>0</v>
      </c>
      <c r="U3062" s="46">
        <f t="shared" si="294"/>
        <v>0</v>
      </c>
      <c r="V3062" s="54">
        <f t="shared" si="295"/>
        <v>8.3333333333333339</v>
      </c>
    </row>
    <row r="3063" spans="1:22" x14ac:dyDescent="0.2">
      <c r="A3063" s="46" t="s">
        <v>113</v>
      </c>
      <c r="B3063" s="46" t="s">
        <v>122</v>
      </c>
      <c r="C3063" s="46" t="s">
        <v>95</v>
      </c>
      <c r="D3063" s="46" t="s">
        <v>178</v>
      </c>
      <c r="E3063" s="46">
        <v>5</v>
      </c>
      <c r="F3063" s="46" t="s">
        <v>60</v>
      </c>
      <c r="G3063" s="46">
        <v>4</v>
      </c>
      <c r="H3063" s="47">
        <v>44</v>
      </c>
      <c r="I3063" s="47" t="s">
        <v>102</v>
      </c>
      <c r="J3063" s="48">
        <v>0</v>
      </c>
      <c r="K3063" s="48">
        <v>0</v>
      </c>
      <c r="R3063" s="46">
        <f t="shared" si="292"/>
        <v>0</v>
      </c>
      <c r="S3063" s="46">
        <f t="shared" si="293"/>
        <v>0</v>
      </c>
      <c r="T3063" s="46">
        <f t="shared" ref="T3063:T3126" si="296">quizscore(J3063,K3063)</f>
        <v>0</v>
      </c>
      <c r="U3063" s="46">
        <f t="shared" si="294"/>
        <v>0</v>
      </c>
      <c r="V3063" s="54">
        <f t="shared" si="295"/>
        <v>8.3333333333333339</v>
      </c>
    </row>
    <row r="3064" spans="1:22" x14ac:dyDescent="0.2">
      <c r="A3064" s="46" t="s">
        <v>113</v>
      </c>
      <c r="B3064" s="46" t="s">
        <v>122</v>
      </c>
      <c r="C3064" s="46" t="s">
        <v>95</v>
      </c>
      <c r="D3064" s="46" t="s">
        <v>178</v>
      </c>
      <c r="E3064" s="46">
        <v>5</v>
      </c>
      <c r="F3064" s="46" t="s">
        <v>62</v>
      </c>
      <c r="G3064" s="46">
        <v>2</v>
      </c>
      <c r="H3064" s="47" t="s">
        <v>79</v>
      </c>
      <c r="I3064" s="47" t="s">
        <v>127</v>
      </c>
      <c r="J3064" s="48">
        <v>0</v>
      </c>
      <c r="K3064" s="48">
        <v>0</v>
      </c>
      <c r="R3064" s="46">
        <f t="shared" si="292"/>
        <v>0</v>
      </c>
      <c r="S3064" s="46">
        <f t="shared" si="293"/>
        <v>0</v>
      </c>
      <c r="T3064" s="46">
        <f t="shared" si="296"/>
        <v>0</v>
      </c>
      <c r="U3064" s="46">
        <f t="shared" si="294"/>
        <v>0</v>
      </c>
      <c r="V3064" s="54">
        <f t="shared" si="295"/>
        <v>8.3333333333333339</v>
      </c>
    </row>
    <row r="3065" spans="1:22" x14ac:dyDescent="0.2">
      <c r="A3065" s="46" t="s">
        <v>113</v>
      </c>
      <c r="B3065" s="46" t="s">
        <v>122</v>
      </c>
      <c r="C3065" s="46" t="s">
        <v>95</v>
      </c>
      <c r="D3065" s="46" t="s">
        <v>178</v>
      </c>
      <c r="E3065" s="46">
        <v>5</v>
      </c>
      <c r="F3065" s="46" t="s">
        <v>62</v>
      </c>
      <c r="G3065" s="46">
        <v>3</v>
      </c>
      <c r="H3065" s="47" t="s">
        <v>85</v>
      </c>
      <c r="I3065" s="47" t="s">
        <v>219</v>
      </c>
      <c r="J3065" s="48">
        <v>1</v>
      </c>
      <c r="K3065" s="48">
        <v>1</v>
      </c>
      <c r="R3065" s="46">
        <f t="shared" si="292"/>
        <v>0</v>
      </c>
      <c r="S3065" s="46">
        <f t="shared" si="293"/>
        <v>0</v>
      </c>
      <c r="T3065" s="46">
        <f t="shared" si="296"/>
        <v>20</v>
      </c>
      <c r="U3065" s="46">
        <f t="shared" si="294"/>
        <v>20</v>
      </c>
      <c r="V3065" s="54">
        <f t="shared" si="295"/>
        <v>8.3333333333333339</v>
      </c>
    </row>
    <row r="3066" spans="1:22" x14ac:dyDescent="0.2">
      <c r="A3066" s="46" t="s">
        <v>113</v>
      </c>
      <c r="B3066" s="46" t="s">
        <v>122</v>
      </c>
      <c r="C3066" s="46" t="str">
        <f>VLOOKUP(B3066,$B$2:$C$3219,2,FALSE)</f>
        <v>Tacoma</v>
      </c>
      <c r="D3066" s="46" t="s">
        <v>178</v>
      </c>
      <c r="E3066" s="46">
        <v>5</v>
      </c>
      <c r="F3066" s="46" t="s">
        <v>62</v>
      </c>
      <c r="G3066" s="46">
        <v>3</v>
      </c>
      <c r="H3066" s="47" t="s">
        <v>87</v>
      </c>
      <c r="I3066" s="47" t="s">
        <v>219</v>
      </c>
      <c r="J3066" s="48">
        <v>0</v>
      </c>
      <c r="K3066" s="48">
        <v>0</v>
      </c>
      <c r="R3066" s="46">
        <f t="shared" si="292"/>
        <v>0</v>
      </c>
      <c r="S3066" s="46">
        <f t="shared" si="293"/>
        <v>0</v>
      </c>
      <c r="T3066" s="46">
        <f t="shared" si="296"/>
        <v>0</v>
      </c>
      <c r="U3066" s="46">
        <f t="shared" si="294"/>
        <v>0</v>
      </c>
      <c r="V3066" s="54">
        <f t="shared" si="295"/>
        <v>8.3333333333333339</v>
      </c>
    </row>
    <row r="3067" spans="1:22" x14ac:dyDescent="0.2">
      <c r="A3067" s="46" t="s">
        <v>174</v>
      </c>
      <c r="B3067" s="46" t="s">
        <v>50</v>
      </c>
      <c r="C3067" s="46" t="s">
        <v>93</v>
      </c>
      <c r="D3067" s="46" t="s">
        <v>178</v>
      </c>
      <c r="E3067" s="46">
        <v>1</v>
      </c>
      <c r="F3067" s="46" t="s">
        <v>60</v>
      </c>
      <c r="G3067" s="46">
        <v>1</v>
      </c>
      <c r="H3067" s="47">
        <v>1</v>
      </c>
      <c r="I3067" s="47" t="s">
        <v>101</v>
      </c>
      <c r="J3067" s="48">
        <v>0</v>
      </c>
      <c r="K3067" s="48">
        <v>1</v>
      </c>
      <c r="R3067" s="46">
        <f t="shared" si="292"/>
        <v>0</v>
      </c>
      <c r="S3067" s="46">
        <f t="shared" si="293"/>
        <v>0</v>
      </c>
      <c r="T3067" s="46">
        <f t="shared" si="296"/>
        <v>0</v>
      </c>
      <c r="U3067" s="46">
        <f t="shared" si="294"/>
        <v>0</v>
      </c>
      <c r="V3067" s="54">
        <f t="shared" si="295"/>
        <v>14.375</v>
      </c>
    </row>
    <row r="3068" spans="1:22" x14ac:dyDescent="0.2">
      <c r="A3068" s="46" t="s">
        <v>174</v>
      </c>
      <c r="B3068" s="46" t="s">
        <v>50</v>
      </c>
      <c r="C3068" s="46" t="s">
        <v>93</v>
      </c>
      <c r="D3068" s="46" t="s">
        <v>178</v>
      </c>
      <c r="E3068" s="46">
        <v>4</v>
      </c>
      <c r="F3068" s="46" t="s">
        <v>60</v>
      </c>
      <c r="G3068" s="46">
        <v>2</v>
      </c>
      <c r="H3068" s="47">
        <v>2</v>
      </c>
      <c r="I3068" s="47" t="s">
        <v>127</v>
      </c>
      <c r="J3068" s="48">
        <v>0</v>
      </c>
      <c r="K3068" s="48">
        <v>0</v>
      </c>
      <c r="R3068" s="46">
        <f t="shared" si="292"/>
        <v>0</v>
      </c>
      <c r="S3068" s="46">
        <f t="shared" si="293"/>
        <v>0</v>
      </c>
      <c r="T3068" s="46">
        <f t="shared" si="296"/>
        <v>0</v>
      </c>
      <c r="U3068" s="46">
        <f t="shared" si="294"/>
        <v>0</v>
      </c>
      <c r="V3068" s="54">
        <f t="shared" si="295"/>
        <v>14.375</v>
      </c>
    </row>
    <row r="3069" spans="1:22" x14ac:dyDescent="0.2">
      <c r="A3069" s="46" t="s">
        <v>174</v>
      </c>
      <c r="B3069" s="46" t="s">
        <v>50</v>
      </c>
      <c r="C3069" s="46" t="s">
        <v>93</v>
      </c>
      <c r="D3069" s="46" t="s">
        <v>178</v>
      </c>
      <c r="E3069" s="46">
        <v>2</v>
      </c>
      <c r="F3069" s="46" t="s">
        <v>60</v>
      </c>
      <c r="G3069" s="46">
        <v>4</v>
      </c>
      <c r="H3069" s="47">
        <v>4</v>
      </c>
      <c r="I3069" s="47" t="s">
        <v>102</v>
      </c>
      <c r="J3069" s="48">
        <v>0</v>
      </c>
      <c r="K3069" s="48">
        <v>1</v>
      </c>
      <c r="M3069" s="48">
        <v>1</v>
      </c>
      <c r="R3069" s="46">
        <f t="shared" si="292"/>
        <v>0</v>
      </c>
      <c r="S3069" s="46">
        <f t="shared" si="293"/>
        <v>0</v>
      </c>
      <c r="T3069" s="46">
        <f t="shared" si="296"/>
        <v>0</v>
      </c>
      <c r="U3069" s="46">
        <f t="shared" si="294"/>
        <v>20</v>
      </c>
      <c r="V3069" s="54">
        <f t="shared" si="295"/>
        <v>14.375</v>
      </c>
    </row>
    <row r="3070" spans="1:22" x14ac:dyDescent="0.2">
      <c r="A3070" s="46" t="s">
        <v>174</v>
      </c>
      <c r="B3070" s="46" t="s">
        <v>50</v>
      </c>
      <c r="C3070" s="46" t="s">
        <v>93</v>
      </c>
      <c r="D3070" s="46" t="s">
        <v>178</v>
      </c>
      <c r="E3070" s="46">
        <v>2</v>
      </c>
      <c r="F3070" s="46" t="s">
        <v>60</v>
      </c>
      <c r="G3070" s="46">
        <v>4</v>
      </c>
      <c r="H3070" s="47">
        <v>16</v>
      </c>
      <c r="I3070" s="47" t="s">
        <v>102</v>
      </c>
      <c r="J3070" s="48">
        <v>0</v>
      </c>
      <c r="K3070" s="48">
        <v>1</v>
      </c>
      <c r="R3070" s="46">
        <f t="shared" si="292"/>
        <v>0</v>
      </c>
      <c r="S3070" s="46">
        <f t="shared" si="293"/>
        <v>0</v>
      </c>
      <c r="T3070" s="46">
        <f t="shared" si="296"/>
        <v>0</v>
      </c>
      <c r="U3070" s="46">
        <f t="shared" si="294"/>
        <v>0</v>
      </c>
      <c r="V3070" s="54">
        <f t="shared" si="295"/>
        <v>14.375</v>
      </c>
    </row>
    <row r="3071" spans="1:22" x14ac:dyDescent="0.2">
      <c r="A3071" s="46" t="s">
        <v>174</v>
      </c>
      <c r="B3071" s="46" t="s">
        <v>50</v>
      </c>
      <c r="C3071" s="46" t="s">
        <v>93</v>
      </c>
      <c r="D3071" s="46" t="s">
        <v>178</v>
      </c>
      <c r="E3071" s="46">
        <v>1</v>
      </c>
      <c r="F3071" s="46" t="s">
        <v>60</v>
      </c>
      <c r="G3071" s="46">
        <v>2</v>
      </c>
      <c r="H3071" s="47">
        <v>22</v>
      </c>
      <c r="I3071" s="47" t="s">
        <v>127</v>
      </c>
      <c r="J3071" s="48">
        <v>0</v>
      </c>
      <c r="K3071" s="48">
        <v>1</v>
      </c>
      <c r="R3071" s="46">
        <f t="shared" si="292"/>
        <v>0</v>
      </c>
      <c r="S3071" s="46">
        <f t="shared" si="293"/>
        <v>0</v>
      </c>
      <c r="T3071" s="46">
        <f t="shared" si="296"/>
        <v>0</v>
      </c>
      <c r="U3071" s="46">
        <f t="shared" si="294"/>
        <v>0</v>
      </c>
      <c r="V3071" s="54">
        <f t="shared" si="295"/>
        <v>14.375</v>
      </c>
    </row>
    <row r="3072" spans="1:22" x14ac:dyDescent="0.2">
      <c r="A3072" s="46" t="s">
        <v>174</v>
      </c>
      <c r="B3072" s="46" t="s">
        <v>50</v>
      </c>
      <c r="C3072" s="46" t="s">
        <v>93</v>
      </c>
      <c r="D3072" s="46" t="s">
        <v>178</v>
      </c>
      <c r="E3072" s="46">
        <v>2</v>
      </c>
      <c r="F3072" s="46" t="s">
        <v>60</v>
      </c>
      <c r="G3072" s="46">
        <v>2</v>
      </c>
      <c r="H3072" s="47">
        <v>22</v>
      </c>
      <c r="I3072" s="47" t="s">
        <v>127</v>
      </c>
      <c r="J3072" s="48">
        <v>0</v>
      </c>
      <c r="K3072" s="48">
        <v>1</v>
      </c>
      <c r="R3072" s="46">
        <f t="shared" si="292"/>
        <v>0</v>
      </c>
      <c r="S3072" s="46">
        <f t="shared" si="293"/>
        <v>0</v>
      </c>
      <c r="T3072" s="46">
        <f t="shared" si="296"/>
        <v>0</v>
      </c>
      <c r="U3072" s="46">
        <f t="shared" si="294"/>
        <v>0</v>
      </c>
      <c r="V3072" s="54">
        <f t="shared" si="295"/>
        <v>14.375</v>
      </c>
    </row>
    <row r="3073" spans="1:22" x14ac:dyDescent="0.2">
      <c r="A3073" s="46" t="s">
        <v>174</v>
      </c>
      <c r="B3073" s="46" t="s">
        <v>50</v>
      </c>
      <c r="C3073" s="46" t="s">
        <v>93</v>
      </c>
      <c r="D3073" s="46" t="s">
        <v>178</v>
      </c>
      <c r="E3073" s="46">
        <v>4</v>
      </c>
      <c r="F3073" s="46" t="s">
        <v>60</v>
      </c>
      <c r="G3073" s="46">
        <v>2</v>
      </c>
      <c r="H3073" s="47">
        <v>22</v>
      </c>
      <c r="I3073" s="47" t="s">
        <v>127</v>
      </c>
      <c r="J3073" s="48">
        <v>0</v>
      </c>
      <c r="K3073" s="48">
        <v>0</v>
      </c>
      <c r="R3073" s="46">
        <f t="shared" si="292"/>
        <v>0</v>
      </c>
      <c r="S3073" s="46">
        <f t="shared" si="293"/>
        <v>0</v>
      </c>
      <c r="T3073" s="46">
        <f t="shared" si="296"/>
        <v>0</v>
      </c>
      <c r="U3073" s="46">
        <f t="shared" si="294"/>
        <v>0</v>
      </c>
      <c r="V3073" s="54">
        <f t="shared" si="295"/>
        <v>14.375</v>
      </c>
    </row>
    <row r="3074" spans="1:22" x14ac:dyDescent="0.2">
      <c r="A3074" s="46" t="s">
        <v>174</v>
      </c>
      <c r="B3074" s="46" t="s">
        <v>50</v>
      </c>
      <c r="C3074" s="46" t="s">
        <v>93</v>
      </c>
      <c r="D3074" s="46" t="s">
        <v>178</v>
      </c>
      <c r="E3074" s="46">
        <v>4</v>
      </c>
      <c r="F3074" s="46" t="s">
        <v>60</v>
      </c>
      <c r="G3074" s="46">
        <v>3</v>
      </c>
      <c r="H3074" s="47">
        <v>35</v>
      </c>
      <c r="I3074" s="47" t="s">
        <v>159</v>
      </c>
      <c r="J3074" s="48">
        <v>0</v>
      </c>
      <c r="K3074" s="48">
        <v>0</v>
      </c>
      <c r="R3074" s="46">
        <f t="shared" ref="R3074:R3137" si="297">IF(J3074=4,1,0)</f>
        <v>0</v>
      </c>
      <c r="S3074" s="46">
        <f t="shared" ref="S3074:S3137" si="298">IF(K3074=3,1,0)</f>
        <v>0</v>
      </c>
      <c r="T3074" s="46">
        <f t="shared" si="296"/>
        <v>0</v>
      </c>
      <c r="U3074" s="46">
        <f t="shared" ref="U3074:U3137" si="299">T3074+M3074*(20) + (SUM(O3074:Q3074)*(10)) - L3074*(5) - N3074*(5)</f>
        <v>0</v>
      </c>
      <c r="V3074" s="54">
        <f t="shared" ref="V3074:V3137" si="300">AVERAGEIFS(U:U,A:A,A3074,F:F,"Pre")</f>
        <v>14.375</v>
      </c>
    </row>
    <row r="3075" spans="1:22" x14ac:dyDescent="0.2">
      <c r="A3075" s="46" t="s">
        <v>174</v>
      </c>
      <c r="B3075" s="46" t="s">
        <v>50</v>
      </c>
      <c r="C3075" s="46" t="s">
        <v>93</v>
      </c>
      <c r="D3075" s="46" t="s">
        <v>178</v>
      </c>
      <c r="E3075" s="46">
        <v>2</v>
      </c>
      <c r="F3075" s="46" t="s">
        <v>60</v>
      </c>
      <c r="G3075" s="46">
        <v>1</v>
      </c>
      <c r="H3075" s="47">
        <v>37</v>
      </c>
      <c r="I3075" s="47" t="s">
        <v>101</v>
      </c>
      <c r="J3075" s="48">
        <v>0</v>
      </c>
      <c r="K3075" s="48">
        <v>0</v>
      </c>
      <c r="L3075" s="48">
        <v>1</v>
      </c>
      <c r="R3075" s="46">
        <f t="shared" si="297"/>
        <v>0</v>
      </c>
      <c r="S3075" s="46">
        <f t="shared" si="298"/>
        <v>0</v>
      </c>
      <c r="T3075" s="46">
        <f t="shared" si="296"/>
        <v>0</v>
      </c>
      <c r="U3075" s="46">
        <f t="shared" si="299"/>
        <v>-5</v>
      </c>
      <c r="V3075" s="54">
        <f t="shared" si="300"/>
        <v>14.375</v>
      </c>
    </row>
    <row r="3076" spans="1:22" x14ac:dyDescent="0.2">
      <c r="A3076" s="46" t="s">
        <v>174</v>
      </c>
      <c r="B3076" s="46" t="s">
        <v>50</v>
      </c>
      <c r="C3076" s="46" t="s">
        <v>93</v>
      </c>
      <c r="D3076" s="46" t="s">
        <v>178</v>
      </c>
      <c r="E3076" s="46">
        <v>1</v>
      </c>
      <c r="F3076" s="46" t="s">
        <v>62</v>
      </c>
      <c r="G3076" s="46">
        <v>3</v>
      </c>
      <c r="H3076" s="47" t="s">
        <v>80</v>
      </c>
      <c r="I3076" s="47" t="s">
        <v>116</v>
      </c>
      <c r="J3076" s="48">
        <v>0</v>
      </c>
      <c r="K3076" s="48">
        <v>1</v>
      </c>
      <c r="R3076" s="46">
        <f t="shared" si="297"/>
        <v>0</v>
      </c>
      <c r="S3076" s="46">
        <f t="shared" si="298"/>
        <v>0</v>
      </c>
      <c r="T3076" s="46">
        <f t="shared" si="296"/>
        <v>0</v>
      </c>
      <c r="U3076" s="46">
        <f t="shared" si="299"/>
        <v>0</v>
      </c>
      <c r="V3076" s="54">
        <f t="shared" si="300"/>
        <v>14.375</v>
      </c>
    </row>
    <row r="3077" spans="1:22" x14ac:dyDescent="0.2">
      <c r="A3077" s="46" t="s">
        <v>174</v>
      </c>
      <c r="B3077" s="46" t="s">
        <v>50</v>
      </c>
      <c r="C3077" s="46" t="s">
        <v>93</v>
      </c>
      <c r="D3077" s="46" t="s">
        <v>178</v>
      </c>
      <c r="E3077" s="46">
        <v>4</v>
      </c>
      <c r="F3077" s="46" t="s">
        <v>62</v>
      </c>
      <c r="G3077" s="46">
        <v>3</v>
      </c>
      <c r="H3077" s="47" t="s">
        <v>85</v>
      </c>
      <c r="I3077" s="47" t="s">
        <v>219</v>
      </c>
      <c r="J3077" s="48">
        <v>0</v>
      </c>
      <c r="K3077" s="48">
        <v>0</v>
      </c>
      <c r="R3077" s="46">
        <f t="shared" si="297"/>
        <v>0</v>
      </c>
      <c r="S3077" s="46">
        <f t="shared" si="298"/>
        <v>0</v>
      </c>
      <c r="T3077" s="46">
        <f t="shared" si="296"/>
        <v>0</v>
      </c>
      <c r="U3077" s="46">
        <f t="shared" si="299"/>
        <v>0</v>
      </c>
      <c r="V3077" s="54">
        <f t="shared" si="300"/>
        <v>14.375</v>
      </c>
    </row>
    <row r="3078" spans="1:22" x14ac:dyDescent="0.2">
      <c r="A3078" s="46" t="s">
        <v>174</v>
      </c>
      <c r="B3078" s="46" t="s">
        <v>50</v>
      </c>
      <c r="C3078" s="46" t="s">
        <v>93</v>
      </c>
      <c r="D3078" s="46" t="s">
        <v>178</v>
      </c>
      <c r="E3078" s="46">
        <v>2</v>
      </c>
      <c r="F3078" s="46" t="s">
        <v>63</v>
      </c>
      <c r="G3078" s="46">
        <v>4</v>
      </c>
      <c r="H3078" s="47" t="s">
        <v>146</v>
      </c>
      <c r="I3078" s="47" t="s">
        <v>102</v>
      </c>
      <c r="J3078" s="48">
        <v>1</v>
      </c>
      <c r="K3078" s="48">
        <v>2</v>
      </c>
      <c r="O3078" s="48">
        <v>1</v>
      </c>
      <c r="R3078" s="46">
        <f t="shared" si="297"/>
        <v>0</v>
      </c>
      <c r="S3078" s="46">
        <f t="shared" si="298"/>
        <v>0</v>
      </c>
      <c r="T3078" s="46">
        <f t="shared" si="296"/>
        <v>10</v>
      </c>
      <c r="U3078" s="46">
        <f t="shared" si="299"/>
        <v>20</v>
      </c>
      <c r="V3078" s="54">
        <f t="shared" si="300"/>
        <v>14.375</v>
      </c>
    </row>
    <row r="3079" spans="1:22" x14ac:dyDescent="0.2">
      <c r="A3079" s="46" t="s">
        <v>174</v>
      </c>
      <c r="B3079" s="46" t="s">
        <v>50</v>
      </c>
      <c r="C3079" s="46" t="s">
        <v>93</v>
      </c>
      <c r="D3079" s="46" t="s">
        <v>178</v>
      </c>
      <c r="E3079" s="46">
        <v>4</v>
      </c>
      <c r="F3079" s="46" t="s">
        <v>60</v>
      </c>
      <c r="G3079" s="46">
        <v>1</v>
      </c>
      <c r="H3079" s="47">
        <v>9</v>
      </c>
      <c r="I3079" s="47" t="s">
        <v>101</v>
      </c>
      <c r="J3079" s="48">
        <v>1</v>
      </c>
      <c r="K3079" s="48">
        <v>0</v>
      </c>
      <c r="R3079" s="46">
        <f t="shared" si="297"/>
        <v>0</v>
      </c>
      <c r="S3079" s="46">
        <f t="shared" si="298"/>
        <v>0</v>
      </c>
      <c r="T3079" s="46">
        <f t="shared" si="296"/>
        <v>20</v>
      </c>
      <c r="U3079" s="46">
        <f t="shared" si="299"/>
        <v>20</v>
      </c>
      <c r="V3079" s="54">
        <f t="shared" si="300"/>
        <v>14.375</v>
      </c>
    </row>
    <row r="3080" spans="1:22" x14ac:dyDescent="0.2">
      <c r="A3080" s="46" t="s">
        <v>174</v>
      </c>
      <c r="B3080" s="46" t="s">
        <v>50</v>
      </c>
      <c r="C3080" s="46" t="s">
        <v>93</v>
      </c>
      <c r="D3080" s="46" t="s">
        <v>178</v>
      </c>
      <c r="E3080" s="46">
        <v>1</v>
      </c>
      <c r="F3080" s="46" t="s">
        <v>60</v>
      </c>
      <c r="G3080" s="46">
        <v>3</v>
      </c>
      <c r="H3080" s="47">
        <v>11</v>
      </c>
      <c r="I3080" s="47" t="s">
        <v>116</v>
      </c>
      <c r="J3080" s="48">
        <v>1</v>
      </c>
      <c r="K3080" s="48">
        <v>0</v>
      </c>
      <c r="R3080" s="46">
        <f t="shared" si="297"/>
        <v>0</v>
      </c>
      <c r="S3080" s="46">
        <f t="shared" si="298"/>
        <v>0</v>
      </c>
      <c r="T3080" s="46">
        <f t="shared" si="296"/>
        <v>20</v>
      </c>
      <c r="U3080" s="46">
        <f t="shared" si="299"/>
        <v>20</v>
      </c>
      <c r="V3080" s="54">
        <f t="shared" si="300"/>
        <v>14.375</v>
      </c>
    </row>
    <row r="3081" spans="1:22" x14ac:dyDescent="0.2">
      <c r="A3081" s="46" t="s">
        <v>174</v>
      </c>
      <c r="B3081" s="46" t="s">
        <v>50</v>
      </c>
      <c r="C3081" s="46" t="s">
        <v>93</v>
      </c>
      <c r="D3081" s="46" t="s">
        <v>178</v>
      </c>
      <c r="E3081" s="46">
        <v>4</v>
      </c>
      <c r="F3081" s="46" t="s">
        <v>60</v>
      </c>
      <c r="G3081" s="46">
        <v>3</v>
      </c>
      <c r="H3081" s="47">
        <v>15</v>
      </c>
      <c r="I3081" s="47" t="s">
        <v>159</v>
      </c>
      <c r="J3081" s="48">
        <v>1</v>
      </c>
      <c r="K3081" s="48">
        <v>0</v>
      </c>
      <c r="R3081" s="46">
        <f t="shared" si="297"/>
        <v>0</v>
      </c>
      <c r="S3081" s="46">
        <f t="shared" si="298"/>
        <v>0</v>
      </c>
      <c r="T3081" s="46">
        <f t="shared" si="296"/>
        <v>20</v>
      </c>
      <c r="U3081" s="46">
        <f t="shared" si="299"/>
        <v>20</v>
      </c>
      <c r="V3081" s="54">
        <f t="shared" si="300"/>
        <v>14.375</v>
      </c>
    </row>
    <row r="3082" spans="1:22" x14ac:dyDescent="0.2">
      <c r="A3082" s="46" t="s">
        <v>174</v>
      </c>
      <c r="B3082" s="46" t="s">
        <v>50</v>
      </c>
      <c r="C3082" s="46" t="s">
        <v>93</v>
      </c>
      <c r="D3082" s="46" t="s">
        <v>178</v>
      </c>
      <c r="E3082" s="46">
        <v>2</v>
      </c>
      <c r="F3082" s="46" t="s">
        <v>60</v>
      </c>
      <c r="G3082" s="46">
        <v>3</v>
      </c>
      <c r="H3082" s="47">
        <v>31</v>
      </c>
      <c r="I3082" s="47" t="s">
        <v>116</v>
      </c>
      <c r="J3082" s="48">
        <v>1</v>
      </c>
      <c r="K3082" s="48">
        <v>1</v>
      </c>
      <c r="R3082" s="46">
        <f t="shared" si="297"/>
        <v>0</v>
      </c>
      <c r="S3082" s="46">
        <f t="shared" si="298"/>
        <v>0</v>
      </c>
      <c r="T3082" s="46">
        <f t="shared" si="296"/>
        <v>20</v>
      </c>
      <c r="U3082" s="46">
        <f t="shared" si="299"/>
        <v>20</v>
      </c>
      <c r="V3082" s="54">
        <f t="shared" si="300"/>
        <v>14.375</v>
      </c>
    </row>
    <row r="3083" spans="1:22" x14ac:dyDescent="0.2">
      <c r="A3083" s="46" t="s">
        <v>174</v>
      </c>
      <c r="B3083" s="46" t="s">
        <v>50</v>
      </c>
      <c r="C3083" s="46" t="s">
        <v>93</v>
      </c>
      <c r="D3083" s="46" t="s">
        <v>178</v>
      </c>
      <c r="E3083" s="46">
        <v>1</v>
      </c>
      <c r="F3083" s="46" t="s">
        <v>60</v>
      </c>
      <c r="G3083" s="46">
        <v>4</v>
      </c>
      <c r="H3083" s="47">
        <v>44</v>
      </c>
      <c r="I3083" s="47" t="s">
        <v>102</v>
      </c>
      <c r="J3083" s="48">
        <v>1</v>
      </c>
      <c r="K3083" s="48">
        <v>0</v>
      </c>
      <c r="O3083" s="48">
        <v>1</v>
      </c>
      <c r="R3083" s="46">
        <f t="shared" si="297"/>
        <v>0</v>
      </c>
      <c r="S3083" s="46">
        <f t="shared" si="298"/>
        <v>0</v>
      </c>
      <c r="T3083" s="46">
        <f t="shared" si="296"/>
        <v>20</v>
      </c>
      <c r="U3083" s="46">
        <f t="shared" si="299"/>
        <v>30</v>
      </c>
      <c r="V3083" s="54">
        <f t="shared" si="300"/>
        <v>14.375</v>
      </c>
    </row>
    <row r="3084" spans="1:22" x14ac:dyDescent="0.2">
      <c r="A3084" s="46" t="s">
        <v>174</v>
      </c>
      <c r="B3084" s="46" t="s">
        <v>50</v>
      </c>
      <c r="C3084" s="46" t="s">
        <v>93</v>
      </c>
      <c r="D3084" s="46" t="s">
        <v>178</v>
      </c>
      <c r="E3084" s="46">
        <v>4</v>
      </c>
      <c r="F3084" s="46" t="s">
        <v>60</v>
      </c>
      <c r="G3084" s="46">
        <v>4</v>
      </c>
      <c r="H3084" s="47">
        <v>44</v>
      </c>
      <c r="I3084" s="47" t="s">
        <v>102</v>
      </c>
      <c r="J3084" s="48">
        <v>1</v>
      </c>
      <c r="K3084" s="48">
        <v>0</v>
      </c>
      <c r="R3084" s="46">
        <f t="shared" si="297"/>
        <v>0</v>
      </c>
      <c r="S3084" s="46">
        <f t="shared" si="298"/>
        <v>0</v>
      </c>
      <c r="T3084" s="46">
        <f t="shared" si="296"/>
        <v>20</v>
      </c>
      <c r="U3084" s="46">
        <f t="shared" si="299"/>
        <v>20</v>
      </c>
      <c r="V3084" s="54">
        <f t="shared" si="300"/>
        <v>14.375</v>
      </c>
    </row>
    <row r="3085" spans="1:22" x14ac:dyDescent="0.2">
      <c r="A3085" s="46" t="s">
        <v>174</v>
      </c>
      <c r="B3085" s="46" t="s">
        <v>50</v>
      </c>
      <c r="C3085" s="46" t="s">
        <v>93</v>
      </c>
      <c r="D3085" s="46" t="s">
        <v>178</v>
      </c>
      <c r="E3085" s="46">
        <v>4</v>
      </c>
      <c r="F3085" s="46" t="s">
        <v>62</v>
      </c>
      <c r="G3085" s="46">
        <v>2</v>
      </c>
      <c r="H3085" s="47" t="s">
        <v>79</v>
      </c>
      <c r="I3085" s="47" t="s">
        <v>127</v>
      </c>
      <c r="J3085" s="48">
        <v>1</v>
      </c>
      <c r="K3085" s="48">
        <v>0</v>
      </c>
      <c r="R3085" s="46">
        <f t="shared" si="297"/>
        <v>0</v>
      </c>
      <c r="S3085" s="46">
        <f t="shared" si="298"/>
        <v>0</v>
      </c>
      <c r="T3085" s="46">
        <f t="shared" si="296"/>
        <v>20</v>
      </c>
      <c r="U3085" s="46">
        <f t="shared" si="299"/>
        <v>20</v>
      </c>
      <c r="V3085" s="54">
        <f t="shared" si="300"/>
        <v>14.375</v>
      </c>
    </row>
    <row r="3086" spans="1:22" x14ac:dyDescent="0.2">
      <c r="A3086" s="46" t="s">
        <v>174</v>
      </c>
      <c r="B3086" s="46" t="s">
        <v>50</v>
      </c>
      <c r="C3086" s="46" t="s">
        <v>93</v>
      </c>
      <c r="D3086" s="46" t="s">
        <v>178</v>
      </c>
      <c r="E3086" s="46">
        <v>2</v>
      </c>
      <c r="F3086" s="46" t="s">
        <v>63</v>
      </c>
      <c r="G3086" s="46">
        <v>4</v>
      </c>
      <c r="H3086" s="47" t="s">
        <v>149</v>
      </c>
      <c r="I3086" s="47" t="s">
        <v>102</v>
      </c>
      <c r="J3086" s="48">
        <v>1</v>
      </c>
      <c r="K3086" s="48">
        <v>1</v>
      </c>
      <c r="R3086" s="46">
        <f t="shared" si="297"/>
        <v>0</v>
      </c>
      <c r="S3086" s="46">
        <f t="shared" si="298"/>
        <v>0</v>
      </c>
      <c r="T3086" s="46">
        <f t="shared" si="296"/>
        <v>20</v>
      </c>
      <c r="U3086" s="46">
        <f t="shared" si="299"/>
        <v>20</v>
      </c>
      <c r="V3086" s="54">
        <f t="shared" si="300"/>
        <v>14.375</v>
      </c>
    </row>
    <row r="3087" spans="1:22" x14ac:dyDescent="0.2">
      <c r="A3087" s="46" t="s">
        <v>174</v>
      </c>
      <c r="B3087" s="46" t="s">
        <v>50</v>
      </c>
      <c r="C3087" s="46" t="s">
        <v>93</v>
      </c>
      <c r="D3087" s="46" t="s">
        <v>178</v>
      </c>
      <c r="E3087" s="46">
        <v>2</v>
      </c>
      <c r="F3087" s="46" t="s">
        <v>63</v>
      </c>
      <c r="G3087" s="46">
        <v>4</v>
      </c>
      <c r="H3087" s="47" t="s">
        <v>152</v>
      </c>
      <c r="I3087" s="47" t="s">
        <v>102</v>
      </c>
      <c r="J3087" s="48">
        <v>1</v>
      </c>
      <c r="K3087" s="48">
        <v>0</v>
      </c>
      <c r="P3087" s="48">
        <v>1</v>
      </c>
      <c r="R3087" s="46">
        <f t="shared" si="297"/>
        <v>0</v>
      </c>
      <c r="S3087" s="46">
        <f t="shared" si="298"/>
        <v>0</v>
      </c>
      <c r="T3087" s="46">
        <f t="shared" si="296"/>
        <v>20</v>
      </c>
      <c r="U3087" s="46">
        <f t="shared" si="299"/>
        <v>30</v>
      </c>
      <c r="V3087" s="54">
        <f t="shared" si="300"/>
        <v>14.375</v>
      </c>
    </row>
    <row r="3088" spans="1:22" x14ac:dyDescent="0.2">
      <c r="A3088" s="46" t="s">
        <v>174</v>
      </c>
      <c r="B3088" s="46" t="s">
        <v>50</v>
      </c>
      <c r="C3088" s="46" t="s">
        <v>93</v>
      </c>
      <c r="D3088" s="46" t="s">
        <v>178</v>
      </c>
      <c r="E3088" s="46">
        <v>1</v>
      </c>
      <c r="F3088" s="46" t="s">
        <v>60</v>
      </c>
      <c r="G3088" s="46">
        <v>4</v>
      </c>
      <c r="H3088" s="47">
        <v>16</v>
      </c>
      <c r="I3088" s="47" t="s">
        <v>102</v>
      </c>
      <c r="J3088" s="48">
        <v>2</v>
      </c>
      <c r="K3088" s="48">
        <v>0</v>
      </c>
      <c r="R3088" s="46">
        <f t="shared" si="297"/>
        <v>0</v>
      </c>
      <c r="S3088" s="46">
        <f t="shared" si="298"/>
        <v>0</v>
      </c>
      <c r="T3088" s="46">
        <f t="shared" si="296"/>
        <v>40</v>
      </c>
      <c r="U3088" s="46">
        <f t="shared" si="299"/>
        <v>40</v>
      </c>
      <c r="V3088" s="54">
        <f t="shared" si="300"/>
        <v>14.375</v>
      </c>
    </row>
    <row r="3089" spans="1:22" x14ac:dyDescent="0.2">
      <c r="A3089" s="46" t="s">
        <v>174</v>
      </c>
      <c r="B3089" s="46" t="s">
        <v>50</v>
      </c>
      <c r="C3089" s="46" t="s">
        <v>93</v>
      </c>
      <c r="D3089" s="46" t="s">
        <v>178</v>
      </c>
      <c r="E3089" s="46">
        <v>1</v>
      </c>
      <c r="F3089" s="46" t="s">
        <v>60</v>
      </c>
      <c r="G3089" s="46">
        <v>2</v>
      </c>
      <c r="H3089" s="47">
        <v>34</v>
      </c>
      <c r="I3089" s="47" t="s">
        <v>127</v>
      </c>
      <c r="J3089" s="48">
        <v>2</v>
      </c>
      <c r="K3089" s="48">
        <v>0</v>
      </c>
      <c r="R3089" s="46">
        <f t="shared" si="297"/>
        <v>0</v>
      </c>
      <c r="S3089" s="46">
        <f t="shared" si="298"/>
        <v>0</v>
      </c>
      <c r="T3089" s="46">
        <f t="shared" si="296"/>
        <v>40</v>
      </c>
      <c r="U3089" s="46">
        <f t="shared" si="299"/>
        <v>40</v>
      </c>
      <c r="V3089" s="54">
        <f t="shared" si="300"/>
        <v>14.375</v>
      </c>
    </row>
    <row r="3090" spans="1:22" x14ac:dyDescent="0.2">
      <c r="A3090" s="46" t="s">
        <v>174</v>
      </c>
      <c r="B3090" s="46" t="s">
        <v>50</v>
      </c>
      <c r="C3090" s="46" t="s">
        <v>93</v>
      </c>
      <c r="D3090" s="46" t="s">
        <v>178</v>
      </c>
      <c r="E3090" s="46">
        <v>2</v>
      </c>
      <c r="F3090" s="46" t="s">
        <v>60</v>
      </c>
      <c r="G3090" s="46">
        <v>3</v>
      </c>
      <c r="H3090" s="47">
        <v>47</v>
      </c>
      <c r="I3090" s="47" t="s">
        <v>116</v>
      </c>
      <c r="J3090" s="48">
        <v>2</v>
      </c>
      <c r="K3090" s="48">
        <v>1</v>
      </c>
      <c r="R3090" s="46">
        <f t="shared" si="297"/>
        <v>0</v>
      </c>
      <c r="S3090" s="46">
        <f t="shared" si="298"/>
        <v>0</v>
      </c>
      <c r="T3090" s="46">
        <f t="shared" si="296"/>
        <v>40</v>
      </c>
      <c r="U3090" s="46">
        <f t="shared" si="299"/>
        <v>40</v>
      </c>
      <c r="V3090" s="54">
        <f t="shared" si="300"/>
        <v>14.375</v>
      </c>
    </row>
    <row r="3091" spans="1:22" x14ac:dyDescent="0.2">
      <c r="A3091" s="46" t="s">
        <v>174</v>
      </c>
      <c r="B3091" s="46" t="s">
        <v>50</v>
      </c>
      <c r="C3091" s="46" t="s">
        <v>93</v>
      </c>
      <c r="D3091" s="46" t="s">
        <v>178</v>
      </c>
      <c r="E3091" s="46">
        <v>1</v>
      </c>
      <c r="F3091" s="46" t="s">
        <v>62</v>
      </c>
      <c r="G3091" s="46">
        <v>3</v>
      </c>
      <c r="H3091" s="47" t="s">
        <v>85</v>
      </c>
      <c r="I3091" s="47" t="s">
        <v>116</v>
      </c>
      <c r="J3091" s="48">
        <v>2</v>
      </c>
      <c r="K3091" s="48">
        <v>1</v>
      </c>
      <c r="R3091" s="46">
        <f t="shared" si="297"/>
        <v>0</v>
      </c>
      <c r="S3091" s="46">
        <f t="shared" si="298"/>
        <v>0</v>
      </c>
      <c r="T3091" s="46">
        <f t="shared" si="296"/>
        <v>40</v>
      </c>
      <c r="U3091" s="46">
        <f t="shared" si="299"/>
        <v>40</v>
      </c>
      <c r="V3091" s="54">
        <f t="shared" si="300"/>
        <v>14.375</v>
      </c>
    </row>
    <row r="3092" spans="1:22" x14ac:dyDescent="0.2">
      <c r="A3092" s="46" t="s">
        <v>174</v>
      </c>
      <c r="B3092" s="46" t="s">
        <v>50</v>
      </c>
      <c r="C3092" s="46" t="s">
        <v>93</v>
      </c>
      <c r="D3092" s="46" t="s">
        <v>178</v>
      </c>
      <c r="E3092" s="46">
        <v>2</v>
      </c>
      <c r="F3092" s="46" t="s">
        <v>63</v>
      </c>
      <c r="G3092" s="46">
        <v>4</v>
      </c>
      <c r="H3092" s="47" t="s">
        <v>172</v>
      </c>
      <c r="I3092" s="47" t="s">
        <v>102</v>
      </c>
      <c r="J3092" s="48">
        <v>2</v>
      </c>
      <c r="K3092" s="48">
        <v>0</v>
      </c>
      <c r="R3092" s="46">
        <f t="shared" si="297"/>
        <v>0</v>
      </c>
      <c r="S3092" s="46">
        <f t="shared" si="298"/>
        <v>0</v>
      </c>
      <c r="T3092" s="46">
        <f t="shared" si="296"/>
        <v>40</v>
      </c>
      <c r="U3092" s="46">
        <f t="shared" si="299"/>
        <v>40</v>
      </c>
      <c r="V3092" s="54">
        <f t="shared" si="300"/>
        <v>14.375</v>
      </c>
    </row>
    <row r="3093" spans="1:22" x14ac:dyDescent="0.2">
      <c r="A3093" s="46" t="s">
        <v>174</v>
      </c>
      <c r="B3093" s="46" t="s">
        <v>50</v>
      </c>
      <c r="C3093" s="46" t="s">
        <v>93</v>
      </c>
      <c r="D3093" s="46" t="s">
        <v>178</v>
      </c>
      <c r="E3093" s="46">
        <v>5</v>
      </c>
      <c r="F3093" s="46" t="s">
        <v>60</v>
      </c>
      <c r="G3093" s="46">
        <v>4</v>
      </c>
      <c r="H3093" s="47">
        <v>12</v>
      </c>
      <c r="I3093" s="47" t="s">
        <v>102</v>
      </c>
      <c r="J3093" s="48">
        <v>1</v>
      </c>
      <c r="K3093" s="48">
        <v>0</v>
      </c>
      <c r="R3093" s="46">
        <f t="shared" si="297"/>
        <v>0</v>
      </c>
      <c r="S3093" s="46">
        <f t="shared" si="298"/>
        <v>0</v>
      </c>
      <c r="T3093" s="46">
        <f t="shared" si="296"/>
        <v>20</v>
      </c>
      <c r="U3093" s="46">
        <f t="shared" si="299"/>
        <v>20</v>
      </c>
      <c r="V3093" s="54">
        <f t="shared" si="300"/>
        <v>14.375</v>
      </c>
    </row>
    <row r="3094" spans="1:22" x14ac:dyDescent="0.2">
      <c r="A3094" s="46" t="s">
        <v>174</v>
      </c>
      <c r="B3094" s="46" t="s">
        <v>50</v>
      </c>
      <c r="C3094" s="46" t="s">
        <v>93</v>
      </c>
      <c r="D3094" s="46" t="s">
        <v>178</v>
      </c>
      <c r="E3094" s="46">
        <v>5</v>
      </c>
      <c r="F3094" s="46" t="s">
        <v>60</v>
      </c>
      <c r="G3094" s="46">
        <v>2</v>
      </c>
      <c r="H3094" s="47">
        <v>18</v>
      </c>
      <c r="I3094" s="47" t="s">
        <v>127</v>
      </c>
      <c r="J3094" s="48">
        <v>2</v>
      </c>
      <c r="K3094" s="48">
        <v>0</v>
      </c>
      <c r="R3094" s="46">
        <f t="shared" si="297"/>
        <v>0</v>
      </c>
      <c r="S3094" s="46">
        <f t="shared" si="298"/>
        <v>0</v>
      </c>
      <c r="T3094" s="46">
        <f t="shared" si="296"/>
        <v>40</v>
      </c>
      <c r="U3094" s="46">
        <f t="shared" si="299"/>
        <v>40</v>
      </c>
      <c r="V3094" s="54">
        <f t="shared" si="300"/>
        <v>14.375</v>
      </c>
    </row>
    <row r="3095" spans="1:22" x14ac:dyDescent="0.2">
      <c r="A3095" s="46" t="s">
        <v>174</v>
      </c>
      <c r="B3095" s="46" t="s">
        <v>50</v>
      </c>
      <c r="C3095" s="46" t="s">
        <v>93</v>
      </c>
      <c r="D3095" s="46" t="s">
        <v>178</v>
      </c>
      <c r="E3095" s="46">
        <v>5</v>
      </c>
      <c r="F3095" s="46" t="s">
        <v>60</v>
      </c>
      <c r="G3095" s="46">
        <v>1</v>
      </c>
      <c r="H3095" s="47">
        <v>25</v>
      </c>
      <c r="I3095" s="47" t="s">
        <v>101</v>
      </c>
      <c r="J3095" s="48">
        <v>0</v>
      </c>
      <c r="K3095" s="48">
        <v>0</v>
      </c>
      <c r="R3095" s="46">
        <f t="shared" si="297"/>
        <v>0</v>
      </c>
      <c r="S3095" s="46">
        <f t="shared" si="298"/>
        <v>0</v>
      </c>
      <c r="T3095" s="46">
        <f t="shared" si="296"/>
        <v>0</v>
      </c>
      <c r="U3095" s="46">
        <f t="shared" si="299"/>
        <v>0</v>
      </c>
      <c r="V3095" s="54">
        <f t="shared" si="300"/>
        <v>14.375</v>
      </c>
    </row>
    <row r="3096" spans="1:22" x14ac:dyDescent="0.2">
      <c r="A3096" s="46" t="s">
        <v>174</v>
      </c>
      <c r="B3096" s="46" t="s">
        <v>50</v>
      </c>
      <c r="C3096" s="46" t="s">
        <v>93</v>
      </c>
      <c r="D3096" s="46" t="s">
        <v>178</v>
      </c>
      <c r="E3096" s="46">
        <v>5</v>
      </c>
      <c r="F3096" s="46" t="s">
        <v>60</v>
      </c>
      <c r="G3096" s="46">
        <v>1</v>
      </c>
      <c r="H3096" s="47">
        <v>33</v>
      </c>
      <c r="I3096" s="47" t="s">
        <v>101</v>
      </c>
      <c r="J3096" s="48">
        <v>0</v>
      </c>
      <c r="K3096" s="48">
        <v>0</v>
      </c>
      <c r="R3096" s="46">
        <f t="shared" si="297"/>
        <v>0</v>
      </c>
      <c r="S3096" s="46">
        <f t="shared" si="298"/>
        <v>0</v>
      </c>
      <c r="T3096" s="46">
        <f t="shared" si="296"/>
        <v>0</v>
      </c>
      <c r="U3096" s="46">
        <f t="shared" si="299"/>
        <v>0</v>
      </c>
      <c r="V3096" s="54">
        <f t="shared" si="300"/>
        <v>14.375</v>
      </c>
    </row>
    <row r="3097" spans="1:22" x14ac:dyDescent="0.2">
      <c r="A3097" s="46" t="s">
        <v>174</v>
      </c>
      <c r="B3097" s="46" t="s">
        <v>50</v>
      </c>
      <c r="C3097" s="46" t="s">
        <v>93</v>
      </c>
      <c r="D3097" s="46" t="s">
        <v>178</v>
      </c>
      <c r="E3097" s="46">
        <v>5</v>
      </c>
      <c r="F3097" s="46" t="s">
        <v>60</v>
      </c>
      <c r="G3097" s="46">
        <v>3</v>
      </c>
      <c r="H3097" s="47">
        <v>39</v>
      </c>
      <c r="I3097" s="47" t="s">
        <v>159</v>
      </c>
      <c r="J3097" s="48">
        <v>1</v>
      </c>
      <c r="K3097" s="48">
        <v>0</v>
      </c>
      <c r="R3097" s="46">
        <f t="shared" si="297"/>
        <v>0</v>
      </c>
      <c r="S3097" s="46">
        <f t="shared" si="298"/>
        <v>0</v>
      </c>
      <c r="T3097" s="46">
        <f t="shared" si="296"/>
        <v>20</v>
      </c>
      <c r="U3097" s="46">
        <f t="shared" si="299"/>
        <v>20</v>
      </c>
      <c r="V3097" s="54">
        <f t="shared" si="300"/>
        <v>14.375</v>
      </c>
    </row>
    <row r="3098" spans="1:22" x14ac:dyDescent="0.2">
      <c r="A3098" s="46" t="s">
        <v>174</v>
      </c>
      <c r="B3098" s="46" t="s">
        <v>50</v>
      </c>
      <c r="C3098" s="46" t="s">
        <v>93</v>
      </c>
      <c r="D3098" s="46" t="s">
        <v>178</v>
      </c>
      <c r="E3098" s="46">
        <v>5</v>
      </c>
      <c r="F3098" s="46" t="s">
        <v>60</v>
      </c>
      <c r="G3098" s="46">
        <v>3</v>
      </c>
      <c r="H3098" s="47">
        <v>47</v>
      </c>
      <c r="I3098" s="47" t="s">
        <v>159</v>
      </c>
      <c r="J3098" s="48">
        <v>0</v>
      </c>
      <c r="K3098" s="48">
        <v>0</v>
      </c>
      <c r="R3098" s="46">
        <f t="shared" si="297"/>
        <v>0</v>
      </c>
      <c r="S3098" s="46">
        <f t="shared" si="298"/>
        <v>0</v>
      </c>
      <c r="T3098" s="46">
        <f t="shared" si="296"/>
        <v>0</v>
      </c>
      <c r="U3098" s="46">
        <f t="shared" si="299"/>
        <v>0</v>
      </c>
      <c r="V3098" s="54">
        <f t="shared" si="300"/>
        <v>14.375</v>
      </c>
    </row>
    <row r="3099" spans="1:22" x14ac:dyDescent="0.2">
      <c r="A3099" s="46" t="s">
        <v>174</v>
      </c>
      <c r="B3099" s="46" t="s">
        <v>50</v>
      </c>
      <c r="C3099" s="46" t="s">
        <v>93</v>
      </c>
      <c r="D3099" s="46" t="s">
        <v>178</v>
      </c>
      <c r="E3099" s="46">
        <v>5</v>
      </c>
      <c r="F3099" s="46" t="s">
        <v>62</v>
      </c>
      <c r="G3099" s="46">
        <v>3</v>
      </c>
      <c r="H3099" s="47" t="s">
        <v>80</v>
      </c>
      <c r="I3099" s="47" t="s">
        <v>219</v>
      </c>
      <c r="J3099" s="48">
        <v>1</v>
      </c>
      <c r="K3099" s="48">
        <v>1</v>
      </c>
      <c r="R3099" s="46">
        <f t="shared" si="297"/>
        <v>0</v>
      </c>
      <c r="S3099" s="46">
        <f t="shared" si="298"/>
        <v>0</v>
      </c>
      <c r="T3099" s="46">
        <f t="shared" si="296"/>
        <v>20</v>
      </c>
      <c r="U3099" s="46">
        <f t="shared" si="299"/>
        <v>20</v>
      </c>
      <c r="V3099" s="54">
        <f t="shared" si="300"/>
        <v>14.375</v>
      </c>
    </row>
    <row r="3100" spans="1:22" x14ac:dyDescent="0.2">
      <c r="A3100" s="46" t="s">
        <v>174</v>
      </c>
      <c r="B3100" s="46" t="s">
        <v>50</v>
      </c>
      <c r="C3100" s="46" t="s">
        <v>93</v>
      </c>
      <c r="D3100" s="46" t="s">
        <v>178</v>
      </c>
      <c r="E3100" s="46">
        <v>5</v>
      </c>
      <c r="F3100" s="46" t="s">
        <v>62</v>
      </c>
      <c r="G3100" s="46">
        <v>3</v>
      </c>
      <c r="H3100" s="47" t="s">
        <v>85</v>
      </c>
      <c r="I3100" s="47" t="s">
        <v>219</v>
      </c>
      <c r="J3100" s="48">
        <v>1</v>
      </c>
      <c r="K3100" s="48">
        <v>0</v>
      </c>
      <c r="R3100" s="46">
        <f t="shared" si="297"/>
        <v>0</v>
      </c>
      <c r="S3100" s="46">
        <f t="shared" si="298"/>
        <v>0</v>
      </c>
      <c r="T3100" s="46">
        <f t="shared" si="296"/>
        <v>20</v>
      </c>
      <c r="U3100" s="46">
        <f t="shared" si="299"/>
        <v>20</v>
      </c>
      <c r="V3100" s="54">
        <f t="shared" si="300"/>
        <v>14.375</v>
      </c>
    </row>
    <row r="3101" spans="1:22" x14ac:dyDescent="0.2">
      <c r="A3101" s="46" t="s">
        <v>188</v>
      </c>
      <c r="B3101" s="46" t="s">
        <v>207</v>
      </c>
      <c r="C3101" s="46" t="s">
        <v>90</v>
      </c>
      <c r="D3101" s="46" t="s">
        <v>178</v>
      </c>
      <c r="E3101" s="46">
        <v>3</v>
      </c>
      <c r="F3101" s="46" t="s">
        <v>60</v>
      </c>
      <c r="G3101" s="46">
        <v>3</v>
      </c>
      <c r="H3101" s="47">
        <v>47</v>
      </c>
      <c r="I3101" s="47" t="s">
        <v>116</v>
      </c>
      <c r="J3101" s="48">
        <v>0</v>
      </c>
      <c r="K3101" s="48">
        <v>2</v>
      </c>
      <c r="N3101" s="48">
        <v>1</v>
      </c>
      <c r="R3101" s="46">
        <f t="shared" si="297"/>
        <v>0</v>
      </c>
      <c r="S3101" s="46">
        <f t="shared" si="298"/>
        <v>0</v>
      </c>
      <c r="T3101" s="46">
        <f t="shared" si="296"/>
        <v>-10</v>
      </c>
      <c r="U3101" s="46">
        <f t="shared" si="299"/>
        <v>-15</v>
      </c>
      <c r="V3101" s="54">
        <f t="shared" si="300"/>
        <v>6.5</v>
      </c>
    </row>
    <row r="3102" spans="1:22" x14ac:dyDescent="0.2">
      <c r="A3102" s="46" t="s">
        <v>188</v>
      </c>
      <c r="B3102" s="46" t="s">
        <v>207</v>
      </c>
      <c r="C3102" s="46" t="s">
        <v>90</v>
      </c>
      <c r="D3102" s="46" t="s">
        <v>178</v>
      </c>
      <c r="E3102" s="46">
        <v>4</v>
      </c>
      <c r="F3102" s="46" t="s">
        <v>62</v>
      </c>
      <c r="G3102" s="46">
        <v>2</v>
      </c>
      <c r="H3102" s="47" t="s">
        <v>79</v>
      </c>
      <c r="I3102" s="47" t="s">
        <v>127</v>
      </c>
      <c r="J3102" s="48">
        <v>0</v>
      </c>
      <c r="K3102" s="48">
        <v>2</v>
      </c>
      <c r="R3102" s="46">
        <f t="shared" si="297"/>
        <v>0</v>
      </c>
      <c r="S3102" s="46">
        <f t="shared" si="298"/>
        <v>0</v>
      </c>
      <c r="T3102" s="46">
        <f t="shared" si="296"/>
        <v>-10</v>
      </c>
      <c r="U3102" s="46">
        <f t="shared" si="299"/>
        <v>-10</v>
      </c>
      <c r="V3102" s="54">
        <f t="shared" si="300"/>
        <v>6.5</v>
      </c>
    </row>
    <row r="3103" spans="1:22" x14ac:dyDescent="0.2">
      <c r="A3103" s="46" t="s">
        <v>188</v>
      </c>
      <c r="B3103" s="46" t="s">
        <v>207</v>
      </c>
      <c r="C3103" s="46" t="s">
        <v>90</v>
      </c>
      <c r="D3103" s="46" t="s">
        <v>178</v>
      </c>
      <c r="E3103" s="46">
        <v>3</v>
      </c>
      <c r="F3103" s="46" t="s">
        <v>60</v>
      </c>
      <c r="G3103" s="46">
        <v>1</v>
      </c>
      <c r="H3103" s="47">
        <v>1</v>
      </c>
      <c r="I3103" s="47" t="s">
        <v>101</v>
      </c>
      <c r="J3103" s="48">
        <v>0</v>
      </c>
      <c r="K3103" s="48">
        <v>0</v>
      </c>
      <c r="R3103" s="46">
        <f t="shared" si="297"/>
        <v>0</v>
      </c>
      <c r="S3103" s="46">
        <f t="shared" si="298"/>
        <v>0</v>
      </c>
      <c r="T3103" s="46">
        <f t="shared" si="296"/>
        <v>0</v>
      </c>
      <c r="U3103" s="46">
        <f t="shared" si="299"/>
        <v>0</v>
      </c>
      <c r="V3103" s="54">
        <f t="shared" si="300"/>
        <v>6.5</v>
      </c>
    </row>
    <row r="3104" spans="1:22" x14ac:dyDescent="0.2">
      <c r="A3104" s="46" t="s">
        <v>188</v>
      </c>
      <c r="B3104" s="46" t="s">
        <v>207</v>
      </c>
      <c r="C3104" s="46" t="s">
        <v>90</v>
      </c>
      <c r="D3104" s="46" t="s">
        <v>178</v>
      </c>
      <c r="E3104" s="46">
        <v>1</v>
      </c>
      <c r="F3104" s="46" t="s">
        <v>60</v>
      </c>
      <c r="G3104" s="46">
        <v>2</v>
      </c>
      <c r="H3104" s="47">
        <v>2</v>
      </c>
      <c r="I3104" s="47" t="s">
        <v>127</v>
      </c>
      <c r="J3104" s="48">
        <v>0</v>
      </c>
      <c r="K3104" s="48">
        <v>0</v>
      </c>
      <c r="R3104" s="46">
        <f t="shared" si="297"/>
        <v>0</v>
      </c>
      <c r="S3104" s="46">
        <f t="shared" si="298"/>
        <v>0</v>
      </c>
      <c r="T3104" s="46">
        <f t="shared" si="296"/>
        <v>0</v>
      </c>
      <c r="U3104" s="46">
        <f t="shared" si="299"/>
        <v>0</v>
      </c>
      <c r="V3104" s="54">
        <f t="shared" si="300"/>
        <v>6.5</v>
      </c>
    </row>
    <row r="3105" spans="1:22" x14ac:dyDescent="0.2">
      <c r="A3105" s="46" t="s">
        <v>188</v>
      </c>
      <c r="B3105" s="46" t="s">
        <v>207</v>
      </c>
      <c r="C3105" s="46" t="s">
        <v>90</v>
      </c>
      <c r="D3105" s="46" t="s">
        <v>178</v>
      </c>
      <c r="E3105" s="46">
        <v>4</v>
      </c>
      <c r="F3105" s="46" t="s">
        <v>60</v>
      </c>
      <c r="G3105" s="46">
        <v>2</v>
      </c>
      <c r="H3105" s="47">
        <v>6</v>
      </c>
      <c r="I3105" s="47" t="s">
        <v>127</v>
      </c>
      <c r="J3105" s="48">
        <v>0</v>
      </c>
      <c r="K3105" s="48">
        <v>0</v>
      </c>
      <c r="R3105" s="46">
        <f t="shared" si="297"/>
        <v>0</v>
      </c>
      <c r="S3105" s="46">
        <f t="shared" si="298"/>
        <v>0</v>
      </c>
      <c r="T3105" s="46">
        <f t="shared" si="296"/>
        <v>0</v>
      </c>
      <c r="U3105" s="46">
        <f t="shared" si="299"/>
        <v>0</v>
      </c>
      <c r="V3105" s="54">
        <f t="shared" si="300"/>
        <v>6.5</v>
      </c>
    </row>
    <row r="3106" spans="1:22" x14ac:dyDescent="0.2">
      <c r="A3106" s="46" t="s">
        <v>188</v>
      </c>
      <c r="B3106" s="46" t="s">
        <v>207</v>
      </c>
      <c r="C3106" s="46" t="s">
        <v>90</v>
      </c>
      <c r="D3106" s="46" t="s">
        <v>178</v>
      </c>
      <c r="E3106" s="46">
        <v>2</v>
      </c>
      <c r="F3106" s="46" t="s">
        <v>60</v>
      </c>
      <c r="G3106" s="46">
        <v>4</v>
      </c>
      <c r="H3106" s="47">
        <v>8</v>
      </c>
      <c r="I3106" s="47" t="s">
        <v>102</v>
      </c>
      <c r="J3106" s="48">
        <v>0</v>
      </c>
      <c r="K3106" s="48">
        <v>1</v>
      </c>
      <c r="R3106" s="46">
        <f t="shared" si="297"/>
        <v>0</v>
      </c>
      <c r="S3106" s="46">
        <f t="shared" si="298"/>
        <v>0</v>
      </c>
      <c r="T3106" s="46">
        <f t="shared" si="296"/>
        <v>0</v>
      </c>
      <c r="U3106" s="46">
        <f t="shared" si="299"/>
        <v>0</v>
      </c>
      <c r="V3106" s="54">
        <f t="shared" si="300"/>
        <v>6.5</v>
      </c>
    </row>
    <row r="3107" spans="1:22" x14ac:dyDescent="0.2">
      <c r="A3107" s="46" t="s">
        <v>188</v>
      </c>
      <c r="B3107" s="46" t="s">
        <v>207</v>
      </c>
      <c r="C3107" s="46" t="s">
        <v>90</v>
      </c>
      <c r="D3107" s="46" t="s">
        <v>178</v>
      </c>
      <c r="E3107" s="46">
        <v>3</v>
      </c>
      <c r="F3107" s="46" t="s">
        <v>60</v>
      </c>
      <c r="G3107" s="46">
        <v>4</v>
      </c>
      <c r="H3107" s="47">
        <v>12</v>
      </c>
      <c r="I3107" s="47" t="s">
        <v>102</v>
      </c>
      <c r="J3107" s="48">
        <v>0</v>
      </c>
      <c r="K3107" s="48">
        <v>0</v>
      </c>
      <c r="R3107" s="46">
        <f t="shared" si="297"/>
        <v>0</v>
      </c>
      <c r="S3107" s="46">
        <f t="shared" si="298"/>
        <v>0</v>
      </c>
      <c r="T3107" s="46">
        <f t="shared" si="296"/>
        <v>0</v>
      </c>
      <c r="U3107" s="46">
        <f t="shared" si="299"/>
        <v>0</v>
      </c>
      <c r="V3107" s="54">
        <f t="shared" si="300"/>
        <v>6.5</v>
      </c>
    </row>
    <row r="3108" spans="1:22" x14ac:dyDescent="0.2">
      <c r="A3108" s="46" t="s">
        <v>188</v>
      </c>
      <c r="B3108" s="46" t="s">
        <v>207</v>
      </c>
      <c r="C3108" s="46" t="s">
        <v>90</v>
      </c>
      <c r="D3108" s="46" t="s">
        <v>178</v>
      </c>
      <c r="E3108" s="46">
        <v>4</v>
      </c>
      <c r="F3108" s="46" t="s">
        <v>60</v>
      </c>
      <c r="G3108" s="46">
        <v>4</v>
      </c>
      <c r="H3108" s="47">
        <v>20</v>
      </c>
      <c r="I3108" s="47" t="s">
        <v>102</v>
      </c>
      <c r="J3108" s="48">
        <v>0</v>
      </c>
      <c r="K3108" s="48">
        <v>0</v>
      </c>
      <c r="R3108" s="46">
        <f t="shared" si="297"/>
        <v>0</v>
      </c>
      <c r="S3108" s="46">
        <f t="shared" si="298"/>
        <v>0</v>
      </c>
      <c r="T3108" s="46">
        <f t="shared" si="296"/>
        <v>0</v>
      </c>
      <c r="U3108" s="46">
        <f t="shared" si="299"/>
        <v>0</v>
      </c>
      <c r="V3108" s="54">
        <f t="shared" si="300"/>
        <v>6.5</v>
      </c>
    </row>
    <row r="3109" spans="1:22" x14ac:dyDescent="0.2">
      <c r="A3109" s="46" t="s">
        <v>188</v>
      </c>
      <c r="B3109" s="46" t="s">
        <v>207</v>
      </c>
      <c r="C3109" s="46" t="s">
        <v>90</v>
      </c>
      <c r="D3109" s="46" t="s">
        <v>178</v>
      </c>
      <c r="E3109" s="46">
        <v>3</v>
      </c>
      <c r="F3109" s="46" t="s">
        <v>60</v>
      </c>
      <c r="G3109" s="46">
        <v>2</v>
      </c>
      <c r="H3109" s="47">
        <v>22</v>
      </c>
      <c r="I3109" s="47" t="s">
        <v>127</v>
      </c>
      <c r="J3109" s="48">
        <v>0</v>
      </c>
      <c r="K3109" s="48">
        <v>0</v>
      </c>
      <c r="R3109" s="46">
        <f t="shared" si="297"/>
        <v>0</v>
      </c>
      <c r="S3109" s="46">
        <f t="shared" si="298"/>
        <v>0</v>
      </c>
      <c r="T3109" s="46">
        <f t="shared" si="296"/>
        <v>0</v>
      </c>
      <c r="U3109" s="46">
        <f t="shared" si="299"/>
        <v>0</v>
      </c>
      <c r="V3109" s="54">
        <f t="shared" si="300"/>
        <v>6.5</v>
      </c>
    </row>
    <row r="3110" spans="1:22" x14ac:dyDescent="0.2">
      <c r="A3110" s="46" t="s">
        <v>188</v>
      </c>
      <c r="B3110" s="46" t="s">
        <v>207</v>
      </c>
      <c r="C3110" s="46" t="s">
        <v>90</v>
      </c>
      <c r="D3110" s="46" t="s">
        <v>178</v>
      </c>
      <c r="E3110" s="46">
        <v>2</v>
      </c>
      <c r="F3110" s="46" t="s">
        <v>60</v>
      </c>
      <c r="G3110" s="46">
        <v>3</v>
      </c>
      <c r="H3110" s="47">
        <v>23</v>
      </c>
      <c r="I3110" s="47" t="s">
        <v>116</v>
      </c>
      <c r="J3110" s="48">
        <v>0</v>
      </c>
      <c r="K3110" s="48">
        <v>0</v>
      </c>
      <c r="R3110" s="46">
        <f t="shared" si="297"/>
        <v>0</v>
      </c>
      <c r="S3110" s="46">
        <f t="shared" si="298"/>
        <v>0</v>
      </c>
      <c r="T3110" s="46">
        <f t="shared" si="296"/>
        <v>0</v>
      </c>
      <c r="U3110" s="46">
        <f t="shared" si="299"/>
        <v>0</v>
      </c>
      <c r="V3110" s="54">
        <f t="shared" si="300"/>
        <v>6.5</v>
      </c>
    </row>
    <row r="3111" spans="1:22" x14ac:dyDescent="0.2">
      <c r="A3111" s="46" t="s">
        <v>188</v>
      </c>
      <c r="B3111" s="46" t="s">
        <v>207</v>
      </c>
      <c r="C3111" s="46" t="s">
        <v>90</v>
      </c>
      <c r="D3111" s="46" t="s">
        <v>178</v>
      </c>
      <c r="E3111" s="46">
        <v>1</v>
      </c>
      <c r="F3111" s="46" t="s">
        <v>60</v>
      </c>
      <c r="G3111" s="46">
        <v>4</v>
      </c>
      <c r="H3111" s="47">
        <v>24</v>
      </c>
      <c r="I3111" s="47" t="s">
        <v>102</v>
      </c>
      <c r="J3111" s="48">
        <v>0</v>
      </c>
      <c r="K3111" s="48">
        <v>0</v>
      </c>
      <c r="R3111" s="46">
        <f t="shared" si="297"/>
        <v>0</v>
      </c>
      <c r="S3111" s="46">
        <f t="shared" si="298"/>
        <v>0</v>
      </c>
      <c r="T3111" s="46">
        <f t="shared" si="296"/>
        <v>0</v>
      </c>
      <c r="U3111" s="46">
        <f t="shared" si="299"/>
        <v>0</v>
      </c>
      <c r="V3111" s="54">
        <f t="shared" si="300"/>
        <v>6.5</v>
      </c>
    </row>
    <row r="3112" spans="1:22" x14ac:dyDescent="0.2">
      <c r="A3112" s="46" t="s">
        <v>188</v>
      </c>
      <c r="B3112" s="46" t="s">
        <v>207</v>
      </c>
      <c r="C3112" s="46" t="s">
        <v>90</v>
      </c>
      <c r="D3112" s="46" t="s">
        <v>178</v>
      </c>
      <c r="E3112" s="46">
        <v>4</v>
      </c>
      <c r="F3112" s="46" t="s">
        <v>60</v>
      </c>
      <c r="G3112" s="46">
        <v>4</v>
      </c>
      <c r="H3112" s="47">
        <v>28</v>
      </c>
      <c r="I3112" s="47" t="s">
        <v>102</v>
      </c>
      <c r="J3112" s="48">
        <v>0</v>
      </c>
      <c r="K3112" s="48">
        <v>0</v>
      </c>
      <c r="R3112" s="46">
        <f t="shared" si="297"/>
        <v>0</v>
      </c>
      <c r="S3112" s="46">
        <f t="shared" si="298"/>
        <v>0</v>
      </c>
      <c r="T3112" s="46">
        <f t="shared" si="296"/>
        <v>0</v>
      </c>
      <c r="U3112" s="46">
        <f t="shared" si="299"/>
        <v>0</v>
      </c>
      <c r="V3112" s="54">
        <f t="shared" si="300"/>
        <v>6.5</v>
      </c>
    </row>
    <row r="3113" spans="1:22" x14ac:dyDescent="0.2">
      <c r="A3113" s="46" t="s">
        <v>188</v>
      </c>
      <c r="B3113" s="46" t="s">
        <v>207</v>
      </c>
      <c r="C3113" s="46" t="s">
        <v>90</v>
      </c>
      <c r="D3113" s="46" t="s">
        <v>178</v>
      </c>
      <c r="E3113" s="46">
        <v>1</v>
      </c>
      <c r="F3113" s="46" t="s">
        <v>60</v>
      </c>
      <c r="G3113" s="46">
        <v>1</v>
      </c>
      <c r="H3113" s="47">
        <v>29</v>
      </c>
      <c r="I3113" s="47" t="s">
        <v>101</v>
      </c>
      <c r="J3113" s="48">
        <v>0</v>
      </c>
      <c r="K3113" s="48">
        <v>1</v>
      </c>
      <c r="R3113" s="46">
        <f t="shared" si="297"/>
        <v>0</v>
      </c>
      <c r="S3113" s="46">
        <f t="shared" si="298"/>
        <v>0</v>
      </c>
      <c r="T3113" s="46">
        <f t="shared" si="296"/>
        <v>0</v>
      </c>
      <c r="U3113" s="46">
        <f t="shared" si="299"/>
        <v>0</v>
      </c>
      <c r="V3113" s="54">
        <f t="shared" si="300"/>
        <v>6.5</v>
      </c>
    </row>
    <row r="3114" spans="1:22" x14ac:dyDescent="0.2">
      <c r="A3114" s="46" t="s">
        <v>188</v>
      </c>
      <c r="B3114" s="46" t="s">
        <v>207</v>
      </c>
      <c r="C3114" s="46" t="s">
        <v>90</v>
      </c>
      <c r="D3114" s="46" t="s">
        <v>178</v>
      </c>
      <c r="E3114" s="46">
        <v>4</v>
      </c>
      <c r="F3114" s="46" t="s">
        <v>60</v>
      </c>
      <c r="G3114" s="46">
        <v>2</v>
      </c>
      <c r="H3114" s="47">
        <v>30</v>
      </c>
      <c r="I3114" s="47" t="s">
        <v>127</v>
      </c>
      <c r="J3114" s="48">
        <v>0</v>
      </c>
      <c r="K3114" s="48">
        <v>1</v>
      </c>
      <c r="R3114" s="46">
        <f t="shared" si="297"/>
        <v>0</v>
      </c>
      <c r="S3114" s="46">
        <f t="shared" si="298"/>
        <v>0</v>
      </c>
      <c r="T3114" s="46">
        <f t="shared" si="296"/>
        <v>0</v>
      </c>
      <c r="U3114" s="46">
        <f t="shared" si="299"/>
        <v>0</v>
      </c>
      <c r="V3114" s="54">
        <f t="shared" si="300"/>
        <v>6.5</v>
      </c>
    </row>
    <row r="3115" spans="1:22" x14ac:dyDescent="0.2">
      <c r="A3115" s="46" t="s">
        <v>188</v>
      </c>
      <c r="B3115" s="46" t="s">
        <v>207</v>
      </c>
      <c r="C3115" s="46" t="s">
        <v>90</v>
      </c>
      <c r="D3115" s="46" t="s">
        <v>178</v>
      </c>
      <c r="E3115" s="46">
        <v>2</v>
      </c>
      <c r="F3115" s="46" t="s">
        <v>60</v>
      </c>
      <c r="G3115" s="46">
        <v>4</v>
      </c>
      <c r="H3115" s="47">
        <v>32</v>
      </c>
      <c r="I3115" s="47" t="s">
        <v>102</v>
      </c>
      <c r="J3115" s="48">
        <v>0</v>
      </c>
      <c r="K3115" s="48">
        <v>0</v>
      </c>
      <c r="M3115" s="48">
        <v>1</v>
      </c>
      <c r="R3115" s="46">
        <f t="shared" si="297"/>
        <v>0</v>
      </c>
      <c r="S3115" s="46">
        <f t="shared" si="298"/>
        <v>0</v>
      </c>
      <c r="T3115" s="46">
        <f t="shared" si="296"/>
        <v>0</v>
      </c>
      <c r="U3115" s="46">
        <f t="shared" si="299"/>
        <v>20</v>
      </c>
      <c r="V3115" s="54">
        <f t="shared" si="300"/>
        <v>6.5</v>
      </c>
    </row>
    <row r="3116" spans="1:22" x14ac:dyDescent="0.2">
      <c r="A3116" s="46" t="s">
        <v>188</v>
      </c>
      <c r="B3116" s="46" t="s">
        <v>207</v>
      </c>
      <c r="C3116" s="46" t="s">
        <v>90</v>
      </c>
      <c r="D3116" s="46" t="s">
        <v>178</v>
      </c>
      <c r="E3116" s="46">
        <v>1</v>
      </c>
      <c r="F3116" s="46" t="s">
        <v>60</v>
      </c>
      <c r="G3116" s="46">
        <v>1</v>
      </c>
      <c r="H3116" s="47">
        <v>33</v>
      </c>
      <c r="I3116" s="47" t="s">
        <v>101</v>
      </c>
      <c r="J3116" s="48">
        <v>0</v>
      </c>
      <c r="K3116" s="48">
        <v>0</v>
      </c>
      <c r="R3116" s="46">
        <f t="shared" si="297"/>
        <v>0</v>
      </c>
      <c r="S3116" s="46">
        <f t="shared" si="298"/>
        <v>0</v>
      </c>
      <c r="T3116" s="46">
        <f t="shared" si="296"/>
        <v>0</v>
      </c>
      <c r="U3116" s="46">
        <f t="shared" si="299"/>
        <v>0</v>
      </c>
      <c r="V3116" s="54">
        <f t="shared" si="300"/>
        <v>6.5</v>
      </c>
    </row>
    <row r="3117" spans="1:22" x14ac:dyDescent="0.2">
      <c r="A3117" s="46" t="s">
        <v>188</v>
      </c>
      <c r="B3117" s="46" t="s">
        <v>207</v>
      </c>
      <c r="C3117" s="46" t="s">
        <v>90</v>
      </c>
      <c r="D3117" s="46" t="s">
        <v>178</v>
      </c>
      <c r="E3117" s="46">
        <v>4</v>
      </c>
      <c r="F3117" s="46" t="s">
        <v>60</v>
      </c>
      <c r="G3117" s="46">
        <v>1</v>
      </c>
      <c r="H3117" s="47">
        <v>33</v>
      </c>
      <c r="I3117" s="47" t="s">
        <v>101</v>
      </c>
      <c r="J3117" s="48">
        <v>0</v>
      </c>
      <c r="K3117" s="48">
        <v>0</v>
      </c>
      <c r="R3117" s="46">
        <f t="shared" si="297"/>
        <v>0</v>
      </c>
      <c r="S3117" s="46">
        <f t="shared" si="298"/>
        <v>0</v>
      </c>
      <c r="T3117" s="46">
        <f t="shared" si="296"/>
        <v>0</v>
      </c>
      <c r="U3117" s="46">
        <f t="shared" si="299"/>
        <v>0</v>
      </c>
      <c r="V3117" s="54">
        <f t="shared" si="300"/>
        <v>6.5</v>
      </c>
    </row>
    <row r="3118" spans="1:22" x14ac:dyDescent="0.2">
      <c r="A3118" s="46" t="s">
        <v>188</v>
      </c>
      <c r="B3118" s="46" t="s">
        <v>207</v>
      </c>
      <c r="C3118" s="46" t="s">
        <v>90</v>
      </c>
      <c r="D3118" s="46" t="s">
        <v>178</v>
      </c>
      <c r="E3118" s="46">
        <v>3</v>
      </c>
      <c r="F3118" s="46" t="s">
        <v>60</v>
      </c>
      <c r="G3118" s="46">
        <v>2</v>
      </c>
      <c r="H3118" s="47">
        <v>38</v>
      </c>
      <c r="I3118" s="47" t="s">
        <v>127</v>
      </c>
      <c r="J3118" s="48">
        <v>0</v>
      </c>
      <c r="K3118" s="48">
        <v>0</v>
      </c>
      <c r="R3118" s="46">
        <f t="shared" si="297"/>
        <v>0</v>
      </c>
      <c r="S3118" s="46">
        <f t="shared" si="298"/>
        <v>0</v>
      </c>
      <c r="T3118" s="46">
        <f t="shared" si="296"/>
        <v>0</v>
      </c>
      <c r="U3118" s="46">
        <f t="shared" si="299"/>
        <v>0</v>
      </c>
      <c r="V3118" s="54">
        <f t="shared" si="300"/>
        <v>6.5</v>
      </c>
    </row>
    <row r="3119" spans="1:22" x14ac:dyDescent="0.2">
      <c r="A3119" s="46" t="s">
        <v>188</v>
      </c>
      <c r="B3119" s="46" t="s">
        <v>207</v>
      </c>
      <c r="C3119" s="46" t="s">
        <v>90</v>
      </c>
      <c r="D3119" s="46" t="s">
        <v>178</v>
      </c>
      <c r="E3119" s="46">
        <v>2</v>
      </c>
      <c r="F3119" s="46" t="s">
        <v>60</v>
      </c>
      <c r="G3119" s="46">
        <v>2</v>
      </c>
      <c r="H3119" s="47">
        <v>42</v>
      </c>
      <c r="I3119" s="47" t="s">
        <v>127</v>
      </c>
      <c r="J3119" s="48">
        <v>0</v>
      </c>
      <c r="K3119" s="48">
        <v>0</v>
      </c>
      <c r="M3119" s="48">
        <v>1</v>
      </c>
      <c r="R3119" s="46">
        <f t="shared" si="297"/>
        <v>0</v>
      </c>
      <c r="S3119" s="46">
        <f t="shared" si="298"/>
        <v>0</v>
      </c>
      <c r="T3119" s="46">
        <f t="shared" si="296"/>
        <v>0</v>
      </c>
      <c r="U3119" s="46">
        <f t="shared" si="299"/>
        <v>20</v>
      </c>
      <c r="V3119" s="54">
        <f t="shared" si="300"/>
        <v>6.5</v>
      </c>
    </row>
    <row r="3120" spans="1:22" x14ac:dyDescent="0.2">
      <c r="A3120" s="46" t="s">
        <v>188</v>
      </c>
      <c r="B3120" s="46" t="s">
        <v>207</v>
      </c>
      <c r="C3120" s="46" t="s">
        <v>90</v>
      </c>
      <c r="D3120" s="46" t="s">
        <v>178</v>
      </c>
      <c r="E3120" s="46">
        <v>4</v>
      </c>
      <c r="F3120" s="46" t="s">
        <v>60</v>
      </c>
      <c r="G3120" s="46">
        <v>3</v>
      </c>
      <c r="H3120" s="47">
        <v>43</v>
      </c>
      <c r="I3120" s="47" t="s">
        <v>159</v>
      </c>
      <c r="J3120" s="48">
        <v>0</v>
      </c>
      <c r="K3120" s="48">
        <v>0</v>
      </c>
      <c r="R3120" s="46">
        <f t="shared" si="297"/>
        <v>0</v>
      </c>
      <c r="S3120" s="46">
        <f t="shared" si="298"/>
        <v>0</v>
      </c>
      <c r="T3120" s="46">
        <f t="shared" si="296"/>
        <v>0</v>
      </c>
      <c r="U3120" s="46">
        <f t="shared" si="299"/>
        <v>0</v>
      </c>
      <c r="V3120" s="54">
        <f t="shared" si="300"/>
        <v>6.5</v>
      </c>
    </row>
    <row r="3121" spans="1:22" x14ac:dyDescent="0.2">
      <c r="A3121" s="46" t="s">
        <v>188</v>
      </c>
      <c r="B3121" s="46" t="s">
        <v>207</v>
      </c>
      <c r="C3121" s="46" t="s">
        <v>90</v>
      </c>
      <c r="D3121" s="46" t="s">
        <v>178</v>
      </c>
      <c r="E3121" s="46">
        <v>2</v>
      </c>
      <c r="F3121" s="46" t="s">
        <v>61</v>
      </c>
      <c r="G3121" s="46">
        <v>1</v>
      </c>
      <c r="H3121" s="47" t="s">
        <v>67</v>
      </c>
      <c r="I3121" s="47" t="s">
        <v>101</v>
      </c>
      <c r="J3121" s="48">
        <v>0</v>
      </c>
      <c r="K3121" s="48">
        <v>0</v>
      </c>
      <c r="R3121" s="46">
        <f t="shared" si="297"/>
        <v>0</v>
      </c>
      <c r="S3121" s="46">
        <f t="shared" si="298"/>
        <v>0</v>
      </c>
      <c r="T3121" s="46">
        <f t="shared" si="296"/>
        <v>0</v>
      </c>
      <c r="U3121" s="46">
        <f t="shared" si="299"/>
        <v>0</v>
      </c>
      <c r="V3121" s="54">
        <f t="shared" si="300"/>
        <v>6.5</v>
      </c>
    </row>
    <row r="3122" spans="1:22" x14ac:dyDescent="0.2">
      <c r="A3122" s="46" t="s">
        <v>188</v>
      </c>
      <c r="B3122" s="46" t="s">
        <v>207</v>
      </c>
      <c r="C3122" s="46" t="s">
        <v>90</v>
      </c>
      <c r="D3122" s="46" t="s">
        <v>178</v>
      </c>
      <c r="E3122" s="46">
        <v>3</v>
      </c>
      <c r="F3122" s="46" t="s">
        <v>62</v>
      </c>
      <c r="G3122" s="46">
        <v>2</v>
      </c>
      <c r="H3122" s="47" t="s">
        <v>79</v>
      </c>
      <c r="I3122" s="47" t="s">
        <v>127</v>
      </c>
      <c r="J3122" s="48">
        <v>0</v>
      </c>
      <c r="K3122" s="48">
        <v>0</v>
      </c>
      <c r="R3122" s="46">
        <f t="shared" si="297"/>
        <v>0</v>
      </c>
      <c r="S3122" s="46">
        <f t="shared" si="298"/>
        <v>0</v>
      </c>
      <c r="T3122" s="46">
        <f t="shared" si="296"/>
        <v>0</v>
      </c>
      <c r="U3122" s="46">
        <f t="shared" si="299"/>
        <v>0</v>
      </c>
      <c r="V3122" s="54">
        <f t="shared" si="300"/>
        <v>6.5</v>
      </c>
    </row>
    <row r="3123" spans="1:22" x14ac:dyDescent="0.2">
      <c r="A3123" s="46" t="s">
        <v>188</v>
      </c>
      <c r="B3123" s="46" t="s">
        <v>207</v>
      </c>
      <c r="C3123" s="46" t="s">
        <v>90</v>
      </c>
      <c r="D3123" s="46" t="s">
        <v>178</v>
      </c>
      <c r="E3123" s="46">
        <v>3</v>
      </c>
      <c r="F3123" s="46" t="s">
        <v>62</v>
      </c>
      <c r="G3123" s="46">
        <v>2</v>
      </c>
      <c r="H3123" s="47" t="s">
        <v>82</v>
      </c>
      <c r="I3123" s="47" t="s">
        <v>127</v>
      </c>
      <c r="J3123" s="48">
        <v>0</v>
      </c>
      <c r="K3123" s="48">
        <v>0</v>
      </c>
      <c r="R3123" s="46">
        <f t="shared" si="297"/>
        <v>0</v>
      </c>
      <c r="S3123" s="46">
        <f t="shared" si="298"/>
        <v>0</v>
      </c>
      <c r="T3123" s="46">
        <f t="shared" si="296"/>
        <v>0</v>
      </c>
      <c r="U3123" s="46">
        <f t="shared" si="299"/>
        <v>0</v>
      </c>
      <c r="V3123" s="54">
        <f t="shared" si="300"/>
        <v>6.5</v>
      </c>
    </row>
    <row r="3124" spans="1:22" x14ac:dyDescent="0.2">
      <c r="A3124" s="46" t="s">
        <v>188</v>
      </c>
      <c r="B3124" s="46" t="s">
        <v>207</v>
      </c>
      <c r="C3124" s="46" t="s">
        <v>90</v>
      </c>
      <c r="D3124" s="46" t="s">
        <v>178</v>
      </c>
      <c r="E3124" s="46">
        <v>4</v>
      </c>
      <c r="F3124" s="46" t="s">
        <v>62</v>
      </c>
      <c r="G3124" s="46">
        <v>2</v>
      </c>
      <c r="H3124" s="47" t="s">
        <v>82</v>
      </c>
      <c r="I3124" s="47" t="s">
        <v>127</v>
      </c>
      <c r="J3124" s="48">
        <v>0</v>
      </c>
      <c r="K3124" s="48">
        <v>1</v>
      </c>
      <c r="R3124" s="46">
        <f t="shared" si="297"/>
        <v>0</v>
      </c>
      <c r="S3124" s="46">
        <f t="shared" si="298"/>
        <v>0</v>
      </c>
      <c r="T3124" s="46">
        <f t="shared" si="296"/>
        <v>0</v>
      </c>
      <c r="U3124" s="46">
        <f t="shared" si="299"/>
        <v>0</v>
      </c>
      <c r="V3124" s="54">
        <f t="shared" si="300"/>
        <v>6.5</v>
      </c>
    </row>
    <row r="3125" spans="1:22" x14ac:dyDescent="0.2">
      <c r="A3125" s="46" t="s">
        <v>188</v>
      </c>
      <c r="B3125" s="46" t="s">
        <v>207</v>
      </c>
      <c r="C3125" s="46" t="s">
        <v>90</v>
      </c>
      <c r="D3125" s="46" t="s">
        <v>178</v>
      </c>
      <c r="E3125" s="46">
        <v>4</v>
      </c>
      <c r="F3125" s="46" t="s">
        <v>62</v>
      </c>
      <c r="G3125" s="46">
        <v>2</v>
      </c>
      <c r="H3125" s="47" t="s">
        <v>86</v>
      </c>
      <c r="I3125" s="47" t="s">
        <v>127</v>
      </c>
      <c r="J3125" s="48">
        <v>0</v>
      </c>
      <c r="K3125" s="48">
        <v>0</v>
      </c>
      <c r="R3125" s="46">
        <f t="shared" si="297"/>
        <v>0</v>
      </c>
      <c r="S3125" s="46">
        <f t="shared" si="298"/>
        <v>0</v>
      </c>
      <c r="T3125" s="46">
        <f t="shared" si="296"/>
        <v>0</v>
      </c>
      <c r="U3125" s="46">
        <f t="shared" si="299"/>
        <v>0</v>
      </c>
      <c r="V3125" s="54">
        <f t="shared" si="300"/>
        <v>6.5</v>
      </c>
    </row>
    <row r="3126" spans="1:22" x14ac:dyDescent="0.2">
      <c r="A3126" s="46" t="s">
        <v>188</v>
      </c>
      <c r="B3126" s="46" t="s">
        <v>207</v>
      </c>
      <c r="C3126" s="46" t="s">
        <v>90</v>
      </c>
      <c r="D3126" s="46" t="s">
        <v>178</v>
      </c>
      <c r="E3126" s="46">
        <v>3</v>
      </c>
      <c r="F3126" s="46" t="s">
        <v>62</v>
      </c>
      <c r="G3126" s="46">
        <v>2</v>
      </c>
      <c r="H3126" s="47" t="s">
        <v>83</v>
      </c>
      <c r="I3126" s="47" t="s">
        <v>127</v>
      </c>
      <c r="J3126" s="48">
        <v>0</v>
      </c>
      <c r="K3126" s="48">
        <v>0</v>
      </c>
      <c r="M3126" s="48">
        <v>1</v>
      </c>
      <c r="R3126" s="46">
        <f t="shared" si="297"/>
        <v>0</v>
      </c>
      <c r="S3126" s="46">
        <f t="shared" si="298"/>
        <v>0</v>
      </c>
      <c r="T3126" s="46">
        <f t="shared" si="296"/>
        <v>0</v>
      </c>
      <c r="U3126" s="46">
        <f t="shared" si="299"/>
        <v>20</v>
      </c>
      <c r="V3126" s="54">
        <f t="shared" si="300"/>
        <v>6.5</v>
      </c>
    </row>
    <row r="3127" spans="1:22" x14ac:dyDescent="0.2">
      <c r="A3127" s="46" t="s">
        <v>188</v>
      </c>
      <c r="B3127" s="46" t="s">
        <v>207</v>
      </c>
      <c r="C3127" s="46" t="s">
        <v>90</v>
      </c>
      <c r="D3127" s="46" t="s">
        <v>178</v>
      </c>
      <c r="E3127" s="46">
        <v>1</v>
      </c>
      <c r="F3127" s="46" t="s">
        <v>61</v>
      </c>
      <c r="G3127" s="46">
        <v>1</v>
      </c>
      <c r="H3127" s="47" t="s">
        <v>70</v>
      </c>
      <c r="I3127" s="47" t="s">
        <v>101</v>
      </c>
      <c r="J3127" s="48">
        <v>0</v>
      </c>
      <c r="K3127" s="48">
        <v>0</v>
      </c>
      <c r="R3127" s="46">
        <f t="shared" si="297"/>
        <v>0</v>
      </c>
      <c r="S3127" s="46">
        <f t="shared" si="298"/>
        <v>0</v>
      </c>
      <c r="T3127" s="46">
        <f t="shared" ref="T3127:T3143" si="301">quizscore(J3127,K3127)</f>
        <v>0</v>
      </c>
      <c r="U3127" s="46">
        <f t="shared" si="299"/>
        <v>0</v>
      </c>
      <c r="V3127" s="54">
        <f t="shared" si="300"/>
        <v>6.5</v>
      </c>
    </row>
    <row r="3128" spans="1:22" x14ac:dyDescent="0.2">
      <c r="A3128" s="46" t="s">
        <v>188</v>
      </c>
      <c r="B3128" s="46" t="s">
        <v>207</v>
      </c>
      <c r="C3128" s="46" t="s">
        <v>90</v>
      </c>
      <c r="D3128" s="46" t="s">
        <v>178</v>
      </c>
      <c r="E3128" s="46">
        <v>1</v>
      </c>
      <c r="F3128" s="46" t="s">
        <v>61</v>
      </c>
      <c r="G3128" s="46">
        <v>2</v>
      </c>
      <c r="H3128" s="47" t="s">
        <v>76</v>
      </c>
      <c r="I3128" s="47" t="s">
        <v>127</v>
      </c>
      <c r="J3128" s="48">
        <v>0</v>
      </c>
      <c r="K3128" s="48">
        <v>0</v>
      </c>
      <c r="R3128" s="46">
        <f t="shared" si="297"/>
        <v>0</v>
      </c>
      <c r="S3128" s="46">
        <f t="shared" si="298"/>
        <v>0</v>
      </c>
      <c r="T3128" s="46">
        <f t="shared" si="301"/>
        <v>0</v>
      </c>
      <c r="U3128" s="46">
        <f t="shared" si="299"/>
        <v>0</v>
      </c>
      <c r="V3128" s="54">
        <f t="shared" si="300"/>
        <v>6.5</v>
      </c>
    </row>
    <row r="3129" spans="1:22" x14ac:dyDescent="0.2">
      <c r="A3129" s="46" t="s">
        <v>188</v>
      </c>
      <c r="B3129" s="46" t="s">
        <v>207</v>
      </c>
      <c r="C3129" s="46" t="s">
        <v>90</v>
      </c>
      <c r="D3129" s="46" t="s">
        <v>178</v>
      </c>
      <c r="E3129" s="46">
        <v>2</v>
      </c>
      <c r="F3129" s="46" t="s">
        <v>61</v>
      </c>
      <c r="G3129" s="46">
        <v>2</v>
      </c>
      <c r="H3129" s="47" t="s">
        <v>76</v>
      </c>
      <c r="I3129" s="47" t="s">
        <v>127</v>
      </c>
      <c r="J3129" s="48">
        <v>0</v>
      </c>
      <c r="K3129" s="48">
        <v>0</v>
      </c>
      <c r="R3129" s="46">
        <f t="shared" si="297"/>
        <v>0</v>
      </c>
      <c r="S3129" s="46">
        <f t="shared" si="298"/>
        <v>0</v>
      </c>
      <c r="T3129" s="46">
        <f t="shared" si="301"/>
        <v>0</v>
      </c>
      <c r="U3129" s="46">
        <f t="shared" si="299"/>
        <v>0</v>
      </c>
      <c r="V3129" s="54">
        <f t="shared" si="300"/>
        <v>6.5</v>
      </c>
    </row>
    <row r="3130" spans="1:22" x14ac:dyDescent="0.2">
      <c r="A3130" s="46" t="s">
        <v>188</v>
      </c>
      <c r="B3130" s="46" t="s">
        <v>207</v>
      </c>
      <c r="C3130" s="46" t="s">
        <v>90</v>
      </c>
      <c r="D3130" s="46" t="s">
        <v>178</v>
      </c>
      <c r="E3130" s="46">
        <v>1</v>
      </c>
      <c r="F3130" s="46" t="s">
        <v>60</v>
      </c>
      <c r="G3130" s="46">
        <v>3</v>
      </c>
      <c r="H3130" s="47">
        <v>11</v>
      </c>
      <c r="I3130" s="47" t="s">
        <v>116</v>
      </c>
      <c r="J3130" s="48">
        <v>1</v>
      </c>
      <c r="K3130" s="48">
        <v>0</v>
      </c>
      <c r="O3130" s="48">
        <v>1</v>
      </c>
      <c r="R3130" s="46">
        <f t="shared" si="297"/>
        <v>0</v>
      </c>
      <c r="S3130" s="46">
        <f t="shared" si="298"/>
        <v>0</v>
      </c>
      <c r="T3130" s="46">
        <f t="shared" si="301"/>
        <v>20</v>
      </c>
      <c r="U3130" s="46">
        <f t="shared" si="299"/>
        <v>30</v>
      </c>
      <c r="V3130" s="54">
        <f t="shared" si="300"/>
        <v>6.5</v>
      </c>
    </row>
    <row r="3131" spans="1:22" x14ac:dyDescent="0.2">
      <c r="A3131" s="46" t="s">
        <v>188</v>
      </c>
      <c r="B3131" s="46" t="s">
        <v>207</v>
      </c>
      <c r="C3131" s="46" t="s">
        <v>90</v>
      </c>
      <c r="D3131" s="46" t="s">
        <v>178</v>
      </c>
      <c r="E3131" s="46">
        <v>3</v>
      </c>
      <c r="F3131" s="46" t="s">
        <v>60</v>
      </c>
      <c r="G3131" s="46">
        <v>3</v>
      </c>
      <c r="H3131" s="47">
        <v>31</v>
      </c>
      <c r="I3131" s="47" t="s">
        <v>116</v>
      </c>
      <c r="J3131" s="48">
        <v>1</v>
      </c>
      <c r="K3131" s="48">
        <v>0</v>
      </c>
      <c r="O3131" s="48">
        <v>1</v>
      </c>
      <c r="R3131" s="46">
        <f t="shared" si="297"/>
        <v>0</v>
      </c>
      <c r="S3131" s="46">
        <f t="shared" si="298"/>
        <v>0</v>
      </c>
      <c r="T3131" s="46">
        <f t="shared" si="301"/>
        <v>20</v>
      </c>
      <c r="U3131" s="46">
        <f t="shared" si="299"/>
        <v>30</v>
      </c>
      <c r="V3131" s="54">
        <f t="shared" si="300"/>
        <v>6.5</v>
      </c>
    </row>
    <row r="3132" spans="1:22" x14ac:dyDescent="0.2">
      <c r="A3132" s="46" t="s">
        <v>188</v>
      </c>
      <c r="B3132" s="46" t="s">
        <v>207</v>
      </c>
      <c r="C3132" s="46" t="s">
        <v>90</v>
      </c>
      <c r="D3132" s="46" t="s">
        <v>178</v>
      </c>
      <c r="E3132" s="46">
        <v>1</v>
      </c>
      <c r="F3132" s="46" t="s">
        <v>60</v>
      </c>
      <c r="G3132" s="46">
        <v>3</v>
      </c>
      <c r="H3132" s="47">
        <v>47</v>
      </c>
      <c r="I3132" s="47" t="s">
        <v>116</v>
      </c>
      <c r="J3132" s="48">
        <v>1</v>
      </c>
      <c r="K3132" s="48">
        <v>0</v>
      </c>
      <c r="O3132" s="48">
        <v>1</v>
      </c>
      <c r="R3132" s="46">
        <f t="shared" si="297"/>
        <v>0</v>
      </c>
      <c r="S3132" s="46">
        <f t="shared" si="298"/>
        <v>0</v>
      </c>
      <c r="T3132" s="46">
        <f t="shared" si="301"/>
        <v>20</v>
      </c>
      <c r="U3132" s="46">
        <f t="shared" si="299"/>
        <v>30</v>
      </c>
      <c r="V3132" s="54">
        <f t="shared" si="300"/>
        <v>6.5</v>
      </c>
    </row>
    <row r="3133" spans="1:22" x14ac:dyDescent="0.2">
      <c r="A3133" s="46" t="s">
        <v>188</v>
      </c>
      <c r="B3133" s="46" t="s">
        <v>207</v>
      </c>
      <c r="C3133" s="46" t="s">
        <v>90</v>
      </c>
      <c r="D3133" s="46" t="s">
        <v>178</v>
      </c>
      <c r="E3133" s="46">
        <v>2</v>
      </c>
      <c r="F3133" s="46" t="s">
        <v>60</v>
      </c>
      <c r="G3133" s="46">
        <v>3</v>
      </c>
      <c r="H3133" s="47">
        <v>47</v>
      </c>
      <c r="I3133" s="47" t="s">
        <v>116</v>
      </c>
      <c r="J3133" s="48">
        <v>1</v>
      </c>
      <c r="K3133" s="48">
        <v>1</v>
      </c>
      <c r="P3133" s="48">
        <v>1</v>
      </c>
      <c r="R3133" s="46">
        <f t="shared" si="297"/>
        <v>0</v>
      </c>
      <c r="S3133" s="46">
        <f t="shared" si="298"/>
        <v>0</v>
      </c>
      <c r="T3133" s="46">
        <f t="shared" si="301"/>
        <v>20</v>
      </c>
      <c r="U3133" s="46">
        <f t="shared" si="299"/>
        <v>30</v>
      </c>
      <c r="V3133" s="54">
        <f t="shared" si="300"/>
        <v>6.5</v>
      </c>
    </row>
    <row r="3134" spans="1:22" x14ac:dyDescent="0.2">
      <c r="A3134" s="46" t="s">
        <v>188</v>
      </c>
      <c r="B3134" s="46" t="s">
        <v>207</v>
      </c>
      <c r="C3134" s="46" t="s">
        <v>90</v>
      </c>
      <c r="D3134" s="46" t="s">
        <v>178</v>
      </c>
      <c r="E3134" s="46">
        <v>2</v>
      </c>
      <c r="F3134" s="46" t="s">
        <v>60</v>
      </c>
      <c r="G3134" s="46">
        <v>1</v>
      </c>
      <c r="H3134" s="47">
        <v>13</v>
      </c>
      <c r="I3134" s="47" t="s">
        <v>101</v>
      </c>
      <c r="J3134" s="48">
        <v>2</v>
      </c>
      <c r="K3134" s="48">
        <v>0</v>
      </c>
      <c r="O3134" s="48">
        <v>1</v>
      </c>
      <c r="R3134" s="46">
        <f t="shared" si="297"/>
        <v>0</v>
      </c>
      <c r="S3134" s="46">
        <f t="shared" si="298"/>
        <v>0</v>
      </c>
      <c r="T3134" s="46">
        <f t="shared" si="301"/>
        <v>40</v>
      </c>
      <c r="U3134" s="46">
        <f t="shared" si="299"/>
        <v>50</v>
      </c>
      <c r="V3134" s="54">
        <f t="shared" si="300"/>
        <v>6.5</v>
      </c>
    </row>
    <row r="3135" spans="1:22" x14ac:dyDescent="0.2">
      <c r="A3135" s="46" t="s">
        <v>188</v>
      </c>
      <c r="B3135" s="46" t="s">
        <v>207</v>
      </c>
      <c r="C3135" s="46" t="s">
        <v>90</v>
      </c>
      <c r="D3135" s="46" t="s">
        <v>178</v>
      </c>
      <c r="E3135" s="46">
        <v>4</v>
      </c>
      <c r="F3135" s="46" t="s">
        <v>62</v>
      </c>
      <c r="G3135" s="46">
        <v>2</v>
      </c>
      <c r="H3135" s="47" t="s">
        <v>83</v>
      </c>
      <c r="I3135" s="47" t="s">
        <v>127</v>
      </c>
      <c r="J3135" s="48">
        <v>0</v>
      </c>
      <c r="K3135" s="48">
        <v>0</v>
      </c>
      <c r="R3135" s="46">
        <f t="shared" si="297"/>
        <v>0</v>
      </c>
      <c r="S3135" s="46">
        <f t="shared" si="298"/>
        <v>0</v>
      </c>
      <c r="T3135" s="46">
        <f t="shared" si="301"/>
        <v>0</v>
      </c>
      <c r="U3135" s="46">
        <f t="shared" si="299"/>
        <v>0</v>
      </c>
      <c r="V3135" s="54">
        <f t="shared" si="300"/>
        <v>6.5</v>
      </c>
    </row>
    <row r="3136" spans="1:22" x14ac:dyDescent="0.2">
      <c r="A3136" s="46" t="s">
        <v>188</v>
      </c>
      <c r="B3136" s="46" t="s">
        <v>207</v>
      </c>
      <c r="C3136" s="46" t="s">
        <v>90</v>
      </c>
      <c r="D3136" s="46" t="s">
        <v>178</v>
      </c>
      <c r="E3136" s="46">
        <v>5</v>
      </c>
      <c r="F3136" s="46" t="s">
        <v>60</v>
      </c>
      <c r="G3136" s="46">
        <v>1</v>
      </c>
      <c r="H3136" s="47">
        <v>1</v>
      </c>
      <c r="I3136" s="47" t="s">
        <v>101</v>
      </c>
      <c r="J3136" s="48">
        <v>0</v>
      </c>
      <c r="K3136" s="48">
        <v>0</v>
      </c>
      <c r="R3136" s="46">
        <f t="shared" si="297"/>
        <v>0</v>
      </c>
      <c r="S3136" s="46">
        <f t="shared" si="298"/>
        <v>0</v>
      </c>
      <c r="T3136" s="46">
        <f t="shared" si="301"/>
        <v>0</v>
      </c>
      <c r="U3136" s="46">
        <f t="shared" si="299"/>
        <v>0</v>
      </c>
      <c r="V3136" s="54">
        <f t="shared" si="300"/>
        <v>6.5</v>
      </c>
    </row>
    <row r="3137" spans="1:22" x14ac:dyDescent="0.2">
      <c r="A3137" s="46" t="s">
        <v>188</v>
      </c>
      <c r="B3137" s="46" t="s">
        <v>207</v>
      </c>
      <c r="C3137" s="46" t="s">
        <v>90</v>
      </c>
      <c r="D3137" s="46" t="s">
        <v>178</v>
      </c>
      <c r="E3137" s="46">
        <v>5</v>
      </c>
      <c r="F3137" s="46" t="s">
        <v>60</v>
      </c>
      <c r="G3137" s="46">
        <v>3</v>
      </c>
      <c r="H3137" s="47">
        <v>11</v>
      </c>
      <c r="I3137" s="47" t="s">
        <v>159</v>
      </c>
      <c r="J3137" s="48">
        <v>0</v>
      </c>
      <c r="K3137" s="48">
        <v>0</v>
      </c>
      <c r="R3137" s="46">
        <f t="shared" si="297"/>
        <v>0</v>
      </c>
      <c r="S3137" s="46">
        <f t="shared" si="298"/>
        <v>0</v>
      </c>
      <c r="T3137" s="46">
        <f t="shared" si="301"/>
        <v>0</v>
      </c>
      <c r="U3137" s="46">
        <f t="shared" si="299"/>
        <v>0</v>
      </c>
      <c r="V3137" s="54">
        <f t="shared" si="300"/>
        <v>6.5</v>
      </c>
    </row>
    <row r="3138" spans="1:22" x14ac:dyDescent="0.2">
      <c r="A3138" s="46" t="s">
        <v>188</v>
      </c>
      <c r="B3138" s="46" t="s">
        <v>207</v>
      </c>
      <c r="C3138" s="46" t="s">
        <v>90</v>
      </c>
      <c r="D3138" s="46" t="s">
        <v>178</v>
      </c>
      <c r="E3138" s="46">
        <v>5</v>
      </c>
      <c r="F3138" s="46" t="s">
        <v>60</v>
      </c>
      <c r="G3138" s="46">
        <v>3</v>
      </c>
      <c r="H3138" s="47">
        <v>19</v>
      </c>
      <c r="I3138" s="47" t="s">
        <v>159</v>
      </c>
      <c r="J3138" s="48">
        <v>0</v>
      </c>
      <c r="K3138" s="48">
        <v>0</v>
      </c>
      <c r="R3138" s="46">
        <f t="shared" ref="R3138:R3201" si="302">IF(J3138=4,1,0)</f>
        <v>0</v>
      </c>
      <c r="S3138" s="46">
        <f t="shared" ref="S3138:S3201" si="303">IF(K3138=3,1,0)</f>
        <v>0</v>
      </c>
      <c r="T3138" s="46">
        <f t="shared" si="301"/>
        <v>0</v>
      </c>
      <c r="U3138" s="46">
        <f t="shared" ref="U3138:U3201" si="304">T3138+M3138*(20) + (SUM(O3138:Q3138)*(10)) - L3138*(5) - N3138*(5)</f>
        <v>0</v>
      </c>
      <c r="V3138" s="54">
        <f t="shared" ref="V3138:V3201" si="305">AVERAGEIFS(U:U,A:A,A3138,F:F,"Pre")</f>
        <v>6.5</v>
      </c>
    </row>
    <row r="3139" spans="1:22" x14ac:dyDescent="0.2">
      <c r="A3139" s="46" t="s">
        <v>188</v>
      </c>
      <c r="B3139" s="46" t="s">
        <v>207</v>
      </c>
      <c r="C3139" s="46" t="s">
        <v>90</v>
      </c>
      <c r="D3139" s="46" t="s">
        <v>178</v>
      </c>
      <c r="E3139" s="46">
        <v>5</v>
      </c>
      <c r="F3139" s="46" t="s">
        <v>60</v>
      </c>
      <c r="G3139" s="46">
        <v>4</v>
      </c>
      <c r="H3139" s="47">
        <v>32</v>
      </c>
      <c r="I3139" s="47" t="s">
        <v>102</v>
      </c>
      <c r="J3139" s="48">
        <v>0</v>
      </c>
      <c r="K3139" s="48">
        <v>0</v>
      </c>
      <c r="R3139" s="46">
        <f t="shared" si="302"/>
        <v>0</v>
      </c>
      <c r="S3139" s="46">
        <f t="shared" si="303"/>
        <v>0</v>
      </c>
      <c r="T3139" s="46">
        <f t="shared" si="301"/>
        <v>0</v>
      </c>
      <c r="U3139" s="46">
        <f t="shared" si="304"/>
        <v>0</v>
      </c>
      <c r="V3139" s="54">
        <f t="shared" si="305"/>
        <v>6.5</v>
      </c>
    </row>
    <row r="3140" spans="1:22" x14ac:dyDescent="0.2">
      <c r="A3140" s="46" t="s">
        <v>188</v>
      </c>
      <c r="B3140" s="46" t="s">
        <v>207</v>
      </c>
      <c r="C3140" s="46" t="s">
        <v>90</v>
      </c>
      <c r="D3140" s="46" t="s">
        <v>178</v>
      </c>
      <c r="E3140" s="46">
        <v>5</v>
      </c>
      <c r="F3140" s="46" t="s">
        <v>60</v>
      </c>
      <c r="G3140" s="46">
        <v>2</v>
      </c>
      <c r="H3140" s="47">
        <v>38</v>
      </c>
      <c r="I3140" s="47" t="s">
        <v>127</v>
      </c>
      <c r="J3140" s="48">
        <v>0</v>
      </c>
      <c r="K3140" s="48">
        <v>0</v>
      </c>
      <c r="R3140" s="46">
        <f t="shared" si="302"/>
        <v>0</v>
      </c>
      <c r="S3140" s="46">
        <f t="shared" si="303"/>
        <v>0</v>
      </c>
      <c r="T3140" s="46">
        <f t="shared" si="301"/>
        <v>0</v>
      </c>
      <c r="U3140" s="46">
        <f t="shared" si="304"/>
        <v>0</v>
      </c>
      <c r="V3140" s="54">
        <f t="shared" si="305"/>
        <v>6.5</v>
      </c>
    </row>
    <row r="3141" spans="1:22" x14ac:dyDescent="0.2">
      <c r="A3141" s="46" t="s">
        <v>188</v>
      </c>
      <c r="B3141" s="46" t="s">
        <v>207</v>
      </c>
      <c r="C3141" s="46" t="s">
        <v>90</v>
      </c>
      <c r="D3141" s="46" t="s">
        <v>178</v>
      </c>
      <c r="E3141" s="46">
        <v>5</v>
      </c>
      <c r="F3141" s="46" t="s">
        <v>60</v>
      </c>
      <c r="G3141" s="46">
        <v>2</v>
      </c>
      <c r="H3141" s="47">
        <v>46</v>
      </c>
      <c r="I3141" s="47" t="s">
        <v>127</v>
      </c>
      <c r="J3141" s="48">
        <v>0</v>
      </c>
      <c r="K3141" s="48">
        <v>0</v>
      </c>
      <c r="R3141" s="46">
        <f t="shared" si="302"/>
        <v>0</v>
      </c>
      <c r="S3141" s="46">
        <f t="shared" si="303"/>
        <v>0</v>
      </c>
      <c r="T3141" s="46">
        <f t="shared" si="301"/>
        <v>0</v>
      </c>
      <c r="U3141" s="46">
        <f t="shared" si="304"/>
        <v>0</v>
      </c>
      <c r="V3141" s="54">
        <f t="shared" si="305"/>
        <v>6.5</v>
      </c>
    </row>
    <row r="3142" spans="1:22" x14ac:dyDescent="0.2">
      <c r="A3142" s="46" t="s">
        <v>188</v>
      </c>
      <c r="B3142" s="46" t="s">
        <v>207</v>
      </c>
      <c r="C3142" s="46" t="s">
        <v>90</v>
      </c>
      <c r="D3142" s="46" t="s">
        <v>178</v>
      </c>
      <c r="E3142" s="46">
        <v>5</v>
      </c>
      <c r="F3142" s="46" t="s">
        <v>62</v>
      </c>
      <c r="G3142" s="46">
        <v>3</v>
      </c>
      <c r="H3142" s="47" t="s">
        <v>80</v>
      </c>
      <c r="I3142" s="47" t="s">
        <v>219</v>
      </c>
      <c r="J3142" s="48">
        <v>0</v>
      </c>
      <c r="K3142" s="48">
        <v>0</v>
      </c>
      <c r="R3142" s="46">
        <f t="shared" si="302"/>
        <v>0</v>
      </c>
      <c r="S3142" s="46">
        <f t="shared" si="303"/>
        <v>0</v>
      </c>
      <c r="T3142" s="46">
        <f t="shared" si="301"/>
        <v>0</v>
      </c>
      <c r="U3142" s="46">
        <f t="shared" si="304"/>
        <v>0</v>
      </c>
      <c r="V3142" s="54">
        <f t="shared" si="305"/>
        <v>6.5</v>
      </c>
    </row>
    <row r="3143" spans="1:22" x14ac:dyDescent="0.2">
      <c r="A3143" s="46" t="s">
        <v>188</v>
      </c>
      <c r="B3143" s="46" t="s">
        <v>207</v>
      </c>
      <c r="C3143" s="46" t="s">
        <v>90</v>
      </c>
      <c r="D3143" s="46" t="s">
        <v>178</v>
      </c>
      <c r="E3143" s="46">
        <v>5</v>
      </c>
      <c r="F3143" s="46" t="s">
        <v>62</v>
      </c>
      <c r="G3143" s="46">
        <v>2</v>
      </c>
      <c r="H3143" s="47" t="s">
        <v>82</v>
      </c>
      <c r="I3143" s="47" t="s">
        <v>127</v>
      </c>
      <c r="J3143" s="48">
        <v>1</v>
      </c>
      <c r="K3143" s="48">
        <v>0</v>
      </c>
      <c r="R3143" s="46">
        <f t="shared" si="302"/>
        <v>0</v>
      </c>
      <c r="S3143" s="46">
        <f t="shared" si="303"/>
        <v>0</v>
      </c>
      <c r="T3143" s="46">
        <f t="shared" si="301"/>
        <v>20</v>
      </c>
      <c r="U3143" s="46">
        <f t="shared" si="304"/>
        <v>20</v>
      </c>
      <c r="V3143" s="54">
        <f t="shared" si="305"/>
        <v>6.5</v>
      </c>
    </row>
    <row r="3144" spans="1:22" x14ac:dyDescent="0.2">
      <c r="A3144" s="46" t="s">
        <v>188</v>
      </c>
      <c r="B3144" s="46" t="s">
        <v>207</v>
      </c>
      <c r="C3144" s="46" t="str">
        <f>VLOOKUP(B3144,$B$2:$C$3219,2,FALSE)</f>
        <v>Dallas</v>
      </c>
      <c r="D3144" s="46" t="s">
        <v>178</v>
      </c>
      <c r="E3144" s="46">
        <v>5</v>
      </c>
      <c r="F3144" s="46" t="s">
        <v>62</v>
      </c>
      <c r="G3144" s="46">
        <v>3</v>
      </c>
      <c r="H3144" s="47" t="s">
        <v>83</v>
      </c>
      <c r="I3144" s="47" t="s">
        <v>219</v>
      </c>
      <c r="J3144" s="48">
        <v>0</v>
      </c>
      <c r="K3144" s="48">
        <v>0</v>
      </c>
      <c r="R3144" s="46">
        <f t="shared" si="302"/>
        <v>0</v>
      </c>
      <c r="S3144" s="46">
        <f t="shared" si="303"/>
        <v>0</v>
      </c>
      <c r="U3144" s="46">
        <f t="shared" si="304"/>
        <v>0</v>
      </c>
      <c r="V3144" s="54">
        <f t="shared" si="305"/>
        <v>6.5</v>
      </c>
    </row>
    <row r="3145" spans="1:22" x14ac:dyDescent="0.2">
      <c r="A3145" s="46" t="s">
        <v>134</v>
      </c>
      <c r="B3145" s="46" t="s">
        <v>117</v>
      </c>
      <c r="C3145" s="46" t="s">
        <v>54</v>
      </c>
      <c r="D3145" s="46" t="s">
        <v>178</v>
      </c>
      <c r="E3145" s="46">
        <v>3</v>
      </c>
      <c r="F3145" s="46" t="s">
        <v>60</v>
      </c>
      <c r="G3145" s="46">
        <v>1</v>
      </c>
      <c r="H3145" s="47">
        <v>13</v>
      </c>
      <c r="I3145" s="47" t="s">
        <v>101</v>
      </c>
      <c r="J3145" s="48">
        <v>0</v>
      </c>
      <c r="K3145" s="48">
        <v>3</v>
      </c>
      <c r="R3145" s="46">
        <f t="shared" si="302"/>
        <v>0</v>
      </c>
      <c r="S3145" s="46">
        <f t="shared" si="303"/>
        <v>1</v>
      </c>
      <c r="T3145" s="46">
        <f t="shared" ref="T3145:T3176" si="306">quizscore(J3145,K3145)</f>
        <v>-20</v>
      </c>
      <c r="U3145" s="46">
        <f t="shared" si="304"/>
        <v>-20</v>
      </c>
      <c r="V3145" s="54">
        <f t="shared" si="305"/>
        <v>45.5</v>
      </c>
    </row>
    <row r="3146" spans="1:22" x14ac:dyDescent="0.2">
      <c r="A3146" s="46" t="s">
        <v>134</v>
      </c>
      <c r="B3146" s="46" t="s">
        <v>117</v>
      </c>
      <c r="C3146" s="46" t="s">
        <v>54</v>
      </c>
      <c r="D3146" s="46" t="s">
        <v>178</v>
      </c>
      <c r="E3146" s="46">
        <v>3</v>
      </c>
      <c r="F3146" s="46" t="s">
        <v>60</v>
      </c>
      <c r="G3146" s="46">
        <v>1</v>
      </c>
      <c r="H3146" s="47">
        <v>49</v>
      </c>
      <c r="I3146" s="47" t="s">
        <v>101</v>
      </c>
      <c r="J3146" s="48">
        <v>0</v>
      </c>
      <c r="K3146" s="48">
        <v>2</v>
      </c>
      <c r="M3146" s="48">
        <v>1</v>
      </c>
      <c r="R3146" s="46">
        <f t="shared" si="302"/>
        <v>0</v>
      </c>
      <c r="S3146" s="46">
        <f t="shared" si="303"/>
        <v>0</v>
      </c>
      <c r="T3146" s="46">
        <f t="shared" si="306"/>
        <v>-10</v>
      </c>
      <c r="U3146" s="46">
        <f t="shared" si="304"/>
        <v>10</v>
      </c>
      <c r="V3146" s="54">
        <f t="shared" si="305"/>
        <v>45.5</v>
      </c>
    </row>
    <row r="3147" spans="1:22" x14ac:dyDescent="0.2">
      <c r="A3147" s="46" t="s">
        <v>134</v>
      </c>
      <c r="B3147" s="46" t="s">
        <v>117</v>
      </c>
      <c r="C3147" s="46" t="s">
        <v>54</v>
      </c>
      <c r="D3147" s="46" t="s">
        <v>178</v>
      </c>
      <c r="E3147" s="46">
        <v>2</v>
      </c>
      <c r="F3147" s="46" t="s">
        <v>61</v>
      </c>
      <c r="G3147" s="46">
        <v>2</v>
      </c>
      <c r="H3147" s="47" t="s">
        <v>66</v>
      </c>
      <c r="I3147" s="47" t="s">
        <v>127</v>
      </c>
      <c r="J3147" s="48">
        <v>0</v>
      </c>
      <c r="K3147" s="48">
        <v>2</v>
      </c>
      <c r="M3147" s="48">
        <v>1</v>
      </c>
      <c r="R3147" s="46">
        <f t="shared" si="302"/>
        <v>0</v>
      </c>
      <c r="S3147" s="46">
        <f t="shared" si="303"/>
        <v>0</v>
      </c>
      <c r="T3147" s="46">
        <f t="shared" si="306"/>
        <v>-10</v>
      </c>
      <c r="U3147" s="46">
        <f t="shared" si="304"/>
        <v>10</v>
      </c>
      <c r="V3147" s="54">
        <f t="shared" si="305"/>
        <v>45.5</v>
      </c>
    </row>
    <row r="3148" spans="1:22" x14ac:dyDescent="0.2">
      <c r="A3148" s="46" t="s">
        <v>134</v>
      </c>
      <c r="B3148" s="46" t="s">
        <v>117</v>
      </c>
      <c r="C3148" s="46" t="s">
        <v>54</v>
      </c>
      <c r="D3148" s="46" t="s">
        <v>178</v>
      </c>
      <c r="E3148" s="46">
        <v>3</v>
      </c>
      <c r="F3148" s="46" t="s">
        <v>61</v>
      </c>
      <c r="G3148" s="46">
        <v>2</v>
      </c>
      <c r="H3148" s="47" t="s">
        <v>66</v>
      </c>
      <c r="I3148" s="47" t="s">
        <v>127</v>
      </c>
      <c r="J3148" s="48">
        <v>0</v>
      </c>
      <c r="K3148" s="48">
        <v>2</v>
      </c>
      <c r="R3148" s="46">
        <f t="shared" si="302"/>
        <v>0</v>
      </c>
      <c r="S3148" s="46">
        <f t="shared" si="303"/>
        <v>0</v>
      </c>
      <c r="T3148" s="46">
        <f t="shared" si="306"/>
        <v>-10</v>
      </c>
      <c r="U3148" s="46">
        <f t="shared" si="304"/>
        <v>-10</v>
      </c>
      <c r="V3148" s="54">
        <f t="shared" si="305"/>
        <v>45.5</v>
      </c>
    </row>
    <row r="3149" spans="1:22" x14ac:dyDescent="0.2">
      <c r="A3149" s="46" t="s">
        <v>134</v>
      </c>
      <c r="B3149" s="46" t="s">
        <v>117</v>
      </c>
      <c r="C3149" s="46" t="s">
        <v>54</v>
      </c>
      <c r="D3149" s="46" t="s">
        <v>178</v>
      </c>
      <c r="E3149" s="46">
        <v>4</v>
      </c>
      <c r="F3149" s="46" t="s">
        <v>60</v>
      </c>
      <c r="G3149" s="46">
        <v>2</v>
      </c>
      <c r="H3149" s="47">
        <v>6</v>
      </c>
      <c r="I3149" s="47" t="s">
        <v>127</v>
      </c>
      <c r="J3149" s="48">
        <v>0</v>
      </c>
      <c r="K3149" s="48">
        <v>1</v>
      </c>
      <c r="R3149" s="46">
        <f t="shared" si="302"/>
        <v>0</v>
      </c>
      <c r="S3149" s="46">
        <f t="shared" si="303"/>
        <v>0</v>
      </c>
      <c r="T3149" s="46">
        <f t="shared" si="306"/>
        <v>0</v>
      </c>
      <c r="U3149" s="46">
        <f t="shared" si="304"/>
        <v>0</v>
      </c>
      <c r="V3149" s="54">
        <f t="shared" si="305"/>
        <v>45.5</v>
      </c>
    </row>
    <row r="3150" spans="1:22" x14ac:dyDescent="0.2">
      <c r="A3150" s="46" t="s">
        <v>134</v>
      </c>
      <c r="B3150" s="46" t="s">
        <v>117</v>
      </c>
      <c r="C3150" s="46" t="s">
        <v>54</v>
      </c>
      <c r="D3150" s="46" t="s">
        <v>178</v>
      </c>
      <c r="E3150" s="46">
        <v>3</v>
      </c>
      <c r="F3150" s="46" t="s">
        <v>60</v>
      </c>
      <c r="G3150" s="46">
        <v>2</v>
      </c>
      <c r="H3150" s="47">
        <v>22</v>
      </c>
      <c r="I3150" s="47" t="s">
        <v>127</v>
      </c>
      <c r="J3150" s="48">
        <v>0</v>
      </c>
      <c r="K3150" s="48">
        <v>1</v>
      </c>
      <c r="R3150" s="46">
        <f t="shared" si="302"/>
        <v>0</v>
      </c>
      <c r="S3150" s="46">
        <f t="shared" si="303"/>
        <v>0</v>
      </c>
      <c r="T3150" s="46">
        <f t="shared" si="306"/>
        <v>0</v>
      </c>
      <c r="U3150" s="46">
        <f t="shared" si="304"/>
        <v>0</v>
      </c>
      <c r="V3150" s="54">
        <f t="shared" si="305"/>
        <v>45.5</v>
      </c>
    </row>
    <row r="3151" spans="1:22" x14ac:dyDescent="0.2">
      <c r="A3151" s="46" t="s">
        <v>134</v>
      </c>
      <c r="B3151" s="46" t="s">
        <v>117</v>
      </c>
      <c r="C3151" s="46" t="s">
        <v>54</v>
      </c>
      <c r="D3151" s="46" t="s">
        <v>178</v>
      </c>
      <c r="E3151" s="46">
        <v>1</v>
      </c>
      <c r="F3151" s="46" t="s">
        <v>60</v>
      </c>
      <c r="G3151" s="46">
        <v>1</v>
      </c>
      <c r="H3151" s="47">
        <v>37</v>
      </c>
      <c r="I3151" s="47" t="s">
        <v>101</v>
      </c>
      <c r="J3151" s="48">
        <v>0</v>
      </c>
      <c r="K3151" s="48">
        <v>1</v>
      </c>
      <c r="R3151" s="46">
        <f t="shared" si="302"/>
        <v>0</v>
      </c>
      <c r="S3151" s="46">
        <f t="shared" si="303"/>
        <v>0</v>
      </c>
      <c r="T3151" s="46">
        <f t="shared" si="306"/>
        <v>0</v>
      </c>
      <c r="U3151" s="46">
        <f t="shared" si="304"/>
        <v>0</v>
      </c>
      <c r="V3151" s="54">
        <f t="shared" si="305"/>
        <v>45.5</v>
      </c>
    </row>
    <row r="3152" spans="1:22" x14ac:dyDescent="0.2">
      <c r="A3152" s="46" t="s">
        <v>134</v>
      </c>
      <c r="B3152" s="46" t="s">
        <v>117</v>
      </c>
      <c r="C3152" s="46" t="s">
        <v>54</v>
      </c>
      <c r="D3152" s="46" t="s">
        <v>178</v>
      </c>
      <c r="E3152" s="46">
        <v>3</v>
      </c>
      <c r="F3152" s="46" t="s">
        <v>61</v>
      </c>
      <c r="G3152" s="46">
        <v>1</v>
      </c>
      <c r="H3152" s="47" t="s">
        <v>70</v>
      </c>
      <c r="I3152" s="47" t="s">
        <v>101</v>
      </c>
      <c r="J3152" s="48">
        <v>0</v>
      </c>
      <c r="K3152" s="48">
        <v>1</v>
      </c>
      <c r="R3152" s="46">
        <f t="shared" si="302"/>
        <v>0</v>
      </c>
      <c r="S3152" s="46">
        <f t="shared" si="303"/>
        <v>0</v>
      </c>
      <c r="T3152" s="46">
        <f t="shared" si="306"/>
        <v>0</v>
      </c>
      <c r="U3152" s="46">
        <f t="shared" si="304"/>
        <v>0</v>
      </c>
      <c r="V3152" s="54">
        <f t="shared" si="305"/>
        <v>45.5</v>
      </c>
    </row>
    <row r="3153" spans="1:22" x14ac:dyDescent="0.2">
      <c r="A3153" s="46" t="s">
        <v>134</v>
      </c>
      <c r="B3153" s="46" t="s">
        <v>117</v>
      </c>
      <c r="C3153" s="46" t="s">
        <v>54</v>
      </c>
      <c r="D3153" s="46" t="s">
        <v>178</v>
      </c>
      <c r="E3153" s="46">
        <v>4</v>
      </c>
      <c r="F3153" s="46" t="s">
        <v>61</v>
      </c>
      <c r="G3153" s="46">
        <v>1</v>
      </c>
      <c r="H3153" s="47" t="s">
        <v>70</v>
      </c>
      <c r="I3153" s="47" t="s">
        <v>101</v>
      </c>
      <c r="J3153" s="48">
        <v>1</v>
      </c>
      <c r="K3153" s="48">
        <v>3</v>
      </c>
      <c r="N3153" s="48">
        <v>1</v>
      </c>
      <c r="R3153" s="46">
        <f t="shared" si="302"/>
        <v>0</v>
      </c>
      <c r="S3153" s="46">
        <f t="shared" si="303"/>
        <v>1</v>
      </c>
      <c r="T3153" s="46">
        <f t="shared" si="306"/>
        <v>0</v>
      </c>
      <c r="U3153" s="46">
        <f t="shared" si="304"/>
        <v>-5</v>
      </c>
      <c r="V3153" s="54">
        <f t="shared" si="305"/>
        <v>45.5</v>
      </c>
    </row>
    <row r="3154" spans="1:22" x14ac:dyDescent="0.2">
      <c r="A3154" s="46" t="s">
        <v>134</v>
      </c>
      <c r="B3154" s="46" t="s">
        <v>117</v>
      </c>
      <c r="C3154" s="46" t="s">
        <v>54</v>
      </c>
      <c r="D3154" s="46" t="s">
        <v>178</v>
      </c>
      <c r="E3154" s="46">
        <v>3</v>
      </c>
      <c r="F3154" s="46" t="s">
        <v>61</v>
      </c>
      <c r="G3154" s="46">
        <v>1</v>
      </c>
      <c r="H3154" s="47" t="s">
        <v>68</v>
      </c>
      <c r="I3154" s="47" t="s">
        <v>101</v>
      </c>
      <c r="J3154" s="48">
        <v>0</v>
      </c>
      <c r="K3154" s="48">
        <v>1</v>
      </c>
      <c r="R3154" s="46">
        <f t="shared" si="302"/>
        <v>0</v>
      </c>
      <c r="S3154" s="46">
        <f t="shared" si="303"/>
        <v>0</v>
      </c>
      <c r="T3154" s="46">
        <f t="shared" si="306"/>
        <v>0</v>
      </c>
      <c r="U3154" s="46">
        <f t="shared" si="304"/>
        <v>0</v>
      </c>
      <c r="V3154" s="54">
        <f t="shared" si="305"/>
        <v>45.5</v>
      </c>
    </row>
    <row r="3155" spans="1:22" x14ac:dyDescent="0.2">
      <c r="A3155" s="46" t="s">
        <v>134</v>
      </c>
      <c r="B3155" s="46" t="s">
        <v>117</v>
      </c>
      <c r="C3155" s="46" t="s">
        <v>54</v>
      </c>
      <c r="D3155" s="46" t="s">
        <v>178</v>
      </c>
      <c r="E3155" s="46">
        <v>4</v>
      </c>
      <c r="F3155" s="46" t="s">
        <v>61</v>
      </c>
      <c r="G3155" s="46">
        <v>2</v>
      </c>
      <c r="H3155" s="47" t="s">
        <v>76</v>
      </c>
      <c r="I3155" s="47" t="s">
        <v>127</v>
      </c>
      <c r="J3155" s="48">
        <v>0</v>
      </c>
      <c r="K3155" s="48">
        <v>1</v>
      </c>
      <c r="R3155" s="46">
        <f t="shared" si="302"/>
        <v>0</v>
      </c>
      <c r="S3155" s="46">
        <f t="shared" si="303"/>
        <v>0</v>
      </c>
      <c r="T3155" s="46">
        <f t="shared" si="306"/>
        <v>0</v>
      </c>
      <c r="U3155" s="46">
        <f t="shared" si="304"/>
        <v>0</v>
      </c>
      <c r="V3155" s="54">
        <f t="shared" si="305"/>
        <v>45.5</v>
      </c>
    </row>
    <row r="3156" spans="1:22" x14ac:dyDescent="0.2">
      <c r="A3156" s="46" t="s">
        <v>134</v>
      </c>
      <c r="B3156" s="46" t="s">
        <v>117</v>
      </c>
      <c r="C3156" s="46" t="s">
        <v>54</v>
      </c>
      <c r="D3156" s="46" t="s">
        <v>178</v>
      </c>
      <c r="E3156" s="46">
        <v>2</v>
      </c>
      <c r="F3156" s="46" t="s">
        <v>60</v>
      </c>
      <c r="G3156" s="46">
        <v>3</v>
      </c>
      <c r="H3156" s="47">
        <v>7</v>
      </c>
      <c r="I3156" s="47" t="s">
        <v>116</v>
      </c>
      <c r="J3156" s="48">
        <v>2</v>
      </c>
      <c r="K3156" s="48">
        <v>3</v>
      </c>
      <c r="R3156" s="46">
        <f t="shared" si="302"/>
        <v>0</v>
      </c>
      <c r="S3156" s="46">
        <f t="shared" si="303"/>
        <v>1</v>
      </c>
      <c r="T3156" s="46">
        <f t="shared" si="306"/>
        <v>20</v>
      </c>
      <c r="U3156" s="46">
        <f t="shared" si="304"/>
        <v>20</v>
      </c>
      <c r="V3156" s="54">
        <f t="shared" si="305"/>
        <v>45.5</v>
      </c>
    </row>
    <row r="3157" spans="1:22" x14ac:dyDescent="0.2">
      <c r="A3157" s="46" t="s">
        <v>134</v>
      </c>
      <c r="B3157" s="46" t="s">
        <v>117</v>
      </c>
      <c r="C3157" s="46" t="s">
        <v>54</v>
      </c>
      <c r="D3157" s="46" t="s">
        <v>178</v>
      </c>
      <c r="E3157" s="46">
        <v>4</v>
      </c>
      <c r="F3157" s="46" t="s">
        <v>60</v>
      </c>
      <c r="G3157" s="46">
        <v>1</v>
      </c>
      <c r="H3157" s="47">
        <v>13</v>
      </c>
      <c r="I3157" s="47" t="s">
        <v>101</v>
      </c>
      <c r="J3157" s="48">
        <v>1</v>
      </c>
      <c r="K3157" s="48">
        <v>1</v>
      </c>
      <c r="O3157" s="48">
        <v>1</v>
      </c>
      <c r="R3157" s="46">
        <f t="shared" si="302"/>
        <v>0</v>
      </c>
      <c r="S3157" s="46">
        <f t="shared" si="303"/>
        <v>0</v>
      </c>
      <c r="T3157" s="46">
        <f t="shared" si="306"/>
        <v>20</v>
      </c>
      <c r="U3157" s="46">
        <f t="shared" si="304"/>
        <v>30</v>
      </c>
      <c r="V3157" s="54">
        <f t="shared" si="305"/>
        <v>45.5</v>
      </c>
    </row>
    <row r="3158" spans="1:22" x14ac:dyDescent="0.2">
      <c r="A3158" s="46" t="s">
        <v>134</v>
      </c>
      <c r="B3158" s="46" t="s">
        <v>117</v>
      </c>
      <c r="C3158" s="46" t="s">
        <v>54</v>
      </c>
      <c r="D3158" s="46" t="s">
        <v>178</v>
      </c>
      <c r="E3158" s="46">
        <v>4</v>
      </c>
      <c r="F3158" s="46" t="s">
        <v>60</v>
      </c>
      <c r="G3158" s="46">
        <v>1</v>
      </c>
      <c r="H3158" s="47">
        <v>21</v>
      </c>
      <c r="I3158" s="47" t="s">
        <v>101</v>
      </c>
      <c r="J3158" s="48">
        <v>2</v>
      </c>
      <c r="K3158" s="48">
        <v>3</v>
      </c>
      <c r="R3158" s="46">
        <f t="shared" si="302"/>
        <v>0</v>
      </c>
      <c r="S3158" s="46">
        <f t="shared" si="303"/>
        <v>1</v>
      </c>
      <c r="T3158" s="46">
        <f t="shared" si="306"/>
        <v>20</v>
      </c>
      <c r="U3158" s="46">
        <f t="shared" si="304"/>
        <v>20</v>
      </c>
      <c r="V3158" s="54">
        <f t="shared" si="305"/>
        <v>45.5</v>
      </c>
    </row>
    <row r="3159" spans="1:22" x14ac:dyDescent="0.2">
      <c r="A3159" s="46" t="s">
        <v>134</v>
      </c>
      <c r="B3159" s="46" t="s">
        <v>117</v>
      </c>
      <c r="C3159" s="46" t="s">
        <v>54</v>
      </c>
      <c r="D3159" s="46" t="s">
        <v>178</v>
      </c>
      <c r="E3159" s="46">
        <v>2</v>
      </c>
      <c r="F3159" s="46" t="s">
        <v>60</v>
      </c>
      <c r="G3159" s="46">
        <v>2</v>
      </c>
      <c r="H3159" s="47">
        <v>50</v>
      </c>
      <c r="I3159" s="47" t="s">
        <v>127</v>
      </c>
      <c r="J3159" s="48">
        <v>2</v>
      </c>
      <c r="K3159" s="48">
        <v>3</v>
      </c>
      <c r="R3159" s="46">
        <f t="shared" si="302"/>
        <v>0</v>
      </c>
      <c r="S3159" s="46">
        <f t="shared" si="303"/>
        <v>1</v>
      </c>
      <c r="T3159" s="46">
        <f t="shared" si="306"/>
        <v>20</v>
      </c>
      <c r="U3159" s="46">
        <f t="shared" si="304"/>
        <v>20</v>
      </c>
      <c r="V3159" s="54">
        <f t="shared" si="305"/>
        <v>45.5</v>
      </c>
    </row>
    <row r="3160" spans="1:22" x14ac:dyDescent="0.2">
      <c r="A3160" s="46" t="s">
        <v>134</v>
      </c>
      <c r="B3160" s="46" t="s">
        <v>117</v>
      </c>
      <c r="C3160" s="46" t="s">
        <v>54</v>
      </c>
      <c r="D3160" s="46" t="s">
        <v>178</v>
      </c>
      <c r="E3160" s="46">
        <v>1</v>
      </c>
      <c r="F3160" s="46" t="s">
        <v>61</v>
      </c>
      <c r="G3160" s="46">
        <v>1</v>
      </c>
      <c r="H3160" s="47" t="s">
        <v>67</v>
      </c>
      <c r="I3160" s="47" t="s">
        <v>101</v>
      </c>
      <c r="J3160" s="48">
        <v>1</v>
      </c>
      <c r="K3160" s="48">
        <v>1</v>
      </c>
      <c r="R3160" s="46">
        <f t="shared" si="302"/>
        <v>0</v>
      </c>
      <c r="S3160" s="46">
        <f t="shared" si="303"/>
        <v>0</v>
      </c>
      <c r="T3160" s="46">
        <f t="shared" si="306"/>
        <v>20</v>
      </c>
      <c r="U3160" s="46">
        <f t="shared" si="304"/>
        <v>20</v>
      </c>
      <c r="V3160" s="54">
        <f t="shared" si="305"/>
        <v>45.5</v>
      </c>
    </row>
    <row r="3161" spans="1:22" x14ac:dyDescent="0.2">
      <c r="A3161" s="46" t="s">
        <v>134</v>
      </c>
      <c r="B3161" s="46" t="s">
        <v>117</v>
      </c>
      <c r="C3161" s="46" t="s">
        <v>54</v>
      </c>
      <c r="D3161" s="46" t="s">
        <v>178</v>
      </c>
      <c r="E3161" s="46">
        <v>1</v>
      </c>
      <c r="F3161" s="46" t="s">
        <v>61</v>
      </c>
      <c r="G3161" s="46">
        <v>2</v>
      </c>
      <c r="H3161" s="47" t="s">
        <v>76</v>
      </c>
      <c r="I3161" s="47" t="s">
        <v>127</v>
      </c>
      <c r="J3161" s="48">
        <v>1</v>
      </c>
      <c r="K3161" s="48">
        <v>0</v>
      </c>
      <c r="O3161" s="48">
        <v>1</v>
      </c>
      <c r="R3161" s="46">
        <f t="shared" si="302"/>
        <v>0</v>
      </c>
      <c r="S3161" s="46">
        <f t="shared" si="303"/>
        <v>0</v>
      </c>
      <c r="T3161" s="46">
        <f t="shared" si="306"/>
        <v>20</v>
      </c>
      <c r="U3161" s="46">
        <f t="shared" si="304"/>
        <v>30</v>
      </c>
      <c r="V3161" s="54">
        <f t="shared" si="305"/>
        <v>45.5</v>
      </c>
    </row>
    <row r="3162" spans="1:22" x14ac:dyDescent="0.2">
      <c r="A3162" s="46" t="s">
        <v>134</v>
      </c>
      <c r="B3162" s="46" t="s">
        <v>117</v>
      </c>
      <c r="C3162" s="46" t="s">
        <v>54</v>
      </c>
      <c r="D3162" s="46" t="s">
        <v>178</v>
      </c>
      <c r="E3162" s="46">
        <v>1</v>
      </c>
      <c r="F3162" s="46" t="s">
        <v>60</v>
      </c>
      <c r="G3162" s="46">
        <v>3</v>
      </c>
      <c r="H3162" s="47">
        <v>15</v>
      </c>
      <c r="I3162" s="47" t="s">
        <v>116</v>
      </c>
      <c r="J3162" s="48">
        <v>2</v>
      </c>
      <c r="K3162" s="48">
        <v>2</v>
      </c>
      <c r="R3162" s="46">
        <f t="shared" si="302"/>
        <v>0</v>
      </c>
      <c r="S3162" s="46">
        <f t="shared" si="303"/>
        <v>0</v>
      </c>
      <c r="T3162" s="46">
        <f t="shared" si="306"/>
        <v>30</v>
      </c>
      <c r="U3162" s="46">
        <f t="shared" si="304"/>
        <v>30</v>
      </c>
      <c r="V3162" s="54">
        <f t="shared" si="305"/>
        <v>45.5</v>
      </c>
    </row>
    <row r="3163" spans="1:22" x14ac:dyDescent="0.2">
      <c r="A3163" s="46" t="s">
        <v>134</v>
      </c>
      <c r="B3163" s="46" t="s">
        <v>117</v>
      </c>
      <c r="C3163" s="46" t="s">
        <v>54</v>
      </c>
      <c r="D3163" s="46" t="s">
        <v>178</v>
      </c>
      <c r="E3163" s="46">
        <v>1</v>
      </c>
      <c r="F3163" s="46" t="s">
        <v>60</v>
      </c>
      <c r="G3163" s="46">
        <v>2</v>
      </c>
      <c r="H3163" s="47">
        <v>22</v>
      </c>
      <c r="I3163" s="47" t="s">
        <v>127</v>
      </c>
      <c r="J3163" s="48">
        <v>3</v>
      </c>
      <c r="K3163" s="48">
        <v>3</v>
      </c>
      <c r="L3163" s="48">
        <v>1</v>
      </c>
      <c r="R3163" s="46">
        <f t="shared" si="302"/>
        <v>0</v>
      </c>
      <c r="S3163" s="46">
        <f t="shared" si="303"/>
        <v>1</v>
      </c>
      <c r="T3163" s="46">
        <f t="shared" si="306"/>
        <v>40</v>
      </c>
      <c r="U3163" s="46">
        <f t="shared" si="304"/>
        <v>35</v>
      </c>
      <c r="V3163" s="54">
        <f t="shared" si="305"/>
        <v>45.5</v>
      </c>
    </row>
    <row r="3164" spans="1:22" x14ac:dyDescent="0.2">
      <c r="A3164" s="46" t="s">
        <v>134</v>
      </c>
      <c r="B3164" s="46" t="s">
        <v>117</v>
      </c>
      <c r="C3164" s="46" t="s">
        <v>54</v>
      </c>
      <c r="D3164" s="46" t="s">
        <v>178</v>
      </c>
      <c r="E3164" s="46">
        <v>4</v>
      </c>
      <c r="F3164" s="46" t="s">
        <v>60</v>
      </c>
      <c r="G3164" s="46">
        <v>3</v>
      </c>
      <c r="H3164" s="47">
        <v>35</v>
      </c>
      <c r="I3164" s="47" t="s">
        <v>159</v>
      </c>
      <c r="J3164" s="48">
        <v>2</v>
      </c>
      <c r="K3164" s="48">
        <v>1</v>
      </c>
      <c r="R3164" s="46">
        <f t="shared" si="302"/>
        <v>0</v>
      </c>
      <c r="S3164" s="46">
        <f t="shared" si="303"/>
        <v>0</v>
      </c>
      <c r="T3164" s="46">
        <f t="shared" si="306"/>
        <v>40</v>
      </c>
      <c r="U3164" s="46">
        <f t="shared" si="304"/>
        <v>40</v>
      </c>
      <c r="V3164" s="54">
        <f t="shared" si="305"/>
        <v>45.5</v>
      </c>
    </row>
    <row r="3165" spans="1:22" x14ac:dyDescent="0.2">
      <c r="A3165" s="46" t="s">
        <v>134</v>
      </c>
      <c r="B3165" s="46" t="s">
        <v>117</v>
      </c>
      <c r="C3165" s="46" t="s">
        <v>54</v>
      </c>
      <c r="D3165" s="46" t="s">
        <v>178</v>
      </c>
      <c r="E3165" s="46">
        <v>2</v>
      </c>
      <c r="F3165" s="46" t="s">
        <v>60</v>
      </c>
      <c r="G3165" s="46">
        <v>4</v>
      </c>
      <c r="H3165" s="47">
        <v>36</v>
      </c>
      <c r="I3165" s="47" t="s">
        <v>102</v>
      </c>
      <c r="J3165" s="48">
        <v>3</v>
      </c>
      <c r="K3165" s="48">
        <v>3</v>
      </c>
      <c r="R3165" s="46">
        <f t="shared" si="302"/>
        <v>0</v>
      </c>
      <c r="S3165" s="46">
        <f t="shared" si="303"/>
        <v>1</v>
      </c>
      <c r="T3165" s="46">
        <f t="shared" si="306"/>
        <v>40</v>
      </c>
      <c r="U3165" s="46">
        <f t="shared" si="304"/>
        <v>40</v>
      </c>
      <c r="V3165" s="54">
        <f t="shared" si="305"/>
        <v>45.5</v>
      </c>
    </row>
    <row r="3166" spans="1:22" x14ac:dyDescent="0.2">
      <c r="A3166" s="46" t="s">
        <v>134</v>
      </c>
      <c r="B3166" s="46" t="s">
        <v>117</v>
      </c>
      <c r="C3166" s="46" t="s">
        <v>54</v>
      </c>
      <c r="D3166" s="46" t="s">
        <v>178</v>
      </c>
      <c r="E3166" s="46">
        <v>4</v>
      </c>
      <c r="F3166" s="46" t="s">
        <v>60</v>
      </c>
      <c r="G3166" s="46">
        <v>4</v>
      </c>
      <c r="H3166" s="47">
        <v>40</v>
      </c>
      <c r="I3166" s="47" t="s">
        <v>102</v>
      </c>
      <c r="J3166" s="48">
        <v>2</v>
      </c>
      <c r="K3166" s="48">
        <v>1</v>
      </c>
      <c r="M3166" s="48">
        <v>1</v>
      </c>
      <c r="R3166" s="46">
        <f t="shared" si="302"/>
        <v>0</v>
      </c>
      <c r="S3166" s="46">
        <f t="shared" si="303"/>
        <v>0</v>
      </c>
      <c r="T3166" s="46">
        <f t="shared" si="306"/>
        <v>40</v>
      </c>
      <c r="U3166" s="46">
        <f t="shared" si="304"/>
        <v>60</v>
      </c>
      <c r="V3166" s="54">
        <f t="shared" si="305"/>
        <v>45.5</v>
      </c>
    </row>
    <row r="3167" spans="1:22" x14ac:dyDescent="0.2">
      <c r="A3167" s="46" t="s">
        <v>134</v>
      </c>
      <c r="B3167" s="46" t="s">
        <v>117</v>
      </c>
      <c r="C3167" s="46" t="s">
        <v>54</v>
      </c>
      <c r="D3167" s="46" t="s">
        <v>178</v>
      </c>
      <c r="E3167" s="46">
        <v>2</v>
      </c>
      <c r="F3167" s="46" t="s">
        <v>61</v>
      </c>
      <c r="G3167" s="46">
        <v>1</v>
      </c>
      <c r="H3167" s="47" t="s">
        <v>68</v>
      </c>
      <c r="I3167" s="47" t="s">
        <v>101</v>
      </c>
      <c r="J3167" s="48">
        <v>2</v>
      </c>
      <c r="K3167" s="48">
        <v>1</v>
      </c>
      <c r="R3167" s="46">
        <f t="shared" si="302"/>
        <v>0</v>
      </c>
      <c r="S3167" s="46">
        <f t="shared" si="303"/>
        <v>0</v>
      </c>
      <c r="T3167" s="46">
        <f t="shared" si="306"/>
        <v>40</v>
      </c>
      <c r="U3167" s="46">
        <f t="shared" si="304"/>
        <v>40</v>
      </c>
      <c r="V3167" s="54">
        <f t="shared" si="305"/>
        <v>45.5</v>
      </c>
    </row>
    <row r="3168" spans="1:22" x14ac:dyDescent="0.2">
      <c r="A3168" s="46" t="s">
        <v>134</v>
      </c>
      <c r="B3168" s="46" t="s">
        <v>117</v>
      </c>
      <c r="C3168" s="46" t="s">
        <v>54</v>
      </c>
      <c r="D3168" s="46" t="s">
        <v>178</v>
      </c>
      <c r="E3168" s="46">
        <v>3</v>
      </c>
      <c r="F3168" s="46" t="s">
        <v>60</v>
      </c>
      <c r="G3168" s="46">
        <v>2</v>
      </c>
      <c r="H3168" s="47">
        <v>30</v>
      </c>
      <c r="I3168" s="47" t="s">
        <v>127</v>
      </c>
      <c r="J3168" s="48">
        <v>3</v>
      </c>
      <c r="K3168" s="48">
        <v>2</v>
      </c>
      <c r="O3168" s="48">
        <v>1</v>
      </c>
      <c r="R3168" s="46">
        <f t="shared" si="302"/>
        <v>0</v>
      </c>
      <c r="S3168" s="46">
        <f t="shared" si="303"/>
        <v>0</v>
      </c>
      <c r="T3168" s="46">
        <f t="shared" si="306"/>
        <v>50</v>
      </c>
      <c r="U3168" s="46">
        <f t="shared" si="304"/>
        <v>60</v>
      </c>
      <c r="V3168" s="54">
        <f t="shared" si="305"/>
        <v>45.5</v>
      </c>
    </row>
    <row r="3169" spans="1:22" x14ac:dyDescent="0.2">
      <c r="A3169" s="46" t="s">
        <v>134</v>
      </c>
      <c r="B3169" s="46" t="s">
        <v>117</v>
      </c>
      <c r="C3169" s="46" t="s">
        <v>54</v>
      </c>
      <c r="D3169" s="46" t="s">
        <v>178</v>
      </c>
      <c r="E3169" s="46">
        <v>1</v>
      </c>
      <c r="F3169" s="46" t="s">
        <v>60</v>
      </c>
      <c r="G3169" s="46">
        <v>4</v>
      </c>
      <c r="H3169" s="47">
        <v>8</v>
      </c>
      <c r="I3169" s="47" t="s">
        <v>102</v>
      </c>
      <c r="J3169" s="48">
        <v>3</v>
      </c>
      <c r="K3169" s="48">
        <v>0</v>
      </c>
      <c r="R3169" s="46">
        <f t="shared" si="302"/>
        <v>0</v>
      </c>
      <c r="S3169" s="46">
        <f t="shared" si="303"/>
        <v>0</v>
      </c>
      <c r="T3169" s="46">
        <f t="shared" si="306"/>
        <v>60</v>
      </c>
      <c r="U3169" s="46">
        <f t="shared" si="304"/>
        <v>60</v>
      </c>
      <c r="V3169" s="54">
        <f t="shared" si="305"/>
        <v>45.5</v>
      </c>
    </row>
    <row r="3170" spans="1:22" x14ac:dyDescent="0.2">
      <c r="A3170" s="46" t="s">
        <v>134</v>
      </c>
      <c r="B3170" s="46" t="s">
        <v>117</v>
      </c>
      <c r="C3170" s="46" t="s">
        <v>54</v>
      </c>
      <c r="D3170" s="46" t="s">
        <v>178</v>
      </c>
      <c r="E3170" s="46">
        <v>1</v>
      </c>
      <c r="F3170" s="46" t="s">
        <v>60</v>
      </c>
      <c r="G3170" s="46">
        <v>3</v>
      </c>
      <c r="H3170" s="47">
        <v>31</v>
      </c>
      <c r="I3170" s="47" t="s">
        <v>116</v>
      </c>
      <c r="J3170" s="48">
        <v>3</v>
      </c>
      <c r="K3170" s="48">
        <v>1</v>
      </c>
      <c r="R3170" s="46">
        <f t="shared" si="302"/>
        <v>0</v>
      </c>
      <c r="S3170" s="46">
        <f t="shared" si="303"/>
        <v>0</v>
      </c>
      <c r="T3170" s="46">
        <f t="shared" si="306"/>
        <v>60</v>
      </c>
      <c r="U3170" s="46">
        <f t="shared" si="304"/>
        <v>60</v>
      </c>
      <c r="V3170" s="54">
        <f t="shared" si="305"/>
        <v>45.5</v>
      </c>
    </row>
    <row r="3171" spans="1:22" x14ac:dyDescent="0.2">
      <c r="A3171" s="46" t="s">
        <v>134</v>
      </c>
      <c r="B3171" s="46" t="s">
        <v>117</v>
      </c>
      <c r="C3171" s="46" t="s">
        <v>54</v>
      </c>
      <c r="D3171" s="46" t="s">
        <v>178</v>
      </c>
      <c r="E3171" s="46">
        <v>4</v>
      </c>
      <c r="F3171" s="46" t="s">
        <v>60</v>
      </c>
      <c r="G3171" s="46">
        <v>2</v>
      </c>
      <c r="H3171" s="47">
        <v>46</v>
      </c>
      <c r="I3171" s="47" t="s">
        <v>127</v>
      </c>
      <c r="J3171" s="48">
        <v>3</v>
      </c>
      <c r="K3171" s="48">
        <v>1</v>
      </c>
      <c r="M3171" s="48">
        <v>1</v>
      </c>
      <c r="R3171" s="46">
        <f t="shared" si="302"/>
        <v>0</v>
      </c>
      <c r="S3171" s="46">
        <f t="shared" si="303"/>
        <v>0</v>
      </c>
      <c r="T3171" s="46">
        <f t="shared" si="306"/>
        <v>60</v>
      </c>
      <c r="U3171" s="46">
        <f t="shared" si="304"/>
        <v>80</v>
      </c>
      <c r="V3171" s="54">
        <f t="shared" si="305"/>
        <v>45.5</v>
      </c>
    </row>
    <row r="3172" spans="1:22" x14ac:dyDescent="0.2">
      <c r="A3172" s="46" t="s">
        <v>134</v>
      </c>
      <c r="B3172" s="46" t="s">
        <v>117</v>
      </c>
      <c r="C3172" s="46" t="s">
        <v>54</v>
      </c>
      <c r="D3172" s="46" t="s">
        <v>178</v>
      </c>
      <c r="E3172" s="46">
        <v>2</v>
      </c>
      <c r="F3172" s="46" t="s">
        <v>61</v>
      </c>
      <c r="G3172" s="46">
        <v>1</v>
      </c>
      <c r="H3172" s="47" t="s">
        <v>74</v>
      </c>
      <c r="I3172" s="47" t="s">
        <v>101</v>
      </c>
      <c r="J3172" s="48">
        <v>3</v>
      </c>
      <c r="K3172" s="48">
        <v>1</v>
      </c>
      <c r="M3172" s="48">
        <v>1</v>
      </c>
      <c r="R3172" s="46">
        <f t="shared" si="302"/>
        <v>0</v>
      </c>
      <c r="S3172" s="46">
        <f t="shared" si="303"/>
        <v>0</v>
      </c>
      <c r="T3172" s="46">
        <f t="shared" si="306"/>
        <v>60</v>
      </c>
      <c r="U3172" s="46">
        <f t="shared" si="304"/>
        <v>80</v>
      </c>
      <c r="V3172" s="54">
        <f t="shared" si="305"/>
        <v>45.5</v>
      </c>
    </row>
    <row r="3173" spans="1:22" x14ac:dyDescent="0.2">
      <c r="A3173" s="46" t="s">
        <v>134</v>
      </c>
      <c r="B3173" s="46" t="s">
        <v>117</v>
      </c>
      <c r="C3173" s="46" t="s">
        <v>54</v>
      </c>
      <c r="D3173" s="46" t="s">
        <v>178</v>
      </c>
      <c r="E3173" s="46">
        <v>3</v>
      </c>
      <c r="F3173" s="46" t="s">
        <v>60</v>
      </c>
      <c r="G3173" s="46">
        <v>3</v>
      </c>
      <c r="H3173" s="47">
        <v>43</v>
      </c>
      <c r="I3173" s="47" t="s">
        <v>116</v>
      </c>
      <c r="J3173" s="48">
        <v>4</v>
      </c>
      <c r="K3173" s="48">
        <v>2</v>
      </c>
      <c r="R3173" s="46">
        <f t="shared" si="302"/>
        <v>1</v>
      </c>
      <c r="S3173" s="46">
        <f t="shared" si="303"/>
        <v>0</v>
      </c>
      <c r="T3173" s="46">
        <f t="shared" si="306"/>
        <v>70</v>
      </c>
      <c r="U3173" s="46">
        <f t="shared" si="304"/>
        <v>70</v>
      </c>
      <c r="V3173" s="54">
        <f t="shared" si="305"/>
        <v>45.5</v>
      </c>
    </row>
    <row r="3174" spans="1:22" x14ac:dyDescent="0.2">
      <c r="A3174" s="46" t="s">
        <v>134</v>
      </c>
      <c r="B3174" s="46" t="s">
        <v>117</v>
      </c>
      <c r="C3174" s="46" t="s">
        <v>54</v>
      </c>
      <c r="D3174" s="46" t="s">
        <v>178</v>
      </c>
      <c r="E3174" s="46">
        <v>3</v>
      </c>
      <c r="F3174" s="46" t="s">
        <v>60</v>
      </c>
      <c r="G3174" s="46">
        <v>4</v>
      </c>
      <c r="H3174" s="47">
        <v>8</v>
      </c>
      <c r="I3174" s="47" t="s">
        <v>102</v>
      </c>
      <c r="J3174" s="48">
        <v>4</v>
      </c>
      <c r="K3174" s="48">
        <v>1</v>
      </c>
      <c r="R3174" s="46">
        <f t="shared" si="302"/>
        <v>1</v>
      </c>
      <c r="S3174" s="46">
        <f t="shared" si="303"/>
        <v>0</v>
      </c>
      <c r="T3174" s="46">
        <f t="shared" si="306"/>
        <v>80</v>
      </c>
      <c r="U3174" s="46">
        <f t="shared" si="304"/>
        <v>80</v>
      </c>
      <c r="V3174" s="54">
        <f t="shared" si="305"/>
        <v>45.5</v>
      </c>
    </row>
    <row r="3175" spans="1:22" x14ac:dyDescent="0.2">
      <c r="A3175" s="46" t="s">
        <v>134</v>
      </c>
      <c r="B3175" s="46" t="s">
        <v>117</v>
      </c>
      <c r="C3175" s="46" t="s">
        <v>54</v>
      </c>
      <c r="D3175" s="46" t="s">
        <v>178</v>
      </c>
      <c r="E3175" s="46">
        <v>2</v>
      </c>
      <c r="F3175" s="46" t="s">
        <v>60</v>
      </c>
      <c r="G3175" s="46">
        <v>4</v>
      </c>
      <c r="H3175" s="47">
        <v>16</v>
      </c>
      <c r="I3175" s="47" t="s">
        <v>102</v>
      </c>
      <c r="J3175" s="48">
        <v>4</v>
      </c>
      <c r="K3175" s="48">
        <v>1</v>
      </c>
      <c r="M3175" s="48">
        <v>1</v>
      </c>
      <c r="R3175" s="46">
        <f t="shared" si="302"/>
        <v>1</v>
      </c>
      <c r="S3175" s="46">
        <f t="shared" si="303"/>
        <v>0</v>
      </c>
      <c r="T3175" s="46">
        <f t="shared" si="306"/>
        <v>80</v>
      </c>
      <c r="U3175" s="46">
        <f t="shared" si="304"/>
        <v>100</v>
      </c>
      <c r="V3175" s="54">
        <f t="shared" si="305"/>
        <v>45.5</v>
      </c>
    </row>
    <row r="3176" spans="1:22" x14ac:dyDescent="0.2">
      <c r="A3176" s="46" t="s">
        <v>134</v>
      </c>
      <c r="B3176" s="46" t="s">
        <v>117</v>
      </c>
      <c r="C3176" s="46" t="s">
        <v>54</v>
      </c>
      <c r="D3176" s="46" t="s">
        <v>178</v>
      </c>
      <c r="E3176" s="46">
        <v>2</v>
      </c>
      <c r="F3176" s="46" t="s">
        <v>60</v>
      </c>
      <c r="G3176" s="46">
        <v>1</v>
      </c>
      <c r="H3176" s="47">
        <v>41</v>
      </c>
      <c r="I3176" s="47" t="s">
        <v>101</v>
      </c>
      <c r="J3176" s="48">
        <v>4</v>
      </c>
      <c r="K3176" s="48">
        <v>1</v>
      </c>
      <c r="O3176" s="48">
        <v>1</v>
      </c>
      <c r="R3176" s="46">
        <f t="shared" si="302"/>
        <v>1</v>
      </c>
      <c r="S3176" s="46">
        <f t="shared" si="303"/>
        <v>0</v>
      </c>
      <c r="T3176" s="46">
        <f t="shared" si="306"/>
        <v>80</v>
      </c>
      <c r="U3176" s="46">
        <f t="shared" si="304"/>
        <v>90</v>
      </c>
      <c r="V3176" s="54">
        <f t="shared" si="305"/>
        <v>45.5</v>
      </c>
    </row>
    <row r="3177" spans="1:22" x14ac:dyDescent="0.2">
      <c r="A3177" s="46" t="s">
        <v>134</v>
      </c>
      <c r="B3177" s="46" t="s">
        <v>117</v>
      </c>
      <c r="C3177" s="46" t="s">
        <v>54</v>
      </c>
      <c r="D3177" s="46" t="s">
        <v>178</v>
      </c>
      <c r="E3177" s="46">
        <v>1</v>
      </c>
      <c r="F3177" s="46" t="s">
        <v>60</v>
      </c>
      <c r="G3177" s="46">
        <v>1</v>
      </c>
      <c r="H3177" s="47">
        <v>45</v>
      </c>
      <c r="I3177" s="47" t="s">
        <v>101</v>
      </c>
      <c r="J3177" s="48">
        <v>4</v>
      </c>
      <c r="K3177" s="48">
        <v>1</v>
      </c>
      <c r="O3177" s="48">
        <v>1</v>
      </c>
      <c r="R3177" s="46">
        <f t="shared" si="302"/>
        <v>1</v>
      </c>
      <c r="S3177" s="46">
        <f t="shared" si="303"/>
        <v>0</v>
      </c>
      <c r="T3177" s="46">
        <f t="shared" ref="T3177:T3208" si="307">quizscore(J3177,K3177)</f>
        <v>80</v>
      </c>
      <c r="U3177" s="46">
        <f t="shared" si="304"/>
        <v>90</v>
      </c>
      <c r="V3177" s="54">
        <f t="shared" si="305"/>
        <v>45.5</v>
      </c>
    </row>
    <row r="3178" spans="1:22" x14ac:dyDescent="0.2">
      <c r="A3178" s="46" t="s">
        <v>134</v>
      </c>
      <c r="B3178" s="46" t="s">
        <v>117</v>
      </c>
      <c r="C3178" s="46" t="s">
        <v>54</v>
      </c>
      <c r="D3178" s="46" t="s">
        <v>178</v>
      </c>
      <c r="E3178" s="46">
        <v>2</v>
      </c>
      <c r="F3178" s="46" t="s">
        <v>60</v>
      </c>
      <c r="G3178" s="46">
        <v>1</v>
      </c>
      <c r="H3178" s="47">
        <v>25</v>
      </c>
      <c r="I3178" s="47" t="s">
        <v>101</v>
      </c>
      <c r="J3178" s="48">
        <v>4</v>
      </c>
      <c r="K3178" s="48">
        <v>0</v>
      </c>
      <c r="R3178" s="46">
        <f t="shared" si="302"/>
        <v>1</v>
      </c>
      <c r="S3178" s="46">
        <f t="shared" si="303"/>
        <v>0</v>
      </c>
      <c r="T3178" s="46">
        <f t="shared" si="307"/>
        <v>90</v>
      </c>
      <c r="U3178" s="46">
        <f t="shared" si="304"/>
        <v>90</v>
      </c>
      <c r="V3178" s="54">
        <f t="shared" si="305"/>
        <v>45.5</v>
      </c>
    </row>
    <row r="3179" spans="1:22" x14ac:dyDescent="0.2">
      <c r="A3179" s="46" t="s">
        <v>134</v>
      </c>
      <c r="B3179" s="46" t="s">
        <v>117</v>
      </c>
      <c r="C3179" s="46" t="s">
        <v>54</v>
      </c>
      <c r="D3179" s="46" t="s">
        <v>178</v>
      </c>
      <c r="E3179" s="46">
        <v>5</v>
      </c>
      <c r="F3179" s="46" t="s">
        <v>60</v>
      </c>
      <c r="G3179" s="46">
        <v>3</v>
      </c>
      <c r="H3179" s="47">
        <v>3</v>
      </c>
      <c r="I3179" s="47" t="s">
        <v>159</v>
      </c>
      <c r="J3179" s="48">
        <v>4</v>
      </c>
      <c r="K3179" s="48">
        <v>0</v>
      </c>
      <c r="N3179" s="48">
        <v>1</v>
      </c>
      <c r="R3179" s="46">
        <f t="shared" si="302"/>
        <v>1</v>
      </c>
      <c r="S3179" s="46">
        <f t="shared" si="303"/>
        <v>0</v>
      </c>
      <c r="T3179" s="46">
        <f t="shared" si="307"/>
        <v>90</v>
      </c>
      <c r="U3179" s="46">
        <f t="shared" si="304"/>
        <v>85</v>
      </c>
      <c r="V3179" s="54">
        <f t="shared" si="305"/>
        <v>45.5</v>
      </c>
    </row>
    <row r="3180" spans="1:22" x14ac:dyDescent="0.2">
      <c r="A3180" s="46" t="s">
        <v>134</v>
      </c>
      <c r="B3180" s="46" t="s">
        <v>117</v>
      </c>
      <c r="C3180" s="46" t="s">
        <v>54</v>
      </c>
      <c r="D3180" s="46" t="s">
        <v>178</v>
      </c>
      <c r="E3180" s="46">
        <v>5</v>
      </c>
      <c r="F3180" s="46" t="s">
        <v>60</v>
      </c>
      <c r="G3180" s="46">
        <v>2</v>
      </c>
      <c r="H3180" s="47">
        <v>10</v>
      </c>
      <c r="I3180" s="47" t="s">
        <v>127</v>
      </c>
      <c r="J3180" s="48">
        <v>0</v>
      </c>
      <c r="K3180" s="48">
        <v>3</v>
      </c>
      <c r="R3180" s="46">
        <f t="shared" si="302"/>
        <v>0</v>
      </c>
      <c r="S3180" s="46">
        <f t="shared" si="303"/>
        <v>1</v>
      </c>
      <c r="T3180" s="46">
        <f t="shared" si="307"/>
        <v>-20</v>
      </c>
      <c r="U3180" s="46">
        <f t="shared" si="304"/>
        <v>-20</v>
      </c>
      <c r="V3180" s="54">
        <f t="shared" si="305"/>
        <v>45.5</v>
      </c>
    </row>
    <row r="3181" spans="1:22" x14ac:dyDescent="0.2">
      <c r="A3181" s="46" t="s">
        <v>134</v>
      </c>
      <c r="B3181" s="46" t="s">
        <v>117</v>
      </c>
      <c r="C3181" s="46" t="s">
        <v>54</v>
      </c>
      <c r="D3181" s="46" t="s">
        <v>178</v>
      </c>
      <c r="E3181" s="46">
        <v>5</v>
      </c>
      <c r="F3181" s="46" t="s">
        <v>60</v>
      </c>
      <c r="G3181" s="46">
        <v>1</v>
      </c>
      <c r="H3181" s="47">
        <v>21</v>
      </c>
      <c r="I3181" s="47" t="s">
        <v>101</v>
      </c>
      <c r="J3181" s="48">
        <v>4</v>
      </c>
      <c r="K3181" s="48">
        <v>0</v>
      </c>
      <c r="N3181" s="48">
        <v>1</v>
      </c>
      <c r="R3181" s="46">
        <f t="shared" si="302"/>
        <v>1</v>
      </c>
      <c r="S3181" s="46">
        <f t="shared" si="303"/>
        <v>0</v>
      </c>
      <c r="T3181" s="46">
        <f t="shared" si="307"/>
        <v>90</v>
      </c>
      <c r="U3181" s="46">
        <f t="shared" si="304"/>
        <v>85</v>
      </c>
      <c r="V3181" s="54">
        <f t="shared" si="305"/>
        <v>45.5</v>
      </c>
    </row>
    <row r="3182" spans="1:22" x14ac:dyDescent="0.2">
      <c r="A3182" s="46" t="s">
        <v>134</v>
      </c>
      <c r="B3182" s="46" t="s">
        <v>117</v>
      </c>
      <c r="C3182" s="46" t="s">
        <v>54</v>
      </c>
      <c r="D3182" s="46" t="s">
        <v>178</v>
      </c>
      <c r="E3182" s="46">
        <v>5</v>
      </c>
      <c r="F3182" s="46" t="s">
        <v>60</v>
      </c>
      <c r="G3182" s="46">
        <v>1</v>
      </c>
      <c r="H3182" s="47">
        <v>29</v>
      </c>
      <c r="I3182" s="47" t="s">
        <v>101</v>
      </c>
      <c r="J3182" s="48">
        <v>4</v>
      </c>
      <c r="K3182" s="48">
        <v>0</v>
      </c>
      <c r="R3182" s="46">
        <f t="shared" si="302"/>
        <v>1</v>
      </c>
      <c r="S3182" s="46">
        <f t="shared" si="303"/>
        <v>0</v>
      </c>
      <c r="T3182" s="46">
        <f t="shared" si="307"/>
        <v>90</v>
      </c>
      <c r="U3182" s="46">
        <f t="shared" si="304"/>
        <v>90</v>
      </c>
      <c r="V3182" s="54">
        <f t="shared" si="305"/>
        <v>45.5</v>
      </c>
    </row>
    <row r="3183" spans="1:22" x14ac:dyDescent="0.2">
      <c r="A3183" s="46" t="s">
        <v>134</v>
      </c>
      <c r="B3183" s="46" t="s">
        <v>117</v>
      </c>
      <c r="C3183" s="46" t="s">
        <v>54</v>
      </c>
      <c r="D3183" s="46" t="s">
        <v>178</v>
      </c>
      <c r="E3183" s="46">
        <v>5</v>
      </c>
      <c r="F3183" s="46" t="s">
        <v>60</v>
      </c>
      <c r="G3183" s="46">
        <v>4</v>
      </c>
      <c r="H3183" s="47">
        <v>36</v>
      </c>
      <c r="I3183" s="47" t="s">
        <v>102</v>
      </c>
      <c r="J3183" s="48">
        <v>0</v>
      </c>
      <c r="K3183" s="48">
        <v>2</v>
      </c>
      <c r="R3183" s="46">
        <f t="shared" si="302"/>
        <v>0</v>
      </c>
      <c r="S3183" s="46">
        <f t="shared" si="303"/>
        <v>0</v>
      </c>
      <c r="T3183" s="46">
        <f t="shared" si="307"/>
        <v>-10</v>
      </c>
      <c r="U3183" s="46">
        <f t="shared" si="304"/>
        <v>-10</v>
      </c>
      <c r="V3183" s="54">
        <f t="shared" si="305"/>
        <v>45.5</v>
      </c>
    </row>
    <row r="3184" spans="1:22" x14ac:dyDescent="0.2">
      <c r="A3184" s="46" t="s">
        <v>134</v>
      </c>
      <c r="B3184" s="46" t="s">
        <v>117</v>
      </c>
      <c r="C3184" s="46" t="s">
        <v>54</v>
      </c>
      <c r="D3184" s="46" t="s">
        <v>178</v>
      </c>
      <c r="E3184" s="46">
        <v>5</v>
      </c>
      <c r="F3184" s="46" t="s">
        <v>60</v>
      </c>
      <c r="G3184" s="46">
        <v>3</v>
      </c>
      <c r="H3184" s="47">
        <v>47</v>
      </c>
      <c r="I3184" s="47" t="s">
        <v>159</v>
      </c>
      <c r="J3184" s="48">
        <v>4</v>
      </c>
      <c r="K3184" s="48">
        <v>2</v>
      </c>
      <c r="R3184" s="46">
        <f t="shared" si="302"/>
        <v>1</v>
      </c>
      <c r="S3184" s="46">
        <f t="shared" si="303"/>
        <v>0</v>
      </c>
      <c r="T3184" s="46">
        <f t="shared" si="307"/>
        <v>70</v>
      </c>
      <c r="U3184" s="46">
        <f t="shared" si="304"/>
        <v>70</v>
      </c>
      <c r="V3184" s="54">
        <f t="shared" si="305"/>
        <v>45.5</v>
      </c>
    </row>
    <row r="3185" spans="1:22" x14ac:dyDescent="0.2">
      <c r="A3185" s="46" t="s">
        <v>134</v>
      </c>
      <c r="B3185" s="46" t="s">
        <v>117</v>
      </c>
      <c r="C3185" s="46" t="s">
        <v>54</v>
      </c>
      <c r="D3185" s="46" t="s">
        <v>178</v>
      </c>
      <c r="E3185" s="46">
        <v>5</v>
      </c>
      <c r="F3185" s="46" t="s">
        <v>61</v>
      </c>
      <c r="G3185" s="46">
        <v>1</v>
      </c>
      <c r="H3185" s="47" t="s">
        <v>67</v>
      </c>
      <c r="I3185" s="47" t="s">
        <v>101</v>
      </c>
      <c r="J3185" s="48">
        <v>4</v>
      </c>
      <c r="K3185" s="48">
        <v>1</v>
      </c>
      <c r="R3185" s="46">
        <f t="shared" si="302"/>
        <v>1</v>
      </c>
      <c r="S3185" s="46">
        <f t="shared" si="303"/>
        <v>0</v>
      </c>
      <c r="T3185" s="46">
        <f t="shared" si="307"/>
        <v>80</v>
      </c>
      <c r="U3185" s="46">
        <f t="shared" si="304"/>
        <v>80</v>
      </c>
      <c r="V3185" s="54">
        <f t="shared" si="305"/>
        <v>45.5</v>
      </c>
    </row>
    <row r="3186" spans="1:22" x14ac:dyDescent="0.2">
      <c r="A3186" s="46" t="s">
        <v>134</v>
      </c>
      <c r="B3186" s="46" t="s">
        <v>117</v>
      </c>
      <c r="C3186" s="46" t="s">
        <v>54</v>
      </c>
      <c r="D3186" s="46" t="s">
        <v>178</v>
      </c>
      <c r="E3186" s="46">
        <v>5</v>
      </c>
      <c r="F3186" s="46" t="s">
        <v>61</v>
      </c>
      <c r="G3186" s="46">
        <v>1</v>
      </c>
      <c r="H3186" s="47" t="s">
        <v>68</v>
      </c>
      <c r="I3186" s="47" t="s">
        <v>101</v>
      </c>
      <c r="J3186" s="48">
        <v>0</v>
      </c>
      <c r="K3186" s="48">
        <v>2</v>
      </c>
      <c r="R3186" s="46">
        <f t="shared" si="302"/>
        <v>0</v>
      </c>
      <c r="S3186" s="46">
        <f t="shared" si="303"/>
        <v>0</v>
      </c>
      <c r="T3186" s="46">
        <f t="shared" si="307"/>
        <v>-10</v>
      </c>
      <c r="U3186" s="46">
        <f t="shared" si="304"/>
        <v>-10</v>
      </c>
      <c r="V3186" s="54">
        <f t="shared" si="305"/>
        <v>45.5</v>
      </c>
    </row>
    <row r="3187" spans="1:22" x14ac:dyDescent="0.2">
      <c r="A3187" s="46" t="s">
        <v>134</v>
      </c>
      <c r="B3187" s="46" t="s">
        <v>117</v>
      </c>
      <c r="C3187" s="46" t="s">
        <v>54</v>
      </c>
      <c r="D3187" s="46" t="s">
        <v>178</v>
      </c>
      <c r="E3187" s="46">
        <v>5</v>
      </c>
      <c r="F3187" s="46" t="s">
        <v>61</v>
      </c>
      <c r="G3187" s="46">
        <v>2</v>
      </c>
      <c r="H3187" s="47" t="s">
        <v>66</v>
      </c>
      <c r="I3187" s="47" t="s">
        <v>127</v>
      </c>
      <c r="J3187" s="48">
        <v>0</v>
      </c>
      <c r="K3187" s="48">
        <v>3</v>
      </c>
      <c r="R3187" s="46">
        <f t="shared" si="302"/>
        <v>0</v>
      </c>
      <c r="S3187" s="46">
        <f t="shared" si="303"/>
        <v>1</v>
      </c>
      <c r="T3187" s="46">
        <f t="shared" si="307"/>
        <v>-20</v>
      </c>
      <c r="U3187" s="46">
        <f t="shared" si="304"/>
        <v>-20</v>
      </c>
      <c r="V3187" s="54">
        <f t="shared" si="305"/>
        <v>45.5</v>
      </c>
    </row>
    <row r="3188" spans="1:22" x14ac:dyDescent="0.2">
      <c r="A3188" s="46" t="s">
        <v>183</v>
      </c>
      <c r="B3188" s="46" t="s">
        <v>115</v>
      </c>
      <c r="C3188" s="46" t="s">
        <v>93</v>
      </c>
      <c r="D3188" s="46" t="s">
        <v>178</v>
      </c>
      <c r="E3188" s="46">
        <v>2</v>
      </c>
      <c r="F3188" s="46" t="s">
        <v>60</v>
      </c>
      <c r="G3188" s="46">
        <v>3</v>
      </c>
      <c r="H3188" s="47">
        <v>15</v>
      </c>
      <c r="I3188" s="47" t="s">
        <v>116</v>
      </c>
      <c r="J3188" s="48">
        <v>0</v>
      </c>
      <c r="K3188" s="48">
        <v>3</v>
      </c>
      <c r="R3188" s="46">
        <f t="shared" si="302"/>
        <v>0</v>
      </c>
      <c r="S3188" s="46">
        <f t="shared" si="303"/>
        <v>1</v>
      </c>
      <c r="T3188" s="46">
        <f t="shared" si="307"/>
        <v>-20</v>
      </c>
      <c r="U3188" s="46">
        <f t="shared" si="304"/>
        <v>-20</v>
      </c>
      <c r="V3188" s="54">
        <f t="shared" si="305"/>
        <v>24.310344827586206</v>
      </c>
    </row>
    <row r="3189" spans="1:22" x14ac:dyDescent="0.2">
      <c r="A3189" s="46" t="s">
        <v>183</v>
      </c>
      <c r="B3189" s="46" t="s">
        <v>115</v>
      </c>
      <c r="C3189" s="46" t="s">
        <v>93</v>
      </c>
      <c r="D3189" s="46" t="s">
        <v>178</v>
      </c>
      <c r="E3189" s="46">
        <v>4</v>
      </c>
      <c r="F3189" s="46" t="s">
        <v>60</v>
      </c>
      <c r="G3189" s="46">
        <v>3</v>
      </c>
      <c r="H3189" s="47">
        <v>7</v>
      </c>
      <c r="I3189" s="47" t="s">
        <v>159</v>
      </c>
      <c r="J3189" s="48">
        <v>0</v>
      </c>
      <c r="K3189" s="48">
        <v>0</v>
      </c>
      <c r="R3189" s="46">
        <f t="shared" si="302"/>
        <v>0</v>
      </c>
      <c r="S3189" s="46">
        <f t="shared" si="303"/>
        <v>0</v>
      </c>
      <c r="T3189" s="46">
        <f t="shared" si="307"/>
        <v>0</v>
      </c>
      <c r="U3189" s="46">
        <f t="shared" si="304"/>
        <v>0</v>
      </c>
      <c r="V3189" s="54">
        <f t="shared" si="305"/>
        <v>24.310344827586206</v>
      </c>
    </row>
    <row r="3190" spans="1:22" x14ac:dyDescent="0.2">
      <c r="A3190" s="46" t="s">
        <v>183</v>
      </c>
      <c r="B3190" s="46" t="s">
        <v>49</v>
      </c>
      <c r="C3190" s="46" t="s">
        <v>93</v>
      </c>
      <c r="D3190" s="46" t="s">
        <v>178</v>
      </c>
      <c r="E3190" s="46">
        <v>1</v>
      </c>
      <c r="F3190" s="46" t="s">
        <v>60</v>
      </c>
      <c r="G3190" s="46">
        <v>1</v>
      </c>
      <c r="H3190" s="47">
        <v>9</v>
      </c>
      <c r="I3190" s="47" t="s">
        <v>101</v>
      </c>
      <c r="J3190" s="48">
        <v>0</v>
      </c>
      <c r="K3190" s="48">
        <v>0</v>
      </c>
      <c r="R3190" s="46">
        <f t="shared" si="302"/>
        <v>0</v>
      </c>
      <c r="S3190" s="46">
        <f t="shared" si="303"/>
        <v>0</v>
      </c>
      <c r="T3190" s="46">
        <f t="shared" si="307"/>
        <v>0</v>
      </c>
      <c r="U3190" s="46">
        <f t="shared" si="304"/>
        <v>0</v>
      </c>
      <c r="V3190" s="54">
        <f t="shared" si="305"/>
        <v>24.310344827586206</v>
      </c>
    </row>
    <row r="3191" spans="1:22" x14ac:dyDescent="0.2">
      <c r="A3191" s="46" t="s">
        <v>183</v>
      </c>
      <c r="B3191" s="46" t="s">
        <v>49</v>
      </c>
      <c r="C3191" s="46" t="s">
        <v>93</v>
      </c>
      <c r="D3191" s="46" t="s">
        <v>178</v>
      </c>
      <c r="E3191" s="46">
        <v>1</v>
      </c>
      <c r="F3191" s="46" t="s">
        <v>60</v>
      </c>
      <c r="G3191" s="46">
        <v>3</v>
      </c>
      <c r="H3191" s="47">
        <v>19</v>
      </c>
      <c r="I3191" s="47" t="s">
        <v>116</v>
      </c>
      <c r="J3191" s="48">
        <v>0</v>
      </c>
      <c r="K3191" s="48">
        <v>0</v>
      </c>
      <c r="L3191" s="48">
        <v>2</v>
      </c>
      <c r="R3191" s="46">
        <f t="shared" si="302"/>
        <v>0</v>
      </c>
      <c r="S3191" s="46">
        <f t="shared" si="303"/>
        <v>0</v>
      </c>
      <c r="T3191" s="46">
        <f t="shared" si="307"/>
        <v>0</v>
      </c>
      <c r="U3191" s="46">
        <f t="shared" si="304"/>
        <v>-10</v>
      </c>
      <c r="V3191" s="54">
        <f t="shared" si="305"/>
        <v>24.310344827586206</v>
      </c>
    </row>
    <row r="3192" spans="1:22" x14ac:dyDescent="0.2">
      <c r="A3192" s="46" t="s">
        <v>183</v>
      </c>
      <c r="B3192" s="46" t="s">
        <v>115</v>
      </c>
      <c r="C3192" s="46" t="s">
        <v>93</v>
      </c>
      <c r="D3192" s="46" t="s">
        <v>178</v>
      </c>
      <c r="E3192" s="46">
        <v>2</v>
      </c>
      <c r="F3192" s="46" t="s">
        <v>60</v>
      </c>
      <c r="G3192" s="46">
        <v>1</v>
      </c>
      <c r="H3192" s="47">
        <v>21</v>
      </c>
      <c r="I3192" s="47" t="s">
        <v>101</v>
      </c>
      <c r="J3192" s="48">
        <v>0</v>
      </c>
      <c r="K3192" s="48">
        <v>0</v>
      </c>
      <c r="R3192" s="46">
        <f t="shared" si="302"/>
        <v>0</v>
      </c>
      <c r="S3192" s="46">
        <f t="shared" si="303"/>
        <v>0</v>
      </c>
      <c r="T3192" s="46">
        <f t="shared" si="307"/>
        <v>0</v>
      </c>
      <c r="U3192" s="46">
        <f t="shared" si="304"/>
        <v>0</v>
      </c>
      <c r="V3192" s="54">
        <f t="shared" si="305"/>
        <v>24.310344827586206</v>
      </c>
    </row>
    <row r="3193" spans="1:22" x14ac:dyDescent="0.2">
      <c r="A3193" s="46" t="s">
        <v>183</v>
      </c>
      <c r="B3193" s="46" t="s">
        <v>115</v>
      </c>
      <c r="C3193" s="46" t="s">
        <v>93</v>
      </c>
      <c r="D3193" s="46" t="s">
        <v>178</v>
      </c>
      <c r="E3193" s="46">
        <v>4</v>
      </c>
      <c r="F3193" s="46" t="s">
        <v>60</v>
      </c>
      <c r="G3193" s="46">
        <v>1</v>
      </c>
      <c r="H3193" s="47">
        <v>21</v>
      </c>
      <c r="I3193" s="47" t="s">
        <v>101</v>
      </c>
      <c r="J3193" s="48">
        <v>0</v>
      </c>
      <c r="K3193" s="48">
        <v>1</v>
      </c>
      <c r="R3193" s="46">
        <f t="shared" si="302"/>
        <v>0</v>
      </c>
      <c r="S3193" s="46">
        <f t="shared" si="303"/>
        <v>0</v>
      </c>
      <c r="T3193" s="46">
        <f t="shared" si="307"/>
        <v>0</v>
      </c>
      <c r="U3193" s="46">
        <f t="shared" si="304"/>
        <v>0</v>
      </c>
      <c r="V3193" s="54">
        <f t="shared" si="305"/>
        <v>24.310344827586206</v>
      </c>
    </row>
    <row r="3194" spans="1:22" x14ac:dyDescent="0.2">
      <c r="A3194" s="46" t="s">
        <v>183</v>
      </c>
      <c r="B3194" s="46" t="s">
        <v>49</v>
      </c>
      <c r="C3194" s="46" t="s">
        <v>93</v>
      </c>
      <c r="D3194" s="46" t="s">
        <v>178</v>
      </c>
      <c r="E3194" s="46">
        <v>1</v>
      </c>
      <c r="F3194" s="46" t="s">
        <v>60</v>
      </c>
      <c r="G3194" s="46">
        <v>1</v>
      </c>
      <c r="H3194" s="47">
        <v>33</v>
      </c>
      <c r="I3194" s="47" t="s">
        <v>101</v>
      </c>
      <c r="J3194" s="48">
        <v>0</v>
      </c>
      <c r="K3194" s="48">
        <v>0</v>
      </c>
      <c r="M3194" s="48">
        <v>1</v>
      </c>
      <c r="R3194" s="46">
        <f t="shared" si="302"/>
        <v>0</v>
      </c>
      <c r="S3194" s="46">
        <f t="shared" si="303"/>
        <v>0</v>
      </c>
      <c r="T3194" s="46">
        <f t="shared" si="307"/>
        <v>0</v>
      </c>
      <c r="U3194" s="46">
        <f t="shared" si="304"/>
        <v>20</v>
      </c>
      <c r="V3194" s="54">
        <f t="shared" si="305"/>
        <v>24.310344827586206</v>
      </c>
    </row>
    <row r="3195" spans="1:22" x14ac:dyDescent="0.2">
      <c r="A3195" s="46" t="s">
        <v>183</v>
      </c>
      <c r="B3195" s="46" t="s">
        <v>115</v>
      </c>
      <c r="C3195" s="46" t="s">
        <v>93</v>
      </c>
      <c r="D3195" s="46" t="s">
        <v>178</v>
      </c>
      <c r="E3195" s="46">
        <v>4</v>
      </c>
      <c r="F3195" s="46" t="s">
        <v>60</v>
      </c>
      <c r="G3195" s="46">
        <v>4</v>
      </c>
      <c r="H3195" s="47">
        <v>36</v>
      </c>
      <c r="I3195" s="47" t="s">
        <v>102</v>
      </c>
      <c r="J3195" s="48">
        <v>0</v>
      </c>
      <c r="K3195" s="48">
        <v>0</v>
      </c>
      <c r="R3195" s="46">
        <f t="shared" si="302"/>
        <v>0</v>
      </c>
      <c r="S3195" s="46">
        <f t="shared" si="303"/>
        <v>0</v>
      </c>
      <c r="T3195" s="46">
        <f t="shared" si="307"/>
        <v>0</v>
      </c>
      <c r="U3195" s="46">
        <f t="shared" si="304"/>
        <v>0</v>
      </c>
      <c r="V3195" s="54">
        <f t="shared" si="305"/>
        <v>24.310344827586206</v>
      </c>
    </row>
    <row r="3196" spans="1:22" x14ac:dyDescent="0.2">
      <c r="A3196" s="46" t="s">
        <v>183</v>
      </c>
      <c r="B3196" s="46" t="s">
        <v>49</v>
      </c>
      <c r="C3196" s="46" t="s">
        <v>93</v>
      </c>
      <c r="D3196" s="46" t="s">
        <v>178</v>
      </c>
      <c r="E3196" s="46">
        <v>1</v>
      </c>
      <c r="F3196" s="46" t="s">
        <v>60</v>
      </c>
      <c r="G3196" s="46">
        <v>4</v>
      </c>
      <c r="H3196" s="47">
        <v>44</v>
      </c>
      <c r="I3196" s="47" t="s">
        <v>102</v>
      </c>
      <c r="J3196" s="48">
        <v>0</v>
      </c>
      <c r="K3196" s="48">
        <v>1</v>
      </c>
      <c r="R3196" s="46">
        <f t="shared" si="302"/>
        <v>0</v>
      </c>
      <c r="S3196" s="46">
        <f t="shared" si="303"/>
        <v>0</v>
      </c>
      <c r="T3196" s="46">
        <f t="shared" si="307"/>
        <v>0</v>
      </c>
      <c r="U3196" s="46">
        <f t="shared" si="304"/>
        <v>0</v>
      </c>
      <c r="V3196" s="54">
        <f t="shared" si="305"/>
        <v>24.310344827586206</v>
      </c>
    </row>
    <row r="3197" spans="1:22" x14ac:dyDescent="0.2">
      <c r="A3197" s="46" t="s">
        <v>183</v>
      </c>
      <c r="B3197" s="46" t="s">
        <v>49</v>
      </c>
      <c r="C3197" s="46" t="s">
        <v>93</v>
      </c>
      <c r="D3197" s="46" t="s">
        <v>178</v>
      </c>
      <c r="E3197" s="46">
        <v>1</v>
      </c>
      <c r="F3197" s="46" t="s">
        <v>63</v>
      </c>
      <c r="G3197" s="46">
        <v>4</v>
      </c>
      <c r="H3197" s="47" t="s">
        <v>146</v>
      </c>
      <c r="I3197" s="47" t="s">
        <v>102</v>
      </c>
      <c r="J3197" s="48">
        <v>0</v>
      </c>
      <c r="K3197" s="48">
        <v>1</v>
      </c>
      <c r="N3197" s="48">
        <v>1</v>
      </c>
      <c r="R3197" s="46">
        <f t="shared" si="302"/>
        <v>0</v>
      </c>
      <c r="S3197" s="46">
        <f t="shared" si="303"/>
        <v>0</v>
      </c>
      <c r="T3197" s="46">
        <f t="shared" si="307"/>
        <v>0</v>
      </c>
      <c r="U3197" s="46">
        <f t="shared" si="304"/>
        <v>-5</v>
      </c>
      <c r="V3197" s="54">
        <f t="shared" si="305"/>
        <v>24.310344827586206</v>
      </c>
    </row>
    <row r="3198" spans="1:22" x14ac:dyDescent="0.2">
      <c r="A3198" s="46" t="s">
        <v>183</v>
      </c>
      <c r="B3198" s="46" t="s">
        <v>115</v>
      </c>
      <c r="C3198" s="46" t="s">
        <v>93</v>
      </c>
      <c r="D3198" s="46" t="s">
        <v>178</v>
      </c>
      <c r="E3198" s="46">
        <v>4</v>
      </c>
      <c r="F3198" s="46" t="s">
        <v>60</v>
      </c>
      <c r="G3198" s="46">
        <v>2</v>
      </c>
      <c r="H3198" s="47">
        <v>14</v>
      </c>
      <c r="I3198" s="47" t="s">
        <v>127</v>
      </c>
      <c r="J3198" s="48">
        <v>1</v>
      </c>
      <c r="K3198" s="48">
        <v>2</v>
      </c>
      <c r="O3198" s="48">
        <v>1</v>
      </c>
      <c r="R3198" s="46">
        <f t="shared" si="302"/>
        <v>0</v>
      </c>
      <c r="S3198" s="46">
        <f t="shared" si="303"/>
        <v>0</v>
      </c>
      <c r="T3198" s="46">
        <f t="shared" si="307"/>
        <v>10</v>
      </c>
      <c r="U3198" s="46">
        <f t="shared" si="304"/>
        <v>20</v>
      </c>
      <c r="V3198" s="54">
        <f t="shared" si="305"/>
        <v>24.310344827586206</v>
      </c>
    </row>
    <row r="3199" spans="1:22" x14ac:dyDescent="0.2">
      <c r="A3199" s="46" t="s">
        <v>183</v>
      </c>
      <c r="B3199" s="46" t="s">
        <v>115</v>
      </c>
      <c r="C3199" s="46" t="s">
        <v>93</v>
      </c>
      <c r="D3199" s="46" t="s">
        <v>178</v>
      </c>
      <c r="E3199" s="46">
        <v>3</v>
      </c>
      <c r="F3199" s="46" t="s">
        <v>62</v>
      </c>
      <c r="G3199" s="46">
        <v>3</v>
      </c>
      <c r="H3199" s="47" t="s">
        <v>87</v>
      </c>
      <c r="I3199" s="47" t="s">
        <v>116</v>
      </c>
      <c r="J3199" s="48">
        <v>1</v>
      </c>
      <c r="K3199" s="48">
        <v>2</v>
      </c>
      <c r="O3199" s="48">
        <v>1</v>
      </c>
      <c r="R3199" s="46">
        <f t="shared" si="302"/>
        <v>0</v>
      </c>
      <c r="S3199" s="46">
        <f t="shared" si="303"/>
        <v>0</v>
      </c>
      <c r="T3199" s="46">
        <f t="shared" si="307"/>
        <v>10</v>
      </c>
      <c r="U3199" s="46">
        <f t="shared" si="304"/>
        <v>20</v>
      </c>
      <c r="V3199" s="54">
        <f t="shared" si="305"/>
        <v>24.310344827586206</v>
      </c>
    </row>
    <row r="3200" spans="1:22" x14ac:dyDescent="0.2">
      <c r="A3200" s="46" t="s">
        <v>183</v>
      </c>
      <c r="B3200" s="46" t="s">
        <v>115</v>
      </c>
      <c r="C3200" s="46" t="s">
        <v>93</v>
      </c>
      <c r="D3200" s="46" t="s">
        <v>178</v>
      </c>
      <c r="E3200" s="46">
        <v>3</v>
      </c>
      <c r="F3200" s="46" t="s">
        <v>60</v>
      </c>
      <c r="G3200" s="46">
        <v>1</v>
      </c>
      <c r="H3200" s="47">
        <v>13</v>
      </c>
      <c r="I3200" s="47" t="s">
        <v>101</v>
      </c>
      <c r="J3200" s="48">
        <v>2</v>
      </c>
      <c r="K3200" s="48">
        <v>3</v>
      </c>
      <c r="R3200" s="46">
        <f t="shared" si="302"/>
        <v>0</v>
      </c>
      <c r="S3200" s="46">
        <f t="shared" si="303"/>
        <v>1</v>
      </c>
      <c r="T3200" s="46">
        <f t="shared" si="307"/>
        <v>20</v>
      </c>
      <c r="U3200" s="46">
        <f t="shared" si="304"/>
        <v>20</v>
      </c>
      <c r="V3200" s="54">
        <f t="shared" si="305"/>
        <v>24.310344827586206</v>
      </c>
    </row>
    <row r="3201" spans="1:22" x14ac:dyDescent="0.2">
      <c r="A3201" s="46" t="s">
        <v>183</v>
      </c>
      <c r="B3201" s="46" t="s">
        <v>115</v>
      </c>
      <c r="C3201" s="46" t="s">
        <v>93</v>
      </c>
      <c r="D3201" s="46" t="s">
        <v>178</v>
      </c>
      <c r="E3201" s="46">
        <v>2</v>
      </c>
      <c r="F3201" s="46" t="s">
        <v>60</v>
      </c>
      <c r="G3201" s="46">
        <v>3</v>
      </c>
      <c r="H3201" s="47">
        <v>19</v>
      </c>
      <c r="I3201" s="47" t="s">
        <v>116</v>
      </c>
      <c r="J3201" s="48">
        <v>1</v>
      </c>
      <c r="K3201" s="48">
        <v>0</v>
      </c>
      <c r="M3201" s="48">
        <v>1</v>
      </c>
      <c r="O3201" s="48">
        <v>1</v>
      </c>
      <c r="R3201" s="46">
        <f t="shared" si="302"/>
        <v>0</v>
      </c>
      <c r="S3201" s="46">
        <f t="shared" si="303"/>
        <v>0</v>
      </c>
      <c r="T3201" s="46">
        <f t="shared" si="307"/>
        <v>20</v>
      </c>
      <c r="U3201" s="46">
        <f t="shared" si="304"/>
        <v>50</v>
      </c>
      <c r="V3201" s="54">
        <f t="shared" si="305"/>
        <v>24.310344827586206</v>
      </c>
    </row>
    <row r="3202" spans="1:22" x14ac:dyDescent="0.2">
      <c r="A3202" s="46" t="s">
        <v>183</v>
      </c>
      <c r="B3202" s="46" t="s">
        <v>115</v>
      </c>
      <c r="C3202" s="46" t="s">
        <v>93</v>
      </c>
      <c r="D3202" s="46" t="s">
        <v>178</v>
      </c>
      <c r="E3202" s="46">
        <v>3</v>
      </c>
      <c r="F3202" s="46" t="s">
        <v>60</v>
      </c>
      <c r="G3202" s="46">
        <v>4</v>
      </c>
      <c r="H3202" s="47">
        <v>20</v>
      </c>
      <c r="I3202" s="47" t="s">
        <v>102</v>
      </c>
      <c r="J3202" s="48">
        <v>1</v>
      </c>
      <c r="K3202" s="48">
        <v>1</v>
      </c>
      <c r="R3202" s="46">
        <f t="shared" ref="R3202:R3265" si="308">IF(J3202=4,1,0)</f>
        <v>0</v>
      </c>
      <c r="S3202" s="46">
        <f t="shared" ref="S3202:S3265" si="309">IF(K3202=3,1,0)</f>
        <v>0</v>
      </c>
      <c r="T3202" s="46">
        <f t="shared" si="307"/>
        <v>20</v>
      </c>
      <c r="U3202" s="46">
        <f t="shared" ref="U3202:U3265" si="310">T3202+M3202*(20) + (SUM(O3202:Q3202)*(10)) - L3202*(5) - N3202*(5)</f>
        <v>20</v>
      </c>
      <c r="V3202" s="54">
        <f t="shared" ref="V3202:V3265" si="311">AVERAGEIFS(U:U,A:A,A3202,F:F,"Pre")</f>
        <v>24.310344827586206</v>
      </c>
    </row>
    <row r="3203" spans="1:22" x14ac:dyDescent="0.2">
      <c r="A3203" s="46" t="s">
        <v>183</v>
      </c>
      <c r="B3203" s="46" t="s">
        <v>115</v>
      </c>
      <c r="C3203" s="46" t="s">
        <v>93</v>
      </c>
      <c r="D3203" s="46" t="s">
        <v>178</v>
      </c>
      <c r="E3203" s="46">
        <v>4</v>
      </c>
      <c r="F3203" s="46" t="s">
        <v>60</v>
      </c>
      <c r="G3203" s="46">
        <v>3</v>
      </c>
      <c r="H3203" s="47">
        <v>27</v>
      </c>
      <c r="I3203" s="47" t="s">
        <v>159</v>
      </c>
      <c r="J3203" s="48">
        <v>1</v>
      </c>
      <c r="K3203" s="48">
        <v>0</v>
      </c>
      <c r="R3203" s="46">
        <f t="shared" si="308"/>
        <v>0</v>
      </c>
      <c r="S3203" s="46">
        <f t="shared" si="309"/>
        <v>0</v>
      </c>
      <c r="T3203" s="46">
        <f t="shared" si="307"/>
        <v>20</v>
      </c>
      <c r="U3203" s="46">
        <f t="shared" si="310"/>
        <v>20</v>
      </c>
      <c r="V3203" s="54">
        <f t="shared" si="311"/>
        <v>24.310344827586206</v>
      </c>
    </row>
    <row r="3204" spans="1:22" x14ac:dyDescent="0.2">
      <c r="A3204" s="46" t="s">
        <v>183</v>
      </c>
      <c r="B3204" s="46" t="s">
        <v>49</v>
      </c>
      <c r="C3204" s="46" t="s">
        <v>93</v>
      </c>
      <c r="D3204" s="46" t="s">
        <v>178</v>
      </c>
      <c r="E3204" s="46">
        <v>1</v>
      </c>
      <c r="F3204" s="46" t="s">
        <v>60</v>
      </c>
      <c r="G3204" s="46">
        <v>4</v>
      </c>
      <c r="H3204" s="47">
        <v>28</v>
      </c>
      <c r="I3204" s="47" t="s">
        <v>102</v>
      </c>
      <c r="J3204" s="48">
        <v>1</v>
      </c>
      <c r="K3204" s="48">
        <v>0</v>
      </c>
      <c r="R3204" s="46">
        <f t="shared" si="308"/>
        <v>0</v>
      </c>
      <c r="S3204" s="46">
        <f t="shared" si="309"/>
        <v>0</v>
      </c>
      <c r="T3204" s="46">
        <f t="shared" si="307"/>
        <v>20</v>
      </c>
      <c r="U3204" s="46">
        <f t="shared" si="310"/>
        <v>20</v>
      </c>
      <c r="V3204" s="54">
        <f t="shared" si="311"/>
        <v>24.310344827586206</v>
      </c>
    </row>
    <row r="3205" spans="1:22" x14ac:dyDescent="0.2">
      <c r="A3205" s="46" t="s">
        <v>183</v>
      </c>
      <c r="B3205" s="46" t="s">
        <v>115</v>
      </c>
      <c r="C3205" s="46" t="s">
        <v>93</v>
      </c>
      <c r="D3205" s="46" t="s">
        <v>178</v>
      </c>
      <c r="E3205" s="46">
        <v>3</v>
      </c>
      <c r="F3205" s="46" t="s">
        <v>60</v>
      </c>
      <c r="G3205" s="46">
        <v>4</v>
      </c>
      <c r="H3205" s="47">
        <v>28</v>
      </c>
      <c r="I3205" s="47" t="s">
        <v>102</v>
      </c>
      <c r="J3205" s="48">
        <v>1</v>
      </c>
      <c r="K3205" s="48">
        <v>0</v>
      </c>
      <c r="R3205" s="46">
        <f t="shared" si="308"/>
        <v>0</v>
      </c>
      <c r="S3205" s="46">
        <f t="shared" si="309"/>
        <v>0</v>
      </c>
      <c r="T3205" s="46">
        <f t="shared" si="307"/>
        <v>20</v>
      </c>
      <c r="U3205" s="46">
        <f t="shared" si="310"/>
        <v>20</v>
      </c>
      <c r="V3205" s="54">
        <f t="shared" si="311"/>
        <v>24.310344827586206</v>
      </c>
    </row>
    <row r="3206" spans="1:22" x14ac:dyDescent="0.2">
      <c r="A3206" s="46" t="s">
        <v>183</v>
      </c>
      <c r="B3206" s="46" t="s">
        <v>115</v>
      </c>
      <c r="C3206" s="46" t="s">
        <v>93</v>
      </c>
      <c r="D3206" s="46" t="s">
        <v>178</v>
      </c>
      <c r="E3206" s="46">
        <v>3</v>
      </c>
      <c r="F3206" s="46" t="s">
        <v>60</v>
      </c>
      <c r="G3206" s="46">
        <v>4</v>
      </c>
      <c r="H3206" s="47">
        <v>44</v>
      </c>
      <c r="I3206" s="47" t="s">
        <v>102</v>
      </c>
      <c r="J3206" s="48">
        <v>1</v>
      </c>
      <c r="K3206" s="48">
        <v>1</v>
      </c>
      <c r="R3206" s="46">
        <f t="shared" si="308"/>
        <v>0</v>
      </c>
      <c r="S3206" s="46">
        <f t="shared" si="309"/>
        <v>0</v>
      </c>
      <c r="T3206" s="46">
        <f t="shared" si="307"/>
        <v>20</v>
      </c>
      <c r="U3206" s="46">
        <f t="shared" si="310"/>
        <v>20</v>
      </c>
      <c r="V3206" s="54">
        <f t="shared" si="311"/>
        <v>24.310344827586206</v>
      </c>
    </row>
    <row r="3207" spans="1:22" x14ac:dyDescent="0.2">
      <c r="A3207" s="46" t="s">
        <v>183</v>
      </c>
      <c r="B3207" s="46" t="s">
        <v>49</v>
      </c>
      <c r="C3207" s="46" t="s">
        <v>93</v>
      </c>
      <c r="D3207" s="46" t="s">
        <v>178</v>
      </c>
      <c r="E3207" s="46">
        <v>1</v>
      </c>
      <c r="F3207" s="46" t="s">
        <v>60</v>
      </c>
      <c r="G3207" s="46">
        <v>2</v>
      </c>
      <c r="H3207" s="47">
        <v>50</v>
      </c>
      <c r="I3207" s="47" t="s">
        <v>127</v>
      </c>
      <c r="J3207" s="48">
        <v>1</v>
      </c>
      <c r="K3207" s="48">
        <v>0</v>
      </c>
      <c r="R3207" s="46">
        <f t="shared" si="308"/>
        <v>0</v>
      </c>
      <c r="S3207" s="46">
        <f t="shared" si="309"/>
        <v>0</v>
      </c>
      <c r="T3207" s="46">
        <f t="shared" si="307"/>
        <v>20</v>
      </c>
      <c r="U3207" s="46">
        <f t="shared" si="310"/>
        <v>20</v>
      </c>
      <c r="V3207" s="54">
        <f t="shared" si="311"/>
        <v>24.310344827586206</v>
      </c>
    </row>
    <row r="3208" spans="1:22" x14ac:dyDescent="0.2">
      <c r="A3208" s="46" t="s">
        <v>183</v>
      </c>
      <c r="B3208" s="46" t="s">
        <v>115</v>
      </c>
      <c r="C3208" s="46" t="s">
        <v>93</v>
      </c>
      <c r="D3208" s="46" t="s">
        <v>178</v>
      </c>
      <c r="E3208" s="46">
        <v>3</v>
      </c>
      <c r="F3208" s="46" t="s">
        <v>60</v>
      </c>
      <c r="G3208" s="46">
        <v>2</v>
      </c>
      <c r="H3208" s="47">
        <v>50</v>
      </c>
      <c r="I3208" s="47" t="s">
        <v>127</v>
      </c>
      <c r="J3208" s="48">
        <v>1</v>
      </c>
      <c r="K3208" s="48">
        <v>1</v>
      </c>
      <c r="R3208" s="46">
        <f t="shared" si="308"/>
        <v>0</v>
      </c>
      <c r="S3208" s="46">
        <f t="shared" si="309"/>
        <v>0</v>
      </c>
      <c r="T3208" s="46">
        <f t="shared" si="307"/>
        <v>20</v>
      </c>
      <c r="U3208" s="46">
        <f t="shared" si="310"/>
        <v>20</v>
      </c>
      <c r="V3208" s="54">
        <f t="shared" si="311"/>
        <v>24.310344827586206</v>
      </c>
    </row>
    <row r="3209" spans="1:22" x14ac:dyDescent="0.2">
      <c r="A3209" s="46" t="s">
        <v>183</v>
      </c>
      <c r="B3209" s="46" t="s">
        <v>49</v>
      </c>
      <c r="C3209" s="46" t="s">
        <v>93</v>
      </c>
      <c r="D3209" s="46" t="s">
        <v>178</v>
      </c>
      <c r="E3209" s="46">
        <v>1</v>
      </c>
      <c r="F3209" s="46" t="s">
        <v>63</v>
      </c>
      <c r="G3209" s="46">
        <v>4</v>
      </c>
      <c r="H3209" s="47" t="s">
        <v>149</v>
      </c>
      <c r="I3209" s="47" t="s">
        <v>102</v>
      </c>
      <c r="J3209" s="48">
        <v>1</v>
      </c>
      <c r="K3209" s="48">
        <v>1</v>
      </c>
      <c r="R3209" s="46">
        <f t="shared" si="308"/>
        <v>0</v>
      </c>
      <c r="S3209" s="46">
        <f t="shared" si="309"/>
        <v>0</v>
      </c>
      <c r="T3209" s="46">
        <f t="shared" ref="T3209:T3230" si="312">quizscore(J3209,K3209)</f>
        <v>20</v>
      </c>
      <c r="U3209" s="46">
        <f t="shared" si="310"/>
        <v>20</v>
      </c>
      <c r="V3209" s="54">
        <f t="shared" si="311"/>
        <v>24.310344827586206</v>
      </c>
    </row>
    <row r="3210" spans="1:22" x14ac:dyDescent="0.2">
      <c r="A3210" s="46" t="s">
        <v>183</v>
      </c>
      <c r="B3210" s="46" t="s">
        <v>49</v>
      </c>
      <c r="C3210" s="46" t="s">
        <v>93</v>
      </c>
      <c r="D3210" s="46" t="s">
        <v>178</v>
      </c>
      <c r="E3210" s="46">
        <v>1</v>
      </c>
      <c r="F3210" s="46" t="s">
        <v>63</v>
      </c>
      <c r="G3210" s="46">
        <v>4</v>
      </c>
      <c r="H3210" s="47" t="s">
        <v>152</v>
      </c>
      <c r="I3210" s="47" t="s">
        <v>102</v>
      </c>
      <c r="J3210" s="48">
        <v>1</v>
      </c>
      <c r="K3210" s="48">
        <v>1</v>
      </c>
      <c r="M3210" s="48">
        <v>1</v>
      </c>
      <c r="P3210" s="48">
        <v>1</v>
      </c>
      <c r="R3210" s="46">
        <f t="shared" si="308"/>
        <v>0</v>
      </c>
      <c r="S3210" s="46">
        <f t="shared" si="309"/>
        <v>0</v>
      </c>
      <c r="T3210" s="46">
        <f t="shared" si="312"/>
        <v>20</v>
      </c>
      <c r="U3210" s="46">
        <f t="shared" si="310"/>
        <v>50</v>
      </c>
      <c r="V3210" s="54">
        <f t="shared" si="311"/>
        <v>24.310344827586206</v>
      </c>
    </row>
    <row r="3211" spans="1:22" x14ac:dyDescent="0.2">
      <c r="A3211" s="46" t="s">
        <v>183</v>
      </c>
      <c r="B3211" s="46" t="s">
        <v>115</v>
      </c>
      <c r="C3211" s="46" t="s">
        <v>93</v>
      </c>
      <c r="D3211" s="46" t="s">
        <v>178</v>
      </c>
      <c r="E3211" s="46">
        <v>3</v>
      </c>
      <c r="F3211" s="46" t="s">
        <v>62</v>
      </c>
      <c r="G3211" s="46">
        <v>3</v>
      </c>
      <c r="H3211" s="47" t="s">
        <v>80</v>
      </c>
      <c r="I3211" s="47" t="s">
        <v>116</v>
      </c>
      <c r="J3211" s="48">
        <v>2</v>
      </c>
      <c r="K3211" s="48">
        <v>2</v>
      </c>
      <c r="O3211" s="48">
        <v>1</v>
      </c>
      <c r="R3211" s="46">
        <f t="shared" si="308"/>
        <v>0</v>
      </c>
      <c r="S3211" s="46">
        <f t="shared" si="309"/>
        <v>0</v>
      </c>
      <c r="T3211" s="46">
        <f t="shared" si="312"/>
        <v>30</v>
      </c>
      <c r="U3211" s="46">
        <f t="shared" si="310"/>
        <v>40</v>
      </c>
      <c r="V3211" s="54">
        <f t="shared" si="311"/>
        <v>24.310344827586206</v>
      </c>
    </row>
    <row r="3212" spans="1:22" x14ac:dyDescent="0.2">
      <c r="A3212" s="46" t="s">
        <v>183</v>
      </c>
      <c r="B3212" s="46" t="s">
        <v>115</v>
      </c>
      <c r="C3212" s="46" t="s">
        <v>93</v>
      </c>
      <c r="D3212" s="46" t="s">
        <v>178</v>
      </c>
      <c r="E3212" s="46">
        <v>2</v>
      </c>
      <c r="F3212" s="46" t="s">
        <v>63</v>
      </c>
      <c r="G3212" s="46">
        <v>4</v>
      </c>
      <c r="H3212" s="47" t="s">
        <v>150</v>
      </c>
      <c r="I3212" s="47" t="s">
        <v>102</v>
      </c>
      <c r="J3212" s="48">
        <v>2</v>
      </c>
      <c r="K3212" s="48">
        <v>2</v>
      </c>
      <c r="R3212" s="46">
        <f t="shared" si="308"/>
        <v>0</v>
      </c>
      <c r="S3212" s="46">
        <f t="shared" si="309"/>
        <v>0</v>
      </c>
      <c r="T3212" s="46">
        <f t="shared" si="312"/>
        <v>30</v>
      </c>
      <c r="U3212" s="46">
        <f t="shared" si="310"/>
        <v>30</v>
      </c>
      <c r="V3212" s="54">
        <f t="shared" si="311"/>
        <v>24.310344827586206</v>
      </c>
    </row>
    <row r="3213" spans="1:22" x14ac:dyDescent="0.2">
      <c r="A3213" s="46" t="s">
        <v>183</v>
      </c>
      <c r="B3213" s="46" t="s">
        <v>115</v>
      </c>
      <c r="C3213" s="46" t="s">
        <v>93</v>
      </c>
      <c r="D3213" s="46" t="s">
        <v>178</v>
      </c>
      <c r="E3213" s="46">
        <v>3</v>
      </c>
      <c r="F3213" s="46" t="s">
        <v>60</v>
      </c>
      <c r="G3213" s="46">
        <v>3</v>
      </c>
      <c r="H3213" s="47">
        <v>31</v>
      </c>
      <c r="I3213" s="47" t="s">
        <v>116</v>
      </c>
      <c r="J3213" s="48">
        <v>2</v>
      </c>
      <c r="K3213" s="48">
        <v>1</v>
      </c>
      <c r="L3213" s="48">
        <v>1</v>
      </c>
      <c r="R3213" s="46">
        <f t="shared" si="308"/>
        <v>0</v>
      </c>
      <c r="S3213" s="46">
        <f t="shared" si="309"/>
        <v>0</v>
      </c>
      <c r="T3213" s="46">
        <f t="shared" si="312"/>
        <v>40</v>
      </c>
      <c r="U3213" s="46">
        <f t="shared" si="310"/>
        <v>35</v>
      </c>
      <c r="V3213" s="54">
        <f t="shared" si="311"/>
        <v>24.310344827586206</v>
      </c>
    </row>
    <row r="3214" spans="1:22" x14ac:dyDescent="0.2">
      <c r="A3214" s="46" t="s">
        <v>183</v>
      </c>
      <c r="B3214" s="46" t="s">
        <v>115</v>
      </c>
      <c r="C3214" s="46" t="s">
        <v>93</v>
      </c>
      <c r="D3214" s="46" t="s">
        <v>178</v>
      </c>
      <c r="E3214" s="46">
        <v>2</v>
      </c>
      <c r="F3214" s="46" t="s">
        <v>60</v>
      </c>
      <c r="G3214" s="46">
        <v>1</v>
      </c>
      <c r="H3214" s="47">
        <v>33</v>
      </c>
      <c r="I3214" s="47" t="s">
        <v>101</v>
      </c>
      <c r="J3214" s="48">
        <v>2</v>
      </c>
      <c r="K3214" s="48">
        <v>0</v>
      </c>
      <c r="R3214" s="46">
        <f t="shared" si="308"/>
        <v>0</v>
      </c>
      <c r="S3214" s="46">
        <f t="shared" si="309"/>
        <v>0</v>
      </c>
      <c r="T3214" s="46">
        <f t="shared" si="312"/>
        <v>40</v>
      </c>
      <c r="U3214" s="46">
        <f t="shared" si="310"/>
        <v>40</v>
      </c>
      <c r="V3214" s="54">
        <f t="shared" si="311"/>
        <v>24.310344827586206</v>
      </c>
    </row>
    <row r="3215" spans="1:22" x14ac:dyDescent="0.2">
      <c r="A3215" s="46" t="s">
        <v>183</v>
      </c>
      <c r="B3215" s="46" t="s">
        <v>115</v>
      </c>
      <c r="C3215" s="46" t="s">
        <v>93</v>
      </c>
      <c r="D3215" s="46" t="s">
        <v>178</v>
      </c>
      <c r="E3215" s="46">
        <v>2</v>
      </c>
      <c r="F3215" s="46" t="s">
        <v>60</v>
      </c>
      <c r="G3215" s="46">
        <v>2</v>
      </c>
      <c r="H3215" s="47">
        <v>6</v>
      </c>
      <c r="I3215" s="47" t="s">
        <v>127</v>
      </c>
      <c r="J3215" s="48">
        <v>3</v>
      </c>
      <c r="K3215" s="48">
        <v>2</v>
      </c>
      <c r="M3215" s="48">
        <v>1</v>
      </c>
      <c r="R3215" s="46">
        <f t="shared" si="308"/>
        <v>0</v>
      </c>
      <c r="S3215" s="46">
        <f t="shared" si="309"/>
        <v>0</v>
      </c>
      <c r="T3215" s="46">
        <f t="shared" si="312"/>
        <v>50</v>
      </c>
      <c r="U3215" s="46">
        <f t="shared" si="310"/>
        <v>70</v>
      </c>
      <c r="V3215" s="54">
        <f t="shared" si="311"/>
        <v>24.310344827586206</v>
      </c>
    </row>
    <row r="3216" spans="1:22" x14ac:dyDescent="0.2">
      <c r="A3216" s="46" t="s">
        <v>183</v>
      </c>
      <c r="B3216" s="46" t="s">
        <v>115</v>
      </c>
      <c r="C3216" s="46" t="s">
        <v>93</v>
      </c>
      <c r="D3216" s="46" t="s">
        <v>178</v>
      </c>
      <c r="E3216" s="46">
        <v>3</v>
      </c>
      <c r="F3216" s="46" t="s">
        <v>62</v>
      </c>
      <c r="G3216" s="46">
        <v>3</v>
      </c>
      <c r="H3216" s="47" t="s">
        <v>84</v>
      </c>
      <c r="I3216" s="47" t="s">
        <v>116</v>
      </c>
      <c r="J3216" s="48">
        <v>3</v>
      </c>
      <c r="K3216" s="48">
        <v>1</v>
      </c>
      <c r="R3216" s="46">
        <f t="shared" si="308"/>
        <v>0</v>
      </c>
      <c r="S3216" s="46">
        <f t="shared" si="309"/>
        <v>0</v>
      </c>
      <c r="T3216" s="46">
        <f t="shared" si="312"/>
        <v>60</v>
      </c>
      <c r="U3216" s="46">
        <f t="shared" si="310"/>
        <v>60</v>
      </c>
      <c r="V3216" s="54">
        <f t="shared" si="311"/>
        <v>24.310344827586206</v>
      </c>
    </row>
    <row r="3217" spans="1:22" x14ac:dyDescent="0.2">
      <c r="A3217" s="46" t="s">
        <v>183</v>
      </c>
      <c r="B3217" s="46" t="s">
        <v>49</v>
      </c>
      <c r="C3217" s="46" t="s">
        <v>93</v>
      </c>
      <c r="D3217" s="46" t="s">
        <v>178</v>
      </c>
      <c r="E3217" s="46">
        <v>1</v>
      </c>
      <c r="F3217" s="46" t="s">
        <v>63</v>
      </c>
      <c r="G3217" s="46">
        <v>4</v>
      </c>
      <c r="H3217" s="47" t="s">
        <v>172</v>
      </c>
      <c r="I3217" s="47" t="s">
        <v>102</v>
      </c>
      <c r="J3217" s="48">
        <v>3</v>
      </c>
      <c r="K3217" s="48">
        <v>0</v>
      </c>
      <c r="R3217" s="46">
        <f t="shared" si="308"/>
        <v>0</v>
      </c>
      <c r="S3217" s="46">
        <f t="shared" si="309"/>
        <v>0</v>
      </c>
      <c r="T3217" s="46">
        <f t="shared" si="312"/>
        <v>60</v>
      </c>
      <c r="U3217" s="46">
        <f t="shared" si="310"/>
        <v>60</v>
      </c>
      <c r="V3217" s="54">
        <f t="shared" si="311"/>
        <v>24.310344827586206</v>
      </c>
    </row>
    <row r="3218" spans="1:22" x14ac:dyDescent="0.2">
      <c r="A3218" s="46" t="s">
        <v>183</v>
      </c>
      <c r="B3218" s="46" t="s">
        <v>115</v>
      </c>
      <c r="C3218" s="46" t="s">
        <v>93</v>
      </c>
      <c r="D3218" s="46" t="s">
        <v>178</v>
      </c>
      <c r="E3218" s="46">
        <v>2</v>
      </c>
      <c r="F3218" s="46" t="s">
        <v>63</v>
      </c>
      <c r="G3218" s="46">
        <v>4</v>
      </c>
      <c r="H3218" s="47" t="s">
        <v>151</v>
      </c>
      <c r="I3218" s="47" t="s">
        <v>102</v>
      </c>
      <c r="J3218" s="48">
        <v>4</v>
      </c>
      <c r="K3218" s="48">
        <v>2</v>
      </c>
      <c r="R3218" s="46">
        <f t="shared" si="308"/>
        <v>1</v>
      </c>
      <c r="S3218" s="46">
        <f t="shared" si="309"/>
        <v>0</v>
      </c>
      <c r="T3218" s="46">
        <f t="shared" si="312"/>
        <v>70</v>
      </c>
      <c r="U3218" s="46">
        <f t="shared" si="310"/>
        <v>70</v>
      </c>
      <c r="V3218" s="54">
        <f t="shared" si="311"/>
        <v>24.310344827586206</v>
      </c>
    </row>
    <row r="3219" spans="1:22" x14ac:dyDescent="0.2">
      <c r="A3219" s="46" t="s">
        <v>183</v>
      </c>
      <c r="B3219" s="46" t="s">
        <v>115</v>
      </c>
      <c r="C3219" s="46" t="s">
        <v>93</v>
      </c>
      <c r="D3219" s="46" t="s">
        <v>178</v>
      </c>
      <c r="E3219" s="46">
        <v>2</v>
      </c>
      <c r="F3219" s="46" t="s">
        <v>63</v>
      </c>
      <c r="G3219" s="46">
        <v>4</v>
      </c>
      <c r="H3219" s="47" t="s">
        <v>149</v>
      </c>
      <c r="I3219" s="47" t="s">
        <v>102</v>
      </c>
      <c r="J3219" s="48">
        <v>4</v>
      </c>
      <c r="K3219" s="48">
        <v>1</v>
      </c>
      <c r="M3219" s="48">
        <v>1</v>
      </c>
      <c r="R3219" s="46">
        <f t="shared" si="308"/>
        <v>1</v>
      </c>
      <c r="S3219" s="46">
        <f t="shared" si="309"/>
        <v>0</v>
      </c>
      <c r="T3219" s="46">
        <f t="shared" si="312"/>
        <v>80</v>
      </c>
      <c r="U3219" s="46">
        <f t="shared" si="310"/>
        <v>100</v>
      </c>
      <c r="V3219" s="54">
        <f t="shared" si="311"/>
        <v>24.310344827586206</v>
      </c>
    </row>
    <row r="3220" spans="1:22" x14ac:dyDescent="0.2">
      <c r="A3220" s="46" t="s">
        <v>183</v>
      </c>
      <c r="B3220" s="46" t="s">
        <v>115</v>
      </c>
      <c r="C3220" s="46" t="s">
        <v>93</v>
      </c>
      <c r="D3220" s="46" t="s">
        <v>178</v>
      </c>
      <c r="E3220" s="46">
        <v>2</v>
      </c>
      <c r="F3220" s="46" t="s">
        <v>60</v>
      </c>
      <c r="G3220" s="46">
        <v>4</v>
      </c>
      <c r="H3220" s="47">
        <v>44</v>
      </c>
      <c r="I3220" s="47" t="s">
        <v>102</v>
      </c>
      <c r="J3220" s="48">
        <v>4</v>
      </c>
      <c r="K3220" s="48">
        <v>0</v>
      </c>
      <c r="R3220" s="46">
        <f t="shared" si="308"/>
        <v>1</v>
      </c>
      <c r="S3220" s="46">
        <f t="shared" si="309"/>
        <v>0</v>
      </c>
      <c r="T3220" s="46">
        <f t="shared" si="312"/>
        <v>90</v>
      </c>
      <c r="U3220" s="46">
        <f t="shared" si="310"/>
        <v>90</v>
      </c>
      <c r="V3220" s="54">
        <f t="shared" si="311"/>
        <v>24.310344827586206</v>
      </c>
    </row>
    <row r="3221" spans="1:22" x14ac:dyDescent="0.2">
      <c r="A3221" s="46" t="s">
        <v>183</v>
      </c>
      <c r="B3221" s="46" t="s">
        <v>115</v>
      </c>
      <c r="C3221" s="46" t="s">
        <v>93</v>
      </c>
      <c r="D3221" s="46" t="s">
        <v>178</v>
      </c>
      <c r="E3221" s="46">
        <v>5</v>
      </c>
      <c r="F3221" s="46" t="s">
        <v>60</v>
      </c>
      <c r="G3221" s="46">
        <v>2</v>
      </c>
      <c r="H3221" s="47">
        <v>2</v>
      </c>
      <c r="I3221" s="47" t="s">
        <v>127</v>
      </c>
      <c r="J3221" s="48">
        <v>1</v>
      </c>
      <c r="K3221" s="48">
        <v>2</v>
      </c>
      <c r="O3221" s="48">
        <v>1</v>
      </c>
      <c r="R3221" s="46">
        <f t="shared" si="308"/>
        <v>0</v>
      </c>
      <c r="S3221" s="46">
        <f t="shared" si="309"/>
        <v>0</v>
      </c>
      <c r="T3221" s="46">
        <f t="shared" si="312"/>
        <v>10</v>
      </c>
      <c r="U3221" s="46">
        <f t="shared" si="310"/>
        <v>20</v>
      </c>
      <c r="V3221" s="54">
        <f t="shared" si="311"/>
        <v>24.310344827586206</v>
      </c>
    </row>
    <row r="3222" spans="1:22" x14ac:dyDescent="0.2">
      <c r="A3222" s="46" t="s">
        <v>183</v>
      </c>
      <c r="B3222" s="46" t="s">
        <v>115</v>
      </c>
      <c r="C3222" s="46" t="s">
        <v>93</v>
      </c>
      <c r="D3222" s="46" t="s">
        <v>178</v>
      </c>
      <c r="E3222" s="46">
        <v>5</v>
      </c>
      <c r="F3222" s="46" t="s">
        <v>60</v>
      </c>
      <c r="G3222" s="46">
        <v>1</v>
      </c>
      <c r="H3222" s="47">
        <v>9</v>
      </c>
      <c r="I3222" s="47" t="s">
        <v>101</v>
      </c>
      <c r="J3222" s="48">
        <v>3</v>
      </c>
      <c r="K3222" s="48">
        <v>3</v>
      </c>
      <c r="R3222" s="46">
        <f t="shared" si="308"/>
        <v>0</v>
      </c>
      <c r="S3222" s="46">
        <f t="shared" si="309"/>
        <v>1</v>
      </c>
      <c r="T3222" s="46">
        <f t="shared" si="312"/>
        <v>40</v>
      </c>
      <c r="U3222" s="46">
        <f t="shared" si="310"/>
        <v>40</v>
      </c>
      <c r="V3222" s="54">
        <f t="shared" si="311"/>
        <v>24.310344827586206</v>
      </c>
    </row>
    <row r="3223" spans="1:22" x14ac:dyDescent="0.2">
      <c r="A3223" s="46" t="s">
        <v>183</v>
      </c>
      <c r="B3223" s="46" t="s">
        <v>115</v>
      </c>
      <c r="C3223" s="46" t="s">
        <v>93</v>
      </c>
      <c r="D3223" s="46" t="s">
        <v>178</v>
      </c>
      <c r="E3223" s="46">
        <v>5</v>
      </c>
      <c r="F3223" s="46" t="s">
        <v>60</v>
      </c>
      <c r="G3223" s="46">
        <v>4</v>
      </c>
      <c r="H3223" s="47">
        <v>16</v>
      </c>
      <c r="I3223" s="47" t="s">
        <v>102</v>
      </c>
      <c r="J3223" s="48">
        <v>3</v>
      </c>
      <c r="K3223" s="48">
        <v>1</v>
      </c>
      <c r="R3223" s="46">
        <f t="shared" si="308"/>
        <v>0</v>
      </c>
      <c r="S3223" s="46">
        <f t="shared" si="309"/>
        <v>0</v>
      </c>
      <c r="T3223" s="46">
        <f t="shared" si="312"/>
        <v>60</v>
      </c>
      <c r="U3223" s="46">
        <f t="shared" si="310"/>
        <v>60</v>
      </c>
      <c r="V3223" s="54">
        <f t="shared" si="311"/>
        <v>24.310344827586206</v>
      </c>
    </row>
    <row r="3224" spans="1:22" x14ac:dyDescent="0.2">
      <c r="A3224" s="46" t="s">
        <v>183</v>
      </c>
      <c r="B3224" s="46" t="s">
        <v>115</v>
      </c>
      <c r="C3224" s="46" t="s">
        <v>93</v>
      </c>
      <c r="D3224" s="46" t="s">
        <v>178</v>
      </c>
      <c r="E3224" s="46">
        <v>5</v>
      </c>
      <c r="F3224" s="46" t="s">
        <v>60</v>
      </c>
      <c r="G3224" s="46">
        <v>1</v>
      </c>
      <c r="H3224" s="47">
        <v>21</v>
      </c>
      <c r="I3224" s="47" t="s">
        <v>101</v>
      </c>
      <c r="J3224" s="48">
        <v>1</v>
      </c>
      <c r="K3224" s="48">
        <v>2</v>
      </c>
      <c r="R3224" s="46">
        <f t="shared" si="308"/>
        <v>0</v>
      </c>
      <c r="S3224" s="46">
        <f t="shared" si="309"/>
        <v>0</v>
      </c>
      <c r="T3224" s="46">
        <f t="shared" si="312"/>
        <v>10</v>
      </c>
      <c r="U3224" s="46">
        <f t="shared" si="310"/>
        <v>10</v>
      </c>
      <c r="V3224" s="54">
        <f t="shared" si="311"/>
        <v>24.310344827586206</v>
      </c>
    </row>
    <row r="3225" spans="1:22" x14ac:dyDescent="0.2">
      <c r="A3225" s="46" t="s">
        <v>183</v>
      </c>
      <c r="B3225" s="46" t="s">
        <v>115</v>
      </c>
      <c r="C3225" s="46" t="s">
        <v>93</v>
      </c>
      <c r="D3225" s="46" t="s">
        <v>178</v>
      </c>
      <c r="E3225" s="46">
        <v>5</v>
      </c>
      <c r="F3225" s="46" t="s">
        <v>60</v>
      </c>
      <c r="G3225" s="46">
        <v>3</v>
      </c>
      <c r="H3225" s="47">
        <v>35</v>
      </c>
      <c r="I3225" s="47" t="s">
        <v>159</v>
      </c>
      <c r="J3225" s="48">
        <v>2</v>
      </c>
      <c r="K3225" s="48">
        <v>1</v>
      </c>
      <c r="R3225" s="46">
        <f t="shared" si="308"/>
        <v>0</v>
      </c>
      <c r="S3225" s="46">
        <f t="shared" si="309"/>
        <v>0</v>
      </c>
      <c r="T3225" s="46">
        <f t="shared" si="312"/>
        <v>40</v>
      </c>
      <c r="U3225" s="46">
        <f t="shared" si="310"/>
        <v>40</v>
      </c>
      <c r="V3225" s="54">
        <f t="shared" si="311"/>
        <v>24.310344827586206</v>
      </c>
    </row>
    <row r="3226" spans="1:22" x14ac:dyDescent="0.2">
      <c r="A3226" s="46" t="s">
        <v>183</v>
      </c>
      <c r="B3226" s="46" t="s">
        <v>115</v>
      </c>
      <c r="C3226" s="46" t="s">
        <v>93</v>
      </c>
      <c r="D3226" s="46" t="s">
        <v>178</v>
      </c>
      <c r="E3226" s="46">
        <v>5</v>
      </c>
      <c r="F3226" s="46" t="s">
        <v>60</v>
      </c>
      <c r="G3226" s="46">
        <v>4</v>
      </c>
      <c r="H3226" s="47">
        <v>44</v>
      </c>
      <c r="I3226" s="47" t="s">
        <v>102</v>
      </c>
      <c r="J3226" s="48">
        <v>4</v>
      </c>
      <c r="K3226" s="48">
        <v>1</v>
      </c>
      <c r="R3226" s="46">
        <f t="shared" si="308"/>
        <v>1</v>
      </c>
      <c r="S3226" s="46">
        <f t="shared" si="309"/>
        <v>0</v>
      </c>
      <c r="T3226" s="46">
        <f t="shared" si="312"/>
        <v>80</v>
      </c>
      <c r="U3226" s="46">
        <f t="shared" si="310"/>
        <v>80</v>
      </c>
      <c r="V3226" s="54">
        <f t="shared" si="311"/>
        <v>24.310344827586206</v>
      </c>
    </row>
    <row r="3227" spans="1:22" x14ac:dyDescent="0.2">
      <c r="A3227" s="46" t="s">
        <v>183</v>
      </c>
      <c r="B3227" s="46" t="s">
        <v>115</v>
      </c>
      <c r="C3227" s="46" t="s">
        <v>93</v>
      </c>
      <c r="D3227" s="46" t="s">
        <v>178</v>
      </c>
      <c r="E3227" s="46">
        <v>5</v>
      </c>
      <c r="F3227" s="46" t="s">
        <v>62</v>
      </c>
      <c r="G3227" s="46">
        <v>2</v>
      </c>
      <c r="H3227" s="47" t="s">
        <v>81</v>
      </c>
      <c r="I3227" s="47" t="s">
        <v>127</v>
      </c>
      <c r="J3227" s="48">
        <v>2</v>
      </c>
      <c r="K3227" s="48">
        <v>2</v>
      </c>
      <c r="R3227" s="46">
        <f t="shared" si="308"/>
        <v>0</v>
      </c>
      <c r="S3227" s="46">
        <f t="shared" si="309"/>
        <v>0</v>
      </c>
      <c r="T3227" s="46">
        <f t="shared" si="312"/>
        <v>30</v>
      </c>
      <c r="U3227" s="46">
        <f t="shared" si="310"/>
        <v>30</v>
      </c>
      <c r="V3227" s="54">
        <f t="shared" si="311"/>
        <v>24.310344827586206</v>
      </c>
    </row>
    <row r="3228" spans="1:22" x14ac:dyDescent="0.2">
      <c r="A3228" s="46" t="s">
        <v>183</v>
      </c>
      <c r="B3228" s="46" t="s">
        <v>115</v>
      </c>
      <c r="C3228" s="46" t="s">
        <v>93</v>
      </c>
      <c r="D3228" s="46" t="s">
        <v>178</v>
      </c>
      <c r="E3228" s="46">
        <v>5</v>
      </c>
      <c r="F3228" s="46" t="s">
        <v>62</v>
      </c>
      <c r="G3228" s="46">
        <v>2</v>
      </c>
      <c r="H3228" s="47" t="s">
        <v>82</v>
      </c>
      <c r="I3228" s="47" t="s">
        <v>127</v>
      </c>
      <c r="J3228" s="48">
        <v>1</v>
      </c>
      <c r="K3228" s="48">
        <v>1</v>
      </c>
      <c r="R3228" s="46">
        <f t="shared" si="308"/>
        <v>0</v>
      </c>
      <c r="S3228" s="46">
        <f t="shared" si="309"/>
        <v>0</v>
      </c>
      <c r="T3228" s="46">
        <f t="shared" si="312"/>
        <v>20</v>
      </c>
      <c r="U3228" s="46">
        <f t="shared" si="310"/>
        <v>20</v>
      </c>
      <c r="V3228" s="54">
        <f t="shared" si="311"/>
        <v>24.310344827586206</v>
      </c>
    </row>
    <row r="3229" spans="1:22" x14ac:dyDescent="0.2">
      <c r="A3229" s="46" t="s">
        <v>183</v>
      </c>
      <c r="B3229" s="46" t="s">
        <v>115</v>
      </c>
      <c r="C3229" s="46" t="s">
        <v>93</v>
      </c>
      <c r="D3229" s="46" t="s">
        <v>178</v>
      </c>
      <c r="E3229" s="46">
        <v>5</v>
      </c>
      <c r="F3229" s="46" t="s">
        <v>62</v>
      </c>
      <c r="G3229" s="46">
        <v>2</v>
      </c>
      <c r="H3229" s="47" t="s">
        <v>86</v>
      </c>
      <c r="I3229" s="47" t="s">
        <v>127</v>
      </c>
      <c r="J3229" s="48">
        <v>3</v>
      </c>
      <c r="K3229" s="48">
        <v>1</v>
      </c>
      <c r="R3229" s="46">
        <f t="shared" si="308"/>
        <v>0</v>
      </c>
      <c r="S3229" s="46">
        <f t="shared" si="309"/>
        <v>0</v>
      </c>
      <c r="T3229" s="46">
        <f t="shared" si="312"/>
        <v>60</v>
      </c>
      <c r="U3229" s="46">
        <f t="shared" si="310"/>
        <v>60</v>
      </c>
      <c r="V3229" s="54">
        <f t="shared" si="311"/>
        <v>24.310344827586206</v>
      </c>
    </row>
    <row r="3230" spans="1:22" x14ac:dyDescent="0.2">
      <c r="A3230" s="46" t="s">
        <v>183</v>
      </c>
      <c r="B3230" s="46" t="s">
        <v>115</v>
      </c>
      <c r="C3230" s="46" t="str">
        <f>VLOOKUP(B3230,$B$2:$C$3219,2,FALSE)</f>
        <v>Lighthouse</v>
      </c>
      <c r="D3230" s="46" t="s">
        <v>178</v>
      </c>
      <c r="E3230" s="46">
        <v>5</v>
      </c>
      <c r="F3230" s="46" t="s">
        <v>62</v>
      </c>
      <c r="G3230" s="46">
        <v>3</v>
      </c>
      <c r="H3230" s="47" t="s">
        <v>64</v>
      </c>
      <c r="I3230" s="47" t="s">
        <v>219</v>
      </c>
      <c r="J3230" s="48">
        <v>3</v>
      </c>
      <c r="K3230" s="48">
        <v>3</v>
      </c>
      <c r="R3230" s="46">
        <f t="shared" si="308"/>
        <v>0</v>
      </c>
      <c r="S3230" s="46">
        <f t="shared" si="309"/>
        <v>1</v>
      </c>
      <c r="T3230" s="46">
        <f t="shared" si="312"/>
        <v>40</v>
      </c>
      <c r="U3230" s="46">
        <f t="shared" si="310"/>
        <v>40</v>
      </c>
      <c r="V3230" s="54">
        <f t="shared" si="311"/>
        <v>24.310344827586206</v>
      </c>
    </row>
    <row r="3231" spans="1:22" x14ac:dyDescent="0.2">
      <c r="A3231" s="46" t="s">
        <v>183</v>
      </c>
      <c r="B3231" s="46" t="s">
        <v>115</v>
      </c>
      <c r="C3231" s="46" t="str">
        <f>VLOOKUP(B3231,$B$2:$C$3219,2,FALSE)</f>
        <v>Lighthouse</v>
      </c>
      <c r="D3231" s="46" t="s">
        <v>178</v>
      </c>
      <c r="E3231" s="46">
        <v>5</v>
      </c>
      <c r="F3231" s="46" t="s">
        <v>62</v>
      </c>
      <c r="G3231" s="46">
        <v>3</v>
      </c>
      <c r="H3231" s="47" t="s">
        <v>83</v>
      </c>
      <c r="I3231" s="47" t="s">
        <v>219</v>
      </c>
      <c r="J3231" s="48">
        <v>0</v>
      </c>
      <c r="K3231" s="48">
        <v>3</v>
      </c>
      <c r="R3231" s="46">
        <f t="shared" si="308"/>
        <v>0</v>
      </c>
      <c r="S3231" s="46">
        <f t="shared" si="309"/>
        <v>1</v>
      </c>
      <c r="U3231" s="46">
        <f t="shared" si="310"/>
        <v>0</v>
      </c>
      <c r="V3231" s="54">
        <f t="shared" si="311"/>
        <v>24.310344827586206</v>
      </c>
    </row>
    <row r="3232" spans="1:22" x14ac:dyDescent="0.2">
      <c r="A3232" s="46" t="s">
        <v>187</v>
      </c>
      <c r="B3232" s="46" t="s">
        <v>120</v>
      </c>
      <c r="C3232" s="46" t="s">
        <v>54</v>
      </c>
      <c r="D3232" s="46" t="s">
        <v>178</v>
      </c>
      <c r="E3232" s="46">
        <v>2</v>
      </c>
      <c r="F3232" s="46" t="s">
        <v>60</v>
      </c>
      <c r="G3232" s="46">
        <v>1</v>
      </c>
      <c r="H3232" s="47">
        <v>1</v>
      </c>
      <c r="I3232" s="47" t="s">
        <v>101</v>
      </c>
      <c r="J3232" s="48">
        <v>0</v>
      </c>
      <c r="K3232" s="48">
        <v>0</v>
      </c>
      <c r="N3232" s="48">
        <v>1</v>
      </c>
      <c r="R3232" s="46">
        <f t="shared" si="308"/>
        <v>0</v>
      </c>
      <c r="S3232" s="46">
        <f t="shared" si="309"/>
        <v>0</v>
      </c>
      <c r="T3232" s="46">
        <f t="shared" ref="T3232:T3275" si="313">quizscore(J3232,K3232)</f>
        <v>0</v>
      </c>
      <c r="U3232" s="46">
        <f t="shared" si="310"/>
        <v>-5</v>
      </c>
      <c r="V3232" s="54">
        <f t="shared" si="311"/>
        <v>6.5</v>
      </c>
    </row>
    <row r="3233" spans="1:22" x14ac:dyDescent="0.2">
      <c r="A3233" s="46" t="s">
        <v>187</v>
      </c>
      <c r="B3233" s="46" t="s">
        <v>120</v>
      </c>
      <c r="C3233" s="46" t="s">
        <v>54</v>
      </c>
      <c r="D3233" s="46" t="s">
        <v>178</v>
      </c>
      <c r="E3233" s="46">
        <v>4</v>
      </c>
      <c r="F3233" s="46" t="s">
        <v>60</v>
      </c>
      <c r="G3233" s="46">
        <v>1</v>
      </c>
      <c r="H3233" s="47">
        <v>1</v>
      </c>
      <c r="I3233" s="47" t="s">
        <v>101</v>
      </c>
      <c r="J3233" s="48">
        <v>0</v>
      </c>
      <c r="K3233" s="48">
        <v>0</v>
      </c>
      <c r="R3233" s="46">
        <f t="shared" si="308"/>
        <v>0</v>
      </c>
      <c r="S3233" s="46">
        <f t="shared" si="309"/>
        <v>0</v>
      </c>
      <c r="T3233" s="46">
        <f t="shared" si="313"/>
        <v>0</v>
      </c>
      <c r="U3233" s="46">
        <f t="shared" si="310"/>
        <v>0</v>
      </c>
      <c r="V3233" s="54">
        <f t="shared" si="311"/>
        <v>6.5</v>
      </c>
    </row>
    <row r="3234" spans="1:22" x14ac:dyDescent="0.2">
      <c r="A3234" s="46" t="s">
        <v>187</v>
      </c>
      <c r="B3234" s="46" t="s">
        <v>120</v>
      </c>
      <c r="C3234" s="46" t="s">
        <v>54</v>
      </c>
      <c r="D3234" s="46" t="s">
        <v>178</v>
      </c>
      <c r="E3234" s="46">
        <v>1</v>
      </c>
      <c r="F3234" s="46" t="s">
        <v>60</v>
      </c>
      <c r="G3234" s="46">
        <v>1</v>
      </c>
      <c r="H3234" s="47">
        <v>5</v>
      </c>
      <c r="I3234" s="47" t="s">
        <v>101</v>
      </c>
      <c r="J3234" s="48">
        <v>0</v>
      </c>
      <c r="K3234" s="48">
        <v>0</v>
      </c>
      <c r="R3234" s="46">
        <f t="shared" si="308"/>
        <v>0</v>
      </c>
      <c r="S3234" s="46">
        <f t="shared" si="309"/>
        <v>0</v>
      </c>
      <c r="T3234" s="46">
        <f t="shared" si="313"/>
        <v>0</v>
      </c>
      <c r="U3234" s="46">
        <f t="shared" si="310"/>
        <v>0</v>
      </c>
      <c r="V3234" s="54">
        <f t="shared" si="311"/>
        <v>6.5</v>
      </c>
    </row>
    <row r="3235" spans="1:22" x14ac:dyDescent="0.2">
      <c r="A3235" s="46" t="s">
        <v>187</v>
      </c>
      <c r="B3235" s="46" t="s">
        <v>120</v>
      </c>
      <c r="C3235" s="46" t="s">
        <v>54</v>
      </c>
      <c r="D3235" s="46" t="s">
        <v>178</v>
      </c>
      <c r="E3235" s="46">
        <v>2</v>
      </c>
      <c r="F3235" s="46" t="s">
        <v>60</v>
      </c>
      <c r="G3235" s="46">
        <v>1</v>
      </c>
      <c r="H3235" s="47">
        <v>9</v>
      </c>
      <c r="I3235" s="47" t="s">
        <v>101</v>
      </c>
      <c r="J3235" s="48">
        <v>0</v>
      </c>
      <c r="K3235" s="48">
        <v>0</v>
      </c>
      <c r="R3235" s="46">
        <f t="shared" si="308"/>
        <v>0</v>
      </c>
      <c r="S3235" s="46">
        <f t="shared" si="309"/>
        <v>0</v>
      </c>
      <c r="T3235" s="46">
        <f t="shared" si="313"/>
        <v>0</v>
      </c>
      <c r="U3235" s="46">
        <f t="shared" si="310"/>
        <v>0</v>
      </c>
      <c r="V3235" s="54">
        <f t="shared" si="311"/>
        <v>6.5</v>
      </c>
    </row>
    <row r="3236" spans="1:22" x14ac:dyDescent="0.2">
      <c r="A3236" s="46" t="s">
        <v>187</v>
      </c>
      <c r="B3236" s="46" t="s">
        <v>120</v>
      </c>
      <c r="C3236" s="46" t="s">
        <v>54</v>
      </c>
      <c r="D3236" s="46" t="s">
        <v>178</v>
      </c>
      <c r="E3236" s="46">
        <v>4</v>
      </c>
      <c r="F3236" s="46" t="s">
        <v>60</v>
      </c>
      <c r="G3236" s="46">
        <v>3</v>
      </c>
      <c r="H3236" s="47">
        <v>11</v>
      </c>
      <c r="I3236" s="47" t="s">
        <v>159</v>
      </c>
      <c r="J3236" s="48">
        <v>0</v>
      </c>
      <c r="K3236" s="48">
        <v>0</v>
      </c>
      <c r="R3236" s="46">
        <f t="shared" si="308"/>
        <v>0</v>
      </c>
      <c r="S3236" s="46">
        <f t="shared" si="309"/>
        <v>0</v>
      </c>
      <c r="T3236" s="46">
        <f t="shared" si="313"/>
        <v>0</v>
      </c>
      <c r="U3236" s="46">
        <f t="shared" si="310"/>
        <v>0</v>
      </c>
      <c r="V3236" s="54">
        <f t="shared" si="311"/>
        <v>6.5</v>
      </c>
    </row>
    <row r="3237" spans="1:22" x14ac:dyDescent="0.2">
      <c r="A3237" s="46" t="s">
        <v>187</v>
      </c>
      <c r="B3237" s="46" t="s">
        <v>120</v>
      </c>
      <c r="C3237" s="46" t="s">
        <v>54</v>
      </c>
      <c r="D3237" s="46" t="s">
        <v>178</v>
      </c>
      <c r="E3237" s="46">
        <v>1</v>
      </c>
      <c r="F3237" s="46" t="s">
        <v>60</v>
      </c>
      <c r="G3237" s="46">
        <v>2</v>
      </c>
      <c r="H3237" s="47">
        <v>14</v>
      </c>
      <c r="I3237" s="47" t="s">
        <v>127</v>
      </c>
      <c r="J3237" s="48">
        <v>0</v>
      </c>
      <c r="K3237" s="48">
        <v>0</v>
      </c>
      <c r="R3237" s="46">
        <f t="shared" si="308"/>
        <v>0</v>
      </c>
      <c r="S3237" s="46">
        <f t="shared" si="309"/>
        <v>0</v>
      </c>
      <c r="T3237" s="46">
        <f t="shared" si="313"/>
        <v>0</v>
      </c>
      <c r="U3237" s="46">
        <f t="shared" si="310"/>
        <v>0</v>
      </c>
      <c r="V3237" s="54">
        <f t="shared" si="311"/>
        <v>6.5</v>
      </c>
    </row>
    <row r="3238" spans="1:22" x14ac:dyDescent="0.2">
      <c r="A3238" s="46" t="s">
        <v>187</v>
      </c>
      <c r="B3238" s="46" t="s">
        <v>120</v>
      </c>
      <c r="C3238" s="46" t="s">
        <v>54</v>
      </c>
      <c r="D3238" s="46" t="s">
        <v>178</v>
      </c>
      <c r="E3238" s="46">
        <v>4</v>
      </c>
      <c r="F3238" s="46" t="s">
        <v>60</v>
      </c>
      <c r="G3238" s="46">
        <v>1</v>
      </c>
      <c r="H3238" s="47">
        <v>17</v>
      </c>
      <c r="I3238" s="47" t="s">
        <v>101</v>
      </c>
      <c r="J3238" s="48">
        <v>0</v>
      </c>
      <c r="K3238" s="48">
        <v>0</v>
      </c>
      <c r="R3238" s="46">
        <f t="shared" si="308"/>
        <v>0</v>
      </c>
      <c r="S3238" s="46">
        <f t="shared" si="309"/>
        <v>0</v>
      </c>
      <c r="T3238" s="46">
        <f t="shared" si="313"/>
        <v>0</v>
      </c>
      <c r="U3238" s="46">
        <f t="shared" si="310"/>
        <v>0</v>
      </c>
      <c r="V3238" s="54">
        <f t="shared" si="311"/>
        <v>6.5</v>
      </c>
    </row>
    <row r="3239" spans="1:22" x14ac:dyDescent="0.2">
      <c r="A3239" s="46" t="s">
        <v>187</v>
      </c>
      <c r="B3239" s="46" t="s">
        <v>120</v>
      </c>
      <c r="C3239" s="46" t="s">
        <v>54</v>
      </c>
      <c r="D3239" s="46" t="s">
        <v>178</v>
      </c>
      <c r="E3239" s="46">
        <v>1</v>
      </c>
      <c r="F3239" s="46" t="s">
        <v>60</v>
      </c>
      <c r="G3239" s="46">
        <v>2</v>
      </c>
      <c r="H3239" s="47">
        <v>22</v>
      </c>
      <c r="I3239" s="47" t="s">
        <v>127</v>
      </c>
      <c r="J3239" s="48">
        <v>0</v>
      </c>
      <c r="K3239" s="48">
        <v>0</v>
      </c>
      <c r="R3239" s="46">
        <f t="shared" si="308"/>
        <v>0</v>
      </c>
      <c r="S3239" s="46">
        <f t="shared" si="309"/>
        <v>0</v>
      </c>
      <c r="T3239" s="46">
        <f t="shared" si="313"/>
        <v>0</v>
      </c>
      <c r="U3239" s="46">
        <f t="shared" si="310"/>
        <v>0</v>
      </c>
      <c r="V3239" s="54">
        <f t="shared" si="311"/>
        <v>6.5</v>
      </c>
    </row>
    <row r="3240" spans="1:22" x14ac:dyDescent="0.2">
      <c r="A3240" s="46" t="s">
        <v>187</v>
      </c>
      <c r="B3240" s="46" t="s">
        <v>120</v>
      </c>
      <c r="C3240" s="46" t="s">
        <v>54</v>
      </c>
      <c r="D3240" s="46" t="s">
        <v>178</v>
      </c>
      <c r="E3240" s="46">
        <v>3</v>
      </c>
      <c r="F3240" s="46" t="s">
        <v>60</v>
      </c>
      <c r="G3240" s="46">
        <v>4</v>
      </c>
      <c r="H3240" s="47">
        <v>24</v>
      </c>
      <c r="I3240" s="47" t="s">
        <v>102</v>
      </c>
      <c r="J3240" s="48">
        <v>0</v>
      </c>
      <c r="K3240" s="48">
        <v>0</v>
      </c>
      <c r="R3240" s="46">
        <f t="shared" si="308"/>
        <v>0</v>
      </c>
      <c r="S3240" s="46">
        <f t="shared" si="309"/>
        <v>0</v>
      </c>
      <c r="T3240" s="46">
        <f t="shared" si="313"/>
        <v>0</v>
      </c>
      <c r="U3240" s="46">
        <f t="shared" si="310"/>
        <v>0</v>
      </c>
      <c r="V3240" s="54">
        <f t="shared" si="311"/>
        <v>6.5</v>
      </c>
    </row>
    <row r="3241" spans="1:22" x14ac:dyDescent="0.2">
      <c r="A3241" s="46" t="s">
        <v>187</v>
      </c>
      <c r="B3241" s="46" t="s">
        <v>120</v>
      </c>
      <c r="C3241" s="46" t="s">
        <v>54</v>
      </c>
      <c r="D3241" s="46" t="s">
        <v>178</v>
      </c>
      <c r="E3241" s="46">
        <v>4</v>
      </c>
      <c r="F3241" s="46" t="s">
        <v>60</v>
      </c>
      <c r="G3241" s="46">
        <v>4</v>
      </c>
      <c r="H3241" s="47">
        <v>28</v>
      </c>
      <c r="I3241" s="47" t="s">
        <v>102</v>
      </c>
      <c r="J3241" s="48">
        <v>0</v>
      </c>
      <c r="K3241" s="48">
        <v>1</v>
      </c>
      <c r="R3241" s="46">
        <f t="shared" si="308"/>
        <v>0</v>
      </c>
      <c r="S3241" s="46">
        <f t="shared" si="309"/>
        <v>0</v>
      </c>
      <c r="T3241" s="46">
        <f t="shared" si="313"/>
        <v>0</v>
      </c>
      <c r="U3241" s="46">
        <f t="shared" si="310"/>
        <v>0</v>
      </c>
      <c r="V3241" s="54">
        <f t="shared" si="311"/>
        <v>6.5</v>
      </c>
    </row>
    <row r="3242" spans="1:22" x14ac:dyDescent="0.2">
      <c r="A3242" s="46" t="s">
        <v>187</v>
      </c>
      <c r="B3242" s="46" t="s">
        <v>120</v>
      </c>
      <c r="C3242" s="46" t="s">
        <v>54</v>
      </c>
      <c r="D3242" s="46" t="s">
        <v>178</v>
      </c>
      <c r="E3242" s="46">
        <v>3</v>
      </c>
      <c r="F3242" s="46" t="s">
        <v>60</v>
      </c>
      <c r="G3242" s="46">
        <v>1</v>
      </c>
      <c r="H3242" s="47">
        <v>29</v>
      </c>
      <c r="I3242" s="47" t="s">
        <v>101</v>
      </c>
      <c r="J3242" s="48">
        <v>0</v>
      </c>
      <c r="K3242" s="48">
        <v>0</v>
      </c>
      <c r="R3242" s="46">
        <f t="shared" si="308"/>
        <v>0</v>
      </c>
      <c r="S3242" s="46">
        <f t="shared" si="309"/>
        <v>0</v>
      </c>
      <c r="T3242" s="46">
        <f t="shared" si="313"/>
        <v>0</v>
      </c>
      <c r="U3242" s="46">
        <f t="shared" si="310"/>
        <v>0</v>
      </c>
      <c r="V3242" s="54">
        <f t="shared" si="311"/>
        <v>6.5</v>
      </c>
    </row>
    <row r="3243" spans="1:22" x14ac:dyDescent="0.2">
      <c r="A3243" s="46" t="s">
        <v>187</v>
      </c>
      <c r="B3243" s="46" t="s">
        <v>120</v>
      </c>
      <c r="C3243" s="46" t="s">
        <v>54</v>
      </c>
      <c r="D3243" s="46" t="s">
        <v>178</v>
      </c>
      <c r="E3243" s="46">
        <v>4</v>
      </c>
      <c r="F3243" s="46" t="s">
        <v>60</v>
      </c>
      <c r="G3243" s="46">
        <v>2</v>
      </c>
      <c r="H3243" s="47">
        <v>34</v>
      </c>
      <c r="I3243" s="47" t="s">
        <v>127</v>
      </c>
      <c r="J3243" s="48">
        <v>0</v>
      </c>
      <c r="K3243" s="48">
        <v>0</v>
      </c>
      <c r="R3243" s="46">
        <f t="shared" si="308"/>
        <v>0</v>
      </c>
      <c r="S3243" s="46">
        <f t="shared" si="309"/>
        <v>0</v>
      </c>
      <c r="T3243" s="46">
        <f t="shared" si="313"/>
        <v>0</v>
      </c>
      <c r="U3243" s="46">
        <f t="shared" si="310"/>
        <v>0</v>
      </c>
      <c r="V3243" s="54">
        <f t="shared" si="311"/>
        <v>6.5</v>
      </c>
    </row>
    <row r="3244" spans="1:22" x14ac:dyDescent="0.2">
      <c r="A3244" s="46" t="s">
        <v>187</v>
      </c>
      <c r="B3244" s="46" t="s">
        <v>120</v>
      </c>
      <c r="C3244" s="46" t="s">
        <v>54</v>
      </c>
      <c r="D3244" s="46" t="s">
        <v>178</v>
      </c>
      <c r="E3244" s="46">
        <v>3</v>
      </c>
      <c r="F3244" s="46" t="s">
        <v>60</v>
      </c>
      <c r="G3244" s="46">
        <v>2</v>
      </c>
      <c r="H3244" s="47">
        <v>38</v>
      </c>
      <c r="I3244" s="47" t="s">
        <v>127</v>
      </c>
      <c r="J3244" s="48">
        <v>0</v>
      </c>
      <c r="K3244" s="48">
        <v>0</v>
      </c>
      <c r="R3244" s="46">
        <f t="shared" si="308"/>
        <v>0</v>
      </c>
      <c r="S3244" s="46">
        <f t="shared" si="309"/>
        <v>0</v>
      </c>
      <c r="T3244" s="46">
        <f t="shared" si="313"/>
        <v>0</v>
      </c>
      <c r="U3244" s="46">
        <f t="shared" si="310"/>
        <v>0</v>
      </c>
      <c r="V3244" s="54">
        <f t="shared" si="311"/>
        <v>6.5</v>
      </c>
    </row>
    <row r="3245" spans="1:22" x14ac:dyDescent="0.2">
      <c r="A3245" s="46" t="s">
        <v>187</v>
      </c>
      <c r="B3245" s="46" t="s">
        <v>120</v>
      </c>
      <c r="C3245" s="46" t="s">
        <v>54</v>
      </c>
      <c r="D3245" s="46" t="s">
        <v>178</v>
      </c>
      <c r="E3245" s="46">
        <v>1</v>
      </c>
      <c r="F3245" s="46" t="s">
        <v>60</v>
      </c>
      <c r="G3245" s="46">
        <v>4</v>
      </c>
      <c r="H3245" s="47">
        <v>40</v>
      </c>
      <c r="I3245" s="47" t="s">
        <v>102</v>
      </c>
      <c r="J3245" s="48">
        <v>0</v>
      </c>
      <c r="K3245" s="48">
        <v>0</v>
      </c>
      <c r="R3245" s="46">
        <f t="shared" si="308"/>
        <v>0</v>
      </c>
      <c r="S3245" s="46">
        <f t="shared" si="309"/>
        <v>0</v>
      </c>
      <c r="T3245" s="46">
        <f t="shared" si="313"/>
        <v>0</v>
      </c>
      <c r="U3245" s="46">
        <f t="shared" si="310"/>
        <v>0</v>
      </c>
      <c r="V3245" s="54">
        <f t="shared" si="311"/>
        <v>6.5</v>
      </c>
    </row>
    <row r="3246" spans="1:22" x14ac:dyDescent="0.2">
      <c r="A3246" s="46" t="s">
        <v>187</v>
      </c>
      <c r="B3246" s="46" t="s">
        <v>120</v>
      </c>
      <c r="C3246" s="46" t="s">
        <v>54</v>
      </c>
      <c r="D3246" s="46" t="s">
        <v>178</v>
      </c>
      <c r="E3246" s="46">
        <v>3</v>
      </c>
      <c r="F3246" s="46" t="s">
        <v>60</v>
      </c>
      <c r="G3246" s="46">
        <v>3</v>
      </c>
      <c r="H3246" s="47">
        <v>43</v>
      </c>
      <c r="I3246" s="47" t="s">
        <v>116</v>
      </c>
      <c r="J3246" s="48">
        <v>0</v>
      </c>
      <c r="K3246" s="48">
        <v>0</v>
      </c>
      <c r="R3246" s="46">
        <f t="shared" si="308"/>
        <v>0</v>
      </c>
      <c r="S3246" s="46">
        <f t="shared" si="309"/>
        <v>0</v>
      </c>
      <c r="T3246" s="46">
        <f t="shared" si="313"/>
        <v>0</v>
      </c>
      <c r="U3246" s="46">
        <f t="shared" si="310"/>
        <v>0</v>
      </c>
      <c r="V3246" s="54">
        <f t="shared" si="311"/>
        <v>6.5</v>
      </c>
    </row>
    <row r="3247" spans="1:22" x14ac:dyDescent="0.2">
      <c r="A3247" s="46" t="s">
        <v>187</v>
      </c>
      <c r="B3247" s="46" t="s">
        <v>120</v>
      </c>
      <c r="C3247" s="46" t="s">
        <v>54</v>
      </c>
      <c r="D3247" s="46" t="s">
        <v>178</v>
      </c>
      <c r="E3247" s="46">
        <v>4</v>
      </c>
      <c r="F3247" s="46" t="s">
        <v>60</v>
      </c>
      <c r="G3247" s="46">
        <v>4</v>
      </c>
      <c r="H3247" s="47">
        <v>44</v>
      </c>
      <c r="I3247" s="47" t="s">
        <v>102</v>
      </c>
      <c r="J3247" s="48">
        <v>0</v>
      </c>
      <c r="K3247" s="48">
        <v>0</v>
      </c>
      <c r="R3247" s="46">
        <f t="shared" si="308"/>
        <v>0</v>
      </c>
      <c r="S3247" s="46">
        <f t="shared" si="309"/>
        <v>0</v>
      </c>
      <c r="T3247" s="46">
        <f t="shared" si="313"/>
        <v>0</v>
      </c>
      <c r="U3247" s="46">
        <f t="shared" si="310"/>
        <v>0</v>
      </c>
      <c r="V3247" s="54">
        <f t="shared" si="311"/>
        <v>6.5</v>
      </c>
    </row>
    <row r="3248" spans="1:22" x14ac:dyDescent="0.2">
      <c r="A3248" s="46" t="s">
        <v>187</v>
      </c>
      <c r="B3248" s="46" t="s">
        <v>120</v>
      </c>
      <c r="C3248" s="46" t="s">
        <v>54</v>
      </c>
      <c r="D3248" s="46" t="s">
        <v>178</v>
      </c>
      <c r="E3248" s="46">
        <v>1</v>
      </c>
      <c r="F3248" s="46" t="s">
        <v>60</v>
      </c>
      <c r="G3248" s="46">
        <v>3</v>
      </c>
      <c r="H3248" s="47">
        <v>47</v>
      </c>
      <c r="I3248" s="47" t="s">
        <v>116</v>
      </c>
      <c r="J3248" s="48">
        <v>0</v>
      </c>
      <c r="K3248" s="48">
        <v>0</v>
      </c>
      <c r="R3248" s="46">
        <f t="shared" si="308"/>
        <v>0</v>
      </c>
      <c r="S3248" s="46">
        <f t="shared" si="309"/>
        <v>0</v>
      </c>
      <c r="T3248" s="46">
        <f t="shared" si="313"/>
        <v>0</v>
      </c>
      <c r="U3248" s="46">
        <f t="shared" si="310"/>
        <v>0</v>
      </c>
      <c r="V3248" s="54">
        <f t="shared" si="311"/>
        <v>6.5</v>
      </c>
    </row>
    <row r="3249" spans="1:22" x14ac:dyDescent="0.2">
      <c r="A3249" s="46" t="s">
        <v>187</v>
      </c>
      <c r="B3249" s="46" t="s">
        <v>120</v>
      </c>
      <c r="C3249" s="46" t="s">
        <v>54</v>
      </c>
      <c r="D3249" s="46" t="s">
        <v>178</v>
      </c>
      <c r="E3249" s="46">
        <v>2</v>
      </c>
      <c r="F3249" s="46" t="s">
        <v>60</v>
      </c>
      <c r="G3249" s="46">
        <v>2</v>
      </c>
      <c r="H3249" s="47">
        <v>50</v>
      </c>
      <c r="I3249" s="47" t="s">
        <v>127</v>
      </c>
      <c r="J3249" s="48">
        <v>0</v>
      </c>
      <c r="K3249" s="48">
        <v>0</v>
      </c>
      <c r="R3249" s="46">
        <f t="shared" si="308"/>
        <v>0</v>
      </c>
      <c r="S3249" s="46">
        <f t="shared" si="309"/>
        <v>0</v>
      </c>
      <c r="T3249" s="46">
        <f t="shared" si="313"/>
        <v>0</v>
      </c>
      <c r="U3249" s="46">
        <f t="shared" si="310"/>
        <v>0</v>
      </c>
      <c r="V3249" s="54">
        <f t="shared" si="311"/>
        <v>6.5</v>
      </c>
    </row>
    <row r="3250" spans="1:22" x14ac:dyDescent="0.2">
      <c r="A3250" s="46" t="s">
        <v>187</v>
      </c>
      <c r="B3250" s="46" t="s">
        <v>120</v>
      </c>
      <c r="C3250" s="46" t="s">
        <v>54</v>
      </c>
      <c r="D3250" s="46" t="s">
        <v>178</v>
      </c>
      <c r="E3250" s="46">
        <v>3</v>
      </c>
      <c r="F3250" s="46" t="s">
        <v>62</v>
      </c>
      <c r="G3250" s="46">
        <v>2</v>
      </c>
      <c r="H3250" s="47" t="s">
        <v>81</v>
      </c>
      <c r="I3250" s="47" t="s">
        <v>127</v>
      </c>
      <c r="J3250" s="48">
        <v>0</v>
      </c>
      <c r="K3250" s="48">
        <v>0</v>
      </c>
      <c r="R3250" s="46">
        <f t="shared" si="308"/>
        <v>0</v>
      </c>
      <c r="S3250" s="46">
        <f t="shared" si="309"/>
        <v>0</v>
      </c>
      <c r="T3250" s="46">
        <f t="shared" si="313"/>
        <v>0</v>
      </c>
      <c r="U3250" s="46">
        <f t="shared" si="310"/>
        <v>0</v>
      </c>
      <c r="V3250" s="54">
        <f t="shared" si="311"/>
        <v>6.5</v>
      </c>
    </row>
    <row r="3251" spans="1:22" x14ac:dyDescent="0.2">
      <c r="A3251" s="46" t="s">
        <v>187</v>
      </c>
      <c r="B3251" s="46" t="s">
        <v>120</v>
      </c>
      <c r="C3251" s="46" t="s">
        <v>54</v>
      </c>
      <c r="D3251" s="46" t="s">
        <v>178</v>
      </c>
      <c r="E3251" s="46">
        <v>1</v>
      </c>
      <c r="F3251" s="46" t="s">
        <v>62</v>
      </c>
      <c r="G3251" s="46">
        <v>3</v>
      </c>
      <c r="H3251" s="47" t="s">
        <v>85</v>
      </c>
      <c r="I3251" s="47" t="s">
        <v>116</v>
      </c>
      <c r="J3251" s="48">
        <v>0</v>
      </c>
      <c r="K3251" s="48">
        <v>1</v>
      </c>
      <c r="R3251" s="46">
        <f t="shared" si="308"/>
        <v>0</v>
      </c>
      <c r="S3251" s="46">
        <f t="shared" si="309"/>
        <v>0</v>
      </c>
      <c r="T3251" s="46">
        <f t="shared" si="313"/>
        <v>0</v>
      </c>
      <c r="U3251" s="46">
        <f t="shared" si="310"/>
        <v>0</v>
      </c>
      <c r="V3251" s="54">
        <f t="shared" si="311"/>
        <v>6.5</v>
      </c>
    </row>
    <row r="3252" spans="1:22" x14ac:dyDescent="0.2">
      <c r="A3252" s="46" t="s">
        <v>187</v>
      </c>
      <c r="B3252" s="46" t="s">
        <v>120</v>
      </c>
      <c r="C3252" s="46" t="s">
        <v>54</v>
      </c>
      <c r="D3252" s="46" t="s">
        <v>178</v>
      </c>
      <c r="E3252" s="46">
        <v>2</v>
      </c>
      <c r="F3252" s="46" t="s">
        <v>62</v>
      </c>
      <c r="G3252" s="46">
        <v>3</v>
      </c>
      <c r="H3252" s="47" t="s">
        <v>85</v>
      </c>
      <c r="I3252" s="47" t="s">
        <v>116</v>
      </c>
      <c r="J3252" s="48">
        <v>0</v>
      </c>
      <c r="K3252" s="48">
        <v>1</v>
      </c>
      <c r="R3252" s="46">
        <f t="shared" si="308"/>
        <v>0</v>
      </c>
      <c r="S3252" s="46">
        <f t="shared" si="309"/>
        <v>0</v>
      </c>
      <c r="T3252" s="46">
        <f t="shared" si="313"/>
        <v>0</v>
      </c>
      <c r="U3252" s="46">
        <f t="shared" si="310"/>
        <v>0</v>
      </c>
      <c r="V3252" s="54">
        <f t="shared" si="311"/>
        <v>6.5</v>
      </c>
    </row>
    <row r="3253" spans="1:22" x14ac:dyDescent="0.2">
      <c r="A3253" s="46" t="s">
        <v>187</v>
      </c>
      <c r="B3253" s="46" t="s">
        <v>120</v>
      </c>
      <c r="C3253" s="46" t="s">
        <v>54</v>
      </c>
      <c r="D3253" s="46" t="s">
        <v>178</v>
      </c>
      <c r="E3253" s="46">
        <v>3</v>
      </c>
      <c r="F3253" s="46" t="s">
        <v>62</v>
      </c>
      <c r="G3253" s="46">
        <v>2</v>
      </c>
      <c r="H3253" s="47" t="s">
        <v>86</v>
      </c>
      <c r="I3253" s="47" t="s">
        <v>127</v>
      </c>
      <c r="J3253" s="48">
        <v>0</v>
      </c>
      <c r="K3253" s="48">
        <v>0</v>
      </c>
      <c r="R3253" s="46">
        <f t="shared" si="308"/>
        <v>0</v>
      </c>
      <c r="S3253" s="46">
        <f t="shared" si="309"/>
        <v>0</v>
      </c>
      <c r="T3253" s="46">
        <f t="shared" si="313"/>
        <v>0</v>
      </c>
      <c r="U3253" s="46">
        <f t="shared" si="310"/>
        <v>0</v>
      </c>
      <c r="V3253" s="54">
        <f t="shared" si="311"/>
        <v>6.5</v>
      </c>
    </row>
    <row r="3254" spans="1:22" x14ac:dyDescent="0.2">
      <c r="A3254" s="46" t="s">
        <v>187</v>
      </c>
      <c r="B3254" s="46" t="s">
        <v>120</v>
      </c>
      <c r="C3254" s="46" t="s">
        <v>54</v>
      </c>
      <c r="D3254" s="46" t="s">
        <v>178</v>
      </c>
      <c r="E3254" s="46">
        <v>3</v>
      </c>
      <c r="F3254" s="46" t="s">
        <v>62</v>
      </c>
      <c r="G3254" s="46">
        <v>3</v>
      </c>
      <c r="H3254" s="47" t="s">
        <v>64</v>
      </c>
      <c r="I3254" s="47" t="s">
        <v>116</v>
      </c>
      <c r="J3254" s="48">
        <v>0</v>
      </c>
      <c r="K3254" s="48">
        <v>0</v>
      </c>
      <c r="R3254" s="46">
        <f t="shared" si="308"/>
        <v>0</v>
      </c>
      <c r="S3254" s="46">
        <f t="shared" si="309"/>
        <v>0</v>
      </c>
      <c r="T3254" s="46">
        <f t="shared" si="313"/>
        <v>0</v>
      </c>
      <c r="U3254" s="46">
        <f t="shared" si="310"/>
        <v>0</v>
      </c>
      <c r="V3254" s="54">
        <f t="shared" si="311"/>
        <v>6.5</v>
      </c>
    </row>
    <row r="3255" spans="1:22" x14ac:dyDescent="0.2">
      <c r="A3255" s="46" t="s">
        <v>187</v>
      </c>
      <c r="B3255" s="46" t="s">
        <v>120</v>
      </c>
      <c r="C3255" s="46" t="s">
        <v>54</v>
      </c>
      <c r="D3255" s="46" t="s">
        <v>178</v>
      </c>
      <c r="E3255" s="46">
        <v>4</v>
      </c>
      <c r="F3255" s="46" t="s">
        <v>63</v>
      </c>
      <c r="G3255" s="46">
        <v>4</v>
      </c>
      <c r="H3255" s="47" t="s">
        <v>146</v>
      </c>
      <c r="I3255" s="47" t="s">
        <v>102</v>
      </c>
      <c r="J3255" s="48">
        <v>0</v>
      </c>
      <c r="K3255" s="48">
        <v>0</v>
      </c>
      <c r="R3255" s="46">
        <f t="shared" si="308"/>
        <v>0</v>
      </c>
      <c r="S3255" s="46">
        <f t="shared" si="309"/>
        <v>0</v>
      </c>
      <c r="T3255" s="46">
        <f t="shared" si="313"/>
        <v>0</v>
      </c>
      <c r="U3255" s="46">
        <f t="shared" si="310"/>
        <v>0</v>
      </c>
      <c r="V3255" s="54">
        <f t="shared" si="311"/>
        <v>6.5</v>
      </c>
    </row>
    <row r="3256" spans="1:22" x14ac:dyDescent="0.2">
      <c r="A3256" s="46" t="s">
        <v>187</v>
      </c>
      <c r="B3256" s="46" t="s">
        <v>120</v>
      </c>
      <c r="C3256" s="46" t="s">
        <v>54</v>
      </c>
      <c r="D3256" s="46" t="s">
        <v>178</v>
      </c>
      <c r="E3256" s="46">
        <v>4</v>
      </c>
      <c r="F3256" s="46" t="s">
        <v>63</v>
      </c>
      <c r="G3256" s="46">
        <v>4</v>
      </c>
      <c r="H3256" s="47" t="s">
        <v>147</v>
      </c>
      <c r="I3256" s="47" t="s">
        <v>102</v>
      </c>
      <c r="J3256" s="48">
        <v>0</v>
      </c>
      <c r="K3256" s="48">
        <v>0</v>
      </c>
      <c r="R3256" s="46">
        <f t="shared" si="308"/>
        <v>0</v>
      </c>
      <c r="S3256" s="46">
        <f t="shared" si="309"/>
        <v>0</v>
      </c>
      <c r="T3256" s="46">
        <f t="shared" si="313"/>
        <v>0</v>
      </c>
      <c r="U3256" s="46">
        <f t="shared" si="310"/>
        <v>0</v>
      </c>
      <c r="V3256" s="54">
        <f t="shared" si="311"/>
        <v>6.5</v>
      </c>
    </row>
    <row r="3257" spans="1:22" x14ac:dyDescent="0.2">
      <c r="A3257" s="46" t="s">
        <v>187</v>
      </c>
      <c r="B3257" s="46" t="s">
        <v>120</v>
      </c>
      <c r="C3257" s="46" t="s">
        <v>54</v>
      </c>
      <c r="D3257" s="46" t="s">
        <v>178</v>
      </c>
      <c r="E3257" s="46">
        <v>3</v>
      </c>
      <c r="F3257" s="46" t="s">
        <v>60</v>
      </c>
      <c r="G3257" s="46">
        <v>2</v>
      </c>
      <c r="H3257" s="47">
        <v>6</v>
      </c>
      <c r="I3257" s="47" t="s">
        <v>127</v>
      </c>
      <c r="J3257" s="48">
        <v>1</v>
      </c>
      <c r="K3257" s="48">
        <v>0</v>
      </c>
      <c r="R3257" s="46">
        <f t="shared" si="308"/>
        <v>0</v>
      </c>
      <c r="S3257" s="46">
        <f t="shared" si="309"/>
        <v>0</v>
      </c>
      <c r="T3257" s="46">
        <f t="shared" si="313"/>
        <v>20</v>
      </c>
      <c r="U3257" s="46">
        <f t="shared" si="310"/>
        <v>20</v>
      </c>
      <c r="V3257" s="54">
        <f t="shared" si="311"/>
        <v>6.5</v>
      </c>
    </row>
    <row r="3258" spans="1:22" x14ac:dyDescent="0.2">
      <c r="A3258" s="46" t="s">
        <v>187</v>
      </c>
      <c r="B3258" s="46" t="s">
        <v>120</v>
      </c>
      <c r="C3258" s="46" t="s">
        <v>54</v>
      </c>
      <c r="D3258" s="46" t="s">
        <v>178</v>
      </c>
      <c r="E3258" s="46">
        <v>3</v>
      </c>
      <c r="F3258" s="46" t="s">
        <v>60</v>
      </c>
      <c r="G3258" s="46">
        <v>4</v>
      </c>
      <c r="H3258" s="47">
        <v>16</v>
      </c>
      <c r="I3258" s="47" t="s">
        <v>102</v>
      </c>
      <c r="J3258" s="48">
        <v>1</v>
      </c>
      <c r="K3258" s="48">
        <v>1</v>
      </c>
      <c r="R3258" s="46">
        <f t="shared" si="308"/>
        <v>0</v>
      </c>
      <c r="S3258" s="46">
        <f t="shared" si="309"/>
        <v>0</v>
      </c>
      <c r="T3258" s="46">
        <f t="shared" si="313"/>
        <v>20</v>
      </c>
      <c r="U3258" s="46">
        <f t="shared" si="310"/>
        <v>20</v>
      </c>
      <c r="V3258" s="54">
        <f t="shared" si="311"/>
        <v>6.5</v>
      </c>
    </row>
    <row r="3259" spans="1:22" x14ac:dyDescent="0.2">
      <c r="A3259" s="46" t="s">
        <v>187</v>
      </c>
      <c r="B3259" s="46" t="s">
        <v>120</v>
      </c>
      <c r="C3259" s="46" t="s">
        <v>54</v>
      </c>
      <c r="D3259" s="46" t="s">
        <v>178</v>
      </c>
      <c r="E3259" s="46">
        <v>2</v>
      </c>
      <c r="F3259" s="46" t="s">
        <v>60</v>
      </c>
      <c r="G3259" s="46">
        <v>4</v>
      </c>
      <c r="H3259" s="47">
        <v>24</v>
      </c>
      <c r="I3259" s="47" t="s">
        <v>102</v>
      </c>
      <c r="J3259" s="48">
        <v>1</v>
      </c>
      <c r="K3259" s="48">
        <v>0</v>
      </c>
      <c r="M3259" s="48">
        <v>1</v>
      </c>
      <c r="R3259" s="46">
        <f t="shared" si="308"/>
        <v>0</v>
      </c>
      <c r="S3259" s="46">
        <f t="shared" si="309"/>
        <v>0</v>
      </c>
      <c r="T3259" s="46">
        <f t="shared" si="313"/>
        <v>20</v>
      </c>
      <c r="U3259" s="46">
        <f t="shared" si="310"/>
        <v>40</v>
      </c>
      <c r="V3259" s="54">
        <f t="shared" si="311"/>
        <v>6.5</v>
      </c>
    </row>
    <row r="3260" spans="1:22" x14ac:dyDescent="0.2">
      <c r="A3260" s="46" t="s">
        <v>187</v>
      </c>
      <c r="B3260" s="46" t="s">
        <v>120</v>
      </c>
      <c r="C3260" s="46" t="s">
        <v>54</v>
      </c>
      <c r="D3260" s="46" t="s">
        <v>178</v>
      </c>
      <c r="E3260" s="46">
        <v>1</v>
      </c>
      <c r="F3260" s="46" t="s">
        <v>60</v>
      </c>
      <c r="G3260" s="46">
        <v>4</v>
      </c>
      <c r="H3260" s="47">
        <v>28</v>
      </c>
      <c r="I3260" s="47" t="s">
        <v>102</v>
      </c>
      <c r="J3260" s="48">
        <v>1</v>
      </c>
      <c r="K3260" s="48">
        <v>1</v>
      </c>
      <c r="R3260" s="46">
        <f t="shared" si="308"/>
        <v>0</v>
      </c>
      <c r="S3260" s="46">
        <f t="shared" si="309"/>
        <v>0</v>
      </c>
      <c r="T3260" s="46">
        <f t="shared" si="313"/>
        <v>20</v>
      </c>
      <c r="U3260" s="46">
        <f t="shared" si="310"/>
        <v>20</v>
      </c>
      <c r="V3260" s="54">
        <f t="shared" si="311"/>
        <v>6.5</v>
      </c>
    </row>
    <row r="3261" spans="1:22" x14ac:dyDescent="0.2">
      <c r="A3261" s="46" t="s">
        <v>187</v>
      </c>
      <c r="B3261" s="46" t="s">
        <v>120</v>
      </c>
      <c r="C3261" s="46" t="s">
        <v>54</v>
      </c>
      <c r="D3261" s="46" t="s">
        <v>178</v>
      </c>
      <c r="E3261" s="46">
        <v>2</v>
      </c>
      <c r="F3261" s="46" t="s">
        <v>60</v>
      </c>
      <c r="G3261" s="46">
        <v>4</v>
      </c>
      <c r="H3261" s="47">
        <v>44</v>
      </c>
      <c r="I3261" s="47" t="s">
        <v>102</v>
      </c>
      <c r="J3261" s="48">
        <v>1</v>
      </c>
      <c r="K3261" s="48">
        <v>0</v>
      </c>
      <c r="R3261" s="46">
        <f t="shared" si="308"/>
        <v>0</v>
      </c>
      <c r="S3261" s="46">
        <f t="shared" si="309"/>
        <v>0</v>
      </c>
      <c r="T3261" s="46">
        <f t="shared" si="313"/>
        <v>20</v>
      </c>
      <c r="U3261" s="46">
        <f t="shared" si="310"/>
        <v>20</v>
      </c>
      <c r="V3261" s="54">
        <f t="shared" si="311"/>
        <v>6.5</v>
      </c>
    </row>
    <row r="3262" spans="1:22" x14ac:dyDescent="0.2">
      <c r="A3262" s="46" t="s">
        <v>187</v>
      </c>
      <c r="B3262" s="46" t="s">
        <v>120</v>
      </c>
      <c r="C3262" s="46" t="s">
        <v>54</v>
      </c>
      <c r="D3262" s="46" t="s">
        <v>178</v>
      </c>
      <c r="E3262" s="46">
        <v>1</v>
      </c>
      <c r="F3262" s="46" t="s">
        <v>62</v>
      </c>
      <c r="G3262" s="46">
        <v>2</v>
      </c>
      <c r="H3262" s="47" t="s">
        <v>81</v>
      </c>
      <c r="I3262" s="47" t="s">
        <v>127</v>
      </c>
      <c r="J3262" s="48">
        <v>1</v>
      </c>
      <c r="K3262" s="48">
        <v>0</v>
      </c>
      <c r="R3262" s="46">
        <f t="shared" si="308"/>
        <v>0</v>
      </c>
      <c r="S3262" s="46">
        <f t="shared" si="309"/>
        <v>0</v>
      </c>
      <c r="T3262" s="46">
        <f t="shared" si="313"/>
        <v>20</v>
      </c>
      <c r="U3262" s="46">
        <f t="shared" si="310"/>
        <v>20</v>
      </c>
      <c r="V3262" s="54">
        <f t="shared" si="311"/>
        <v>6.5</v>
      </c>
    </row>
    <row r="3263" spans="1:22" x14ac:dyDescent="0.2">
      <c r="A3263" s="46" t="s">
        <v>187</v>
      </c>
      <c r="B3263" s="46" t="s">
        <v>120</v>
      </c>
      <c r="C3263" s="46" t="s">
        <v>54</v>
      </c>
      <c r="D3263" s="46" t="s">
        <v>178</v>
      </c>
      <c r="E3263" s="46">
        <v>2</v>
      </c>
      <c r="F3263" s="46" t="s">
        <v>62</v>
      </c>
      <c r="G3263" s="46">
        <v>2</v>
      </c>
      <c r="H3263" s="47" t="s">
        <v>81</v>
      </c>
      <c r="I3263" s="47" t="s">
        <v>127</v>
      </c>
      <c r="J3263" s="48">
        <v>1</v>
      </c>
      <c r="K3263" s="48">
        <v>0</v>
      </c>
      <c r="R3263" s="46">
        <f t="shared" si="308"/>
        <v>0</v>
      </c>
      <c r="S3263" s="46">
        <f t="shared" si="309"/>
        <v>0</v>
      </c>
      <c r="T3263" s="46">
        <f t="shared" si="313"/>
        <v>20</v>
      </c>
      <c r="U3263" s="46">
        <f t="shared" si="310"/>
        <v>20</v>
      </c>
      <c r="V3263" s="54">
        <f t="shared" si="311"/>
        <v>6.5</v>
      </c>
    </row>
    <row r="3264" spans="1:22" x14ac:dyDescent="0.2">
      <c r="A3264" s="46" t="s">
        <v>187</v>
      </c>
      <c r="B3264" s="46" t="s">
        <v>120</v>
      </c>
      <c r="C3264" s="46" t="s">
        <v>54</v>
      </c>
      <c r="D3264" s="46" t="s">
        <v>178</v>
      </c>
      <c r="E3264" s="46">
        <v>3</v>
      </c>
      <c r="F3264" s="46" t="s">
        <v>62</v>
      </c>
      <c r="G3264" s="46">
        <v>3</v>
      </c>
      <c r="H3264" s="47" t="s">
        <v>84</v>
      </c>
      <c r="I3264" s="47" t="s">
        <v>116</v>
      </c>
      <c r="J3264" s="48">
        <v>1</v>
      </c>
      <c r="K3264" s="48">
        <v>0</v>
      </c>
      <c r="R3264" s="46">
        <f t="shared" si="308"/>
        <v>0</v>
      </c>
      <c r="S3264" s="46">
        <f t="shared" si="309"/>
        <v>0</v>
      </c>
      <c r="T3264" s="46">
        <f t="shared" si="313"/>
        <v>20</v>
      </c>
      <c r="U3264" s="46">
        <f t="shared" si="310"/>
        <v>20</v>
      </c>
      <c r="V3264" s="54">
        <f t="shared" si="311"/>
        <v>6.5</v>
      </c>
    </row>
    <row r="3265" spans="1:22" x14ac:dyDescent="0.2">
      <c r="A3265" s="46" t="s">
        <v>187</v>
      </c>
      <c r="B3265" s="46" t="s">
        <v>120</v>
      </c>
      <c r="C3265" s="46" t="s">
        <v>54</v>
      </c>
      <c r="D3265" s="46" t="s">
        <v>178</v>
      </c>
      <c r="E3265" s="46">
        <v>4</v>
      </c>
      <c r="F3265" s="46" t="s">
        <v>63</v>
      </c>
      <c r="G3265" s="46">
        <v>4</v>
      </c>
      <c r="H3265" s="47" t="s">
        <v>150</v>
      </c>
      <c r="I3265" s="47" t="s">
        <v>102</v>
      </c>
      <c r="J3265" s="48">
        <v>1</v>
      </c>
      <c r="K3265" s="48">
        <v>0</v>
      </c>
      <c r="R3265" s="46">
        <f t="shared" si="308"/>
        <v>0</v>
      </c>
      <c r="S3265" s="46">
        <f t="shared" si="309"/>
        <v>0</v>
      </c>
      <c r="T3265" s="46">
        <f t="shared" si="313"/>
        <v>20</v>
      </c>
      <c r="U3265" s="46">
        <f t="shared" si="310"/>
        <v>20</v>
      </c>
      <c r="V3265" s="54">
        <f t="shared" si="311"/>
        <v>6.5</v>
      </c>
    </row>
    <row r="3266" spans="1:22" x14ac:dyDescent="0.2">
      <c r="A3266" s="46" t="s">
        <v>187</v>
      </c>
      <c r="B3266" s="46" t="s">
        <v>120</v>
      </c>
      <c r="C3266" s="46" t="s">
        <v>54</v>
      </c>
      <c r="D3266" s="46" t="s">
        <v>178</v>
      </c>
      <c r="E3266" s="46">
        <v>2</v>
      </c>
      <c r="F3266" s="46" t="s">
        <v>60</v>
      </c>
      <c r="G3266" s="46">
        <v>3</v>
      </c>
      <c r="H3266" s="47">
        <v>31</v>
      </c>
      <c r="I3266" s="47" t="s">
        <v>116</v>
      </c>
      <c r="J3266" s="48">
        <v>2</v>
      </c>
      <c r="K3266" s="48">
        <v>0</v>
      </c>
      <c r="R3266" s="46">
        <f t="shared" ref="R3266:R3329" si="314">IF(J3266=4,1,0)</f>
        <v>0</v>
      </c>
      <c r="S3266" s="46">
        <f t="shared" ref="S3266:S3329" si="315">IF(K3266=3,1,0)</f>
        <v>0</v>
      </c>
      <c r="T3266" s="46">
        <f t="shared" si="313"/>
        <v>40</v>
      </c>
      <c r="U3266" s="46">
        <f t="shared" ref="U3266:U3329" si="316">T3266+M3266*(20) + (SUM(O3266:Q3266)*(10)) - L3266*(5) - N3266*(5)</f>
        <v>40</v>
      </c>
      <c r="V3266" s="54">
        <f t="shared" ref="V3266:V3329" si="317">AVERAGEIFS(U:U,A:A,A3266,F:F,"Pre")</f>
        <v>6.5</v>
      </c>
    </row>
    <row r="3267" spans="1:22" x14ac:dyDescent="0.2">
      <c r="A3267" s="46" t="s">
        <v>187</v>
      </c>
      <c r="B3267" s="46" t="s">
        <v>120</v>
      </c>
      <c r="C3267" s="46" t="s">
        <v>54</v>
      </c>
      <c r="D3267" s="46" t="s">
        <v>178</v>
      </c>
      <c r="E3267" s="46">
        <v>5</v>
      </c>
      <c r="F3267" s="46" t="s">
        <v>60</v>
      </c>
      <c r="G3267" s="46">
        <v>3</v>
      </c>
      <c r="H3267" s="47">
        <v>7</v>
      </c>
      <c r="I3267" s="47" t="s">
        <v>159</v>
      </c>
      <c r="J3267" s="48">
        <v>0</v>
      </c>
      <c r="K3267" s="48">
        <v>1</v>
      </c>
      <c r="R3267" s="46">
        <f t="shared" si="314"/>
        <v>0</v>
      </c>
      <c r="S3267" s="46">
        <f t="shared" si="315"/>
        <v>0</v>
      </c>
      <c r="T3267" s="46">
        <f t="shared" si="313"/>
        <v>0</v>
      </c>
      <c r="U3267" s="46">
        <f t="shared" si="316"/>
        <v>0</v>
      </c>
      <c r="V3267" s="54">
        <f t="shared" si="317"/>
        <v>6.5</v>
      </c>
    </row>
    <row r="3268" spans="1:22" x14ac:dyDescent="0.2">
      <c r="A3268" s="46" t="s">
        <v>187</v>
      </c>
      <c r="B3268" s="46" t="s">
        <v>120</v>
      </c>
      <c r="C3268" s="46" t="s">
        <v>54</v>
      </c>
      <c r="D3268" s="46" t="s">
        <v>178</v>
      </c>
      <c r="E3268" s="46">
        <v>5</v>
      </c>
      <c r="F3268" s="46" t="s">
        <v>60</v>
      </c>
      <c r="G3268" s="46">
        <v>2</v>
      </c>
      <c r="H3268" s="47">
        <v>14</v>
      </c>
      <c r="I3268" s="47" t="s">
        <v>127</v>
      </c>
      <c r="J3268" s="48">
        <v>0</v>
      </c>
      <c r="K3268" s="48">
        <v>0</v>
      </c>
      <c r="R3268" s="46">
        <f t="shared" si="314"/>
        <v>0</v>
      </c>
      <c r="S3268" s="46">
        <f t="shared" si="315"/>
        <v>0</v>
      </c>
      <c r="T3268" s="46">
        <f t="shared" si="313"/>
        <v>0</v>
      </c>
      <c r="U3268" s="46">
        <f t="shared" si="316"/>
        <v>0</v>
      </c>
      <c r="V3268" s="54">
        <f t="shared" si="317"/>
        <v>6.5</v>
      </c>
    </row>
    <row r="3269" spans="1:22" x14ac:dyDescent="0.2">
      <c r="A3269" s="46" t="s">
        <v>187</v>
      </c>
      <c r="B3269" s="46" t="s">
        <v>120</v>
      </c>
      <c r="C3269" s="46" t="s">
        <v>54</v>
      </c>
      <c r="D3269" s="46" t="s">
        <v>178</v>
      </c>
      <c r="E3269" s="46">
        <v>5</v>
      </c>
      <c r="F3269" s="46" t="s">
        <v>60</v>
      </c>
      <c r="G3269" s="46">
        <v>2</v>
      </c>
      <c r="H3269" s="47">
        <v>18</v>
      </c>
      <c r="I3269" s="47" t="s">
        <v>127</v>
      </c>
      <c r="J3269" s="48">
        <v>1</v>
      </c>
      <c r="K3269" s="48">
        <v>0</v>
      </c>
      <c r="R3269" s="46">
        <f t="shared" si="314"/>
        <v>0</v>
      </c>
      <c r="S3269" s="46">
        <f t="shared" si="315"/>
        <v>0</v>
      </c>
      <c r="T3269" s="46">
        <f t="shared" si="313"/>
        <v>20</v>
      </c>
      <c r="U3269" s="46">
        <f t="shared" si="316"/>
        <v>20</v>
      </c>
      <c r="V3269" s="54">
        <f t="shared" si="317"/>
        <v>6.5</v>
      </c>
    </row>
    <row r="3270" spans="1:22" x14ac:dyDescent="0.2">
      <c r="A3270" s="46" t="s">
        <v>187</v>
      </c>
      <c r="B3270" s="46" t="s">
        <v>120</v>
      </c>
      <c r="C3270" s="46" t="s">
        <v>54</v>
      </c>
      <c r="D3270" s="46" t="s">
        <v>178</v>
      </c>
      <c r="E3270" s="46">
        <v>5</v>
      </c>
      <c r="F3270" s="46" t="s">
        <v>60</v>
      </c>
      <c r="G3270" s="46">
        <v>4</v>
      </c>
      <c r="H3270" s="47">
        <v>32</v>
      </c>
      <c r="I3270" s="47" t="s">
        <v>102</v>
      </c>
      <c r="J3270" s="48">
        <v>0</v>
      </c>
      <c r="K3270" s="48">
        <v>0</v>
      </c>
      <c r="R3270" s="46">
        <f t="shared" si="314"/>
        <v>0</v>
      </c>
      <c r="S3270" s="46">
        <f t="shared" si="315"/>
        <v>0</v>
      </c>
      <c r="T3270" s="46">
        <f t="shared" si="313"/>
        <v>0</v>
      </c>
      <c r="U3270" s="46">
        <f t="shared" si="316"/>
        <v>0</v>
      </c>
      <c r="V3270" s="54">
        <f t="shared" si="317"/>
        <v>6.5</v>
      </c>
    </row>
    <row r="3271" spans="1:22" x14ac:dyDescent="0.2">
      <c r="A3271" s="46" t="s">
        <v>187</v>
      </c>
      <c r="B3271" s="46" t="s">
        <v>120</v>
      </c>
      <c r="C3271" s="46" t="s">
        <v>54</v>
      </c>
      <c r="D3271" s="46" t="s">
        <v>178</v>
      </c>
      <c r="E3271" s="46">
        <v>5</v>
      </c>
      <c r="F3271" s="46" t="s">
        <v>60</v>
      </c>
      <c r="G3271" s="46">
        <v>4</v>
      </c>
      <c r="H3271" s="47">
        <v>40</v>
      </c>
      <c r="I3271" s="47" t="s">
        <v>102</v>
      </c>
      <c r="J3271" s="48">
        <v>1</v>
      </c>
      <c r="K3271" s="48">
        <v>1</v>
      </c>
      <c r="R3271" s="46">
        <f t="shared" si="314"/>
        <v>0</v>
      </c>
      <c r="S3271" s="46">
        <f t="shared" si="315"/>
        <v>0</v>
      </c>
      <c r="T3271" s="46">
        <f t="shared" si="313"/>
        <v>20</v>
      </c>
      <c r="U3271" s="46">
        <f t="shared" si="316"/>
        <v>20</v>
      </c>
      <c r="V3271" s="54">
        <f t="shared" si="317"/>
        <v>6.5</v>
      </c>
    </row>
    <row r="3272" spans="1:22" x14ac:dyDescent="0.2">
      <c r="A3272" s="46" t="s">
        <v>187</v>
      </c>
      <c r="B3272" s="46" t="s">
        <v>120</v>
      </c>
      <c r="C3272" s="46" t="s">
        <v>54</v>
      </c>
      <c r="D3272" s="46" t="s">
        <v>178</v>
      </c>
      <c r="E3272" s="46">
        <v>5</v>
      </c>
      <c r="F3272" s="46" t="s">
        <v>60</v>
      </c>
      <c r="G3272" s="46">
        <v>1</v>
      </c>
      <c r="H3272" s="47">
        <v>49</v>
      </c>
      <c r="I3272" s="47" t="s">
        <v>101</v>
      </c>
      <c r="J3272" s="48">
        <v>0</v>
      </c>
      <c r="K3272" s="48">
        <v>0</v>
      </c>
      <c r="R3272" s="46">
        <f t="shared" si="314"/>
        <v>0</v>
      </c>
      <c r="S3272" s="46">
        <f t="shared" si="315"/>
        <v>0</v>
      </c>
      <c r="T3272" s="46">
        <f t="shared" si="313"/>
        <v>0</v>
      </c>
      <c r="U3272" s="46">
        <f t="shared" si="316"/>
        <v>0</v>
      </c>
      <c r="V3272" s="54">
        <f t="shared" si="317"/>
        <v>6.5</v>
      </c>
    </row>
    <row r="3273" spans="1:22" x14ac:dyDescent="0.2">
      <c r="A3273" s="46" t="s">
        <v>187</v>
      </c>
      <c r="B3273" s="46" t="s">
        <v>120</v>
      </c>
      <c r="C3273" s="46" t="str">
        <f>VLOOKUP(B3273,$B$2:$C$3219,2,FALSE)</f>
        <v>EBC</v>
      </c>
      <c r="D3273" s="46" t="s">
        <v>178</v>
      </c>
      <c r="E3273" s="46">
        <v>5</v>
      </c>
      <c r="F3273" s="46" t="s">
        <v>63</v>
      </c>
      <c r="G3273" s="46">
        <v>4</v>
      </c>
      <c r="H3273" s="47" t="s">
        <v>147</v>
      </c>
      <c r="I3273" s="47" t="s">
        <v>102</v>
      </c>
      <c r="J3273" s="48">
        <v>1</v>
      </c>
      <c r="K3273" s="48">
        <v>1</v>
      </c>
      <c r="R3273" s="46">
        <f t="shared" si="314"/>
        <v>0</v>
      </c>
      <c r="S3273" s="46">
        <f t="shared" si="315"/>
        <v>0</v>
      </c>
      <c r="T3273" s="46">
        <f t="shared" si="313"/>
        <v>20</v>
      </c>
      <c r="U3273" s="46">
        <f t="shared" si="316"/>
        <v>20</v>
      </c>
      <c r="V3273" s="54">
        <f t="shared" si="317"/>
        <v>6.5</v>
      </c>
    </row>
    <row r="3274" spans="1:22" x14ac:dyDescent="0.2">
      <c r="A3274" s="46" t="s">
        <v>187</v>
      </c>
      <c r="B3274" s="46" t="s">
        <v>120</v>
      </c>
      <c r="C3274" s="46" t="str">
        <f>VLOOKUP(B3274,$B$2:$C$3219,2,FALSE)</f>
        <v>EBC</v>
      </c>
      <c r="D3274" s="46" t="s">
        <v>178</v>
      </c>
      <c r="E3274" s="46">
        <v>5</v>
      </c>
      <c r="F3274" s="46" t="s">
        <v>63</v>
      </c>
      <c r="G3274" s="46">
        <v>4</v>
      </c>
      <c r="H3274" s="47" t="s">
        <v>148</v>
      </c>
      <c r="I3274" s="47" t="s">
        <v>102</v>
      </c>
      <c r="J3274" s="48">
        <v>3</v>
      </c>
      <c r="K3274" s="48">
        <v>0</v>
      </c>
      <c r="R3274" s="46">
        <f t="shared" si="314"/>
        <v>0</v>
      </c>
      <c r="S3274" s="46">
        <f t="shared" si="315"/>
        <v>0</v>
      </c>
      <c r="T3274" s="46">
        <f t="shared" si="313"/>
        <v>60</v>
      </c>
      <c r="U3274" s="46">
        <f t="shared" si="316"/>
        <v>60</v>
      </c>
      <c r="V3274" s="54">
        <f t="shared" si="317"/>
        <v>6.5</v>
      </c>
    </row>
    <row r="3275" spans="1:22" x14ac:dyDescent="0.2">
      <c r="A3275" s="46" t="s">
        <v>187</v>
      </c>
      <c r="B3275" s="46" t="s">
        <v>120</v>
      </c>
      <c r="C3275" s="46" t="str">
        <f>VLOOKUP(B3275,$B$2:$C$3219,2,FALSE)</f>
        <v>EBC</v>
      </c>
      <c r="D3275" s="46" t="s">
        <v>178</v>
      </c>
      <c r="E3275" s="46">
        <v>5</v>
      </c>
      <c r="F3275" s="46" t="s">
        <v>63</v>
      </c>
      <c r="G3275" s="46">
        <v>4</v>
      </c>
      <c r="H3275" s="47" t="s">
        <v>149</v>
      </c>
      <c r="I3275" s="47" t="s">
        <v>102</v>
      </c>
      <c r="J3275" s="48">
        <v>0</v>
      </c>
      <c r="K3275" s="48">
        <v>1</v>
      </c>
      <c r="R3275" s="46">
        <f t="shared" si="314"/>
        <v>0</v>
      </c>
      <c r="S3275" s="46">
        <f t="shared" si="315"/>
        <v>0</v>
      </c>
      <c r="T3275" s="46">
        <f t="shared" si="313"/>
        <v>0</v>
      </c>
      <c r="U3275" s="46">
        <f t="shared" si="316"/>
        <v>0</v>
      </c>
      <c r="V3275" s="54">
        <f t="shared" si="317"/>
        <v>6.5</v>
      </c>
    </row>
    <row r="3276" spans="1:22" x14ac:dyDescent="0.2">
      <c r="A3276" s="46" t="s">
        <v>187</v>
      </c>
      <c r="B3276" s="46" t="s">
        <v>120</v>
      </c>
      <c r="C3276" s="46" t="str">
        <f>VLOOKUP(B3276,$B$2:$C$3219,2,FALSE)</f>
        <v>EBC</v>
      </c>
      <c r="D3276" s="46" t="s">
        <v>178</v>
      </c>
      <c r="E3276" s="46">
        <v>5</v>
      </c>
      <c r="F3276" s="46" t="s">
        <v>63</v>
      </c>
      <c r="G3276" s="46">
        <v>4</v>
      </c>
      <c r="H3276" s="47" t="s">
        <v>172</v>
      </c>
      <c r="I3276" s="47" t="s">
        <v>102</v>
      </c>
      <c r="J3276" s="48">
        <v>0</v>
      </c>
      <c r="K3276" s="48">
        <v>0</v>
      </c>
      <c r="R3276" s="46">
        <f t="shared" si="314"/>
        <v>0</v>
      </c>
      <c r="S3276" s="46">
        <f t="shared" si="315"/>
        <v>0</v>
      </c>
      <c r="U3276" s="46">
        <f t="shared" si="316"/>
        <v>0</v>
      </c>
      <c r="V3276" s="54">
        <f t="shared" si="317"/>
        <v>6.5</v>
      </c>
    </row>
    <row r="3277" spans="1:22" x14ac:dyDescent="0.2">
      <c r="A3277" s="46" t="s">
        <v>132</v>
      </c>
      <c r="B3277" s="46" t="s">
        <v>94</v>
      </c>
      <c r="C3277" s="46" t="s">
        <v>94</v>
      </c>
      <c r="D3277" s="46" t="s">
        <v>178</v>
      </c>
      <c r="E3277" s="46">
        <v>1</v>
      </c>
      <c r="F3277" s="46" t="s">
        <v>63</v>
      </c>
      <c r="G3277" s="46">
        <v>4</v>
      </c>
      <c r="H3277" s="47" t="s">
        <v>147</v>
      </c>
      <c r="I3277" s="47" t="s">
        <v>102</v>
      </c>
      <c r="J3277" s="48">
        <v>0</v>
      </c>
      <c r="K3277" s="48">
        <v>2</v>
      </c>
      <c r="R3277" s="46">
        <f t="shared" si="314"/>
        <v>0</v>
      </c>
      <c r="S3277" s="46">
        <f t="shared" si="315"/>
        <v>0</v>
      </c>
      <c r="T3277" s="46">
        <f t="shared" ref="T3277:T3340" si="318">quizscore(J3277,K3277)</f>
        <v>-10</v>
      </c>
      <c r="U3277" s="46">
        <f t="shared" si="316"/>
        <v>-10</v>
      </c>
      <c r="V3277" s="54">
        <f t="shared" si="317"/>
        <v>5.5172413793103452</v>
      </c>
    </row>
    <row r="3278" spans="1:22" x14ac:dyDescent="0.2">
      <c r="A3278" s="46" t="s">
        <v>132</v>
      </c>
      <c r="B3278" s="46" t="s">
        <v>94</v>
      </c>
      <c r="C3278" s="46" t="s">
        <v>94</v>
      </c>
      <c r="D3278" s="46" t="s">
        <v>178</v>
      </c>
      <c r="E3278" s="46">
        <v>1</v>
      </c>
      <c r="F3278" s="46" t="s">
        <v>60</v>
      </c>
      <c r="G3278" s="46">
        <v>2</v>
      </c>
      <c r="H3278" s="47">
        <v>2</v>
      </c>
      <c r="I3278" s="47" t="s">
        <v>127</v>
      </c>
      <c r="J3278" s="48">
        <v>0</v>
      </c>
      <c r="K3278" s="48">
        <v>0</v>
      </c>
      <c r="R3278" s="46">
        <f t="shared" si="314"/>
        <v>0</v>
      </c>
      <c r="S3278" s="46">
        <f t="shared" si="315"/>
        <v>0</v>
      </c>
      <c r="T3278" s="46">
        <f t="shared" si="318"/>
        <v>0</v>
      </c>
      <c r="U3278" s="46">
        <f t="shared" si="316"/>
        <v>0</v>
      </c>
      <c r="V3278" s="54">
        <f t="shared" si="317"/>
        <v>5.5172413793103452</v>
      </c>
    </row>
    <row r="3279" spans="1:22" x14ac:dyDescent="0.2">
      <c r="A3279" s="46" t="s">
        <v>132</v>
      </c>
      <c r="B3279" s="46" t="s">
        <v>94</v>
      </c>
      <c r="C3279" s="46" t="s">
        <v>94</v>
      </c>
      <c r="D3279" s="46" t="s">
        <v>178</v>
      </c>
      <c r="E3279" s="46">
        <v>3</v>
      </c>
      <c r="F3279" s="46" t="s">
        <v>60</v>
      </c>
      <c r="G3279" s="46">
        <v>4</v>
      </c>
      <c r="H3279" s="47">
        <v>4</v>
      </c>
      <c r="I3279" s="47" t="s">
        <v>102</v>
      </c>
      <c r="J3279" s="48">
        <v>0</v>
      </c>
      <c r="K3279" s="48">
        <v>0</v>
      </c>
      <c r="R3279" s="46">
        <f t="shared" si="314"/>
        <v>0</v>
      </c>
      <c r="S3279" s="46">
        <f t="shared" si="315"/>
        <v>0</v>
      </c>
      <c r="T3279" s="46">
        <f t="shared" si="318"/>
        <v>0</v>
      </c>
      <c r="U3279" s="46">
        <f t="shared" si="316"/>
        <v>0</v>
      </c>
      <c r="V3279" s="54">
        <f t="shared" si="317"/>
        <v>5.5172413793103452</v>
      </c>
    </row>
    <row r="3280" spans="1:22" x14ac:dyDescent="0.2">
      <c r="A3280" s="46" t="s">
        <v>132</v>
      </c>
      <c r="B3280" s="46" t="s">
        <v>94</v>
      </c>
      <c r="C3280" s="46" t="s">
        <v>94</v>
      </c>
      <c r="D3280" s="46" t="s">
        <v>178</v>
      </c>
      <c r="E3280" s="46">
        <v>4</v>
      </c>
      <c r="F3280" s="46" t="s">
        <v>60</v>
      </c>
      <c r="G3280" s="46">
        <v>1</v>
      </c>
      <c r="H3280" s="47">
        <v>5</v>
      </c>
      <c r="I3280" s="47" t="s">
        <v>101</v>
      </c>
      <c r="J3280" s="48">
        <v>0</v>
      </c>
      <c r="K3280" s="48">
        <v>0</v>
      </c>
      <c r="R3280" s="46">
        <f t="shared" si="314"/>
        <v>0</v>
      </c>
      <c r="S3280" s="46">
        <f t="shared" si="315"/>
        <v>0</v>
      </c>
      <c r="T3280" s="46">
        <f t="shared" si="318"/>
        <v>0</v>
      </c>
      <c r="U3280" s="46">
        <f t="shared" si="316"/>
        <v>0</v>
      </c>
      <c r="V3280" s="54">
        <f t="shared" si="317"/>
        <v>5.5172413793103452</v>
      </c>
    </row>
    <row r="3281" spans="1:22" x14ac:dyDescent="0.2">
      <c r="A3281" s="46" t="s">
        <v>132</v>
      </c>
      <c r="B3281" s="46" t="s">
        <v>94</v>
      </c>
      <c r="C3281" s="46" t="s">
        <v>94</v>
      </c>
      <c r="D3281" s="46" t="s">
        <v>178</v>
      </c>
      <c r="E3281" s="46">
        <v>3</v>
      </c>
      <c r="F3281" s="46" t="s">
        <v>60</v>
      </c>
      <c r="G3281" s="46">
        <v>3</v>
      </c>
      <c r="H3281" s="47">
        <v>11</v>
      </c>
      <c r="I3281" s="47" t="s">
        <v>116</v>
      </c>
      <c r="J3281" s="48">
        <v>0</v>
      </c>
      <c r="K3281" s="48">
        <v>0</v>
      </c>
      <c r="R3281" s="46">
        <f t="shared" si="314"/>
        <v>0</v>
      </c>
      <c r="S3281" s="46">
        <f t="shared" si="315"/>
        <v>0</v>
      </c>
      <c r="T3281" s="46">
        <f t="shared" si="318"/>
        <v>0</v>
      </c>
      <c r="U3281" s="46">
        <f t="shared" si="316"/>
        <v>0</v>
      </c>
      <c r="V3281" s="54">
        <f t="shared" si="317"/>
        <v>5.5172413793103452</v>
      </c>
    </row>
    <row r="3282" spans="1:22" x14ac:dyDescent="0.2">
      <c r="A3282" s="46" t="s">
        <v>132</v>
      </c>
      <c r="B3282" s="46" t="s">
        <v>94</v>
      </c>
      <c r="C3282" s="46" t="s">
        <v>94</v>
      </c>
      <c r="D3282" s="46" t="s">
        <v>178</v>
      </c>
      <c r="E3282" s="46">
        <v>2</v>
      </c>
      <c r="F3282" s="46" t="s">
        <v>60</v>
      </c>
      <c r="G3282" s="46">
        <v>3</v>
      </c>
      <c r="H3282" s="47">
        <v>15</v>
      </c>
      <c r="I3282" s="47" t="s">
        <v>116</v>
      </c>
      <c r="J3282" s="48">
        <v>0</v>
      </c>
      <c r="K3282" s="48">
        <v>0</v>
      </c>
      <c r="R3282" s="46">
        <f t="shared" si="314"/>
        <v>0</v>
      </c>
      <c r="S3282" s="46">
        <f t="shared" si="315"/>
        <v>0</v>
      </c>
      <c r="T3282" s="46">
        <f t="shared" si="318"/>
        <v>0</v>
      </c>
      <c r="U3282" s="46">
        <f t="shared" si="316"/>
        <v>0</v>
      </c>
      <c r="V3282" s="54">
        <f t="shared" si="317"/>
        <v>5.5172413793103452</v>
      </c>
    </row>
    <row r="3283" spans="1:22" x14ac:dyDescent="0.2">
      <c r="A3283" s="46" t="s">
        <v>132</v>
      </c>
      <c r="B3283" s="46" t="s">
        <v>94</v>
      </c>
      <c r="C3283" s="46" t="s">
        <v>94</v>
      </c>
      <c r="D3283" s="46" t="s">
        <v>178</v>
      </c>
      <c r="E3283" s="46">
        <v>4</v>
      </c>
      <c r="F3283" s="46" t="s">
        <v>60</v>
      </c>
      <c r="G3283" s="46">
        <v>4</v>
      </c>
      <c r="H3283" s="47">
        <v>16</v>
      </c>
      <c r="I3283" s="47" t="s">
        <v>102</v>
      </c>
      <c r="J3283" s="48">
        <v>0</v>
      </c>
      <c r="K3283" s="48">
        <v>0</v>
      </c>
      <c r="R3283" s="46">
        <f t="shared" si="314"/>
        <v>0</v>
      </c>
      <c r="S3283" s="46">
        <f t="shared" si="315"/>
        <v>0</v>
      </c>
      <c r="T3283" s="46">
        <f t="shared" si="318"/>
        <v>0</v>
      </c>
      <c r="U3283" s="46">
        <f t="shared" si="316"/>
        <v>0</v>
      </c>
      <c r="V3283" s="54">
        <f t="shared" si="317"/>
        <v>5.5172413793103452</v>
      </c>
    </row>
    <row r="3284" spans="1:22" x14ac:dyDescent="0.2">
      <c r="A3284" s="46" t="s">
        <v>132</v>
      </c>
      <c r="B3284" s="46" t="s">
        <v>94</v>
      </c>
      <c r="C3284" s="46" t="s">
        <v>94</v>
      </c>
      <c r="D3284" s="46" t="s">
        <v>178</v>
      </c>
      <c r="E3284" s="46">
        <v>1</v>
      </c>
      <c r="F3284" s="46" t="s">
        <v>60</v>
      </c>
      <c r="G3284" s="46">
        <v>3</v>
      </c>
      <c r="H3284" s="47">
        <v>19</v>
      </c>
      <c r="I3284" s="47" t="s">
        <v>116</v>
      </c>
      <c r="J3284" s="48">
        <v>0</v>
      </c>
      <c r="K3284" s="48">
        <v>0</v>
      </c>
      <c r="R3284" s="46">
        <f t="shared" si="314"/>
        <v>0</v>
      </c>
      <c r="S3284" s="46">
        <f t="shared" si="315"/>
        <v>0</v>
      </c>
      <c r="T3284" s="46">
        <f t="shared" si="318"/>
        <v>0</v>
      </c>
      <c r="U3284" s="46">
        <f t="shared" si="316"/>
        <v>0</v>
      </c>
      <c r="V3284" s="54">
        <f t="shared" si="317"/>
        <v>5.5172413793103452</v>
      </c>
    </row>
    <row r="3285" spans="1:22" x14ac:dyDescent="0.2">
      <c r="A3285" s="46" t="s">
        <v>132</v>
      </c>
      <c r="B3285" s="46" t="s">
        <v>94</v>
      </c>
      <c r="C3285" s="46" t="s">
        <v>94</v>
      </c>
      <c r="D3285" s="46" t="s">
        <v>178</v>
      </c>
      <c r="E3285" s="46">
        <v>3</v>
      </c>
      <c r="F3285" s="46" t="s">
        <v>60</v>
      </c>
      <c r="G3285" s="46">
        <v>1</v>
      </c>
      <c r="H3285" s="47">
        <v>21</v>
      </c>
      <c r="I3285" s="47" t="s">
        <v>101</v>
      </c>
      <c r="J3285" s="48">
        <v>0</v>
      </c>
      <c r="K3285" s="48">
        <v>0</v>
      </c>
      <c r="R3285" s="46">
        <f t="shared" si="314"/>
        <v>0</v>
      </c>
      <c r="S3285" s="46">
        <f t="shared" si="315"/>
        <v>0</v>
      </c>
      <c r="T3285" s="46">
        <f t="shared" si="318"/>
        <v>0</v>
      </c>
      <c r="U3285" s="46">
        <f t="shared" si="316"/>
        <v>0</v>
      </c>
      <c r="V3285" s="54">
        <f t="shared" si="317"/>
        <v>5.5172413793103452</v>
      </c>
    </row>
    <row r="3286" spans="1:22" x14ac:dyDescent="0.2">
      <c r="A3286" s="46" t="s">
        <v>132</v>
      </c>
      <c r="B3286" s="46" t="s">
        <v>94</v>
      </c>
      <c r="C3286" s="46" t="s">
        <v>94</v>
      </c>
      <c r="D3286" s="46" t="s">
        <v>178</v>
      </c>
      <c r="E3286" s="46">
        <v>2</v>
      </c>
      <c r="F3286" s="46" t="s">
        <v>60</v>
      </c>
      <c r="G3286" s="46">
        <v>4</v>
      </c>
      <c r="H3286" s="47">
        <v>24</v>
      </c>
      <c r="I3286" s="47" t="s">
        <v>102</v>
      </c>
      <c r="J3286" s="48">
        <v>0</v>
      </c>
      <c r="K3286" s="48">
        <v>0</v>
      </c>
      <c r="R3286" s="46">
        <f t="shared" si="314"/>
        <v>0</v>
      </c>
      <c r="S3286" s="46">
        <f t="shared" si="315"/>
        <v>0</v>
      </c>
      <c r="T3286" s="46">
        <f t="shared" si="318"/>
        <v>0</v>
      </c>
      <c r="U3286" s="46">
        <f t="shared" si="316"/>
        <v>0</v>
      </c>
      <c r="V3286" s="54">
        <f t="shared" si="317"/>
        <v>5.5172413793103452</v>
      </c>
    </row>
    <row r="3287" spans="1:22" x14ac:dyDescent="0.2">
      <c r="A3287" s="46" t="s">
        <v>132</v>
      </c>
      <c r="B3287" s="46" t="s">
        <v>94</v>
      </c>
      <c r="C3287" s="46" t="s">
        <v>94</v>
      </c>
      <c r="D3287" s="46" t="s">
        <v>178</v>
      </c>
      <c r="E3287" s="46">
        <v>4</v>
      </c>
      <c r="F3287" s="46" t="s">
        <v>60</v>
      </c>
      <c r="G3287" s="46">
        <v>1</v>
      </c>
      <c r="H3287" s="47">
        <v>25</v>
      </c>
      <c r="I3287" s="47" t="s">
        <v>101</v>
      </c>
      <c r="J3287" s="48">
        <v>0</v>
      </c>
      <c r="K3287" s="48">
        <v>1</v>
      </c>
      <c r="R3287" s="46">
        <f t="shared" si="314"/>
        <v>0</v>
      </c>
      <c r="S3287" s="46">
        <f t="shared" si="315"/>
        <v>0</v>
      </c>
      <c r="T3287" s="46">
        <f t="shared" si="318"/>
        <v>0</v>
      </c>
      <c r="U3287" s="46">
        <f t="shared" si="316"/>
        <v>0</v>
      </c>
      <c r="V3287" s="54">
        <f t="shared" si="317"/>
        <v>5.5172413793103452</v>
      </c>
    </row>
    <row r="3288" spans="1:22" x14ac:dyDescent="0.2">
      <c r="A3288" s="46" t="s">
        <v>132</v>
      </c>
      <c r="B3288" s="46" t="s">
        <v>94</v>
      </c>
      <c r="C3288" s="46" t="s">
        <v>94</v>
      </c>
      <c r="D3288" s="46" t="s">
        <v>178</v>
      </c>
      <c r="E3288" s="46">
        <v>2</v>
      </c>
      <c r="F3288" s="46" t="s">
        <v>60</v>
      </c>
      <c r="G3288" s="46">
        <v>2</v>
      </c>
      <c r="H3288" s="47">
        <v>26</v>
      </c>
      <c r="I3288" s="47" t="s">
        <v>127</v>
      </c>
      <c r="J3288" s="48">
        <v>0</v>
      </c>
      <c r="K3288" s="48">
        <v>0</v>
      </c>
      <c r="R3288" s="46">
        <f t="shared" si="314"/>
        <v>0</v>
      </c>
      <c r="S3288" s="46">
        <f t="shared" si="315"/>
        <v>0</v>
      </c>
      <c r="T3288" s="46">
        <f t="shared" si="318"/>
        <v>0</v>
      </c>
      <c r="U3288" s="46">
        <f t="shared" si="316"/>
        <v>0</v>
      </c>
      <c r="V3288" s="54">
        <f t="shared" si="317"/>
        <v>5.5172413793103452</v>
      </c>
    </row>
    <row r="3289" spans="1:22" x14ac:dyDescent="0.2">
      <c r="A3289" s="46" t="s">
        <v>132</v>
      </c>
      <c r="B3289" s="46" t="s">
        <v>94</v>
      </c>
      <c r="C3289" s="46" t="s">
        <v>94</v>
      </c>
      <c r="D3289" s="46" t="s">
        <v>178</v>
      </c>
      <c r="E3289" s="46">
        <v>2</v>
      </c>
      <c r="F3289" s="46" t="s">
        <v>60</v>
      </c>
      <c r="G3289" s="46">
        <v>2</v>
      </c>
      <c r="H3289" s="47">
        <v>30</v>
      </c>
      <c r="I3289" s="47" t="s">
        <v>127</v>
      </c>
      <c r="J3289" s="48">
        <v>0</v>
      </c>
      <c r="K3289" s="48">
        <v>0</v>
      </c>
      <c r="M3289" s="48">
        <v>1</v>
      </c>
      <c r="R3289" s="46">
        <f t="shared" si="314"/>
        <v>0</v>
      </c>
      <c r="S3289" s="46">
        <f t="shared" si="315"/>
        <v>0</v>
      </c>
      <c r="T3289" s="46">
        <f t="shared" si="318"/>
        <v>0</v>
      </c>
      <c r="U3289" s="46">
        <f t="shared" si="316"/>
        <v>20</v>
      </c>
      <c r="V3289" s="54">
        <f t="shared" si="317"/>
        <v>5.5172413793103452</v>
      </c>
    </row>
    <row r="3290" spans="1:22" x14ac:dyDescent="0.2">
      <c r="A3290" s="46" t="s">
        <v>132</v>
      </c>
      <c r="B3290" s="46" t="s">
        <v>94</v>
      </c>
      <c r="C3290" s="46" t="s">
        <v>94</v>
      </c>
      <c r="D3290" s="46" t="s">
        <v>178</v>
      </c>
      <c r="E3290" s="46">
        <v>3</v>
      </c>
      <c r="F3290" s="46" t="s">
        <v>60</v>
      </c>
      <c r="G3290" s="46">
        <v>2</v>
      </c>
      <c r="H3290" s="47">
        <v>30</v>
      </c>
      <c r="I3290" s="47" t="s">
        <v>127</v>
      </c>
      <c r="J3290" s="48">
        <v>0</v>
      </c>
      <c r="K3290" s="48">
        <v>0</v>
      </c>
      <c r="R3290" s="46">
        <f t="shared" si="314"/>
        <v>0</v>
      </c>
      <c r="S3290" s="46">
        <f t="shared" si="315"/>
        <v>0</v>
      </c>
      <c r="T3290" s="46">
        <f t="shared" si="318"/>
        <v>0</v>
      </c>
      <c r="U3290" s="46">
        <f t="shared" si="316"/>
        <v>0</v>
      </c>
      <c r="V3290" s="54">
        <f t="shared" si="317"/>
        <v>5.5172413793103452</v>
      </c>
    </row>
    <row r="3291" spans="1:22" x14ac:dyDescent="0.2">
      <c r="A3291" s="46" t="s">
        <v>132</v>
      </c>
      <c r="B3291" s="46" t="s">
        <v>94</v>
      </c>
      <c r="C3291" s="46" t="s">
        <v>94</v>
      </c>
      <c r="D3291" s="46" t="s">
        <v>178</v>
      </c>
      <c r="E3291" s="46">
        <v>4</v>
      </c>
      <c r="F3291" s="46" t="s">
        <v>60</v>
      </c>
      <c r="G3291" s="46">
        <v>2</v>
      </c>
      <c r="H3291" s="47">
        <v>30</v>
      </c>
      <c r="I3291" s="47" t="s">
        <v>127</v>
      </c>
      <c r="J3291" s="48">
        <v>0</v>
      </c>
      <c r="K3291" s="48">
        <v>0</v>
      </c>
      <c r="R3291" s="46">
        <f t="shared" si="314"/>
        <v>0</v>
      </c>
      <c r="S3291" s="46">
        <f t="shared" si="315"/>
        <v>0</v>
      </c>
      <c r="T3291" s="46">
        <f t="shared" si="318"/>
        <v>0</v>
      </c>
      <c r="U3291" s="46">
        <f t="shared" si="316"/>
        <v>0</v>
      </c>
      <c r="V3291" s="54">
        <f t="shared" si="317"/>
        <v>5.5172413793103452</v>
      </c>
    </row>
    <row r="3292" spans="1:22" x14ac:dyDescent="0.2">
      <c r="A3292" s="46" t="s">
        <v>132</v>
      </c>
      <c r="B3292" s="46" t="s">
        <v>94</v>
      </c>
      <c r="C3292" s="46" t="s">
        <v>94</v>
      </c>
      <c r="D3292" s="46" t="s">
        <v>178</v>
      </c>
      <c r="E3292" s="46">
        <v>4</v>
      </c>
      <c r="F3292" s="46" t="s">
        <v>60</v>
      </c>
      <c r="G3292" s="46">
        <v>3</v>
      </c>
      <c r="H3292" s="47">
        <v>39</v>
      </c>
      <c r="I3292" s="47" t="s">
        <v>159</v>
      </c>
      <c r="J3292" s="48">
        <v>0</v>
      </c>
      <c r="K3292" s="48">
        <v>0</v>
      </c>
      <c r="R3292" s="46">
        <f t="shared" si="314"/>
        <v>0</v>
      </c>
      <c r="S3292" s="46">
        <f t="shared" si="315"/>
        <v>0</v>
      </c>
      <c r="T3292" s="46">
        <f t="shared" si="318"/>
        <v>0</v>
      </c>
      <c r="U3292" s="46">
        <f t="shared" si="316"/>
        <v>0</v>
      </c>
      <c r="V3292" s="54">
        <f t="shared" si="317"/>
        <v>5.5172413793103452</v>
      </c>
    </row>
    <row r="3293" spans="1:22" x14ac:dyDescent="0.2">
      <c r="A3293" s="46" t="s">
        <v>132</v>
      </c>
      <c r="B3293" s="46" t="s">
        <v>94</v>
      </c>
      <c r="C3293" s="46" t="s">
        <v>94</v>
      </c>
      <c r="D3293" s="46" t="s">
        <v>178</v>
      </c>
      <c r="E3293" s="46">
        <v>3</v>
      </c>
      <c r="F3293" s="46" t="s">
        <v>60</v>
      </c>
      <c r="G3293" s="46">
        <v>4</v>
      </c>
      <c r="H3293" s="47">
        <v>40</v>
      </c>
      <c r="I3293" s="47" t="s">
        <v>102</v>
      </c>
      <c r="J3293" s="48">
        <v>0</v>
      </c>
      <c r="K3293" s="48">
        <v>0</v>
      </c>
      <c r="R3293" s="46">
        <f t="shared" si="314"/>
        <v>0</v>
      </c>
      <c r="S3293" s="46">
        <f t="shared" si="315"/>
        <v>0</v>
      </c>
      <c r="T3293" s="46">
        <f t="shared" si="318"/>
        <v>0</v>
      </c>
      <c r="U3293" s="46">
        <f t="shared" si="316"/>
        <v>0</v>
      </c>
      <c r="V3293" s="54">
        <f t="shared" si="317"/>
        <v>5.5172413793103452</v>
      </c>
    </row>
    <row r="3294" spans="1:22" x14ac:dyDescent="0.2">
      <c r="A3294" s="46" t="s">
        <v>132</v>
      </c>
      <c r="B3294" s="46" t="s">
        <v>94</v>
      </c>
      <c r="C3294" s="46" t="s">
        <v>94</v>
      </c>
      <c r="D3294" s="46" t="s">
        <v>178</v>
      </c>
      <c r="E3294" s="46">
        <v>1</v>
      </c>
      <c r="F3294" s="46" t="s">
        <v>60</v>
      </c>
      <c r="G3294" s="46">
        <v>1</v>
      </c>
      <c r="H3294" s="47">
        <v>45</v>
      </c>
      <c r="I3294" s="47" t="s">
        <v>101</v>
      </c>
      <c r="J3294" s="48">
        <v>0</v>
      </c>
      <c r="K3294" s="48">
        <v>0</v>
      </c>
      <c r="R3294" s="46">
        <f t="shared" si="314"/>
        <v>0</v>
      </c>
      <c r="S3294" s="46">
        <f t="shared" si="315"/>
        <v>0</v>
      </c>
      <c r="T3294" s="46">
        <f t="shared" si="318"/>
        <v>0</v>
      </c>
      <c r="U3294" s="46">
        <f t="shared" si="316"/>
        <v>0</v>
      </c>
      <c r="V3294" s="54">
        <f t="shared" si="317"/>
        <v>5.5172413793103452</v>
      </c>
    </row>
    <row r="3295" spans="1:22" x14ac:dyDescent="0.2">
      <c r="A3295" s="46" t="s">
        <v>132</v>
      </c>
      <c r="B3295" s="46" t="s">
        <v>94</v>
      </c>
      <c r="C3295" s="46" t="s">
        <v>94</v>
      </c>
      <c r="D3295" s="46" t="s">
        <v>178</v>
      </c>
      <c r="E3295" s="46">
        <v>3</v>
      </c>
      <c r="F3295" s="46" t="s">
        <v>60</v>
      </c>
      <c r="G3295" s="46">
        <v>2</v>
      </c>
      <c r="H3295" s="47">
        <v>46</v>
      </c>
      <c r="I3295" s="47" t="s">
        <v>127</v>
      </c>
      <c r="J3295" s="48">
        <v>0</v>
      </c>
      <c r="K3295" s="48">
        <v>0</v>
      </c>
      <c r="R3295" s="46">
        <f t="shared" si="314"/>
        <v>0</v>
      </c>
      <c r="S3295" s="46">
        <f t="shared" si="315"/>
        <v>0</v>
      </c>
      <c r="T3295" s="46">
        <f t="shared" si="318"/>
        <v>0</v>
      </c>
      <c r="U3295" s="46">
        <f t="shared" si="316"/>
        <v>0</v>
      </c>
      <c r="V3295" s="54">
        <f t="shared" si="317"/>
        <v>5.5172413793103452</v>
      </c>
    </row>
    <row r="3296" spans="1:22" x14ac:dyDescent="0.2">
      <c r="A3296" s="46" t="s">
        <v>132</v>
      </c>
      <c r="B3296" s="46" t="s">
        <v>94</v>
      </c>
      <c r="C3296" s="46" t="s">
        <v>94</v>
      </c>
      <c r="D3296" s="46" t="s">
        <v>178</v>
      </c>
      <c r="E3296" s="46">
        <v>4</v>
      </c>
      <c r="F3296" s="46" t="s">
        <v>60</v>
      </c>
      <c r="G3296" s="46">
        <v>3</v>
      </c>
      <c r="H3296" s="47">
        <v>47</v>
      </c>
      <c r="I3296" s="47" t="s">
        <v>159</v>
      </c>
      <c r="J3296" s="48">
        <v>0</v>
      </c>
      <c r="K3296" s="48">
        <v>0</v>
      </c>
      <c r="R3296" s="46">
        <f t="shared" si="314"/>
        <v>0</v>
      </c>
      <c r="S3296" s="46">
        <f t="shared" si="315"/>
        <v>0</v>
      </c>
      <c r="T3296" s="46">
        <f t="shared" si="318"/>
        <v>0</v>
      </c>
      <c r="U3296" s="46">
        <f t="shared" si="316"/>
        <v>0</v>
      </c>
      <c r="V3296" s="54">
        <f t="shared" si="317"/>
        <v>5.5172413793103452</v>
      </c>
    </row>
    <row r="3297" spans="1:22" x14ac:dyDescent="0.2">
      <c r="A3297" s="46" t="s">
        <v>132</v>
      </c>
      <c r="B3297" s="46" t="s">
        <v>94</v>
      </c>
      <c r="C3297" s="46" t="s">
        <v>94</v>
      </c>
      <c r="D3297" s="46" t="s">
        <v>178</v>
      </c>
      <c r="E3297" s="46">
        <v>1</v>
      </c>
      <c r="F3297" s="46" t="s">
        <v>63</v>
      </c>
      <c r="G3297" s="46">
        <v>4</v>
      </c>
      <c r="H3297" s="47" t="s">
        <v>148</v>
      </c>
      <c r="I3297" s="47" t="s">
        <v>102</v>
      </c>
      <c r="J3297" s="48">
        <v>0</v>
      </c>
      <c r="K3297" s="48">
        <v>1</v>
      </c>
      <c r="R3297" s="46">
        <f t="shared" si="314"/>
        <v>0</v>
      </c>
      <c r="S3297" s="46">
        <f t="shared" si="315"/>
        <v>0</v>
      </c>
      <c r="T3297" s="46">
        <f t="shared" si="318"/>
        <v>0</v>
      </c>
      <c r="U3297" s="46">
        <f t="shared" si="316"/>
        <v>0</v>
      </c>
      <c r="V3297" s="54">
        <f t="shared" si="317"/>
        <v>5.5172413793103452</v>
      </c>
    </row>
    <row r="3298" spans="1:22" x14ac:dyDescent="0.2">
      <c r="A3298" s="46" t="s">
        <v>132</v>
      </c>
      <c r="B3298" s="46" t="s">
        <v>94</v>
      </c>
      <c r="C3298" s="46" t="s">
        <v>94</v>
      </c>
      <c r="D3298" s="46" t="s">
        <v>178</v>
      </c>
      <c r="E3298" s="46">
        <v>2</v>
      </c>
      <c r="F3298" s="46" t="s">
        <v>63</v>
      </c>
      <c r="G3298" s="46">
        <v>4</v>
      </c>
      <c r="H3298" s="47" t="s">
        <v>148</v>
      </c>
      <c r="I3298" s="47" t="s">
        <v>102</v>
      </c>
      <c r="J3298" s="48">
        <v>0</v>
      </c>
      <c r="K3298" s="48">
        <v>0</v>
      </c>
      <c r="R3298" s="46">
        <f t="shared" si="314"/>
        <v>0</v>
      </c>
      <c r="S3298" s="46">
        <f t="shared" si="315"/>
        <v>0</v>
      </c>
      <c r="T3298" s="46">
        <f t="shared" si="318"/>
        <v>0</v>
      </c>
      <c r="U3298" s="46">
        <f t="shared" si="316"/>
        <v>0</v>
      </c>
      <c r="V3298" s="54">
        <f t="shared" si="317"/>
        <v>5.5172413793103452</v>
      </c>
    </row>
    <row r="3299" spans="1:22" x14ac:dyDescent="0.2">
      <c r="A3299" s="46" t="s">
        <v>132</v>
      </c>
      <c r="B3299" s="46" t="s">
        <v>94</v>
      </c>
      <c r="C3299" s="46" t="s">
        <v>94</v>
      </c>
      <c r="D3299" s="46" t="s">
        <v>178</v>
      </c>
      <c r="E3299" s="46">
        <v>4</v>
      </c>
      <c r="F3299" s="46" t="s">
        <v>63</v>
      </c>
      <c r="G3299" s="46">
        <v>4</v>
      </c>
      <c r="H3299" s="47" t="s">
        <v>148</v>
      </c>
      <c r="I3299" s="47" t="s">
        <v>102</v>
      </c>
      <c r="J3299" s="48">
        <v>0</v>
      </c>
      <c r="K3299" s="48">
        <v>0</v>
      </c>
      <c r="R3299" s="46">
        <f t="shared" si="314"/>
        <v>0</v>
      </c>
      <c r="S3299" s="46">
        <f t="shared" si="315"/>
        <v>0</v>
      </c>
      <c r="T3299" s="46">
        <f t="shared" si="318"/>
        <v>0</v>
      </c>
      <c r="U3299" s="46">
        <f t="shared" si="316"/>
        <v>0</v>
      </c>
      <c r="V3299" s="54">
        <f t="shared" si="317"/>
        <v>5.5172413793103452</v>
      </c>
    </row>
    <row r="3300" spans="1:22" x14ac:dyDescent="0.2">
      <c r="A3300" s="46" t="s">
        <v>132</v>
      </c>
      <c r="B3300" s="46" t="s">
        <v>94</v>
      </c>
      <c r="C3300" s="46" t="s">
        <v>94</v>
      </c>
      <c r="D3300" s="46" t="s">
        <v>178</v>
      </c>
      <c r="E3300" s="46">
        <v>2</v>
      </c>
      <c r="F3300" s="46" t="s">
        <v>63</v>
      </c>
      <c r="G3300" s="46">
        <v>4</v>
      </c>
      <c r="H3300" s="47" t="s">
        <v>150</v>
      </c>
      <c r="I3300" s="47" t="s">
        <v>102</v>
      </c>
      <c r="J3300" s="48">
        <v>0</v>
      </c>
      <c r="K3300" s="48">
        <v>0</v>
      </c>
      <c r="N3300" s="48">
        <v>1</v>
      </c>
      <c r="R3300" s="46">
        <f t="shared" si="314"/>
        <v>0</v>
      </c>
      <c r="S3300" s="46">
        <f t="shared" si="315"/>
        <v>0</v>
      </c>
      <c r="T3300" s="46">
        <f t="shared" si="318"/>
        <v>0</v>
      </c>
      <c r="U3300" s="46">
        <f t="shared" si="316"/>
        <v>-5</v>
      </c>
      <c r="V3300" s="54">
        <f t="shared" si="317"/>
        <v>5.5172413793103452</v>
      </c>
    </row>
    <row r="3301" spans="1:22" x14ac:dyDescent="0.2">
      <c r="A3301" s="46" t="s">
        <v>132</v>
      </c>
      <c r="B3301" s="46" t="s">
        <v>94</v>
      </c>
      <c r="C3301" s="46" t="s">
        <v>94</v>
      </c>
      <c r="D3301" s="46" t="s">
        <v>178</v>
      </c>
      <c r="E3301" s="46">
        <v>3</v>
      </c>
      <c r="F3301" s="46" t="s">
        <v>63</v>
      </c>
      <c r="G3301" s="46">
        <v>4</v>
      </c>
      <c r="H3301" s="47" t="s">
        <v>150</v>
      </c>
      <c r="I3301" s="47" t="s">
        <v>102</v>
      </c>
      <c r="J3301" s="48">
        <v>0</v>
      </c>
      <c r="K3301" s="48">
        <v>0</v>
      </c>
      <c r="R3301" s="46">
        <f t="shared" si="314"/>
        <v>0</v>
      </c>
      <c r="S3301" s="46">
        <f t="shared" si="315"/>
        <v>0</v>
      </c>
      <c r="T3301" s="46">
        <f t="shared" si="318"/>
        <v>0</v>
      </c>
      <c r="U3301" s="46">
        <f t="shared" si="316"/>
        <v>0</v>
      </c>
      <c r="V3301" s="54">
        <f t="shared" si="317"/>
        <v>5.5172413793103452</v>
      </c>
    </row>
    <row r="3302" spans="1:22" x14ac:dyDescent="0.2">
      <c r="A3302" s="46" t="s">
        <v>132</v>
      </c>
      <c r="B3302" s="46" t="s">
        <v>94</v>
      </c>
      <c r="C3302" s="46" t="s">
        <v>94</v>
      </c>
      <c r="D3302" s="46" t="s">
        <v>178</v>
      </c>
      <c r="E3302" s="46">
        <v>4</v>
      </c>
      <c r="F3302" s="46" t="s">
        <v>63</v>
      </c>
      <c r="G3302" s="46">
        <v>4</v>
      </c>
      <c r="H3302" s="47" t="s">
        <v>150</v>
      </c>
      <c r="I3302" s="47" t="s">
        <v>102</v>
      </c>
      <c r="J3302" s="48">
        <v>0</v>
      </c>
      <c r="K3302" s="48">
        <v>0</v>
      </c>
      <c r="R3302" s="46">
        <f t="shared" si="314"/>
        <v>0</v>
      </c>
      <c r="S3302" s="46">
        <f t="shared" si="315"/>
        <v>0</v>
      </c>
      <c r="T3302" s="46">
        <f t="shared" si="318"/>
        <v>0</v>
      </c>
      <c r="U3302" s="46">
        <f t="shared" si="316"/>
        <v>0</v>
      </c>
      <c r="V3302" s="54">
        <f t="shared" si="317"/>
        <v>5.5172413793103452</v>
      </c>
    </row>
    <row r="3303" spans="1:22" x14ac:dyDescent="0.2">
      <c r="A3303" s="46" t="s">
        <v>132</v>
      </c>
      <c r="B3303" s="46" t="s">
        <v>94</v>
      </c>
      <c r="C3303" s="46" t="s">
        <v>94</v>
      </c>
      <c r="D3303" s="46" t="s">
        <v>178</v>
      </c>
      <c r="E3303" s="46">
        <v>3</v>
      </c>
      <c r="F3303" s="46" t="s">
        <v>63</v>
      </c>
      <c r="G3303" s="46">
        <v>4</v>
      </c>
      <c r="H3303" s="47" t="s">
        <v>151</v>
      </c>
      <c r="I3303" s="47" t="s">
        <v>102</v>
      </c>
      <c r="J3303" s="48">
        <v>0</v>
      </c>
      <c r="K3303" s="48">
        <v>0</v>
      </c>
      <c r="R3303" s="46">
        <f t="shared" si="314"/>
        <v>0</v>
      </c>
      <c r="S3303" s="46">
        <f t="shared" si="315"/>
        <v>0</v>
      </c>
      <c r="T3303" s="46">
        <f t="shared" si="318"/>
        <v>0</v>
      </c>
      <c r="U3303" s="46">
        <f t="shared" si="316"/>
        <v>0</v>
      </c>
      <c r="V3303" s="54">
        <f t="shared" si="317"/>
        <v>5.5172413793103452</v>
      </c>
    </row>
    <row r="3304" spans="1:22" x14ac:dyDescent="0.2">
      <c r="A3304" s="46" t="s">
        <v>132</v>
      </c>
      <c r="B3304" s="46" t="s">
        <v>94</v>
      </c>
      <c r="C3304" s="46" t="s">
        <v>94</v>
      </c>
      <c r="D3304" s="46" t="s">
        <v>178</v>
      </c>
      <c r="E3304" s="46">
        <v>4</v>
      </c>
      <c r="F3304" s="46" t="s">
        <v>63</v>
      </c>
      <c r="G3304" s="46">
        <v>4</v>
      </c>
      <c r="H3304" s="47" t="s">
        <v>152</v>
      </c>
      <c r="I3304" s="47" t="s">
        <v>102</v>
      </c>
      <c r="J3304" s="48">
        <v>0</v>
      </c>
      <c r="K3304" s="48">
        <v>0</v>
      </c>
      <c r="R3304" s="46">
        <f t="shared" si="314"/>
        <v>0</v>
      </c>
      <c r="S3304" s="46">
        <f t="shared" si="315"/>
        <v>0</v>
      </c>
      <c r="T3304" s="46">
        <f t="shared" si="318"/>
        <v>0</v>
      </c>
      <c r="U3304" s="46">
        <f t="shared" si="316"/>
        <v>0</v>
      </c>
      <c r="V3304" s="54">
        <f t="shared" si="317"/>
        <v>5.5172413793103452</v>
      </c>
    </row>
    <row r="3305" spans="1:22" x14ac:dyDescent="0.2">
      <c r="A3305" s="46" t="s">
        <v>132</v>
      </c>
      <c r="B3305" s="46" t="s">
        <v>94</v>
      </c>
      <c r="C3305" s="46" t="s">
        <v>94</v>
      </c>
      <c r="D3305" s="46" t="s">
        <v>178</v>
      </c>
      <c r="E3305" s="46">
        <v>1</v>
      </c>
      <c r="F3305" s="46" t="s">
        <v>60</v>
      </c>
      <c r="G3305" s="46">
        <v>2</v>
      </c>
      <c r="H3305" s="47">
        <v>26</v>
      </c>
      <c r="I3305" s="47" t="s">
        <v>127</v>
      </c>
      <c r="J3305" s="48">
        <v>1</v>
      </c>
      <c r="K3305" s="48">
        <v>0</v>
      </c>
      <c r="R3305" s="46">
        <f t="shared" si="314"/>
        <v>0</v>
      </c>
      <c r="S3305" s="46">
        <f t="shared" si="315"/>
        <v>0</v>
      </c>
      <c r="T3305" s="46">
        <f t="shared" si="318"/>
        <v>20</v>
      </c>
      <c r="U3305" s="46">
        <f t="shared" si="316"/>
        <v>20</v>
      </c>
      <c r="V3305" s="54">
        <f t="shared" si="317"/>
        <v>5.5172413793103452</v>
      </c>
    </row>
    <row r="3306" spans="1:22" x14ac:dyDescent="0.2">
      <c r="A3306" s="46" t="s">
        <v>132</v>
      </c>
      <c r="B3306" s="46" t="s">
        <v>94</v>
      </c>
      <c r="C3306" s="46" t="s">
        <v>94</v>
      </c>
      <c r="D3306" s="46" t="s">
        <v>178</v>
      </c>
      <c r="E3306" s="46">
        <v>2</v>
      </c>
      <c r="F3306" s="46" t="s">
        <v>60</v>
      </c>
      <c r="G3306" s="46">
        <v>3</v>
      </c>
      <c r="H3306" s="47">
        <v>39</v>
      </c>
      <c r="I3306" s="47" t="s">
        <v>116</v>
      </c>
      <c r="J3306" s="48">
        <v>1</v>
      </c>
      <c r="K3306" s="48">
        <v>0</v>
      </c>
      <c r="R3306" s="46">
        <f t="shared" si="314"/>
        <v>0</v>
      </c>
      <c r="S3306" s="46">
        <f t="shared" si="315"/>
        <v>0</v>
      </c>
      <c r="T3306" s="46">
        <f t="shared" si="318"/>
        <v>20</v>
      </c>
      <c r="U3306" s="46">
        <f t="shared" si="316"/>
        <v>20</v>
      </c>
      <c r="V3306" s="54">
        <f t="shared" si="317"/>
        <v>5.5172413793103452</v>
      </c>
    </row>
    <row r="3307" spans="1:22" x14ac:dyDescent="0.2">
      <c r="A3307" s="46" t="s">
        <v>132</v>
      </c>
      <c r="B3307" s="46" t="s">
        <v>94</v>
      </c>
      <c r="C3307" s="46" t="s">
        <v>94</v>
      </c>
      <c r="D3307" s="46" t="s">
        <v>178</v>
      </c>
      <c r="E3307" s="46">
        <v>2</v>
      </c>
      <c r="F3307" s="46" t="s">
        <v>60</v>
      </c>
      <c r="G3307" s="46">
        <v>1</v>
      </c>
      <c r="H3307" s="47">
        <v>45</v>
      </c>
      <c r="I3307" s="47" t="s">
        <v>101</v>
      </c>
      <c r="J3307" s="48">
        <v>1</v>
      </c>
      <c r="K3307" s="48">
        <v>1</v>
      </c>
      <c r="R3307" s="46">
        <f t="shared" si="314"/>
        <v>0</v>
      </c>
      <c r="S3307" s="46">
        <f t="shared" si="315"/>
        <v>0</v>
      </c>
      <c r="T3307" s="46">
        <f t="shared" si="318"/>
        <v>20</v>
      </c>
      <c r="U3307" s="46">
        <f t="shared" si="316"/>
        <v>20</v>
      </c>
      <c r="V3307" s="54">
        <f t="shared" si="317"/>
        <v>5.5172413793103452</v>
      </c>
    </row>
    <row r="3308" spans="1:22" x14ac:dyDescent="0.2">
      <c r="A3308" s="46" t="s">
        <v>132</v>
      </c>
      <c r="B3308" s="46" t="s">
        <v>94</v>
      </c>
      <c r="C3308" s="46" t="s">
        <v>94</v>
      </c>
      <c r="D3308" s="46" t="s">
        <v>178</v>
      </c>
      <c r="E3308" s="46">
        <v>1</v>
      </c>
      <c r="F3308" s="46" t="s">
        <v>63</v>
      </c>
      <c r="G3308" s="46">
        <v>4</v>
      </c>
      <c r="H3308" s="47" t="s">
        <v>149</v>
      </c>
      <c r="I3308" s="47" t="s">
        <v>102</v>
      </c>
      <c r="J3308" s="48">
        <v>1</v>
      </c>
      <c r="K3308" s="48">
        <v>1</v>
      </c>
      <c r="R3308" s="46">
        <f t="shared" si="314"/>
        <v>0</v>
      </c>
      <c r="S3308" s="46">
        <f t="shared" si="315"/>
        <v>0</v>
      </c>
      <c r="T3308" s="46">
        <f t="shared" si="318"/>
        <v>20</v>
      </c>
      <c r="U3308" s="46">
        <f t="shared" si="316"/>
        <v>20</v>
      </c>
      <c r="V3308" s="54">
        <f t="shared" si="317"/>
        <v>5.5172413793103452</v>
      </c>
    </row>
    <row r="3309" spans="1:22" x14ac:dyDescent="0.2">
      <c r="A3309" s="46" t="s">
        <v>132</v>
      </c>
      <c r="B3309" s="46" t="s">
        <v>94</v>
      </c>
      <c r="C3309" s="46" t="s">
        <v>94</v>
      </c>
      <c r="D3309" s="46" t="s">
        <v>178</v>
      </c>
      <c r="E3309" s="46">
        <v>3</v>
      </c>
      <c r="F3309" s="46" t="s">
        <v>63</v>
      </c>
      <c r="G3309" s="46">
        <v>4</v>
      </c>
      <c r="H3309" s="47" t="s">
        <v>149</v>
      </c>
      <c r="I3309" s="47" t="s">
        <v>102</v>
      </c>
      <c r="J3309" s="48">
        <v>1</v>
      </c>
      <c r="K3309" s="48">
        <v>0</v>
      </c>
      <c r="R3309" s="46">
        <f t="shared" si="314"/>
        <v>0</v>
      </c>
      <c r="S3309" s="46">
        <f t="shared" si="315"/>
        <v>0</v>
      </c>
      <c r="T3309" s="46">
        <f t="shared" si="318"/>
        <v>20</v>
      </c>
      <c r="U3309" s="46">
        <f t="shared" si="316"/>
        <v>20</v>
      </c>
      <c r="V3309" s="54">
        <f t="shared" si="317"/>
        <v>5.5172413793103452</v>
      </c>
    </row>
    <row r="3310" spans="1:22" x14ac:dyDescent="0.2">
      <c r="A3310" s="46" t="s">
        <v>132</v>
      </c>
      <c r="B3310" s="46" t="s">
        <v>94</v>
      </c>
      <c r="C3310" s="46" t="s">
        <v>94</v>
      </c>
      <c r="D3310" s="46" t="s">
        <v>178</v>
      </c>
      <c r="E3310" s="46">
        <v>2</v>
      </c>
      <c r="F3310" s="46" t="s">
        <v>63</v>
      </c>
      <c r="G3310" s="46">
        <v>4</v>
      </c>
      <c r="H3310" s="47" t="s">
        <v>152</v>
      </c>
      <c r="I3310" s="47" t="s">
        <v>102</v>
      </c>
      <c r="J3310" s="48">
        <v>1</v>
      </c>
      <c r="K3310" s="48">
        <v>1</v>
      </c>
      <c r="R3310" s="46">
        <f t="shared" si="314"/>
        <v>0</v>
      </c>
      <c r="S3310" s="46">
        <f t="shared" si="315"/>
        <v>0</v>
      </c>
      <c r="T3310" s="46">
        <f t="shared" si="318"/>
        <v>20</v>
      </c>
      <c r="U3310" s="46">
        <f t="shared" si="316"/>
        <v>20</v>
      </c>
      <c r="V3310" s="54">
        <f t="shared" si="317"/>
        <v>5.5172413793103452</v>
      </c>
    </row>
    <row r="3311" spans="1:22" x14ac:dyDescent="0.2">
      <c r="A3311" s="46" t="s">
        <v>132</v>
      </c>
      <c r="B3311" s="46" t="s">
        <v>94</v>
      </c>
      <c r="C3311" s="46" t="s">
        <v>94</v>
      </c>
      <c r="D3311" s="46" t="s">
        <v>178</v>
      </c>
      <c r="E3311" s="46">
        <v>1</v>
      </c>
      <c r="F3311" s="46" t="s">
        <v>63</v>
      </c>
      <c r="G3311" s="46">
        <v>4</v>
      </c>
      <c r="H3311" s="47" t="s">
        <v>172</v>
      </c>
      <c r="I3311" s="47" t="s">
        <v>102</v>
      </c>
      <c r="J3311" s="48">
        <v>1</v>
      </c>
      <c r="K3311" s="48">
        <v>0</v>
      </c>
      <c r="R3311" s="46">
        <f t="shared" si="314"/>
        <v>0</v>
      </c>
      <c r="S3311" s="46">
        <f t="shared" si="315"/>
        <v>0</v>
      </c>
      <c r="T3311" s="46">
        <f t="shared" si="318"/>
        <v>20</v>
      </c>
      <c r="U3311" s="46">
        <f t="shared" si="316"/>
        <v>20</v>
      </c>
      <c r="V3311" s="54">
        <f t="shared" si="317"/>
        <v>5.5172413793103452</v>
      </c>
    </row>
    <row r="3312" spans="1:22" x14ac:dyDescent="0.2">
      <c r="A3312" s="46" t="s">
        <v>132</v>
      </c>
      <c r="B3312" s="46" t="s">
        <v>94</v>
      </c>
      <c r="C3312" s="46" t="s">
        <v>94</v>
      </c>
      <c r="D3312" s="46" t="s">
        <v>178</v>
      </c>
      <c r="E3312" s="46">
        <v>1</v>
      </c>
      <c r="F3312" s="46" t="s">
        <v>60</v>
      </c>
      <c r="G3312" s="46">
        <v>4</v>
      </c>
      <c r="H3312" s="47">
        <v>12</v>
      </c>
      <c r="I3312" s="47" t="s">
        <v>102</v>
      </c>
      <c r="J3312" s="48">
        <v>2</v>
      </c>
      <c r="K3312" s="48">
        <v>0</v>
      </c>
      <c r="R3312" s="46">
        <f t="shared" si="314"/>
        <v>0</v>
      </c>
      <c r="S3312" s="46">
        <f t="shared" si="315"/>
        <v>0</v>
      </c>
      <c r="T3312" s="46">
        <f t="shared" si="318"/>
        <v>40</v>
      </c>
      <c r="U3312" s="46">
        <f t="shared" si="316"/>
        <v>40</v>
      </c>
      <c r="V3312" s="54">
        <f t="shared" si="317"/>
        <v>5.5172413793103452</v>
      </c>
    </row>
    <row r="3313" spans="1:22" x14ac:dyDescent="0.2">
      <c r="A3313" s="46" t="s">
        <v>132</v>
      </c>
      <c r="B3313" s="46" t="s">
        <v>94</v>
      </c>
      <c r="C3313" s="46" t="s">
        <v>94</v>
      </c>
      <c r="D3313" s="46" t="s">
        <v>178</v>
      </c>
      <c r="E3313" s="46">
        <v>1</v>
      </c>
      <c r="F3313" s="46" t="s">
        <v>60</v>
      </c>
      <c r="G3313" s="46">
        <v>3</v>
      </c>
      <c r="H3313" s="47">
        <v>39</v>
      </c>
      <c r="I3313" s="47" t="s">
        <v>116</v>
      </c>
      <c r="J3313" s="48">
        <v>2</v>
      </c>
      <c r="K3313" s="48">
        <v>0</v>
      </c>
      <c r="R3313" s="46">
        <f t="shared" si="314"/>
        <v>0</v>
      </c>
      <c r="S3313" s="46">
        <f t="shared" si="315"/>
        <v>0</v>
      </c>
      <c r="T3313" s="46">
        <f t="shared" si="318"/>
        <v>40</v>
      </c>
      <c r="U3313" s="46">
        <f t="shared" si="316"/>
        <v>40</v>
      </c>
      <c r="V3313" s="54">
        <f t="shared" si="317"/>
        <v>5.5172413793103452</v>
      </c>
    </row>
    <row r="3314" spans="1:22" x14ac:dyDescent="0.2">
      <c r="A3314" s="46" t="s">
        <v>132</v>
      </c>
      <c r="B3314" s="46" t="s">
        <v>94</v>
      </c>
      <c r="C3314" s="46" t="s">
        <v>94</v>
      </c>
      <c r="D3314" s="46" t="s">
        <v>178</v>
      </c>
      <c r="E3314" s="46">
        <v>5</v>
      </c>
      <c r="F3314" s="46" t="s">
        <v>60</v>
      </c>
      <c r="G3314" s="46">
        <v>4</v>
      </c>
      <c r="H3314" s="47">
        <v>8</v>
      </c>
      <c r="I3314" s="47" t="s">
        <v>102</v>
      </c>
      <c r="J3314" s="48">
        <v>0</v>
      </c>
      <c r="K3314" s="48">
        <v>0</v>
      </c>
      <c r="R3314" s="46">
        <f t="shared" si="314"/>
        <v>0</v>
      </c>
      <c r="S3314" s="46">
        <f t="shared" si="315"/>
        <v>0</v>
      </c>
      <c r="T3314" s="46">
        <f t="shared" si="318"/>
        <v>0</v>
      </c>
      <c r="U3314" s="46">
        <f t="shared" si="316"/>
        <v>0</v>
      </c>
      <c r="V3314" s="54">
        <f t="shared" si="317"/>
        <v>5.5172413793103452</v>
      </c>
    </row>
    <row r="3315" spans="1:22" x14ac:dyDescent="0.2">
      <c r="A3315" s="46" t="s">
        <v>132</v>
      </c>
      <c r="B3315" s="46" t="s">
        <v>94</v>
      </c>
      <c r="C3315" s="46" t="s">
        <v>94</v>
      </c>
      <c r="D3315" s="46" t="s">
        <v>178</v>
      </c>
      <c r="E3315" s="46">
        <v>5</v>
      </c>
      <c r="F3315" s="46" t="s">
        <v>60</v>
      </c>
      <c r="G3315" s="46">
        <v>3</v>
      </c>
      <c r="H3315" s="47">
        <v>15</v>
      </c>
      <c r="I3315" s="47" t="s">
        <v>159</v>
      </c>
      <c r="J3315" s="48">
        <v>0</v>
      </c>
      <c r="K3315" s="48">
        <v>0</v>
      </c>
      <c r="R3315" s="46">
        <f t="shared" si="314"/>
        <v>0</v>
      </c>
      <c r="S3315" s="46">
        <f t="shared" si="315"/>
        <v>0</v>
      </c>
      <c r="T3315" s="46">
        <f t="shared" si="318"/>
        <v>0</v>
      </c>
      <c r="U3315" s="46">
        <f t="shared" si="316"/>
        <v>0</v>
      </c>
      <c r="V3315" s="54">
        <f t="shared" si="317"/>
        <v>5.5172413793103452</v>
      </c>
    </row>
    <row r="3316" spans="1:22" x14ac:dyDescent="0.2">
      <c r="A3316" s="46" t="s">
        <v>132</v>
      </c>
      <c r="B3316" s="46" t="s">
        <v>94</v>
      </c>
      <c r="C3316" s="46" t="s">
        <v>94</v>
      </c>
      <c r="D3316" s="46" t="s">
        <v>178</v>
      </c>
      <c r="E3316" s="46">
        <v>5</v>
      </c>
      <c r="F3316" s="46" t="s">
        <v>60</v>
      </c>
      <c r="G3316" s="46">
        <v>1</v>
      </c>
      <c r="H3316" s="47">
        <v>21</v>
      </c>
      <c r="I3316" s="47" t="s">
        <v>101</v>
      </c>
      <c r="J3316" s="48">
        <v>0</v>
      </c>
      <c r="K3316" s="48">
        <v>0</v>
      </c>
      <c r="R3316" s="46">
        <f t="shared" si="314"/>
        <v>0</v>
      </c>
      <c r="S3316" s="46">
        <f t="shared" si="315"/>
        <v>0</v>
      </c>
      <c r="T3316" s="46">
        <f t="shared" si="318"/>
        <v>0</v>
      </c>
      <c r="U3316" s="46">
        <f t="shared" si="316"/>
        <v>0</v>
      </c>
      <c r="V3316" s="54">
        <f t="shared" si="317"/>
        <v>5.5172413793103452</v>
      </c>
    </row>
    <row r="3317" spans="1:22" x14ac:dyDescent="0.2">
      <c r="A3317" s="46" t="s">
        <v>132</v>
      </c>
      <c r="B3317" s="46" t="s">
        <v>94</v>
      </c>
      <c r="C3317" s="46" t="s">
        <v>94</v>
      </c>
      <c r="D3317" s="46" t="s">
        <v>178</v>
      </c>
      <c r="E3317" s="46">
        <v>5</v>
      </c>
      <c r="F3317" s="46" t="s">
        <v>60</v>
      </c>
      <c r="G3317" s="46">
        <v>4</v>
      </c>
      <c r="H3317" s="47">
        <v>40</v>
      </c>
      <c r="I3317" s="47" t="s">
        <v>102</v>
      </c>
      <c r="J3317" s="48">
        <v>0</v>
      </c>
      <c r="K3317" s="48">
        <v>0</v>
      </c>
      <c r="R3317" s="46">
        <f t="shared" si="314"/>
        <v>0</v>
      </c>
      <c r="S3317" s="46">
        <f t="shared" si="315"/>
        <v>0</v>
      </c>
      <c r="T3317" s="46">
        <f t="shared" si="318"/>
        <v>0</v>
      </c>
      <c r="U3317" s="46">
        <f t="shared" si="316"/>
        <v>0</v>
      </c>
      <c r="V3317" s="54">
        <f t="shared" si="317"/>
        <v>5.5172413793103452</v>
      </c>
    </row>
    <row r="3318" spans="1:22" x14ac:dyDescent="0.2">
      <c r="A3318" s="46" t="s">
        <v>132</v>
      </c>
      <c r="B3318" s="46" t="s">
        <v>94</v>
      </c>
      <c r="C3318" s="46" t="s">
        <v>94</v>
      </c>
      <c r="D3318" s="46" t="s">
        <v>178</v>
      </c>
      <c r="E3318" s="46">
        <v>5</v>
      </c>
      <c r="F3318" s="46" t="s">
        <v>60</v>
      </c>
      <c r="G3318" s="46">
        <v>4</v>
      </c>
      <c r="H3318" s="47">
        <v>48</v>
      </c>
      <c r="I3318" s="47" t="s">
        <v>102</v>
      </c>
      <c r="J3318" s="48">
        <v>0</v>
      </c>
      <c r="K3318" s="48">
        <v>1</v>
      </c>
      <c r="R3318" s="46">
        <f t="shared" si="314"/>
        <v>0</v>
      </c>
      <c r="S3318" s="46">
        <f t="shared" si="315"/>
        <v>0</v>
      </c>
      <c r="T3318" s="46">
        <f t="shared" si="318"/>
        <v>0</v>
      </c>
      <c r="U3318" s="46">
        <f t="shared" si="316"/>
        <v>0</v>
      </c>
      <c r="V3318" s="54">
        <f t="shared" si="317"/>
        <v>5.5172413793103452</v>
      </c>
    </row>
    <row r="3319" spans="1:22" x14ac:dyDescent="0.2">
      <c r="A3319" s="46" t="s">
        <v>132</v>
      </c>
      <c r="B3319" s="46" t="s">
        <v>94</v>
      </c>
      <c r="C3319" s="46" t="str">
        <f>VLOOKUP(B3319,$B$2:$C$3219,2,FALSE)</f>
        <v>NSA</v>
      </c>
      <c r="D3319" s="46" t="s">
        <v>178</v>
      </c>
      <c r="E3319" s="46">
        <v>5</v>
      </c>
      <c r="F3319" s="46" t="s">
        <v>63</v>
      </c>
      <c r="G3319" s="46">
        <v>4</v>
      </c>
      <c r="H3319" s="47" t="s">
        <v>146</v>
      </c>
      <c r="I3319" s="47" t="s">
        <v>102</v>
      </c>
      <c r="J3319" s="48">
        <v>0</v>
      </c>
      <c r="K3319" s="48">
        <v>1</v>
      </c>
      <c r="R3319" s="46">
        <f t="shared" si="314"/>
        <v>0</v>
      </c>
      <c r="S3319" s="46">
        <f t="shared" si="315"/>
        <v>0</v>
      </c>
      <c r="T3319" s="46">
        <f t="shared" si="318"/>
        <v>0</v>
      </c>
      <c r="U3319" s="46">
        <f t="shared" si="316"/>
        <v>0</v>
      </c>
      <c r="V3319" s="54">
        <f t="shared" si="317"/>
        <v>5.5172413793103452</v>
      </c>
    </row>
    <row r="3320" spans="1:22" x14ac:dyDescent="0.2">
      <c r="A3320" s="46" t="s">
        <v>132</v>
      </c>
      <c r="B3320" s="46" t="s">
        <v>94</v>
      </c>
      <c r="C3320" s="46" t="str">
        <f>VLOOKUP(B3320,$B$2:$C$3219,2,FALSE)</f>
        <v>NSA</v>
      </c>
      <c r="D3320" s="46" t="s">
        <v>178</v>
      </c>
      <c r="E3320" s="46">
        <v>5</v>
      </c>
      <c r="F3320" s="46" t="s">
        <v>63</v>
      </c>
      <c r="G3320" s="46">
        <v>4</v>
      </c>
      <c r="H3320" s="47" t="s">
        <v>148</v>
      </c>
      <c r="I3320" s="47" t="s">
        <v>102</v>
      </c>
      <c r="J3320" s="48">
        <v>0</v>
      </c>
      <c r="K3320" s="48">
        <v>1</v>
      </c>
      <c r="R3320" s="46">
        <f t="shared" si="314"/>
        <v>0</v>
      </c>
      <c r="S3320" s="46">
        <f t="shared" si="315"/>
        <v>0</v>
      </c>
      <c r="T3320" s="46">
        <f t="shared" si="318"/>
        <v>0</v>
      </c>
      <c r="U3320" s="46">
        <f t="shared" si="316"/>
        <v>0</v>
      </c>
      <c r="V3320" s="54">
        <f t="shared" si="317"/>
        <v>5.5172413793103452</v>
      </c>
    </row>
    <row r="3321" spans="1:22" x14ac:dyDescent="0.2">
      <c r="A3321" s="46" t="s">
        <v>132</v>
      </c>
      <c r="B3321" s="46" t="s">
        <v>94</v>
      </c>
      <c r="C3321" s="46" t="str">
        <f>VLOOKUP(B3321,$B$2:$C$3219,2,FALSE)</f>
        <v>NSA</v>
      </c>
      <c r="D3321" s="46" t="s">
        <v>178</v>
      </c>
      <c r="E3321" s="46">
        <v>5</v>
      </c>
      <c r="F3321" s="46" t="s">
        <v>63</v>
      </c>
      <c r="G3321" s="46">
        <v>4</v>
      </c>
      <c r="H3321" s="47" t="s">
        <v>151</v>
      </c>
      <c r="I3321" s="47" t="s">
        <v>102</v>
      </c>
      <c r="J3321" s="48">
        <v>1</v>
      </c>
      <c r="K3321" s="48">
        <v>1</v>
      </c>
      <c r="R3321" s="46">
        <f t="shared" si="314"/>
        <v>0</v>
      </c>
      <c r="S3321" s="46">
        <f t="shared" si="315"/>
        <v>0</v>
      </c>
      <c r="T3321" s="46">
        <f t="shared" si="318"/>
        <v>20</v>
      </c>
      <c r="U3321" s="46">
        <f t="shared" si="316"/>
        <v>20</v>
      </c>
      <c r="V3321" s="54">
        <f t="shared" si="317"/>
        <v>5.5172413793103452</v>
      </c>
    </row>
    <row r="3322" spans="1:22" x14ac:dyDescent="0.2">
      <c r="A3322" s="46" t="s">
        <v>130</v>
      </c>
      <c r="B3322" s="46" t="s">
        <v>208</v>
      </c>
      <c r="C3322" s="46" t="s">
        <v>88</v>
      </c>
      <c r="D3322" s="46" t="s">
        <v>178</v>
      </c>
      <c r="E3322" s="46">
        <v>4</v>
      </c>
      <c r="F3322" s="46" t="s">
        <v>60</v>
      </c>
      <c r="G3322" s="46">
        <v>3</v>
      </c>
      <c r="H3322" s="47">
        <v>3</v>
      </c>
      <c r="I3322" s="47" t="s">
        <v>159</v>
      </c>
      <c r="J3322" s="48">
        <v>0</v>
      </c>
      <c r="K3322" s="48">
        <v>0</v>
      </c>
      <c r="N3322" s="48">
        <v>1</v>
      </c>
      <c r="R3322" s="46">
        <f t="shared" si="314"/>
        <v>0</v>
      </c>
      <c r="S3322" s="46">
        <f t="shared" si="315"/>
        <v>0</v>
      </c>
      <c r="T3322" s="46">
        <f t="shared" si="318"/>
        <v>0</v>
      </c>
      <c r="U3322" s="46">
        <f t="shared" si="316"/>
        <v>-5</v>
      </c>
      <c r="V3322" s="54">
        <f t="shared" si="317"/>
        <v>17.333333333333332</v>
      </c>
    </row>
    <row r="3323" spans="1:22" x14ac:dyDescent="0.2">
      <c r="A3323" s="46" t="s">
        <v>130</v>
      </c>
      <c r="B3323" s="46" t="s">
        <v>57</v>
      </c>
      <c r="C3323" s="46" t="s">
        <v>88</v>
      </c>
      <c r="D3323" s="46" t="s">
        <v>178</v>
      </c>
      <c r="E3323" s="46">
        <v>2</v>
      </c>
      <c r="F3323" s="46" t="s">
        <v>60</v>
      </c>
      <c r="G3323" s="46">
        <v>3</v>
      </c>
      <c r="H3323" s="47">
        <v>11</v>
      </c>
      <c r="I3323" s="47" t="s">
        <v>116</v>
      </c>
      <c r="J3323" s="48">
        <v>0</v>
      </c>
      <c r="K3323" s="48">
        <v>0</v>
      </c>
      <c r="M3323" s="48">
        <v>1</v>
      </c>
      <c r="R3323" s="46">
        <f t="shared" si="314"/>
        <v>0</v>
      </c>
      <c r="S3323" s="46">
        <f t="shared" si="315"/>
        <v>0</v>
      </c>
      <c r="T3323" s="46">
        <f t="shared" si="318"/>
        <v>0</v>
      </c>
      <c r="U3323" s="46">
        <f t="shared" si="316"/>
        <v>20</v>
      </c>
      <c r="V3323" s="54">
        <f t="shared" si="317"/>
        <v>17.333333333333332</v>
      </c>
    </row>
    <row r="3324" spans="1:22" x14ac:dyDescent="0.2">
      <c r="A3324" s="46" t="s">
        <v>130</v>
      </c>
      <c r="B3324" s="46" t="s">
        <v>208</v>
      </c>
      <c r="C3324" s="46" t="s">
        <v>88</v>
      </c>
      <c r="D3324" s="46" t="s">
        <v>178</v>
      </c>
      <c r="E3324" s="46">
        <v>1</v>
      </c>
      <c r="F3324" s="46" t="s">
        <v>60</v>
      </c>
      <c r="G3324" s="46">
        <v>1</v>
      </c>
      <c r="H3324" s="47">
        <v>13</v>
      </c>
      <c r="I3324" s="47" t="s">
        <v>101</v>
      </c>
      <c r="J3324" s="48">
        <v>0</v>
      </c>
      <c r="K3324" s="48">
        <v>0</v>
      </c>
      <c r="N3324" s="48">
        <v>1</v>
      </c>
      <c r="R3324" s="46">
        <f t="shared" si="314"/>
        <v>0</v>
      </c>
      <c r="S3324" s="46">
        <f t="shared" si="315"/>
        <v>0</v>
      </c>
      <c r="T3324" s="46">
        <f t="shared" si="318"/>
        <v>0</v>
      </c>
      <c r="U3324" s="46">
        <f t="shared" si="316"/>
        <v>-5</v>
      </c>
      <c r="V3324" s="54">
        <f t="shared" si="317"/>
        <v>17.333333333333332</v>
      </c>
    </row>
    <row r="3325" spans="1:22" x14ac:dyDescent="0.2">
      <c r="A3325" s="46" t="s">
        <v>130</v>
      </c>
      <c r="B3325" s="46" t="s">
        <v>57</v>
      </c>
      <c r="C3325" s="46" t="s">
        <v>88</v>
      </c>
      <c r="D3325" s="46" t="s">
        <v>178</v>
      </c>
      <c r="E3325" s="46">
        <v>2</v>
      </c>
      <c r="F3325" s="46" t="s">
        <v>60</v>
      </c>
      <c r="G3325" s="46">
        <v>1</v>
      </c>
      <c r="H3325" s="47">
        <v>21</v>
      </c>
      <c r="I3325" s="47" t="s">
        <v>101</v>
      </c>
      <c r="J3325" s="48">
        <v>0</v>
      </c>
      <c r="K3325" s="48">
        <v>0</v>
      </c>
      <c r="R3325" s="46">
        <f t="shared" si="314"/>
        <v>0</v>
      </c>
      <c r="S3325" s="46">
        <f t="shared" si="315"/>
        <v>0</v>
      </c>
      <c r="T3325" s="46">
        <f t="shared" si="318"/>
        <v>0</v>
      </c>
      <c r="U3325" s="46">
        <f t="shared" si="316"/>
        <v>0</v>
      </c>
      <c r="V3325" s="54">
        <f t="shared" si="317"/>
        <v>17.333333333333332</v>
      </c>
    </row>
    <row r="3326" spans="1:22" x14ac:dyDescent="0.2">
      <c r="A3326" s="46" t="s">
        <v>130</v>
      </c>
      <c r="B3326" s="46" t="s">
        <v>208</v>
      </c>
      <c r="C3326" s="46" t="s">
        <v>88</v>
      </c>
      <c r="D3326" s="46" t="s">
        <v>178</v>
      </c>
      <c r="E3326" s="46">
        <v>4</v>
      </c>
      <c r="F3326" s="46" t="s">
        <v>60</v>
      </c>
      <c r="G3326" s="46">
        <v>2</v>
      </c>
      <c r="H3326" s="47">
        <v>22</v>
      </c>
      <c r="I3326" s="47" t="s">
        <v>127</v>
      </c>
      <c r="J3326" s="48">
        <v>0</v>
      </c>
      <c r="K3326" s="48">
        <v>0</v>
      </c>
      <c r="R3326" s="46">
        <f t="shared" si="314"/>
        <v>0</v>
      </c>
      <c r="S3326" s="46">
        <f t="shared" si="315"/>
        <v>0</v>
      </c>
      <c r="T3326" s="46">
        <f t="shared" si="318"/>
        <v>0</v>
      </c>
      <c r="U3326" s="46">
        <f t="shared" si="316"/>
        <v>0</v>
      </c>
      <c r="V3326" s="54">
        <f t="shared" si="317"/>
        <v>17.333333333333332</v>
      </c>
    </row>
    <row r="3327" spans="1:22" x14ac:dyDescent="0.2">
      <c r="A3327" s="46" t="s">
        <v>130</v>
      </c>
      <c r="B3327" s="46" t="s">
        <v>57</v>
      </c>
      <c r="C3327" s="46" t="s">
        <v>88</v>
      </c>
      <c r="D3327" s="46" t="s">
        <v>178</v>
      </c>
      <c r="E3327" s="46">
        <v>2</v>
      </c>
      <c r="F3327" s="46" t="s">
        <v>60</v>
      </c>
      <c r="G3327" s="46">
        <v>4</v>
      </c>
      <c r="H3327" s="47">
        <v>36</v>
      </c>
      <c r="I3327" s="47" t="s">
        <v>102</v>
      </c>
      <c r="J3327" s="48">
        <v>0</v>
      </c>
      <c r="K3327" s="48">
        <v>0</v>
      </c>
      <c r="R3327" s="46">
        <f t="shared" si="314"/>
        <v>0</v>
      </c>
      <c r="S3327" s="46">
        <f t="shared" si="315"/>
        <v>0</v>
      </c>
      <c r="T3327" s="46">
        <f t="shared" si="318"/>
        <v>0</v>
      </c>
      <c r="U3327" s="46">
        <f t="shared" si="316"/>
        <v>0</v>
      </c>
      <c r="V3327" s="54">
        <f t="shared" si="317"/>
        <v>17.333333333333332</v>
      </c>
    </row>
    <row r="3328" spans="1:22" x14ac:dyDescent="0.2">
      <c r="A3328" s="46" t="s">
        <v>130</v>
      </c>
      <c r="B3328" s="46" t="s">
        <v>208</v>
      </c>
      <c r="C3328" s="46" t="s">
        <v>88</v>
      </c>
      <c r="D3328" s="46" t="s">
        <v>178</v>
      </c>
      <c r="E3328" s="46">
        <v>3</v>
      </c>
      <c r="F3328" s="46" t="s">
        <v>60</v>
      </c>
      <c r="G3328" s="46">
        <v>4</v>
      </c>
      <c r="H3328" s="47">
        <v>36</v>
      </c>
      <c r="I3328" s="47" t="s">
        <v>102</v>
      </c>
      <c r="J3328" s="48">
        <v>0</v>
      </c>
      <c r="K3328" s="48">
        <v>0</v>
      </c>
      <c r="M3328" s="48">
        <v>1</v>
      </c>
      <c r="R3328" s="46">
        <f t="shared" si="314"/>
        <v>0</v>
      </c>
      <c r="S3328" s="46">
        <f t="shared" si="315"/>
        <v>0</v>
      </c>
      <c r="T3328" s="46">
        <f t="shared" si="318"/>
        <v>0</v>
      </c>
      <c r="U3328" s="46">
        <f t="shared" si="316"/>
        <v>20</v>
      </c>
      <c r="V3328" s="54">
        <f t="shared" si="317"/>
        <v>17.333333333333332</v>
      </c>
    </row>
    <row r="3329" spans="1:22" x14ac:dyDescent="0.2">
      <c r="A3329" s="46" t="s">
        <v>130</v>
      </c>
      <c r="B3329" s="46" t="s">
        <v>208</v>
      </c>
      <c r="C3329" s="46" t="s">
        <v>88</v>
      </c>
      <c r="D3329" s="46" t="s">
        <v>178</v>
      </c>
      <c r="E3329" s="46">
        <v>4</v>
      </c>
      <c r="F3329" s="46" t="s">
        <v>60</v>
      </c>
      <c r="G3329" s="46">
        <v>1</v>
      </c>
      <c r="H3329" s="47">
        <v>37</v>
      </c>
      <c r="I3329" s="47" t="s">
        <v>101</v>
      </c>
      <c r="J3329" s="48">
        <v>0</v>
      </c>
      <c r="K3329" s="48">
        <v>0</v>
      </c>
      <c r="R3329" s="46">
        <f t="shared" si="314"/>
        <v>0</v>
      </c>
      <c r="S3329" s="46">
        <f t="shared" si="315"/>
        <v>0</v>
      </c>
      <c r="T3329" s="46">
        <f t="shared" si="318"/>
        <v>0</v>
      </c>
      <c r="U3329" s="46">
        <f t="shared" si="316"/>
        <v>0</v>
      </c>
      <c r="V3329" s="54">
        <f t="shared" si="317"/>
        <v>17.333333333333332</v>
      </c>
    </row>
    <row r="3330" spans="1:22" x14ac:dyDescent="0.2">
      <c r="A3330" s="46" t="s">
        <v>130</v>
      </c>
      <c r="B3330" s="46" t="s">
        <v>57</v>
      </c>
      <c r="C3330" s="46" t="s">
        <v>88</v>
      </c>
      <c r="D3330" s="46" t="s">
        <v>178</v>
      </c>
      <c r="E3330" s="46">
        <v>2</v>
      </c>
      <c r="F3330" s="46" t="s">
        <v>60</v>
      </c>
      <c r="G3330" s="46">
        <v>2</v>
      </c>
      <c r="H3330" s="47">
        <v>42</v>
      </c>
      <c r="I3330" s="47" t="s">
        <v>127</v>
      </c>
      <c r="J3330" s="48">
        <v>0</v>
      </c>
      <c r="K3330" s="48">
        <v>0</v>
      </c>
      <c r="R3330" s="46">
        <f t="shared" ref="R3330:R3393" si="319">IF(J3330=4,1,0)</f>
        <v>0</v>
      </c>
      <c r="S3330" s="46">
        <f t="shared" ref="S3330:S3393" si="320">IF(K3330=3,1,0)</f>
        <v>0</v>
      </c>
      <c r="T3330" s="46">
        <f t="shared" si="318"/>
        <v>0</v>
      </c>
      <c r="U3330" s="46">
        <f t="shared" ref="U3330:U3393" si="321">T3330+M3330*(20) + (SUM(O3330:Q3330)*(10)) - L3330*(5) - N3330*(5)</f>
        <v>0</v>
      </c>
      <c r="V3330" s="54">
        <f t="shared" ref="V3330:V3393" si="322">AVERAGEIFS(U:U,A:A,A3330,F:F,"Pre")</f>
        <v>17.333333333333332</v>
      </c>
    </row>
    <row r="3331" spans="1:22" x14ac:dyDescent="0.2">
      <c r="A3331" s="46" t="s">
        <v>130</v>
      </c>
      <c r="B3331" s="46" t="s">
        <v>208</v>
      </c>
      <c r="C3331" s="46" t="s">
        <v>88</v>
      </c>
      <c r="D3331" s="46" t="s">
        <v>178</v>
      </c>
      <c r="E3331" s="46">
        <v>3</v>
      </c>
      <c r="F3331" s="46" t="s">
        <v>60</v>
      </c>
      <c r="G3331" s="46">
        <v>3</v>
      </c>
      <c r="H3331" s="47">
        <v>43</v>
      </c>
      <c r="I3331" s="47" t="s">
        <v>116</v>
      </c>
      <c r="J3331" s="48">
        <v>0</v>
      </c>
      <c r="K3331" s="48">
        <v>0</v>
      </c>
      <c r="R3331" s="46">
        <f t="shared" si="319"/>
        <v>0</v>
      </c>
      <c r="S3331" s="46">
        <f t="shared" si="320"/>
        <v>0</v>
      </c>
      <c r="T3331" s="46">
        <f t="shared" si="318"/>
        <v>0</v>
      </c>
      <c r="U3331" s="46">
        <f t="shared" si="321"/>
        <v>0</v>
      </c>
      <c r="V3331" s="54">
        <f t="shared" si="322"/>
        <v>17.333333333333332</v>
      </c>
    </row>
    <row r="3332" spans="1:22" x14ac:dyDescent="0.2">
      <c r="A3332" s="46" t="s">
        <v>130</v>
      </c>
      <c r="B3332" s="46" t="s">
        <v>57</v>
      </c>
      <c r="C3332" s="46" t="s">
        <v>88</v>
      </c>
      <c r="D3332" s="46" t="s">
        <v>178</v>
      </c>
      <c r="E3332" s="46">
        <v>2</v>
      </c>
      <c r="F3332" s="46" t="s">
        <v>60</v>
      </c>
      <c r="G3332" s="46">
        <v>1</v>
      </c>
      <c r="H3332" s="47">
        <v>49</v>
      </c>
      <c r="I3332" s="47" t="s">
        <v>101</v>
      </c>
      <c r="J3332" s="48">
        <v>0</v>
      </c>
      <c r="K3332" s="48">
        <v>1</v>
      </c>
      <c r="R3332" s="46">
        <f t="shared" si="319"/>
        <v>0</v>
      </c>
      <c r="S3332" s="46">
        <f t="shared" si="320"/>
        <v>0</v>
      </c>
      <c r="T3332" s="46">
        <f t="shared" si="318"/>
        <v>0</v>
      </c>
      <c r="U3332" s="46">
        <f t="shared" si="321"/>
        <v>0</v>
      </c>
      <c r="V3332" s="54">
        <f t="shared" si="322"/>
        <v>17.333333333333332</v>
      </c>
    </row>
    <row r="3333" spans="1:22" x14ac:dyDescent="0.2">
      <c r="A3333" s="46" t="s">
        <v>130</v>
      </c>
      <c r="B3333" s="46" t="s">
        <v>57</v>
      </c>
      <c r="C3333" s="46" t="s">
        <v>88</v>
      </c>
      <c r="D3333" s="46" t="s">
        <v>178</v>
      </c>
      <c r="E3333" s="46">
        <v>2</v>
      </c>
      <c r="F3333" s="46" t="s">
        <v>62</v>
      </c>
      <c r="G3333" s="46">
        <v>3</v>
      </c>
      <c r="H3333" s="47" t="s">
        <v>80</v>
      </c>
      <c r="I3333" s="47" t="s">
        <v>116</v>
      </c>
      <c r="J3333" s="48">
        <v>0</v>
      </c>
      <c r="K3333" s="48">
        <v>0</v>
      </c>
      <c r="R3333" s="46">
        <f t="shared" si="319"/>
        <v>0</v>
      </c>
      <c r="S3333" s="46">
        <f t="shared" si="320"/>
        <v>0</v>
      </c>
      <c r="T3333" s="46">
        <f t="shared" si="318"/>
        <v>0</v>
      </c>
      <c r="U3333" s="46">
        <f t="shared" si="321"/>
        <v>0</v>
      </c>
      <c r="V3333" s="54">
        <f t="shared" si="322"/>
        <v>17.333333333333332</v>
      </c>
    </row>
    <row r="3334" spans="1:22" x14ac:dyDescent="0.2">
      <c r="A3334" s="46" t="s">
        <v>130</v>
      </c>
      <c r="B3334" s="46" t="s">
        <v>208</v>
      </c>
      <c r="C3334" s="46" t="s">
        <v>88</v>
      </c>
      <c r="D3334" s="46" t="s">
        <v>178</v>
      </c>
      <c r="E3334" s="46">
        <v>3</v>
      </c>
      <c r="F3334" s="46" t="s">
        <v>62</v>
      </c>
      <c r="G3334" s="46">
        <v>3</v>
      </c>
      <c r="H3334" s="47" t="s">
        <v>80</v>
      </c>
      <c r="I3334" s="47" t="s">
        <v>116</v>
      </c>
      <c r="J3334" s="48">
        <v>0</v>
      </c>
      <c r="K3334" s="48">
        <v>0</v>
      </c>
      <c r="N3334" s="48">
        <v>1</v>
      </c>
      <c r="R3334" s="46">
        <f t="shared" si="319"/>
        <v>0</v>
      </c>
      <c r="S3334" s="46">
        <f t="shared" si="320"/>
        <v>0</v>
      </c>
      <c r="T3334" s="46">
        <f t="shared" si="318"/>
        <v>0</v>
      </c>
      <c r="U3334" s="46">
        <f t="shared" si="321"/>
        <v>-5</v>
      </c>
      <c r="V3334" s="54">
        <f t="shared" si="322"/>
        <v>17.333333333333332</v>
      </c>
    </row>
    <row r="3335" spans="1:22" x14ac:dyDescent="0.2">
      <c r="A3335" s="46" t="s">
        <v>130</v>
      </c>
      <c r="B3335" s="46" t="s">
        <v>57</v>
      </c>
      <c r="C3335" s="46" t="s">
        <v>88</v>
      </c>
      <c r="D3335" s="46" t="s">
        <v>178</v>
      </c>
      <c r="E3335" s="46">
        <v>2</v>
      </c>
      <c r="F3335" s="46" t="s">
        <v>62</v>
      </c>
      <c r="G3335" s="46">
        <v>2</v>
      </c>
      <c r="H3335" s="47" t="s">
        <v>82</v>
      </c>
      <c r="I3335" s="47" t="s">
        <v>127</v>
      </c>
      <c r="J3335" s="48">
        <v>0</v>
      </c>
      <c r="K3335" s="48">
        <v>0</v>
      </c>
      <c r="R3335" s="46">
        <f t="shared" si="319"/>
        <v>0</v>
      </c>
      <c r="S3335" s="46">
        <f t="shared" si="320"/>
        <v>0</v>
      </c>
      <c r="T3335" s="46">
        <f t="shared" si="318"/>
        <v>0</v>
      </c>
      <c r="U3335" s="46">
        <f t="shared" si="321"/>
        <v>0</v>
      </c>
      <c r="V3335" s="54">
        <f t="shared" si="322"/>
        <v>17.333333333333332</v>
      </c>
    </row>
    <row r="3336" spans="1:22" x14ac:dyDescent="0.2">
      <c r="A3336" s="46" t="s">
        <v>130</v>
      </c>
      <c r="B3336" s="46" t="s">
        <v>208</v>
      </c>
      <c r="C3336" s="46" t="s">
        <v>88</v>
      </c>
      <c r="D3336" s="46" t="s">
        <v>178</v>
      </c>
      <c r="E3336" s="46">
        <v>4</v>
      </c>
      <c r="F3336" s="46" t="s">
        <v>62</v>
      </c>
      <c r="G3336" s="46">
        <v>3</v>
      </c>
      <c r="H3336" s="47" t="s">
        <v>84</v>
      </c>
      <c r="I3336" s="47" t="s">
        <v>219</v>
      </c>
      <c r="J3336" s="48">
        <v>0</v>
      </c>
      <c r="K3336" s="48">
        <v>0</v>
      </c>
      <c r="R3336" s="46">
        <f t="shared" si="319"/>
        <v>0</v>
      </c>
      <c r="S3336" s="46">
        <f t="shared" si="320"/>
        <v>0</v>
      </c>
      <c r="T3336" s="46">
        <f t="shared" si="318"/>
        <v>0</v>
      </c>
      <c r="U3336" s="46">
        <f t="shared" si="321"/>
        <v>0</v>
      </c>
      <c r="V3336" s="54">
        <f t="shared" si="322"/>
        <v>17.333333333333332</v>
      </c>
    </row>
    <row r="3337" spans="1:22" x14ac:dyDescent="0.2">
      <c r="A3337" s="46" t="s">
        <v>130</v>
      </c>
      <c r="B3337" s="46" t="s">
        <v>57</v>
      </c>
      <c r="C3337" s="46" t="s">
        <v>88</v>
      </c>
      <c r="D3337" s="46" t="s">
        <v>178</v>
      </c>
      <c r="E3337" s="46">
        <v>2</v>
      </c>
      <c r="F3337" s="46" t="s">
        <v>62</v>
      </c>
      <c r="G3337" s="46">
        <v>2</v>
      </c>
      <c r="H3337" s="47" t="s">
        <v>86</v>
      </c>
      <c r="I3337" s="47" t="s">
        <v>127</v>
      </c>
      <c r="J3337" s="48">
        <v>0</v>
      </c>
      <c r="K3337" s="48">
        <v>1</v>
      </c>
      <c r="M3337" s="48">
        <v>1</v>
      </c>
      <c r="R3337" s="46">
        <f t="shared" si="319"/>
        <v>0</v>
      </c>
      <c r="S3337" s="46">
        <f t="shared" si="320"/>
        <v>0</v>
      </c>
      <c r="T3337" s="46">
        <f t="shared" si="318"/>
        <v>0</v>
      </c>
      <c r="U3337" s="46">
        <f t="shared" si="321"/>
        <v>20</v>
      </c>
      <c r="V3337" s="54">
        <f t="shared" si="322"/>
        <v>17.333333333333332</v>
      </c>
    </row>
    <row r="3338" spans="1:22" x14ac:dyDescent="0.2">
      <c r="A3338" s="46" t="s">
        <v>130</v>
      </c>
      <c r="B3338" s="46" t="s">
        <v>208</v>
      </c>
      <c r="C3338" s="46" t="s">
        <v>88</v>
      </c>
      <c r="D3338" s="46" t="s">
        <v>178</v>
      </c>
      <c r="E3338" s="46">
        <v>3</v>
      </c>
      <c r="F3338" s="46" t="s">
        <v>62</v>
      </c>
      <c r="G3338" s="46">
        <v>3</v>
      </c>
      <c r="H3338" s="47" t="s">
        <v>64</v>
      </c>
      <c r="I3338" s="47" t="s">
        <v>116</v>
      </c>
      <c r="J3338" s="48">
        <v>0</v>
      </c>
      <c r="K3338" s="48">
        <v>0</v>
      </c>
      <c r="R3338" s="46">
        <f t="shared" si="319"/>
        <v>0</v>
      </c>
      <c r="S3338" s="46">
        <f t="shared" si="320"/>
        <v>0</v>
      </c>
      <c r="T3338" s="46">
        <f t="shared" si="318"/>
        <v>0</v>
      </c>
      <c r="U3338" s="46">
        <f t="shared" si="321"/>
        <v>0</v>
      </c>
      <c r="V3338" s="54">
        <f t="shared" si="322"/>
        <v>17.333333333333332</v>
      </c>
    </row>
    <row r="3339" spans="1:22" x14ac:dyDescent="0.2">
      <c r="A3339" s="46" t="s">
        <v>130</v>
      </c>
      <c r="B3339" s="46" t="s">
        <v>57</v>
      </c>
      <c r="C3339" s="46" t="s">
        <v>88</v>
      </c>
      <c r="D3339" s="46" t="s">
        <v>178</v>
      </c>
      <c r="E3339" s="46">
        <v>2</v>
      </c>
      <c r="F3339" s="46" t="s">
        <v>62</v>
      </c>
      <c r="G3339" s="46">
        <v>2</v>
      </c>
      <c r="H3339" s="47" t="s">
        <v>83</v>
      </c>
      <c r="I3339" s="47" t="s">
        <v>127</v>
      </c>
      <c r="J3339" s="48">
        <v>0</v>
      </c>
      <c r="K3339" s="48">
        <v>0</v>
      </c>
      <c r="R3339" s="46">
        <f t="shared" si="319"/>
        <v>0</v>
      </c>
      <c r="S3339" s="46">
        <f t="shared" si="320"/>
        <v>0</v>
      </c>
      <c r="T3339" s="46">
        <f t="shared" si="318"/>
        <v>0</v>
      </c>
      <c r="U3339" s="46">
        <f t="shared" si="321"/>
        <v>0</v>
      </c>
      <c r="V3339" s="54">
        <f t="shared" si="322"/>
        <v>17.333333333333332</v>
      </c>
    </row>
    <row r="3340" spans="1:22" x14ac:dyDescent="0.2">
      <c r="A3340" s="46" t="s">
        <v>130</v>
      </c>
      <c r="B3340" s="46" t="s">
        <v>208</v>
      </c>
      <c r="C3340" s="46" t="s">
        <v>88</v>
      </c>
      <c r="D3340" s="46" t="s">
        <v>178</v>
      </c>
      <c r="E3340" s="46">
        <v>3</v>
      </c>
      <c r="F3340" s="46" t="s">
        <v>62</v>
      </c>
      <c r="G3340" s="46">
        <v>2</v>
      </c>
      <c r="H3340" s="47" t="s">
        <v>83</v>
      </c>
      <c r="I3340" s="47" t="s">
        <v>127</v>
      </c>
      <c r="J3340" s="48">
        <v>0</v>
      </c>
      <c r="K3340" s="48">
        <v>0</v>
      </c>
      <c r="R3340" s="46">
        <f t="shared" si="319"/>
        <v>0</v>
      </c>
      <c r="S3340" s="46">
        <f t="shared" si="320"/>
        <v>0</v>
      </c>
      <c r="T3340" s="46">
        <f t="shared" si="318"/>
        <v>0</v>
      </c>
      <c r="U3340" s="46">
        <f t="shared" si="321"/>
        <v>0</v>
      </c>
      <c r="V3340" s="54">
        <f t="shared" si="322"/>
        <v>17.333333333333332</v>
      </c>
    </row>
    <row r="3341" spans="1:22" x14ac:dyDescent="0.2">
      <c r="A3341" s="46" t="s">
        <v>130</v>
      </c>
      <c r="B3341" s="46" t="s">
        <v>208</v>
      </c>
      <c r="C3341" s="46" t="s">
        <v>88</v>
      </c>
      <c r="D3341" s="46" t="s">
        <v>178</v>
      </c>
      <c r="E3341" s="46">
        <v>1</v>
      </c>
      <c r="F3341" s="46" t="s">
        <v>63</v>
      </c>
      <c r="G3341" s="46">
        <v>4</v>
      </c>
      <c r="H3341" s="47" t="s">
        <v>151</v>
      </c>
      <c r="I3341" s="47" t="s">
        <v>102</v>
      </c>
      <c r="J3341" s="48">
        <v>0</v>
      </c>
      <c r="K3341" s="48">
        <v>1</v>
      </c>
      <c r="R3341" s="46">
        <f t="shared" si="319"/>
        <v>0</v>
      </c>
      <c r="S3341" s="46">
        <f t="shared" si="320"/>
        <v>0</v>
      </c>
      <c r="T3341" s="46">
        <f t="shared" ref="T3341:T3404" si="323">quizscore(J3341,K3341)</f>
        <v>0</v>
      </c>
      <c r="U3341" s="46">
        <f t="shared" si="321"/>
        <v>0</v>
      </c>
      <c r="V3341" s="54">
        <f t="shared" si="322"/>
        <v>17.333333333333332</v>
      </c>
    </row>
    <row r="3342" spans="1:22" x14ac:dyDescent="0.2">
      <c r="A3342" s="46" t="s">
        <v>130</v>
      </c>
      <c r="B3342" s="46" t="s">
        <v>57</v>
      </c>
      <c r="C3342" s="46" t="s">
        <v>88</v>
      </c>
      <c r="D3342" s="46" t="s">
        <v>178</v>
      </c>
      <c r="E3342" s="46">
        <v>2</v>
      </c>
      <c r="F3342" s="46" t="s">
        <v>60</v>
      </c>
      <c r="G3342" s="46">
        <v>3</v>
      </c>
      <c r="H3342" s="47">
        <v>3</v>
      </c>
      <c r="I3342" s="47" t="s">
        <v>116</v>
      </c>
      <c r="J3342" s="48">
        <v>1</v>
      </c>
      <c r="K3342" s="48">
        <v>0</v>
      </c>
      <c r="M3342" s="48">
        <v>1</v>
      </c>
      <c r="O3342" s="48">
        <v>1</v>
      </c>
      <c r="R3342" s="46">
        <f t="shared" si="319"/>
        <v>0</v>
      </c>
      <c r="S3342" s="46">
        <f t="shared" si="320"/>
        <v>0</v>
      </c>
      <c r="T3342" s="46">
        <f t="shared" si="323"/>
        <v>20</v>
      </c>
      <c r="U3342" s="46">
        <f t="shared" si="321"/>
        <v>50</v>
      </c>
      <c r="V3342" s="54">
        <f t="shared" si="322"/>
        <v>17.333333333333332</v>
      </c>
    </row>
    <row r="3343" spans="1:22" x14ac:dyDescent="0.2">
      <c r="A3343" s="46" t="s">
        <v>130</v>
      </c>
      <c r="B3343" s="46" t="s">
        <v>208</v>
      </c>
      <c r="C3343" s="46" t="s">
        <v>88</v>
      </c>
      <c r="D3343" s="46" t="s">
        <v>178</v>
      </c>
      <c r="E3343" s="46">
        <v>3</v>
      </c>
      <c r="F3343" s="46" t="s">
        <v>60</v>
      </c>
      <c r="G3343" s="46">
        <v>1</v>
      </c>
      <c r="H3343" s="47">
        <v>5</v>
      </c>
      <c r="I3343" s="47" t="s">
        <v>101</v>
      </c>
      <c r="J3343" s="48">
        <v>1</v>
      </c>
      <c r="K3343" s="48">
        <v>0</v>
      </c>
      <c r="R3343" s="46">
        <f t="shared" si="319"/>
        <v>0</v>
      </c>
      <c r="S3343" s="46">
        <f t="shared" si="320"/>
        <v>0</v>
      </c>
      <c r="T3343" s="46">
        <f t="shared" si="323"/>
        <v>20</v>
      </c>
      <c r="U3343" s="46">
        <f t="shared" si="321"/>
        <v>20</v>
      </c>
      <c r="V3343" s="54">
        <f t="shared" si="322"/>
        <v>17.333333333333332</v>
      </c>
    </row>
    <row r="3344" spans="1:22" x14ac:dyDescent="0.2">
      <c r="A3344" s="46" t="s">
        <v>130</v>
      </c>
      <c r="B3344" s="46" t="s">
        <v>208</v>
      </c>
      <c r="C3344" s="46" t="s">
        <v>88</v>
      </c>
      <c r="D3344" s="46" t="s">
        <v>178</v>
      </c>
      <c r="E3344" s="46">
        <v>3</v>
      </c>
      <c r="F3344" s="46" t="s">
        <v>60</v>
      </c>
      <c r="G3344" s="46">
        <v>2</v>
      </c>
      <c r="H3344" s="47">
        <v>14</v>
      </c>
      <c r="I3344" s="47" t="s">
        <v>127</v>
      </c>
      <c r="J3344" s="48">
        <v>1</v>
      </c>
      <c r="K3344" s="48">
        <v>0</v>
      </c>
      <c r="R3344" s="46">
        <f t="shared" si="319"/>
        <v>0</v>
      </c>
      <c r="S3344" s="46">
        <f t="shared" si="320"/>
        <v>0</v>
      </c>
      <c r="T3344" s="46">
        <f t="shared" si="323"/>
        <v>20</v>
      </c>
      <c r="U3344" s="46">
        <f t="shared" si="321"/>
        <v>20</v>
      </c>
      <c r="V3344" s="54">
        <f t="shared" si="322"/>
        <v>17.333333333333332</v>
      </c>
    </row>
    <row r="3345" spans="1:22" x14ac:dyDescent="0.2">
      <c r="A3345" s="46" t="s">
        <v>130</v>
      </c>
      <c r="B3345" s="46" t="s">
        <v>208</v>
      </c>
      <c r="C3345" s="46" t="s">
        <v>88</v>
      </c>
      <c r="D3345" s="46" t="s">
        <v>178</v>
      </c>
      <c r="E3345" s="46">
        <v>4</v>
      </c>
      <c r="F3345" s="46" t="s">
        <v>60</v>
      </c>
      <c r="G3345" s="46">
        <v>2</v>
      </c>
      <c r="H3345" s="47">
        <v>14</v>
      </c>
      <c r="I3345" s="47" t="s">
        <v>127</v>
      </c>
      <c r="J3345" s="48">
        <v>1</v>
      </c>
      <c r="K3345" s="48">
        <v>0</v>
      </c>
      <c r="O3345" s="48">
        <v>1</v>
      </c>
      <c r="R3345" s="46">
        <f t="shared" si="319"/>
        <v>0</v>
      </c>
      <c r="S3345" s="46">
        <f t="shared" si="320"/>
        <v>0</v>
      </c>
      <c r="T3345" s="46">
        <f t="shared" si="323"/>
        <v>20</v>
      </c>
      <c r="U3345" s="46">
        <f t="shared" si="321"/>
        <v>30</v>
      </c>
      <c r="V3345" s="54">
        <f t="shared" si="322"/>
        <v>17.333333333333332</v>
      </c>
    </row>
    <row r="3346" spans="1:22" x14ac:dyDescent="0.2">
      <c r="A3346" s="46" t="s">
        <v>130</v>
      </c>
      <c r="B3346" s="46" t="s">
        <v>208</v>
      </c>
      <c r="C3346" s="46" t="s">
        <v>88</v>
      </c>
      <c r="D3346" s="46" t="s">
        <v>178</v>
      </c>
      <c r="E3346" s="46">
        <v>1</v>
      </c>
      <c r="F3346" s="46" t="s">
        <v>60</v>
      </c>
      <c r="G3346" s="46">
        <v>1</v>
      </c>
      <c r="H3346" s="47">
        <v>17</v>
      </c>
      <c r="I3346" s="47" t="s">
        <v>101</v>
      </c>
      <c r="J3346" s="48">
        <v>1</v>
      </c>
      <c r="K3346" s="48">
        <v>1</v>
      </c>
      <c r="R3346" s="46">
        <f t="shared" si="319"/>
        <v>0</v>
      </c>
      <c r="S3346" s="46">
        <f t="shared" si="320"/>
        <v>0</v>
      </c>
      <c r="T3346" s="46">
        <f t="shared" si="323"/>
        <v>20</v>
      </c>
      <c r="U3346" s="46">
        <f t="shared" si="321"/>
        <v>20</v>
      </c>
      <c r="V3346" s="54">
        <f t="shared" si="322"/>
        <v>17.333333333333332</v>
      </c>
    </row>
    <row r="3347" spans="1:22" x14ac:dyDescent="0.2">
      <c r="A3347" s="46" t="s">
        <v>130</v>
      </c>
      <c r="B3347" s="46" t="s">
        <v>208</v>
      </c>
      <c r="C3347" s="46" t="s">
        <v>88</v>
      </c>
      <c r="D3347" s="46" t="s">
        <v>178</v>
      </c>
      <c r="E3347" s="46">
        <v>3</v>
      </c>
      <c r="F3347" s="46" t="s">
        <v>60</v>
      </c>
      <c r="G3347" s="46">
        <v>3</v>
      </c>
      <c r="H3347" s="47">
        <v>23</v>
      </c>
      <c r="I3347" s="47" t="s">
        <v>116</v>
      </c>
      <c r="J3347" s="48">
        <v>1</v>
      </c>
      <c r="K3347" s="48">
        <v>0</v>
      </c>
      <c r="O3347" s="48">
        <v>1</v>
      </c>
      <c r="R3347" s="46">
        <f t="shared" si="319"/>
        <v>0</v>
      </c>
      <c r="S3347" s="46">
        <f t="shared" si="320"/>
        <v>0</v>
      </c>
      <c r="T3347" s="46">
        <f t="shared" si="323"/>
        <v>20</v>
      </c>
      <c r="U3347" s="46">
        <f t="shared" si="321"/>
        <v>30</v>
      </c>
      <c r="V3347" s="54">
        <f t="shared" si="322"/>
        <v>17.333333333333332</v>
      </c>
    </row>
    <row r="3348" spans="1:22" x14ac:dyDescent="0.2">
      <c r="A3348" s="46" t="s">
        <v>130</v>
      </c>
      <c r="B3348" s="46" t="s">
        <v>208</v>
      </c>
      <c r="C3348" s="46" t="s">
        <v>88</v>
      </c>
      <c r="D3348" s="46" t="s">
        <v>178</v>
      </c>
      <c r="E3348" s="46">
        <v>3</v>
      </c>
      <c r="F3348" s="46" t="s">
        <v>60</v>
      </c>
      <c r="G3348" s="46">
        <v>4</v>
      </c>
      <c r="H3348" s="47">
        <v>32</v>
      </c>
      <c r="I3348" s="47" t="s">
        <v>102</v>
      </c>
      <c r="J3348" s="48">
        <v>1</v>
      </c>
      <c r="K3348" s="48">
        <v>0</v>
      </c>
      <c r="R3348" s="46">
        <f t="shared" si="319"/>
        <v>0</v>
      </c>
      <c r="S3348" s="46">
        <f t="shared" si="320"/>
        <v>0</v>
      </c>
      <c r="T3348" s="46">
        <f t="shared" si="323"/>
        <v>20</v>
      </c>
      <c r="U3348" s="46">
        <f t="shared" si="321"/>
        <v>20</v>
      </c>
      <c r="V3348" s="54">
        <f t="shared" si="322"/>
        <v>17.333333333333332</v>
      </c>
    </row>
    <row r="3349" spans="1:22" x14ac:dyDescent="0.2">
      <c r="A3349" s="46" t="s">
        <v>130</v>
      </c>
      <c r="B3349" s="46" t="s">
        <v>208</v>
      </c>
      <c r="C3349" s="46" t="s">
        <v>88</v>
      </c>
      <c r="D3349" s="46" t="s">
        <v>178</v>
      </c>
      <c r="E3349" s="46">
        <v>4</v>
      </c>
      <c r="F3349" s="46" t="s">
        <v>60</v>
      </c>
      <c r="G3349" s="46">
        <v>3</v>
      </c>
      <c r="H3349" s="47">
        <v>47</v>
      </c>
      <c r="I3349" s="47" t="s">
        <v>159</v>
      </c>
      <c r="J3349" s="48">
        <v>1</v>
      </c>
      <c r="K3349" s="48">
        <v>0</v>
      </c>
      <c r="R3349" s="46">
        <f t="shared" si="319"/>
        <v>0</v>
      </c>
      <c r="S3349" s="46">
        <f t="shared" si="320"/>
        <v>0</v>
      </c>
      <c r="T3349" s="46">
        <f t="shared" si="323"/>
        <v>20</v>
      </c>
      <c r="U3349" s="46">
        <f t="shared" si="321"/>
        <v>20</v>
      </c>
      <c r="V3349" s="54">
        <f t="shared" si="322"/>
        <v>17.333333333333332</v>
      </c>
    </row>
    <row r="3350" spans="1:22" x14ac:dyDescent="0.2">
      <c r="A3350" s="46" t="s">
        <v>130</v>
      </c>
      <c r="B3350" s="46" t="s">
        <v>208</v>
      </c>
      <c r="C3350" s="46" t="s">
        <v>88</v>
      </c>
      <c r="D3350" s="46" t="s">
        <v>178</v>
      </c>
      <c r="E3350" s="46">
        <v>3</v>
      </c>
      <c r="F3350" s="46" t="s">
        <v>62</v>
      </c>
      <c r="G3350" s="46">
        <v>2</v>
      </c>
      <c r="H3350" s="47" t="s">
        <v>82</v>
      </c>
      <c r="I3350" s="47" t="s">
        <v>127</v>
      </c>
      <c r="J3350" s="48">
        <v>1</v>
      </c>
      <c r="K3350" s="48">
        <v>0</v>
      </c>
      <c r="R3350" s="46">
        <f t="shared" si="319"/>
        <v>0</v>
      </c>
      <c r="S3350" s="46">
        <f t="shared" si="320"/>
        <v>0</v>
      </c>
      <c r="T3350" s="46">
        <f t="shared" si="323"/>
        <v>20</v>
      </c>
      <c r="U3350" s="46">
        <f t="shared" si="321"/>
        <v>20</v>
      </c>
      <c r="V3350" s="54">
        <f t="shared" si="322"/>
        <v>17.333333333333332</v>
      </c>
    </row>
    <row r="3351" spans="1:22" x14ac:dyDescent="0.2">
      <c r="A3351" s="46" t="s">
        <v>130</v>
      </c>
      <c r="B3351" s="46" t="s">
        <v>208</v>
      </c>
      <c r="C3351" s="46" t="s">
        <v>88</v>
      </c>
      <c r="D3351" s="46" t="s">
        <v>178</v>
      </c>
      <c r="E3351" s="46">
        <v>3</v>
      </c>
      <c r="F3351" s="46" t="s">
        <v>62</v>
      </c>
      <c r="G3351" s="46">
        <v>2</v>
      </c>
      <c r="H3351" s="47" t="s">
        <v>86</v>
      </c>
      <c r="I3351" s="47" t="s">
        <v>127</v>
      </c>
      <c r="J3351" s="48">
        <v>1</v>
      </c>
      <c r="K3351" s="48">
        <v>0</v>
      </c>
      <c r="R3351" s="46">
        <f t="shared" si="319"/>
        <v>0</v>
      </c>
      <c r="S3351" s="46">
        <f t="shared" si="320"/>
        <v>0</v>
      </c>
      <c r="T3351" s="46">
        <f t="shared" si="323"/>
        <v>20</v>
      </c>
      <c r="U3351" s="46">
        <f t="shared" si="321"/>
        <v>20</v>
      </c>
      <c r="V3351" s="54">
        <f t="shared" si="322"/>
        <v>17.333333333333332</v>
      </c>
    </row>
    <row r="3352" spans="1:22" x14ac:dyDescent="0.2">
      <c r="A3352" s="46" t="s">
        <v>130</v>
      </c>
      <c r="B3352" s="46" t="s">
        <v>208</v>
      </c>
      <c r="C3352" s="46" t="s">
        <v>88</v>
      </c>
      <c r="D3352" s="46" t="s">
        <v>178</v>
      </c>
      <c r="E3352" s="46">
        <v>4</v>
      </c>
      <c r="F3352" s="46" t="s">
        <v>62</v>
      </c>
      <c r="G3352" s="46">
        <v>3</v>
      </c>
      <c r="H3352" s="47" t="s">
        <v>87</v>
      </c>
      <c r="I3352" s="47" t="s">
        <v>219</v>
      </c>
      <c r="J3352" s="48">
        <v>1</v>
      </c>
      <c r="K3352" s="48">
        <v>0</v>
      </c>
      <c r="R3352" s="46">
        <f t="shared" si="319"/>
        <v>0</v>
      </c>
      <c r="S3352" s="46">
        <f t="shared" si="320"/>
        <v>0</v>
      </c>
      <c r="T3352" s="46">
        <f t="shared" si="323"/>
        <v>20</v>
      </c>
      <c r="U3352" s="46">
        <f t="shared" si="321"/>
        <v>20</v>
      </c>
      <c r="V3352" s="54">
        <f t="shared" si="322"/>
        <v>17.333333333333332</v>
      </c>
    </row>
    <row r="3353" spans="1:22" x14ac:dyDescent="0.2">
      <c r="A3353" s="46" t="s">
        <v>130</v>
      </c>
      <c r="B3353" s="46" t="s">
        <v>208</v>
      </c>
      <c r="C3353" s="46" t="s">
        <v>88</v>
      </c>
      <c r="D3353" s="46" t="s">
        <v>178</v>
      </c>
      <c r="E3353" s="46">
        <v>1</v>
      </c>
      <c r="F3353" s="46" t="s">
        <v>63</v>
      </c>
      <c r="G3353" s="46">
        <v>4</v>
      </c>
      <c r="H3353" s="47" t="s">
        <v>152</v>
      </c>
      <c r="I3353" s="47" t="s">
        <v>102</v>
      </c>
      <c r="J3353" s="48">
        <v>1</v>
      </c>
      <c r="K3353" s="48">
        <v>1</v>
      </c>
      <c r="R3353" s="46">
        <f t="shared" si="319"/>
        <v>0</v>
      </c>
      <c r="S3353" s="46">
        <f t="shared" si="320"/>
        <v>0</v>
      </c>
      <c r="T3353" s="46">
        <f t="shared" si="323"/>
        <v>20</v>
      </c>
      <c r="U3353" s="46">
        <f t="shared" si="321"/>
        <v>20</v>
      </c>
      <c r="V3353" s="54">
        <f t="shared" si="322"/>
        <v>17.333333333333332</v>
      </c>
    </row>
    <row r="3354" spans="1:22" x14ac:dyDescent="0.2">
      <c r="A3354" s="46" t="s">
        <v>130</v>
      </c>
      <c r="B3354" s="46" t="s">
        <v>208</v>
      </c>
      <c r="C3354" s="46" t="s">
        <v>88</v>
      </c>
      <c r="D3354" s="46" t="s">
        <v>178</v>
      </c>
      <c r="E3354" s="46">
        <v>1</v>
      </c>
      <c r="F3354" s="46" t="s">
        <v>60</v>
      </c>
      <c r="G3354" s="46">
        <v>4</v>
      </c>
      <c r="H3354" s="47">
        <v>32</v>
      </c>
      <c r="I3354" s="47" t="s">
        <v>102</v>
      </c>
      <c r="J3354" s="48">
        <v>2</v>
      </c>
      <c r="K3354" s="48">
        <v>0</v>
      </c>
      <c r="R3354" s="46">
        <f t="shared" si="319"/>
        <v>0</v>
      </c>
      <c r="S3354" s="46">
        <f t="shared" si="320"/>
        <v>0</v>
      </c>
      <c r="T3354" s="46">
        <f t="shared" si="323"/>
        <v>40</v>
      </c>
      <c r="U3354" s="46">
        <f t="shared" si="321"/>
        <v>40</v>
      </c>
      <c r="V3354" s="54">
        <f t="shared" si="322"/>
        <v>17.333333333333332</v>
      </c>
    </row>
    <row r="3355" spans="1:22" x14ac:dyDescent="0.2">
      <c r="A3355" s="46" t="s">
        <v>130</v>
      </c>
      <c r="B3355" s="46" t="s">
        <v>208</v>
      </c>
      <c r="C3355" s="46" t="s">
        <v>88</v>
      </c>
      <c r="D3355" s="46" t="s">
        <v>178</v>
      </c>
      <c r="E3355" s="46">
        <v>4</v>
      </c>
      <c r="F3355" s="46" t="s">
        <v>60</v>
      </c>
      <c r="G3355" s="46">
        <v>4</v>
      </c>
      <c r="H3355" s="47">
        <v>32</v>
      </c>
      <c r="I3355" s="47" t="s">
        <v>102</v>
      </c>
      <c r="J3355" s="48">
        <v>2</v>
      </c>
      <c r="K3355" s="48">
        <v>0</v>
      </c>
      <c r="M3355" s="48">
        <v>1</v>
      </c>
      <c r="R3355" s="46">
        <f t="shared" si="319"/>
        <v>0</v>
      </c>
      <c r="S3355" s="46">
        <f t="shared" si="320"/>
        <v>0</v>
      </c>
      <c r="T3355" s="46">
        <f t="shared" si="323"/>
        <v>40</v>
      </c>
      <c r="U3355" s="46">
        <f t="shared" si="321"/>
        <v>60</v>
      </c>
      <c r="V3355" s="54">
        <f t="shared" si="322"/>
        <v>17.333333333333332</v>
      </c>
    </row>
    <row r="3356" spans="1:22" x14ac:dyDescent="0.2">
      <c r="A3356" s="46" t="s">
        <v>130</v>
      </c>
      <c r="B3356" s="46" t="s">
        <v>208</v>
      </c>
      <c r="C3356" s="46" t="s">
        <v>88</v>
      </c>
      <c r="D3356" s="46" t="s">
        <v>178</v>
      </c>
      <c r="E3356" s="46">
        <v>1</v>
      </c>
      <c r="F3356" s="46" t="s">
        <v>60</v>
      </c>
      <c r="G3356" s="46">
        <v>3</v>
      </c>
      <c r="H3356" s="47">
        <v>47</v>
      </c>
      <c r="I3356" s="47" t="s">
        <v>116</v>
      </c>
      <c r="J3356" s="48">
        <v>2</v>
      </c>
      <c r="K3356" s="48">
        <v>0</v>
      </c>
      <c r="R3356" s="46">
        <f t="shared" si="319"/>
        <v>0</v>
      </c>
      <c r="S3356" s="46">
        <f t="shared" si="320"/>
        <v>0</v>
      </c>
      <c r="T3356" s="46">
        <f t="shared" si="323"/>
        <v>40</v>
      </c>
      <c r="U3356" s="46">
        <f t="shared" si="321"/>
        <v>40</v>
      </c>
      <c r="V3356" s="54">
        <f t="shared" si="322"/>
        <v>17.333333333333332</v>
      </c>
    </row>
    <row r="3357" spans="1:22" x14ac:dyDescent="0.2">
      <c r="A3357" s="46" t="s">
        <v>130</v>
      </c>
      <c r="B3357" s="46" t="s">
        <v>208</v>
      </c>
      <c r="C3357" s="46" t="s">
        <v>88</v>
      </c>
      <c r="D3357" s="46" t="s">
        <v>178</v>
      </c>
      <c r="E3357" s="46">
        <v>4</v>
      </c>
      <c r="F3357" s="46" t="s">
        <v>62</v>
      </c>
      <c r="G3357" s="46">
        <v>2</v>
      </c>
      <c r="H3357" s="47" t="s">
        <v>79</v>
      </c>
      <c r="I3357" s="47" t="s">
        <v>127</v>
      </c>
      <c r="J3357" s="48">
        <v>2</v>
      </c>
      <c r="K3357" s="48">
        <v>0</v>
      </c>
      <c r="R3357" s="46">
        <f t="shared" si="319"/>
        <v>0</v>
      </c>
      <c r="S3357" s="46">
        <f t="shared" si="320"/>
        <v>0</v>
      </c>
      <c r="T3357" s="46">
        <f t="shared" si="323"/>
        <v>40</v>
      </c>
      <c r="U3357" s="46">
        <f t="shared" si="321"/>
        <v>40</v>
      </c>
      <c r="V3357" s="54">
        <f t="shared" si="322"/>
        <v>17.333333333333332</v>
      </c>
    </row>
    <row r="3358" spans="1:22" x14ac:dyDescent="0.2">
      <c r="A3358" s="46" t="s">
        <v>130</v>
      </c>
      <c r="B3358" s="46" t="s">
        <v>208</v>
      </c>
      <c r="C3358" s="46" t="s">
        <v>88</v>
      </c>
      <c r="D3358" s="46" t="s">
        <v>178</v>
      </c>
      <c r="E3358" s="46">
        <v>1</v>
      </c>
      <c r="F3358" s="46" t="s">
        <v>60</v>
      </c>
      <c r="G3358" s="46">
        <v>2</v>
      </c>
      <c r="H3358" s="47">
        <v>6</v>
      </c>
      <c r="I3358" s="47" t="s">
        <v>127</v>
      </c>
      <c r="J3358" s="48">
        <v>3</v>
      </c>
      <c r="K3358" s="48">
        <v>0</v>
      </c>
      <c r="R3358" s="46">
        <f t="shared" si="319"/>
        <v>0</v>
      </c>
      <c r="S3358" s="46">
        <f t="shared" si="320"/>
        <v>0</v>
      </c>
      <c r="T3358" s="46">
        <f t="shared" si="323"/>
        <v>60</v>
      </c>
      <c r="U3358" s="46">
        <f t="shared" si="321"/>
        <v>60</v>
      </c>
      <c r="V3358" s="54">
        <f t="shared" si="322"/>
        <v>17.333333333333332</v>
      </c>
    </row>
    <row r="3359" spans="1:22" x14ac:dyDescent="0.2">
      <c r="A3359" s="46" t="s">
        <v>130</v>
      </c>
      <c r="B3359" s="46" t="s">
        <v>208</v>
      </c>
      <c r="C3359" s="46" t="s">
        <v>88</v>
      </c>
      <c r="D3359" s="46" t="s">
        <v>178</v>
      </c>
      <c r="E3359" s="46">
        <v>1</v>
      </c>
      <c r="F3359" s="46" t="s">
        <v>60</v>
      </c>
      <c r="G3359" s="46">
        <v>2</v>
      </c>
      <c r="H3359" s="47">
        <v>38</v>
      </c>
      <c r="I3359" s="47" t="s">
        <v>127</v>
      </c>
      <c r="J3359" s="48">
        <v>3</v>
      </c>
      <c r="K3359" s="48">
        <v>0</v>
      </c>
      <c r="R3359" s="46">
        <f t="shared" si="319"/>
        <v>0</v>
      </c>
      <c r="S3359" s="46">
        <f t="shared" si="320"/>
        <v>0</v>
      </c>
      <c r="T3359" s="46">
        <f t="shared" si="323"/>
        <v>60</v>
      </c>
      <c r="U3359" s="46">
        <f t="shared" si="321"/>
        <v>60</v>
      </c>
      <c r="V3359" s="54">
        <f t="shared" si="322"/>
        <v>17.333333333333332</v>
      </c>
    </row>
    <row r="3360" spans="1:22" x14ac:dyDescent="0.2">
      <c r="A3360" s="46" t="s">
        <v>130</v>
      </c>
      <c r="B3360" s="46" t="s">
        <v>208</v>
      </c>
      <c r="C3360" s="46" t="s">
        <v>88</v>
      </c>
      <c r="D3360" s="46" t="s">
        <v>178</v>
      </c>
      <c r="E3360" s="46">
        <v>1</v>
      </c>
      <c r="F3360" s="46" t="s">
        <v>63</v>
      </c>
      <c r="G3360" s="46">
        <v>4</v>
      </c>
      <c r="H3360" s="47" t="s">
        <v>147</v>
      </c>
      <c r="I3360" s="47" t="s">
        <v>102</v>
      </c>
      <c r="J3360" s="48">
        <v>4</v>
      </c>
      <c r="K3360" s="48">
        <v>0</v>
      </c>
      <c r="R3360" s="46">
        <f t="shared" si="319"/>
        <v>1</v>
      </c>
      <c r="S3360" s="46">
        <f t="shared" si="320"/>
        <v>0</v>
      </c>
      <c r="T3360" s="46">
        <f t="shared" si="323"/>
        <v>90</v>
      </c>
      <c r="U3360" s="46">
        <f t="shared" si="321"/>
        <v>90</v>
      </c>
      <c r="V3360" s="54">
        <f t="shared" si="322"/>
        <v>17.333333333333332</v>
      </c>
    </row>
    <row r="3361" spans="1:22" x14ac:dyDescent="0.2">
      <c r="A3361" s="46" t="s">
        <v>130</v>
      </c>
      <c r="B3361" s="46" t="s">
        <v>208</v>
      </c>
      <c r="C3361" s="46" t="s">
        <v>88</v>
      </c>
      <c r="D3361" s="46" t="s">
        <v>178</v>
      </c>
      <c r="E3361" s="46">
        <v>5</v>
      </c>
      <c r="F3361" s="46" t="s">
        <v>60</v>
      </c>
      <c r="G3361" s="46">
        <v>2</v>
      </c>
      <c r="H3361" s="47">
        <v>2</v>
      </c>
      <c r="I3361" s="47" t="s">
        <v>127</v>
      </c>
      <c r="J3361" s="48">
        <v>0</v>
      </c>
      <c r="K3361" s="48">
        <v>0</v>
      </c>
      <c r="R3361" s="46">
        <f t="shared" si="319"/>
        <v>0</v>
      </c>
      <c r="S3361" s="46">
        <f t="shared" si="320"/>
        <v>0</v>
      </c>
      <c r="T3361" s="46">
        <f t="shared" si="323"/>
        <v>0</v>
      </c>
      <c r="U3361" s="46">
        <f t="shared" si="321"/>
        <v>0</v>
      </c>
      <c r="V3361" s="54">
        <f t="shared" si="322"/>
        <v>17.333333333333332</v>
      </c>
    </row>
    <row r="3362" spans="1:22" x14ac:dyDescent="0.2">
      <c r="A3362" s="46" t="s">
        <v>130</v>
      </c>
      <c r="B3362" s="46" t="s">
        <v>208</v>
      </c>
      <c r="C3362" s="46" t="s">
        <v>88</v>
      </c>
      <c r="D3362" s="46" t="s">
        <v>178</v>
      </c>
      <c r="E3362" s="46">
        <v>5</v>
      </c>
      <c r="F3362" s="46" t="s">
        <v>60</v>
      </c>
      <c r="G3362" s="46">
        <v>1</v>
      </c>
      <c r="H3362" s="47">
        <v>5</v>
      </c>
      <c r="I3362" s="47" t="s">
        <v>101</v>
      </c>
      <c r="J3362" s="48">
        <v>0</v>
      </c>
      <c r="K3362" s="48">
        <v>0</v>
      </c>
      <c r="R3362" s="46">
        <f t="shared" si="319"/>
        <v>0</v>
      </c>
      <c r="S3362" s="46">
        <f t="shared" si="320"/>
        <v>0</v>
      </c>
      <c r="T3362" s="46">
        <f t="shared" si="323"/>
        <v>0</v>
      </c>
      <c r="U3362" s="46">
        <f t="shared" si="321"/>
        <v>0</v>
      </c>
      <c r="V3362" s="54">
        <f t="shared" si="322"/>
        <v>17.333333333333332</v>
      </c>
    </row>
    <row r="3363" spans="1:22" x14ac:dyDescent="0.2">
      <c r="A3363" s="46" t="s">
        <v>130</v>
      </c>
      <c r="B3363" s="46" t="s">
        <v>208</v>
      </c>
      <c r="C3363" s="46" t="s">
        <v>88</v>
      </c>
      <c r="D3363" s="46" t="s">
        <v>178</v>
      </c>
      <c r="E3363" s="46">
        <v>5</v>
      </c>
      <c r="F3363" s="46" t="s">
        <v>60</v>
      </c>
      <c r="G3363" s="46">
        <v>1</v>
      </c>
      <c r="H3363" s="47">
        <v>13</v>
      </c>
      <c r="I3363" s="47" t="s">
        <v>101</v>
      </c>
      <c r="J3363" s="48">
        <v>0</v>
      </c>
      <c r="K3363" s="48">
        <v>0</v>
      </c>
      <c r="R3363" s="46">
        <f t="shared" si="319"/>
        <v>0</v>
      </c>
      <c r="S3363" s="46">
        <f t="shared" si="320"/>
        <v>0</v>
      </c>
      <c r="T3363" s="46">
        <f t="shared" si="323"/>
        <v>0</v>
      </c>
      <c r="U3363" s="46">
        <f t="shared" si="321"/>
        <v>0</v>
      </c>
      <c r="V3363" s="54">
        <f t="shared" si="322"/>
        <v>17.333333333333332</v>
      </c>
    </row>
    <row r="3364" spans="1:22" x14ac:dyDescent="0.2">
      <c r="A3364" s="46" t="s">
        <v>130</v>
      </c>
      <c r="B3364" s="46" t="s">
        <v>208</v>
      </c>
      <c r="C3364" s="46" t="s">
        <v>88</v>
      </c>
      <c r="D3364" s="46" t="s">
        <v>178</v>
      </c>
      <c r="E3364" s="46">
        <v>5</v>
      </c>
      <c r="F3364" s="46" t="s">
        <v>60</v>
      </c>
      <c r="G3364" s="46">
        <v>3</v>
      </c>
      <c r="H3364" s="47">
        <v>23</v>
      </c>
      <c r="I3364" s="47" t="s">
        <v>159</v>
      </c>
      <c r="J3364" s="48">
        <v>0</v>
      </c>
      <c r="K3364" s="48">
        <v>0</v>
      </c>
      <c r="R3364" s="46">
        <f t="shared" si="319"/>
        <v>0</v>
      </c>
      <c r="S3364" s="46">
        <f t="shared" si="320"/>
        <v>0</v>
      </c>
      <c r="T3364" s="46">
        <f t="shared" si="323"/>
        <v>0</v>
      </c>
      <c r="U3364" s="46">
        <f t="shared" si="321"/>
        <v>0</v>
      </c>
      <c r="V3364" s="54">
        <f t="shared" si="322"/>
        <v>17.333333333333332</v>
      </c>
    </row>
    <row r="3365" spans="1:22" x14ac:dyDescent="0.2">
      <c r="A3365" s="46" t="s">
        <v>130</v>
      </c>
      <c r="B3365" s="46" t="s">
        <v>208</v>
      </c>
      <c r="C3365" s="46" t="s">
        <v>88</v>
      </c>
      <c r="D3365" s="46" t="s">
        <v>178</v>
      </c>
      <c r="E3365" s="46">
        <v>5</v>
      </c>
      <c r="F3365" s="46" t="s">
        <v>60</v>
      </c>
      <c r="G3365" s="46">
        <v>4</v>
      </c>
      <c r="H3365" s="47">
        <v>32</v>
      </c>
      <c r="I3365" s="47" t="s">
        <v>102</v>
      </c>
      <c r="J3365" s="48">
        <v>1</v>
      </c>
      <c r="K3365" s="48">
        <v>0</v>
      </c>
      <c r="R3365" s="46">
        <f t="shared" si="319"/>
        <v>0</v>
      </c>
      <c r="S3365" s="46">
        <f t="shared" si="320"/>
        <v>0</v>
      </c>
      <c r="T3365" s="46">
        <f t="shared" si="323"/>
        <v>20</v>
      </c>
      <c r="U3365" s="46">
        <f t="shared" si="321"/>
        <v>20</v>
      </c>
      <c r="V3365" s="54">
        <f t="shared" si="322"/>
        <v>17.333333333333332</v>
      </c>
    </row>
    <row r="3366" spans="1:22" x14ac:dyDescent="0.2">
      <c r="A3366" s="46" t="s">
        <v>130</v>
      </c>
      <c r="B3366" s="46" t="s">
        <v>208</v>
      </c>
      <c r="C3366" s="46" t="s">
        <v>88</v>
      </c>
      <c r="D3366" s="46" t="s">
        <v>178</v>
      </c>
      <c r="E3366" s="46">
        <v>5</v>
      </c>
      <c r="F3366" s="46" t="s">
        <v>60</v>
      </c>
      <c r="G3366" s="46">
        <v>3</v>
      </c>
      <c r="H3366" s="47">
        <v>43</v>
      </c>
      <c r="I3366" s="47" t="s">
        <v>159</v>
      </c>
      <c r="J3366" s="48">
        <v>0</v>
      </c>
      <c r="K3366" s="48">
        <v>0</v>
      </c>
      <c r="R3366" s="46">
        <f t="shared" si="319"/>
        <v>0</v>
      </c>
      <c r="S3366" s="46">
        <f t="shared" si="320"/>
        <v>0</v>
      </c>
      <c r="T3366" s="46">
        <f t="shared" si="323"/>
        <v>0</v>
      </c>
      <c r="U3366" s="46">
        <f t="shared" si="321"/>
        <v>0</v>
      </c>
      <c r="V3366" s="54">
        <f t="shared" si="322"/>
        <v>17.333333333333332</v>
      </c>
    </row>
    <row r="3367" spans="1:22" x14ac:dyDescent="0.2">
      <c r="A3367" s="46" t="s">
        <v>130</v>
      </c>
      <c r="B3367" s="46" t="s">
        <v>208</v>
      </c>
      <c r="C3367" s="46" t="str">
        <f>VLOOKUP(B3367,$B$2:$C$3219,2,FALSE)</f>
        <v>ABC</v>
      </c>
      <c r="D3367" s="46" t="s">
        <v>178</v>
      </c>
      <c r="E3367" s="46">
        <v>5</v>
      </c>
      <c r="F3367" s="46" t="s">
        <v>63</v>
      </c>
      <c r="G3367" s="46">
        <v>4</v>
      </c>
      <c r="H3367" s="47" t="s">
        <v>148</v>
      </c>
      <c r="I3367" s="47" t="s">
        <v>102</v>
      </c>
      <c r="J3367" s="48">
        <v>1</v>
      </c>
      <c r="K3367" s="48">
        <v>0</v>
      </c>
      <c r="R3367" s="46">
        <f t="shared" si="319"/>
        <v>0</v>
      </c>
      <c r="S3367" s="46">
        <f t="shared" si="320"/>
        <v>0</v>
      </c>
      <c r="T3367" s="46">
        <f t="shared" si="323"/>
        <v>20</v>
      </c>
      <c r="U3367" s="46">
        <f t="shared" si="321"/>
        <v>20</v>
      </c>
      <c r="V3367" s="54">
        <f t="shared" si="322"/>
        <v>17.333333333333332</v>
      </c>
    </row>
    <row r="3368" spans="1:22" x14ac:dyDescent="0.2">
      <c r="A3368" s="46" t="s">
        <v>130</v>
      </c>
      <c r="B3368" s="46" t="s">
        <v>208</v>
      </c>
      <c r="C3368" s="46" t="str">
        <f>VLOOKUP(B3368,$B$2:$C$3219,2,FALSE)</f>
        <v>ABC</v>
      </c>
      <c r="D3368" s="46" t="s">
        <v>178</v>
      </c>
      <c r="E3368" s="46">
        <v>5</v>
      </c>
      <c r="F3368" s="46" t="s">
        <v>63</v>
      </c>
      <c r="G3368" s="46">
        <v>4</v>
      </c>
      <c r="H3368" s="47" t="s">
        <v>150</v>
      </c>
      <c r="I3368" s="47" t="s">
        <v>102</v>
      </c>
      <c r="J3368" s="48">
        <v>0</v>
      </c>
      <c r="K3368" s="48">
        <v>0</v>
      </c>
      <c r="N3368" s="48">
        <v>1</v>
      </c>
      <c r="R3368" s="46">
        <f t="shared" si="319"/>
        <v>0</v>
      </c>
      <c r="S3368" s="46">
        <f t="shared" si="320"/>
        <v>0</v>
      </c>
      <c r="T3368" s="46">
        <f t="shared" si="323"/>
        <v>0</v>
      </c>
      <c r="U3368" s="46">
        <f t="shared" si="321"/>
        <v>-5</v>
      </c>
      <c r="V3368" s="54">
        <f t="shared" si="322"/>
        <v>17.333333333333332</v>
      </c>
    </row>
    <row r="3369" spans="1:22" x14ac:dyDescent="0.2">
      <c r="A3369" s="46" t="s">
        <v>130</v>
      </c>
      <c r="B3369" s="46" t="s">
        <v>208</v>
      </c>
      <c r="C3369" s="46" t="str">
        <f>VLOOKUP(B3369,$B$2:$C$3219,2,FALSE)</f>
        <v>ABC</v>
      </c>
      <c r="D3369" s="46" t="s">
        <v>178</v>
      </c>
      <c r="E3369" s="46">
        <v>5</v>
      </c>
      <c r="F3369" s="46" t="s">
        <v>63</v>
      </c>
      <c r="G3369" s="46">
        <v>4</v>
      </c>
      <c r="H3369" s="47" t="s">
        <v>152</v>
      </c>
      <c r="I3369" s="47" t="s">
        <v>102</v>
      </c>
      <c r="J3369" s="48">
        <v>2</v>
      </c>
      <c r="K3369" s="48">
        <v>0</v>
      </c>
      <c r="R3369" s="46">
        <f t="shared" si="319"/>
        <v>0</v>
      </c>
      <c r="S3369" s="46">
        <f t="shared" si="320"/>
        <v>0</v>
      </c>
      <c r="T3369" s="46">
        <f t="shared" si="323"/>
        <v>40</v>
      </c>
      <c r="U3369" s="46">
        <f t="shared" si="321"/>
        <v>40</v>
      </c>
      <c r="V3369" s="54">
        <f t="shared" si="322"/>
        <v>17.333333333333332</v>
      </c>
    </row>
    <row r="3370" spans="1:22" x14ac:dyDescent="0.2">
      <c r="A3370" s="46" t="s">
        <v>157</v>
      </c>
      <c r="B3370" s="46" t="s">
        <v>122</v>
      </c>
      <c r="C3370" s="46" t="s">
        <v>95</v>
      </c>
      <c r="D3370" s="46" t="s">
        <v>178</v>
      </c>
      <c r="E3370" s="46">
        <v>2</v>
      </c>
      <c r="F3370" s="46" t="s">
        <v>60</v>
      </c>
      <c r="G3370" s="46">
        <v>1</v>
      </c>
      <c r="H3370" s="47">
        <v>1</v>
      </c>
      <c r="I3370" s="47" t="s">
        <v>101</v>
      </c>
      <c r="J3370" s="48">
        <v>0</v>
      </c>
      <c r="K3370" s="48">
        <v>0</v>
      </c>
      <c r="R3370" s="46">
        <f t="shared" si="319"/>
        <v>0</v>
      </c>
      <c r="S3370" s="46">
        <f t="shared" si="320"/>
        <v>0</v>
      </c>
      <c r="T3370" s="46">
        <f t="shared" si="323"/>
        <v>0</v>
      </c>
      <c r="U3370" s="46">
        <f t="shared" si="321"/>
        <v>0</v>
      </c>
      <c r="V3370" s="54">
        <f t="shared" si="322"/>
        <v>0</v>
      </c>
    </row>
    <row r="3371" spans="1:22" x14ac:dyDescent="0.2">
      <c r="A3371" s="46" t="s">
        <v>157</v>
      </c>
      <c r="B3371" s="46" t="s">
        <v>122</v>
      </c>
      <c r="C3371" s="46" t="s">
        <v>95</v>
      </c>
      <c r="D3371" s="46" t="s">
        <v>178</v>
      </c>
      <c r="E3371" s="46">
        <v>4</v>
      </c>
      <c r="F3371" s="46" t="s">
        <v>60</v>
      </c>
      <c r="G3371" s="46">
        <v>2</v>
      </c>
      <c r="H3371" s="47">
        <v>2</v>
      </c>
      <c r="I3371" s="47" t="s">
        <v>127</v>
      </c>
      <c r="J3371" s="48">
        <v>0</v>
      </c>
      <c r="K3371" s="48">
        <v>0</v>
      </c>
      <c r="R3371" s="46">
        <f t="shared" si="319"/>
        <v>0</v>
      </c>
      <c r="S3371" s="46">
        <f t="shared" si="320"/>
        <v>0</v>
      </c>
      <c r="T3371" s="46">
        <f t="shared" si="323"/>
        <v>0</v>
      </c>
      <c r="U3371" s="46">
        <f t="shared" si="321"/>
        <v>0</v>
      </c>
      <c r="V3371" s="54">
        <f t="shared" si="322"/>
        <v>0</v>
      </c>
    </row>
    <row r="3372" spans="1:22" x14ac:dyDescent="0.2">
      <c r="A3372" s="46" t="s">
        <v>157</v>
      </c>
      <c r="B3372" s="46" t="s">
        <v>122</v>
      </c>
      <c r="C3372" s="46" t="s">
        <v>95</v>
      </c>
      <c r="D3372" s="46" t="s">
        <v>178</v>
      </c>
      <c r="E3372" s="46">
        <v>1</v>
      </c>
      <c r="F3372" s="46" t="s">
        <v>60</v>
      </c>
      <c r="G3372" s="46">
        <v>3</v>
      </c>
      <c r="H3372" s="47">
        <v>3</v>
      </c>
      <c r="I3372" s="47" t="s">
        <v>116</v>
      </c>
      <c r="J3372" s="48">
        <v>0</v>
      </c>
      <c r="K3372" s="48">
        <v>0</v>
      </c>
      <c r="R3372" s="46">
        <f t="shared" si="319"/>
        <v>0</v>
      </c>
      <c r="S3372" s="46">
        <f t="shared" si="320"/>
        <v>0</v>
      </c>
      <c r="T3372" s="46">
        <f t="shared" si="323"/>
        <v>0</v>
      </c>
      <c r="U3372" s="46">
        <f t="shared" si="321"/>
        <v>0</v>
      </c>
      <c r="V3372" s="54">
        <f t="shared" si="322"/>
        <v>0</v>
      </c>
    </row>
    <row r="3373" spans="1:22" x14ac:dyDescent="0.2">
      <c r="A3373" s="46" t="s">
        <v>157</v>
      </c>
      <c r="B3373" s="46" t="s">
        <v>122</v>
      </c>
      <c r="C3373" s="46" t="s">
        <v>95</v>
      </c>
      <c r="D3373" s="46" t="s">
        <v>178</v>
      </c>
      <c r="E3373" s="46">
        <v>3</v>
      </c>
      <c r="F3373" s="46" t="s">
        <v>60</v>
      </c>
      <c r="G3373" s="46">
        <v>2</v>
      </c>
      <c r="H3373" s="47">
        <v>6</v>
      </c>
      <c r="I3373" s="47" t="s">
        <v>127</v>
      </c>
      <c r="J3373" s="48">
        <v>0</v>
      </c>
      <c r="K3373" s="48">
        <v>0</v>
      </c>
      <c r="R3373" s="46">
        <f t="shared" si="319"/>
        <v>0</v>
      </c>
      <c r="S3373" s="46">
        <f t="shared" si="320"/>
        <v>0</v>
      </c>
      <c r="T3373" s="46">
        <f t="shared" si="323"/>
        <v>0</v>
      </c>
      <c r="U3373" s="46">
        <f t="shared" si="321"/>
        <v>0</v>
      </c>
      <c r="V3373" s="54">
        <f t="shared" si="322"/>
        <v>0</v>
      </c>
    </row>
    <row r="3374" spans="1:22" x14ac:dyDescent="0.2">
      <c r="A3374" s="46" t="s">
        <v>157</v>
      </c>
      <c r="B3374" s="46" t="s">
        <v>122</v>
      </c>
      <c r="C3374" s="46" t="s">
        <v>95</v>
      </c>
      <c r="D3374" s="46" t="s">
        <v>178</v>
      </c>
      <c r="E3374" s="46">
        <v>2</v>
      </c>
      <c r="F3374" s="46" t="s">
        <v>60</v>
      </c>
      <c r="G3374" s="46">
        <v>2</v>
      </c>
      <c r="H3374" s="47">
        <v>10</v>
      </c>
      <c r="I3374" s="47" t="s">
        <v>127</v>
      </c>
      <c r="J3374" s="48">
        <v>0</v>
      </c>
      <c r="K3374" s="48">
        <v>0</v>
      </c>
      <c r="R3374" s="46">
        <f t="shared" si="319"/>
        <v>0</v>
      </c>
      <c r="S3374" s="46">
        <f t="shared" si="320"/>
        <v>0</v>
      </c>
      <c r="T3374" s="46">
        <f t="shared" si="323"/>
        <v>0</v>
      </c>
      <c r="U3374" s="46">
        <f t="shared" si="321"/>
        <v>0</v>
      </c>
      <c r="V3374" s="54">
        <f t="shared" si="322"/>
        <v>0</v>
      </c>
    </row>
    <row r="3375" spans="1:22" x14ac:dyDescent="0.2">
      <c r="A3375" s="46" t="s">
        <v>157</v>
      </c>
      <c r="B3375" s="46" t="s">
        <v>122</v>
      </c>
      <c r="C3375" s="46" t="s">
        <v>95</v>
      </c>
      <c r="D3375" s="46" t="s">
        <v>178</v>
      </c>
      <c r="E3375" s="46">
        <v>1</v>
      </c>
      <c r="F3375" s="46" t="s">
        <v>60</v>
      </c>
      <c r="G3375" s="46">
        <v>3</v>
      </c>
      <c r="H3375" s="47">
        <v>11</v>
      </c>
      <c r="I3375" s="47" t="s">
        <v>116</v>
      </c>
      <c r="J3375" s="48">
        <v>0</v>
      </c>
      <c r="K3375" s="48">
        <v>0</v>
      </c>
      <c r="R3375" s="46">
        <f t="shared" si="319"/>
        <v>0</v>
      </c>
      <c r="S3375" s="46">
        <f t="shared" si="320"/>
        <v>0</v>
      </c>
      <c r="T3375" s="46">
        <f t="shared" si="323"/>
        <v>0</v>
      </c>
      <c r="U3375" s="46">
        <f t="shared" si="321"/>
        <v>0</v>
      </c>
      <c r="V3375" s="54">
        <f t="shared" si="322"/>
        <v>0</v>
      </c>
    </row>
    <row r="3376" spans="1:22" x14ac:dyDescent="0.2">
      <c r="A3376" s="46" t="s">
        <v>157</v>
      </c>
      <c r="B3376" s="46" t="s">
        <v>122</v>
      </c>
      <c r="C3376" s="46" t="s">
        <v>95</v>
      </c>
      <c r="D3376" s="46" t="s">
        <v>178</v>
      </c>
      <c r="E3376" s="46">
        <v>4</v>
      </c>
      <c r="F3376" s="46" t="s">
        <v>60</v>
      </c>
      <c r="G3376" s="46">
        <v>4</v>
      </c>
      <c r="H3376" s="47">
        <v>12</v>
      </c>
      <c r="I3376" s="47" t="s">
        <v>102</v>
      </c>
      <c r="J3376" s="48">
        <v>0</v>
      </c>
      <c r="K3376" s="48">
        <v>0</v>
      </c>
      <c r="R3376" s="46">
        <f t="shared" si="319"/>
        <v>0</v>
      </c>
      <c r="S3376" s="46">
        <f t="shared" si="320"/>
        <v>0</v>
      </c>
      <c r="T3376" s="46">
        <f t="shared" si="323"/>
        <v>0</v>
      </c>
      <c r="U3376" s="46">
        <f t="shared" si="321"/>
        <v>0</v>
      </c>
      <c r="V3376" s="54">
        <f t="shared" si="322"/>
        <v>0</v>
      </c>
    </row>
    <row r="3377" spans="1:22" x14ac:dyDescent="0.2">
      <c r="A3377" s="46" t="s">
        <v>157</v>
      </c>
      <c r="B3377" s="46" t="s">
        <v>122</v>
      </c>
      <c r="C3377" s="46" t="s">
        <v>95</v>
      </c>
      <c r="D3377" s="46" t="s">
        <v>178</v>
      </c>
      <c r="E3377" s="46">
        <v>3</v>
      </c>
      <c r="F3377" s="46" t="s">
        <v>60</v>
      </c>
      <c r="G3377" s="46">
        <v>3</v>
      </c>
      <c r="H3377" s="47">
        <v>15</v>
      </c>
      <c r="I3377" s="47" t="s">
        <v>116</v>
      </c>
      <c r="J3377" s="48">
        <v>0</v>
      </c>
      <c r="K3377" s="48">
        <v>0</v>
      </c>
      <c r="R3377" s="46">
        <f t="shared" si="319"/>
        <v>0</v>
      </c>
      <c r="S3377" s="46">
        <f t="shared" si="320"/>
        <v>0</v>
      </c>
      <c r="T3377" s="46">
        <f t="shared" si="323"/>
        <v>0</v>
      </c>
      <c r="U3377" s="46">
        <f t="shared" si="321"/>
        <v>0</v>
      </c>
      <c r="V3377" s="54">
        <f t="shared" si="322"/>
        <v>0</v>
      </c>
    </row>
    <row r="3378" spans="1:22" x14ac:dyDescent="0.2">
      <c r="A3378" s="46" t="s">
        <v>157</v>
      </c>
      <c r="B3378" s="46" t="s">
        <v>122</v>
      </c>
      <c r="C3378" s="46" t="s">
        <v>95</v>
      </c>
      <c r="D3378" s="46" t="s">
        <v>178</v>
      </c>
      <c r="E3378" s="46">
        <v>2</v>
      </c>
      <c r="F3378" s="46" t="s">
        <v>60</v>
      </c>
      <c r="G3378" s="46">
        <v>3</v>
      </c>
      <c r="H3378" s="47">
        <v>19</v>
      </c>
      <c r="I3378" s="47" t="s">
        <v>116</v>
      </c>
      <c r="J3378" s="48">
        <v>0</v>
      </c>
      <c r="K3378" s="48">
        <v>0</v>
      </c>
      <c r="R3378" s="46">
        <f t="shared" si="319"/>
        <v>0</v>
      </c>
      <c r="S3378" s="46">
        <f t="shared" si="320"/>
        <v>0</v>
      </c>
      <c r="T3378" s="46">
        <f t="shared" si="323"/>
        <v>0</v>
      </c>
      <c r="U3378" s="46">
        <f t="shared" si="321"/>
        <v>0</v>
      </c>
      <c r="V3378" s="54">
        <f t="shared" si="322"/>
        <v>0</v>
      </c>
    </row>
    <row r="3379" spans="1:22" x14ac:dyDescent="0.2">
      <c r="A3379" s="46" t="s">
        <v>157</v>
      </c>
      <c r="B3379" s="46" t="s">
        <v>122</v>
      </c>
      <c r="C3379" s="46" t="s">
        <v>95</v>
      </c>
      <c r="D3379" s="46" t="s">
        <v>178</v>
      </c>
      <c r="E3379" s="46">
        <v>4</v>
      </c>
      <c r="F3379" s="46" t="s">
        <v>60</v>
      </c>
      <c r="G3379" s="46">
        <v>3</v>
      </c>
      <c r="H3379" s="47">
        <v>19</v>
      </c>
      <c r="I3379" s="47" t="s">
        <v>159</v>
      </c>
      <c r="J3379" s="48">
        <v>0</v>
      </c>
      <c r="K3379" s="48">
        <v>0</v>
      </c>
      <c r="R3379" s="46">
        <f t="shared" si="319"/>
        <v>0</v>
      </c>
      <c r="S3379" s="46">
        <f t="shared" si="320"/>
        <v>0</v>
      </c>
      <c r="T3379" s="46">
        <f t="shared" si="323"/>
        <v>0</v>
      </c>
      <c r="U3379" s="46">
        <f t="shared" si="321"/>
        <v>0</v>
      </c>
      <c r="V3379" s="54">
        <f t="shared" si="322"/>
        <v>0</v>
      </c>
    </row>
    <row r="3380" spans="1:22" x14ac:dyDescent="0.2">
      <c r="A3380" s="46" t="s">
        <v>157</v>
      </c>
      <c r="B3380" s="46" t="s">
        <v>122</v>
      </c>
      <c r="C3380" s="46" t="s">
        <v>95</v>
      </c>
      <c r="D3380" s="46" t="s">
        <v>178</v>
      </c>
      <c r="E3380" s="46">
        <v>1</v>
      </c>
      <c r="F3380" s="46" t="s">
        <v>60</v>
      </c>
      <c r="G3380" s="46">
        <v>4</v>
      </c>
      <c r="H3380" s="47">
        <v>20</v>
      </c>
      <c r="I3380" s="47" t="s">
        <v>102</v>
      </c>
      <c r="J3380" s="48">
        <v>0</v>
      </c>
      <c r="K3380" s="48">
        <v>0</v>
      </c>
      <c r="R3380" s="46">
        <f t="shared" si="319"/>
        <v>0</v>
      </c>
      <c r="S3380" s="46">
        <f t="shared" si="320"/>
        <v>0</v>
      </c>
      <c r="T3380" s="46">
        <f t="shared" si="323"/>
        <v>0</v>
      </c>
      <c r="U3380" s="46">
        <f t="shared" si="321"/>
        <v>0</v>
      </c>
      <c r="V3380" s="54">
        <f t="shared" si="322"/>
        <v>0</v>
      </c>
    </row>
    <row r="3381" spans="1:22" x14ac:dyDescent="0.2">
      <c r="A3381" s="46" t="s">
        <v>157</v>
      </c>
      <c r="B3381" s="46" t="s">
        <v>122</v>
      </c>
      <c r="C3381" s="46" t="s">
        <v>95</v>
      </c>
      <c r="D3381" s="46" t="s">
        <v>178</v>
      </c>
      <c r="E3381" s="46">
        <v>3</v>
      </c>
      <c r="F3381" s="46" t="s">
        <v>60</v>
      </c>
      <c r="G3381" s="46">
        <v>1</v>
      </c>
      <c r="H3381" s="47">
        <v>21</v>
      </c>
      <c r="I3381" s="47" t="s">
        <v>101</v>
      </c>
      <c r="J3381" s="48">
        <v>0</v>
      </c>
      <c r="K3381" s="48">
        <v>0</v>
      </c>
      <c r="R3381" s="46">
        <f t="shared" si="319"/>
        <v>0</v>
      </c>
      <c r="S3381" s="46">
        <f t="shared" si="320"/>
        <v>0</v>
      </c>
      <c r="T3381" s="46">
        <f t="shared" si="323"/>
        <v>0</v>
      </c>
      <c r="U3381" s="46">
        <f t="shared" si="321"/>
        <v>0</v>
      </c>
      <c r="V3381" s="54">
        <f t="shared" si="322"/>
        <v>0</v>
      </c>
    </row>
    <row r="3382" spans="1:22" x14ac:dyDescent="0.2">
      <c r="A3382" s="46" t="s">
        <v>157</v>
      </c>
      <c r="B3382" s="46" t="s">
        <v>122</v>
      </c>
      <c r="C3382" s="46" t="s">
        <v>95</v>
      </c>
      <c r="D3382" s="46" t="s">
        <v>178</v>
      </c>
      <c r="E3382" s="46">
        <v>1</v>
      </c>
      <c r="F3382" s="46" t="s">
        <v>60</v>
      </c>
      <c r="G3382" s="46">
        <v>2</v>
      </c>
      <c r="H3382" s="47">
        <v>26</v>
      </c>
      <c r="I3382" s="47" t="s">
        <v>127</v>
      </c>
      <c r="J3382" s="48">
        <v>0</v>
      </c>
      <c r="K3382" s="48">
        <v>0</v>
      </c>
      <c r="R3382" s="46">
        <f t="shared" si="319"/>
        <v>0</v>
      </c>
      <c r="S3382" s="46">
        <f t="shared" si="320"/>
        <v>0</v>
      </c>
      <c r="T3382" s="46">
        <f t="shared" si="323"/>
        <v>0</v>
      </c>
      <c r="U3382" s="46">
        <f t="shared" si="321"/>
        <v>0</v>
      </c>
      <c r="V3382" s="54">
        <f t="shared" si="322"/>
        <v>0</v>
      </c>
    </row>
    <row r="3383" spans="1:22" x14ac:dyDescent="0.2">
      <c r="A3383" s="46" t="s">
        <v>157</v>
      </c>
      <c r="B3383" s="46" t="s">
        <v>122</v>
      </c>
      <c r="C3383" s="46" t="s">
        <v>95</v>
      </c>
      <c r="D3383" s="46" t="s">
        <v>178</v>
      </c>
      <c r="E3383" s="46">
        <v>4</v>
      </c>
      <c r="F3383" s="46" t="s">
        <v>60</v>
      </c>
      <c r="G3383" s="46">
        <v>3</v>
      </c>
      <c r="H3383" s="47">
        <v>27</v>
      </c>
      <c r="I3383" s="47" t="s">
        <v>159</v>
      </c>
      <c r="J3383" s="48">
        <v>0</v>
      </c>
      <c r="K3383" s="48">
        <v>0</v>
      </c>
      <c r="R3383" s="46">
        <f t="shared" si="319"/>
        <v>0</v>
      </c>
      <c r="S3383" s="46">
        <f t="shared" si="320"/>
        <v>0</v>
      </c>
      <c r="T3383" s="46">
        <f t="shared" si="323"/>
        <v>0</v>
      </c>
      <c r="U3383" s="46">
        <f t="shared" si="321"/>
        <v>0</v>
      </c>
      <c r="V3383" s="54">
        <f t="shared" si="322"/>
        <v>0</v>
      </c>
    </row>
    <row r="3384" spans="1:22" x14ac:dyDescent="0.2">
      <c r="A3384" s="46" t="s">
        <v>157</v>
      </c>
      <c r="B3384" s="46" t="s">
        <v>122</v>
      </c>
      <c r="C3384" s="46" t="s">
        <v>95</v>
      </c>
      <c r="D3384" s="46" t="s">
        <v>178</v>
      </c>
      <c r="E3384" s="46">
        <v>2</v>
      </c>
      <c r="F3384" s="46" t="s">
        <v>60</v>
      </c>
      <c r="G3384" s="46">
        <v>4</v>
      </c>
      <c r="H3384" s="47">
        <v>28</v>
      </c>
      <c r="I3384" s="47" t="s">
        <v>102</v>
      </c>
      <c r="J3384" s="48">
        <v>0</v>
      </c>
      <c r="K3384" s="48">
        <v>0</v>
      </c>
      <c r="R3384" s="46">
        <f t="shared" si="319"/>
        <v>0</v>
      </c>
      <c r="S3384" s="46">
        <f t="shared" si="320"/>
        <v>0</v>
      </c>
      <c r="T3384" s="46">
        <f t="shared" si="323"/>
        <v>0</v>
      </c>
      <c r="U3384" s="46">
        <f t="shared" si="321"/>
        <v>0</v>
      </c>
      <c r="V3384" s="54">
        <f t="shared" si="322"/>
        <v>0</v>
      </c>
    </row>
    <row r="3385" spans="1:22" x14ac:dyDescent="0.2">
      <c r="A3385" s="46" t="s">
        <v>157</v>
      </c>
      <c r="B3385" s="46" t="s">
        <v>122</v>
      </c>
      <c r="C3385" s="46" t="s">
        <v>95</v>
      </c>
      <c r="D3385" s="46" t="s">
        <v>178</v>
      </c>
      <c r="E3385" s="46">
        <v>3</v>
      </c>
      <c r="F3385" s="46" t="s">
        <v>60</v>
      </c>
      <c r="G3385" s="46">
        <v>4</v>
      </c>
      <c r="H3385" s="47">
        <v>32</v>
      </c>
      <c r="I3385" s="47" t="s">
        <v>102</v>
      </c>
      <c r="J3385" s="48">
        <v>0</v>
      </c>
      <c r="K3385" s="48">
        <v>0</v>
      </c>
      <c r="R3385" s="46">
        <f t="shared" si="319"/>
        <v>0</v>
      </c>
      <c r="S3385" s="46">
        <f t="shared" si="320"/>
        <v>0</v>
      </c>
      <c r="T3385" s="46">
        <f t="shared" si="323"/>
        <v>0</v>
      </c>
      <c r="U3385" s="46">
        <f t="shared" si="321"/>
        <v>0</v>
      </c>
      <c r="V3385" s="54">
        <f t="shared" si="322"/>
        <v>0</v>
      </c>
    </row>
    <row r="3386" spans="1:22" x14ac:dyDescent="0.2">
      <c r="A3386" s="46" t="s">
        <v>157</v>
      </c>
      <c r="B3386" s="46" t="s">
        <v>122</v>
      </c>
      <c r="C3386" s="46" t="s">
        <v>95</v>
      </c>
      <c r="D3386" s="46" t="s">
        <v>178</v>
      </c>
      <c r="E3386" s="46">
        <v>2</v>
      </c>
      <c r="F3386" s="46" t="s">
        <v>60</v>
      </c>
      <c r="G3386" s="46">
        <v>2</v>
      </c>
      <c r="H3386" s="47">
        <v>34</v>
      </c>
      <c r="I3386" s="47" t="s">
        <v>127</v>
      </c>
      <c r="J3386" s="48">
        <v>0</v>
      </c>
      <c r="K3386" s="48">
        <v>0</v>
      </c>
      <c r="R3386" s="46">
        <f t="shared" si="319"/>
        <v>0</v>
      </c>
      <c r="S3386" s="46">
        <f t="shared" si="320"/>
        <v>0</v>
      </c>
      <c r="T3386" s="46">
        <f t="shared" si="323"/>
        <v>0</v>
      </c>
      <c r="U3386" s="46">
        <f t="shared" si="321"/>
        <v>0</v>
      </c>
      <c r="V3386" s="54">
        <f t="shared" si="322"/>
        <v>0</v>
      </c>
    </row>
    <row r="3387" spans="1:22" x14ac:dyDescent="0.2">
      <c r="A3387" s="46" t="s">
        <v>157</v>
      </c>
      <c r="B3387" s="46" t="s">
        <v>122</v>
      </c>
      <c r="C3387" s="46" t="s">
        <v>95</v>
      </c>
      <c r="D3387" s="46" t="s">
        <v>178</v>
      </c>
      <c r="E3387" s="46">
        <v>1</v>
      </c>
      <c r="F3387" s="46" t="s">
        <v>60</v>
      </c>
      <c r="G3387" s="46">
        <v>1</v>
      </c>
      <c r="H3387" s="47">
        <v>37</v>
      </c>
      <c r="I3387" s="47" t="s">
        <v>101</v>
      </c>
      <c r="J3387" s="48">
        <v>0</v>
      </c>
      <c r="K3387" s="48">
        <v>0</v>
      </c>
      <c r="R3387" s="46">
        <f t="shared" si="319"/>
        <v>0</v>
      </c>
      <c r="S3387" s="46">
        <f t="shared" si="320"/>
        <v>0</v>
      </c>
      <c r="T3387" s="46">
        <f t="shared" si="323"/>
        <v>0</v>
      </c>
      <c r="U3387" s="46">
        <f t="shared" si="321"/>
        <v>0</v>
      </c>
      <c r="V3387" s="54">
        <f t="shared" si="322"/>
        <v>0</v>
      </c>
    </row>
    <row r="3388" spans="1:22" x14ac:dyDescent="0.2">
      <c r="A3388" s="46" t="s">
        <v>157</v>
      </c>
      <c r="B3388" s="46" t="s">
        <v>122</v>
      </c>
      <c r="C3388" s="46" t="s">
        <v>95</v>
      </c>
      <c r="D3388" s="46" t="s">
        <v>178</v>
      </c>
      <c r="E3388" s="46">
        <v>3</v>
      </c>
      <c r="F3388" s="46" t="s">
        <v>60</v>
      </c>
      <c r="G3388" s="46">
        <v>1</v>
      </c>
      <c r="H3388" s="47">
        <v>37</v>
      </c>
      <c r="I3388" s="47" t="s">
        <v>101</v>
      </c>
      <c r="J3388" s="48">
        <v>0</v>
      </c>
      <c r="K3388" s="48">
        <v>0</v>
      </c>
      <c r="R3388" s="46">
        <f t="shared" si="319"/>
        <v>0</v>
      </c>
      <c r="S3388" s="46">
        <f t="shared" si="320"/>
        <v>0</v>
      </c>
      <c r="T3388" s="46">
        <f t="shared" si="323"/>
        <v>0</v>
      </c>
      <c r="U3388" s="46">
        <f t="shared" si="321"/>
        <v>0</v>
      </c>
      <c r="V3388" s="54">
        <f t="shared" si="322"/>
        <v>0</v>
      </c>
    </row>
    <row r="3389" spans="1:22" x14ac:dyDescent="0.2">
      <c r="A3389" s="46" t="s">
        <v>157</v>
      </c>
      <c r="B3389" s="46" t="s">
        <v>122</v>
      </c>
      <c r="C3389" s="46" t="s">
        <v>95</v>
      </c>
      <c r="D3389" s="46" t="s">
        <v>178</v>
      </c>
      <c r="E3389" s="46">
        <v>4</v>
      </c>
      <c r="F3389" s="46" t="s">
        <v>60</v>
      </c>
      <c r="G3389" s="46">
        <v>4</v>
      </c>
      <c r="H3389" s="47">
        <v>40</v>
      </c>
      <c r="I3389" s="47" t="s">
        <v>102</v>
      </c>
      <c r="J3389" s="48">
        <v>0</v>
      </c>
      <c r="K3389" s="48">
        <v>0</v>
      </c>
      <c r="R3389" s="46">
        <f t="shared" si="319"/>
        <v>0</v>
      </c>
      <c r="S3389" s="46">
        <f t="shared" si="320"/>
        <v>0</v>
      </c>
      <c r="T3389" s="46">
        <f t="shared" si="323"/>
        <v>0</v>
      </c>
      <c r="U3389" s="46">
        <f t="shared" si="321"/>
        <v>0</v>
      </c>
      <c r="V3389" s="54">
        <f t="shared" si="322"/>
        <v>0</v>
      </c>
    </row>
    <row r="3390" spans="1:22" x14ac:dyDescent="0.2">
      <c r="A3390" s="46" t="s">
        <v>157</v>
      </c>
      <c r="B3390" s="46" t="s">
        <v>122</v>
      </c>
      <c r="C3390" s="46" t="s">
        <v>95</v>
      </c>
      <c r="D3390" s="46" t="s">
        <v>178</v>
      </c>
      <c r="E3390" s="46">
        <v>2</v>
      </c>
      <c r="F3390" s="46" t="s">
        <v>60</v>
      </c>
      <c r="G3390" s="46">
        <v>1</v>
      </c>
      <c r="H3390" s="47">
        <v>41</v>
      </c>
      <c r="I3390" s="47" t="s">
        <v>101</v>
      </c>
      <c r="J3390" s="48">
        <v>0</v>
      </c>
      <c r="K3390" s="48">
        <v>0</v>
      </c>
      <c r="R3390" s="46">
        <f t="shared" si="319"/>
        <v>0</v>
      </c>
      <c r="S3390" s="46">
        <f t="shared" si="320"/>
        <v>0</v>
      </c>
      <c r="T3390" s="46">
        <f t="shared" si="323"/>
        <v>0</v>
      </c>
      <c r="U3390" s="46">
        <f t="shared" si="321"/>
        <v>0</v>
      </c>
      <c r="V3390" s="54">
        <f t="shared" si="322"/>
        <v>0</v>
      </c>
    </row>
    <row r="3391" spans="1:22" x14ac:dyDescent="0.2">
      <c r="A3391" s="46" t="s">
        <v>157</v>
      </c>
      <c r="B3391" s="46" t="s">
        <v>122</v>
      </c>
      <c r="C3391" s="46" t="s">
        <v>95</v>
      </c>
      <c r="D3391" s="46" t="s">
        <v>178</v>
      </c>
      <c r="E3391" s="46">
        <v>4</v>
      </c>
      <c r="F3391" s="46" t="s">
        <v>60</v>
      </c>
      <c r="G3391" s="46">
        <v>1</v>
      </c>
      <c r="H3391" s="47">
        <v>45</v>
      </c>
      <c r="I3391" s="47" t="s">
        <v>101</v>
      </c>
      <c r="J3391" s="48">
        <v>0</v>
      </c>
      <c r="K3391" s="48">
        <v>0</v>
      </c>
      <c r="R3391" s="46">
        <f t="shared" si="319"/>
        <v>0</v>
      </c>
      <c r="S3391" s="46">
        <f t="shared" si="320"/>
        <v>0</v>
      </c>
      <c r="T3391" s="46">
        <f t="shared" si="323"/>
        <v>0</v>
      </c>
      <c r="U3391" s="46">
        <f t="shared" si="321"/>
        <v>0</v>
      </c>
      <c r="V3391" s="54">
        <f t="shared" si="322"/>
        <v>0</v>
      </c>
    </row>
    <row r="3392" spans="1:22" x14ac:dyDescent="0.2">
      <c r="A3392" s="46" t="s">
        <v>157</v>
      </c>
      <c r="B3392" s="46" t="s">
        <v>122</v>
      </c>
      <c r="C3392" s="46" t="s">
        <v>95</v>
      </c>
      <c r="D3392" s="46" t="s">
        <v>178</v>
      </c>
      <c r="E3392" s="46">
        <v>1</v>
      </c>
      <c r="F3392" s="46" t="s">
        <v>60</v>
      </c>
      <c r="G3392" s="46">
        <v>2</v>
      </c>
      <c r="H3392" s="47">
        <v>46</v>
      </c>
      <c r="I3392" s="47" t="s">
        <v>127</v>
      </c>
      <c r="J3392" s="48">
        <v>0</v>
      </c>
      <c r="K3392" s="48">
        <v>0</v>
      </c>
      <c r="R3392" s="46">
        <f t="shared" si="319"/>
        <v>0</v>
      </c>
      <c r="S3392" s="46">
        <f t="shared" si="320"/>
        <v>0</v>
      </c>
      <c r="T3392" s="46">
        <f t="shared" si="323"/>
        <v>0</v>
      </c>
      <c r="U3392" s="46">
        <f t="shared" si="321"/>
        <v>0</v>
      </c>
      <c r="V3392" s="54">
        <f t="shared" si="322"/>
        <v>0</v>
      </c>
    </row>
    <row r="3393" spans="1:22" x14ac:dyDescent="0.2">
      <c r="A3393" s="46" t="s">
        <v>157</v>
      </c>
      <c r="B3393" s="46" t="s">
        <v>122</v>
      </c>
      <c r="C3393" s="46" t="s">
        <v>95</v>
      </c>
      <c r="D3393" s="46" t="s">
        <v>178</v>
      </c>
      <c r="E3393" s="46">
        <v>3</v>
      </c>
      <c r="F3393" s="46" t="s">
        <v>60</v>
      </c>
      <c r="G3393" s="46">
        <v>4</v>
      </c>
      <c r="H3393" s="47">
        <v>48</v>
      </c>
      <c r="I3393" s="47" t="s">
        <v>102</v>
      </c>
      <c r="J3393" s="48">
        <v>0</v>
      </c>
      <c r="K3393" s="48">
        <v>0</v>
      </c>
      <c r="R3393" s="46">
        <f t="shared" si="319"/>
        <v>0</v>
      </c>
      <c r="S3393" s="46">
        <f t="shared" si="320"/>
        <v>0</v>
      </c>
      <c r="T3393" s="46">
        <f t="shared" si="323"/>
        <v>0</v>
      </c>
      <c r="U3393" s="46">
        <f t="shared" si="321"/>
        <v>0</v>
      </c>
      <c r="V3393" s="54">
        <f t="shared" si="322"/>
        <v>0</v>
      </c>
    </row>
    <row r="3394" spans="1:22" x14ac:dyDescent="0.2">
      <c r="A3394" s="46" t="s">
        <v>157</v>
      </c>
      <c r="B3394" s="46" t="s">
        <v>122</v>
      </c>
      <c r="C3394" s="46" t="s">
        <v>95</v>
      </c>
      <c r="D3394" s="46" t="s">
        <v>178</v>
      </c>
      <c r="E3394" s="46">
        <v>2</v>
      </c>
      <c r="F3394" s="46" t="s">
        <v>62</v>
      </c>
      <c r="G3394" s="46">
        <v>2</v>
      </c>
      <c r="H3394" s="47" t="s">
        <v>79</v>
      </c>
      <c r="I3394" s="47" t="s">
        <v>127</v>
      </c>
      <c r="J3394" s="48">
        <v>0</v>
      </c>
      <c r="K3394" s="48">
        <v>0</v>
      </c>
      <c r="R3394" s="46">
        <f t="shared" ref="R3394:R3457" si="324">IF(J3394=4,1,0)</f>
        <v>0</v>
      </c>
      <c r="S3394" s="46">
        <f t="shared" ref="S3394:S3457" si="325">IF(K3394=3,1,0)</f>
        <v>0</v>
      </c>
      <c r="T3394" s="46">
        <f t="shared" si="323"/>
        <v>0</v>
      </c>
      <c r="U3394" s="46">
        <f t="shared" ref="U3394:U3457" si="326">T3394+M3394*(20) + (SUM(O3394:Q3394)*(10)) - L3394*(5) - N3394*(5)</f>
        <v>0</v>
      </c>
      <c r="V3394" s="54">
        <f t="shared" ref="V3394:V3457" si="327">AVERAGEIFS(U:U,A:A,A3394,F:F,"Pre")</f>
        <v>0</v>
      </c>
    </row>
    <row r="3395" spans="1:22" x14ac:dyDescent="0.2">
      <c r="A3395" s="46" t="s">
        <v>157</v>
      </c>
      <c r="B3395" s="46" t="s">
        <v>122</v>
      </c>
      <c r="C3395" s="46" t="s">
        <v>95</v>
      </c>
      <c r="D3395" s="46" t="s">
        <v>178</v>
      </c>
      <c r="E3395" s="46">
        <v>1</v>
      </c>
      <c r="F3395" s="46" t="s">
        <v>62</v>
      </c>
      <c r="G3395" s="46">
        <v>3</v>
      </c>
      <c r="H3395" s="47" t="s">
        <v>80</v>
      </c>
      <c r="I3395" s="47" t="s">
        <v>116</v>
      </c>
      <c r="J3395" s="48">
        <v>0</v>
      </c>
      <c r="K3395" s="48">
        <v>0</v>
      </c>
      <c r="N3395" s="48">
        <v>1</v>
      </c>
      <c r="R3395" s="46">
        <f t="shared" si="324"/>
        <v>0</v>
      </c>
      <c r="S3395" s="46">
        <f t="shared" si="325"/>
        <v>0</v>
      </c>
      <c r="T3395" s="46">
        <f t="shared" si="323"/>
        <v>0</v>
      </c>
      <c r="U3395" s="46">
        <f t="shared" si="326"/>
        <v>-5</v>
      </c>
      <c r="V3395" s="54">
        <f t="shared" si="327"/>
        <v>0</v>
      </c>
    </row>
    <row r="3396" spans="1:22" x14ac:dyDescent="0.2">
      <c r="A3396" s="46" t="s">
        <v>157</v>
      </c>
      <c r="B3396" s="46" t="s">
        <v>122</v>
      </c>
      <c r="C3396" s="46" t="s">
        <v>95</v>
      </c>
      <c r="D3396" s="46" t="s">
        <v>178</v>
      </c>
      <c r="E3396" s="46">
        <v>3</v>
      </c>
      <c r="F3396" s="46" t="s">
        <v>62</v>
      </c>
      <c r="G3396" s="46">
        <v>3</v>
      </c>
      <c r="H3396" s="47" t="s">
        <v>80</v>
      </c>
      <c r="I3396" s="47" t="s">
        <v>116</v>
      </c>
      <c r="J3396" s="48">
        <v>0</v>
      </c>
      <c r="K3396" s="48">
        <v>0</v>
      </c>
      <c r="R3396" s="46">
        <f t="shared" si="324"/>
        <v>0</v>
      </c>
      <c r="S3396" s="46">
        <f t="shared" si="325"/>
        <v>0</v>
      </c>
      <c r="T3396" s="46">
        <f t="shared" si="323"/>
        <v>0</v>
      </c>
      <c r="U3396" s="46">
        <f t="shared" si="326"/>
        <v>0</v>
      </c>
      <c r="V3396" s="54">
        <f t="shared" si="327"/>
        <v>0</v>
      </c>
    </row>
    <row r="3397" spans="1:22" x14ac:dyDescent="0.2">
      <c r="A3397" s="46" t="s">
        <v>157</v>
      </c>
      <c r="B3397" s="46" t="s">
        <v>122</v>
      </c>
      <c r="C3397" s="46" t="s">
        <v>95</v>
      </c>
      <c r="D3397" s="46" t="s">
        <v>178</v>
      </c>
      <c r="E3397" s="46">
        <v>1</v>
      </c>
      <c r="F3397" s="46" t="s">
        <v>62</v>
      </c>
      <c r="G3397" s="46">
        <v>2</v>
      </c>
      <c r="H3397" s="47" t="s">
        <v>82</v>
      </c>
      <c r="I3397" s="47" t="s">
        <v>127</v>
      </c>
      <c r="J3397" s="48">
        <v>0</v>
      </c>
      <c r="K3397" s="48">
        <v>0</v>
      </c>
      <c r="R3397" s="46">
        <f t="shared" si="324"/>
        <v>0</v>
      </c>
      <c r="S3397" s="46">
        <f t="shared" si="325"/>
        <v>0</v>
      </c>
      <c r="T3397" s="46">
        <f t="shared" si="323"/>
        <v>0</v>
      </c>
      <c r="U3397" s="46">
        <f t="shared" si="326"/>
        <v>0</v>
      </c>
      <c r="V3397" s="54">
        <f t="shared" si="327"/>
        <v>0</v>
      </c>
    </row>
    <row r="3398" spans="1:22" x14ac:dyDescent="0.2">
      <c r="A3398" s="46" t="s">
        <v>157</v>
      </c>
      <c r="B3398" s="46" t="s">
        <v>122</v>
      </c>
      <c r="C3398" s="46" t="s">
        <v>95</v>
      </c>
      <c r="D3398" s="46" t="s">
        <v>178</v>
      </c>
      <c r="E3398" s="46">
        <v>4</v>
      </c>
      <c r="F3398" s="46" t="s">
        <v>62</v>
      </c>
      <c r="G3398" s="46">
        <v>3</v>
      </c>
      <c r="H3398" s="47" t="s">
        <v>84</v>
      </c>
      <c r="I3398" s="47" t="s">
        <v>219</v>
      </c>
      <c r="J3398" s="48">
        <v>0</v>
      </c>
      <c r="K3398" s="48">
        <v>0</v>
      </c>
      <c r="R3398" s="46">
        <f t="shared" si="324"/>
        <v>0</v>
      </c>
      <c r="S3398" s="46">
        <f t="shared" si="325"/>
        <v>0</v>
      </c>
      <c r="T3398" s="46">
        <f t="shared" si="323"/>
        <v>0</v>
      </c>
      <c r="U3398" s="46">
        <f t="shared" si="326"/>
        <v>0</v>
      </c>
      <c r="V3398" s="54">
        <f t="shared" si="327"/>
        <v>0</v>
      </c>
    </row>
    <row r="3399" spans="1:22" x14ac:dyDescent="0.2">
      <c r="A3399" s="46" t="s">
        <v>157</v>
      </c>
      <c r="B3399" s="46" t="s">
        <v>122</v>
      </c>
      <c r="C3399" s="46" t="s">
        <v>95</v>
      </c>
      <c r="D3399" s="46" t="s">
        <v>178</v>
      </c>
      <c r="E3399" s="46">
        <v>2</v>
      </c>
      <c r="F3399" s="46" t="s">
        <v>62</v>
      </c>
      <c r="G3399" s="46">
        <v>3</v>
      </c>
      <c r="H3399" s="47" t="s">
        <v>85</v>
      </c>
      <c r="I3399" s="47" t="s">
        <v>116</v>
      </c>
      <c r="J3399" s="48">
        <v>0</v>
      </c>
      <c r="K3399" s="48">
        <v>0</v>
      </c>
      <c r="R3399" s="46">
        <f t="shared" si="324"/>
        <v>0</v>
      </c>
      <c r="S3399" s="46">
        <f t="shared" si="325"/>
        <v>0</v>
      </c>
      <c r="T3399" s="46">
        <f t="shared" si="323"/>
        <v>0</v>
      </c>
      <c r="U3399" s="46">
        <f t="shared" si="326"/>
        <v>0</v>
      </c>
      <c r="V3399" s="54">
        <f t="shared" si="327"/>
        <v>0</v>
      </c>
    </row>
    <row r="3400" spans="1:22" x14ac:dyDescent="0.2">
      <c r="A3400" s="46" t="s">
        <v>157</v>
      </c>
      <c r="B3400" s="46" t="s">
        <v>122</v>
      </c>
      <c r="C3400" s="46" t="s">
        <v>95</v>
      </c>
      <c r="D3400" s="46" t="s">
        <v>178</v>
      </c>
      <c r="E3400" s="46">
        <v>3</v>
      </c>
      <c r="F3400" s="46" t="s">
        <v>62</v>
      </c>
      <c r="G3400" s="46">
        <v>3</v>
      </c>
      <c r="H3400" s="47" t="s">
        <v>85</v>
      </c>
      <c r="I3400" s="47" t="s">
        <v>116</v>
      </c>
      <c r="J3400" s="48">
        <v>0</v>
      </c>
      <c r="K3400" s="48">
        <v>0</v>
      </c>
      <c r="R3400" s="46">
        <f t="shared" si="324"/>
        <v>0</v>
      </c>
      <c r="S3400" s="46">
        <f t="shared" si="325"/>
        <v>0</v>
      </c>
      <c r="T3400" s="46">
        <f t="shared" si="323"/>
        <v>0</v>
      </c>
      <c r="U3400" s="46">
        <f t="shared" si="326"/>
        <v>0</v>
      </c>
      <c r="V3400" s="54">
        <f t="shared" si="327"/>
        <v>0</v>
      </c>
    </row>
    <row r="3401" spans="1:22" x14ac:dyDescent="0.2">
      <c r="A3401" s="46" t="s">
        <v>157</v>
      </c>
      <c r="B3401" s="46" t="s">
        <v>122</v>
      </c>
      <c r="C3401" s="46" t="s">
        <v>95</v>
      </c>
      <c r="D3401" s="46" t="s">
        <v>178</v>
      </c>
      <c r="E3401" s="46">
        <v>4</v>
      </c>
      <c r="F3401" s="46" t="s">
        <v>62</v>
      </c>
      <c r="G3401" s="46">
        <v>2</v>
      </c>
      <c r="H3401" s="47" t="s">
        <v>86</v>
      </c>
      <c r="I3401" s="47" t="s">
        <v>127</v>
      </c>
      <c r="J3401" s="48">
        <v>0</v>
      </c>
      <c r="K3401" s="48">
        <v>0</v>
      </c>
      <c r="R3401" s="46">
        <f t="shared" si="324"/>
        <v>0</v>
      </c>
      <c r="S3401" s="46">
        <f t="shared" si="325"/>
        <v>0</v>
      </c>
      <c r="T3401" s="46">
        <f t="shared" si="323"/>
        <v>0</v>
      </c>
      <c r="U3401" s="46">
        <f t="shared" si="326"/>
        <v>0</v>
      </c>
      <c r="V3401" s="54">
        <f t="shared" si="327"/>
        <v>0</v>
      </c>
    </row>
    <row r="3402" spans="1:22" x14ac:dyDescent="0.2">
      <c r="A3402" s="46" t="s">
        <v>157</v>
      </c>
      <c r="B3402" s="46" t="s">
        <v>122</v>
      </c>
      <c r="C3402" s="46" t="s">
        <v>95</v>
      </c>
      <c r="D3402" s="46" t="s">
        <v>178</v>
      </c>
      <c r="E3402" s="46">
        <v>2</v>
      </c>
      <c r="F3402" s="46" t="s">
        <v>62</v>
      </c>
      <c r="G3402" s="46">
        <v>3</v>
      </c>
      <c r="H3402" s="47" t="s">
        <v>87</v>
      </c>
      <c r="I3402" s="47" t="s">
        <v>116</v>
      </c>
      <c r="J3402" s="48">
        <v>0</v>
      </c>
      <c r="K3402" s="48">
        <v>0</v>
      </c>
      <c r="R3402" s="46">
        <f t="shared" si="324"/>
        <v>0</v>
      </c>
      <c r="S3402" s="46">
        <f t="shared" si="325"/>
        <v>0</v>
      </c>
      <c r="T3402" s="46">
        <f t="shared" si="323"/>
        <v>0</v>
      </c>
      <c r="U3402" s="46">
        <f t="shared" si="326"/>
        <v>0</v>
      </c>
      <c r="V3402" s="54">
        <f t="shared" si="327"/>
        <v>0</v>
      </c>
    </row>
    <row r="3403" spans="1:22" x14ac:dyDescent="0.2">
      <c r="A3403" s="46" t="s">
        <v>157</v>
      </c>
      <c r="B3403" s="46" t="s">
        <v>122</v>
      </c>
      <c r="C3403" s="46" t="s">
        <v>95</v>
      </c>
      <c r="D3403" s="46" t="s">
        <v>178</v>
      </c>
      <c r="E3403" s="46">
        <v>4</v>
      </c>
      <c r="F3403" s="46" t="s">
        <v>62</v>
      </c>
      <c r="G3403" s="46">
        <v>3</v>
      </c>
      <c r="H3403" s="47" t="s">
        <v>64</v>
      </c>
      <c r="I3403" s="47" t="s">
        <v>219</v>
      </c>
      <c r="J3403" s="48">
        <v>0</v>
      </c>
      <c r="K3403" s="48">
        <v>0</v>
      </c>
      <c r="R3403" s="46">
        <f t="shared" si="324"/>
        <v>0</v>
      </c>
      <c r="S3403" s="46">
        <f t="shared" si="325"/>
        <v>0</v>
      </c>
      <c r="T3403" s="46">
        <f t="shared" si="323"/>
        <v>0</v>
      </c>
      <c r="U3403" s="46">
        <f t="shared" si="326"/>
        <v>0</v>
      </c>
      <c r="V3403" s="54">
        <f t="shared" si="327"/>
        <v>0</v>
      </c>
    </row>
    <row r="3404" spans="1:22" x14ac:dyDescent="0.2">
      <c r="A3404" s="46" t="s">
        <v>157</v>
      </c>
      <c r="B3404" s="46" t="s">
        <v>122</v>
      </c>
      <c r="C3404" s="46" t="s">
        <v>95</v>
      </c>
      <c r="D3404" s="46" t="s">
        <v>178</v>
      </c>
      <c r="E3404" s="46">
        <v>1</v>
      </c>
      <c r="F3404" s="46" t="s">
        <v>62</v>
      </c>
      <c r="G3404" s="46">
        <v>2</v>
      </c>
      <c r="H3404" s="47" t="s">
        <v>83</v>
      </c>
      <c r="I3404" s="47" t="s">
        <v>127</v>
      </c>
      <c r="J3404" s="48">
        <v>0</v>
      </c>
      <c r="K3404" s="48">
        <v>0</v>
      </c>
      <c r="R3404" s="46">
        <f t="shared" si="324"/>
        <v>0</v>
      </c>
      <c r="S3404" s="46">
        <f t="shared" si="325"/>
        <v>0</v>
      </c>
      <c r="T3404" s="46">
        <f t="shared" si="323"/>
        <v>0</v>
      </c>
      <c r="U3404" s="46">
        <f t="shared" si="326"/>
        <v>0</v>
      </c>
      <c r="V3404" s="54">
        <f t="shared" si="327"/>
        <v>0</v>
      </c>
    </row>
    <row r="3405" spans="1:22" x14ac:dyDescent="0.2">
      <c r="A3405" s="46" t="s">
        <v>157</v>
      </c>
      <c r="B3405" s="46" t="s">
        <v>122</v>
      </c>
      <c r="C3405" s="46" t="s">
        <v>95</v>
      </c>
      <c r="D3405" s="46" t="s">
        <v>178</v>
      </c>
      <c r="E3405" s="46">
        <v>4</v>
      </c>
      <c r="F3405" s="46" t="s">
        <v>62</v>
      </c>
      <c r="G3405" s="46">
        <v>3</v>
      </c>
      <c r="H3405" s="47" t="s">
        <v>80</v>
      </c>
      <c r="I3405" s="47" t="s">
        <v>219</v>
      </c>
      <c r="J3405" s="48">
        <v>1</v>
      </c>
      <c r="K3405" s="48">
        <v>0</v>
      </c>
      <c r="R3405" s="46">
        <f t="shared" si="324"/>
        <v>0</v>
      </c>
      <c r="S3405" s="46">
        <f t="shared" si="325"/>
        <v>0</v>
      </c>
      <c r="T3405" s="46">
        <f t="shared" ref="T3405:T3468" si="328">quizscore(J3405,K3405)</f>
        <v>20</v>
      </c>
      <c r="U3405" s="46">
        <f t="shared" si="326"/>
        <v>20</v>
      </c>
      <c r="V3405" s="54">
        <f t="shared" si="327"/>
        <v>0</v>
      </c>
    </row>
    <row r="3406" spans="1:22" x14ac:dyDescent="0.2">
      <c r="A3406" s="46" t="s">
        <v>157</v>
      </c>
      <c r="B3406" s="46" t="s">
        <v>122</v>
      </c>
      <c r="C3406" s="46" t="s">
        <v>95</v>
      </c>
      <c r="D3406" s="46" t="s">
        <v>178</v>
      </c>
      <c r="E3406" s="46">
        <v>5</v>
      </c>
      <c r="F3406" s="46" t="s">
        <v>60</v>
      </c>
      <c r="G3406" s="46">
        <v>3</v>
      </c>
      <c r="H3406" s="47">
        <v>31</v>
      </c>
      <c r="I3406" s="47" t="s">
        <v>159</v>
      </c>
      <c r="J3406" s="48">
        <v>0</v>
      </c>
      <c r="K3406" s="48">
        <v>0</v>
      </c>
      <c r="R3406" s="46">
        <f t="shared" si="324"/>
        <v>0</v>
      </c>
      <c r="S3406" s="46">
        <f t="shared" si="325"/>
        <v>0</v>
      </c>
      <c r="T3406" s="46">
        <f t="shared" si="328"/>
        <v>0</v>
      </c>
      <c r="U3406" s="46">
        <f t="shared" si="326"/>
        <v>0</v>
      </c>
      <c r="V3406" s="54">
        <f t="shared" si="327"/>
        <v>0</v>
      </c>
    </row>
    <row r="3407" spans="1:22" x14ac:dyDescent="0.2">
      <c r="A3407" s="46" t="s">
        <v>157</v>
      </c>
      <c r="B3407" s="46" t="s">
        <v>122</v>
      </c>
      <c r="C3407" s="46" t="s">
        <v>95</v>
      </c>
      <c r="D3407" s="46" t="s">
        <v>178</v>
      </c>
      <c r="E3407" s="46">
        <v>5</v>
      </c>
      <c r="F3407" s="46" t="s">
        <v>60</v>
      </c>
      <c r="G3407" s="46">
        <v>4</v>
      </c>
      <c r="H3407" s="47">
        <v>44</v>
      </c>
      <c r="I3407" s="47" t="s">
        <v>102</v>
      </c>
      <c r="J3407" s="48">
        <v>0</v>
      </c>
      <c r="K3407" s="48">
        <v>0</v>
      </c>
      <c r="R3407" s="46">
        <f t="shared" si="324"/>
        <v>0</v>
      </c>
      <c r="S3407" s="46">
        <f t="shared" si="325"/>
        <v>0</v>
      </c>
      <c r="T3407" s="46">
        <f t="shared" si="328"/>
        <v>0</v>
      </c>
      <c r="U3407" s="46">
        <f t="shared" si="326"/>
        <v>0</v>
      </c>
      <c r="V3407" s="54">
        <f t="shared" si="327"/>
        <v>0</v>
      </c>
    </row>
    <row r="3408" spans="1:22" x14ac:dyDescent="0.2">
      <c r="A3408" s="46" t="s">
        <v>137</v>
      </c>
      <c r="B3408" s="46" t="s">
        <v>50</v>
      </c>
      <c r="C3408" s="46" t="s">
        <v>93</v>
      </c>
      <c r="D3408" s="46" t="s">
        <v>178</v>
      </c>
      <c r="E3408" s="46">
        <v>3</v>
      </c>
      <c r="F3408" s="46" t="s">
        <v>60</v>
      </c>
      <c r="G3408" s="46">
        <v>1</v>
      </c>
      <c r="H3408" s="47">
        <v>9</v>
      </c>
      <c r="I3408" s="47" t="s">
        <v>101</v>
      </c>
      <c r="J3408" s="48">
        <v>0</v>
      </c>
      <c r="K3408" s="48">
        <v>1</v>
      </c>
      <c r="N3408" s="48">
        <v>1</v>
      </c>
      <c r="R3408" s="46">
        <f t="shared" si="324"/>
        <v>0</v>
      </c>
      <c r="S3408" s="46">
        <f t="shared" si="325"/>
        <v>0</v>
      </c>
      <c r="T3408" s="46">
        <f t="shared" si="328"/>
        <v>0</v>
      </c>
      <c r="U3408" s="46">
        <f t="shared" si="326"/>
        <v>-5</v>
      </c>
      <c r="V3408" s="54">
        <f t="shared" si="327"/>
        <v>33.833333333333336</v>
      </c>
    </row>
    <row r="3409" spans="1:22" x14ac:dyDescent="0.2">
      <c r="A3409" s="46" t="s">
        <v>137</v>
      </c>
      <c r="B3409" s="46" t="s">
        <v>50</v>
      </c>
      <c r="C3409" s="46" t="s">
        <v>93</v>
      </c>
      <c r="D3409" s="46" t="s">
        <v>178</v>
      </c>
      <c r="E3409" s="46">
        <v>1</v>
      </c>
      <c r="F3409" s="46" t="s">
        <v>60</v>
      </c>
      <c r="G3409" s="46">
        <v>4</v>
      </c>
      <c r="H3409" s="47">
        <v>16</v>
      </c>
      <c r="I3409" s="47" t="s">
        <v>102</v>
      </c>
      <c r="J3409" s="48">
        <v>0</v>
      </c>
      <c r="K3409" s="48">
        <v>0</v>
      </c>
      <c r="R3409" s="46">
        <f t="shared" si="324"/>
        <v>0</v>
      </c>
      <c r="S3409" s="46">
        <f t="shared" si="325"/>
        <v>0</v>
      </c>
      <c r="T3409" s="46">
        <f t="shared" si="328"/>
        <v>0</v>
      </c>
      <c r="U3409" s="46">
        <f t="shared" si="326"/>
        <v>0</v>
      </c>
      <c r="V3409" s="54">
        <f t="shared" si="327"/>
        <v>33.833333333333336</v>
      </c>
    </row>
    <row r="3410" spans="1:22" x14ac:dyDescent="0.2">
      <c r="A3410" s="46" t="s">
        <v>137</v>
      </c>
      <c r="B3410" s="46" t="s">
        <v>50</v>
      </c>
      <c r="C3410" s="46" t="s">
        <v>93</v>
      </c>
      <c r="D3410" s="46" t="s">
        <v>178</v>
      </c>
      <c r="E3410" s="46">
        <v>1</v>
      </c>
      <c r="F3410" s="46" t="s">
        <v>60</v>
      </c>
      <c r="G3410" s="46">
        <v>2</v>
      </c>
      <c r="H3410" s="47">
        <v>22</v>
      </c>
      <c r="I3410" s="47" t="s">
        <v>127</v>
      </c>
      <c r="J3410" s="48">
        <v>0</v>
      </c>
      <c r="K3410" s="48">
        <v>1</v>
      </c>
      <c r="R3410" s="46">
        <f t="shared" si="324"/>
        <v>0</v>
      </c>
      <c r="S3410" s="46">
        <f t="shared" si="325"/>
        <v>0</v>
      </c>
      <c r="T3410" s="46">
        <f t="shared" si="328"/>
        <v>0</v>
      </c>
      <c r="U3410" s="46">
        <f t="shared" si="326"/>
        <v>0</v>
      </c>
      <c r="V3410" s="54">
        <f t="shared" si="327"/>
        <v>33.833333333333336</v>
      </c>
    </row>
    <row r="3411" spans="1:22" x14ac:dyDescent="0.2">
      <c r="A3411" s="46" t="s">
        <v>137</v>
      </c>
      <c r="B3411" s="46" t="s">
        <v>50</v>
      </c>
      <c r="C3411" s="46" t="s">
        <v>93</v>
      </c>
      <c r="D3411" s="46" t="s">
        <v>178</v>
      </c>
      <c r="E3411" s="46">
        <v>1</v>
      </c>
      <c r="F3411" s="46" t="s">
        <v>62</v>
      </c>
      <c r="G3411" s="46">
        <v>3</v>
      </c>
      <c r="H3411" s="47" t="s">
        <v>80</v>
      </c>
      <c r="I3411" s="47" t="s">
        <v>116</v>
      </c>
      <c r="J3411" s="48">
        <v>0</v>
      </c>
      <c r="K3411" s="48">
        <v>1</v>
      </c>
      <c r="R3411" s="46">
        <f t="shared" si="324"/>
        <v>0</v>
      </c>
      <c r="S3411" s="46">
        <f t="shared" si="325"/>
        <v>0</v>
      </c>
      <c r="T3411" s="46">
        <f t="shared" si="328"/>
        <v>0</v>
      </c>
      <c r="U3411" s="46">
        <f t="shared" si="326"/>
        <v>0</v>
      </c>
      <c r="V3411" s="54">
        <f t="shared" si="327"/>
        <v>33.833333333333336</v>
      </c>
    </row>
    <row r="3412" spans="1:22" x14ac:dyDescent="0.2">
      <c r="A3412" s="46" t="s">
        <v>137</v>
      </c>
      <c r="B3412" s="46" t="s">
        <v>50</v>
      </c>
      <c r="C3412" s="46" t="s">
        <v>93</v>
      </c>
      <c r="D3412" s="46" t="s">
        <v>178</v>
      </c>
      <c r="E3412" s="46">
        <v>1</v>
      </c>
      <c r="F3412" s="46" t="s">
        <v>62</v>
      </c>
      <c r="G3412" s="46">
        <v>3</v>
      </c>
      <c r="H3412" s="47" t="s">
        <v>85</v>
      </c>
      <c r="I3412" s="47" t="s">
        <v>116</v>
      </c>
      <c r="J3412" s="48">
        <v>0</v>
      </c>
      <c r="K3412" s="48">
        <v>0</v>
      </c>
      <c r="M3412" s="48">
        <v>1</v>
      </c>
      <c r="R3412" s="46">
        <f t="shared" si="324"/>
        <v>0</v>
      </c>
      <c r="S3412" s="46">
        <f t="shared" si="325"/>
        <v>0</v>
      </c>
      <c r="T3412" s="46">
        <f t="shared" si="328"/>
        <v>0</v>
      </c>
      <c r="U3412" s="46">
        <f t="shared" si="326"/>
        <v>20</v>
      </c>
      <c r="V3412" s="54">
        <f t="shared" si="327"/>
        <v>33.833333333333336</v>
      </c>
    </row>
    <row r="3413" spans="1:22" x14ac:dyDescent="0.2">
      <c r="A3413" s="46" t="s">
        <v>137</v>
      </c>
      <c r="B3413" s="46" t="s">
        <v>50</v>
      </c>
      <c r="C3413" s="46" t="s">
        <v>93</v>
      </c>
      <c r="D3413" s="46" t="s">
        <v>178</v>
      </c>
      <c r="E3413" s="46">
        <v>4</v>
      </c>
      <c r="F3413" s="46" t="s">
        <v>60</v>
      </c>
      <c r="G3413" s="46">
        <v>2</v>
      </c>
      <c r="H3413" s="47">
        <v>22</v>
      </c>
      <c r="I3413" s="47" t="s">
        <v>127</v>
      </c>
      <c r="J3413" s="48">
        <v>1</v>
      </c>
      <c r="K3413" s="48">
        <v>2</v>
      </c>
      <c r="R3413" s="46">
        <f t="shared" si="324"/>
        <v>0</v>
      </c>
      <c r="S3413" s="46">
        <f t="shared" si="325"/>
        <v>0</v>
      </c>
      <c r="T3413" s="46">
        <f t="shared" si="328"/>
        <v>10</v>
      </c>
      <c r="U3413" s="46">
        <f t="shared" si="326"/>
        <v>10</v>
      </c>
      <c r="V3413" s="54">
        <f t="shared" si="327"/>
        <v>33.833333333333336</v>
      </c>
    </row>
    <row r="3414" spans="1:22" x14ac:dyDescent="0.2">
      <c r="A3414" s="46" t="s">
        <v>137</v>
      </c>
      <c r="B3414" s="46" t="s">
        <v>50</v>
      </c>
      <c r="C3414" s="46" t="s">
        <v>93</v>
      </c>
      <c r="D3414" s="46" t="s">
        <v>178</v>
      </c>
      <c r="E3414" s="46">
        <v>4</v>
      </c>
      <c r="F3414" s="46" t="s">
        <v>62</v>
      </c>
      <c r="G3414" s="46">
        <v>3</v>
      </c>
      <c r="H3414" s="47" t="s">
        <v>85</v>
      </c>
      <c r="I3414" s="47" t="s">
        <v>219</v>
      </c>
      <c r="J3414" s="48">
        <v>1</v>
      </c>
      <c r="K3414" s="48">
        <v>2</v>
      </c>
      <c r="R3414" s="46">
        <f t="shared" si="324"/>
        <v>0</v>
      </c>
      <c r="S3414" s="46">
        <f t="shared" si="325"/>
        <v>0</v>
      </c>
      <c r="T3414" s="46">
        <f t="shared" si="328"/>
        <v>10</v>
      </c>
      <c r="U3414" s="46">
        <f t="shared" si="326"/>
        <v>10</v>
      </c>
      <c r="V3414" s="54">
        <f t="shared" si="327"/>
        <v>33.833333333333336</v>
      </c>
    </row>
    <row r="3415" spans="1:22" x14ac:dyDescent="0.2">
      <c r="A3415" s="46" t="s">
        <v>137</v>
      </c>
      <c r="B3415" s="46" t="s">
        <v>50</v>
      </c>
      <c r="C3415" s="46" t="s">
        <v>93</v>
      </c>
      <c r="D3415" s="46" t="s">
        <v>178</v>
      </c>
      <c r="E3415" s="46">
        <v>1</v>
      </c>
      <c r="F3415" s="46" t="s">
        <v>60</v>
      </c>
      <c r="G3415" s="46">
        <v>1</v>
      </c>
      <c r="H3415" s="47">
        <v>1</v>
      </c>
      <c r="I3415" s="47" t="s">
        <v>101</v>
      </c>
      <c r="J3415" s="48">
        <v>1</v>
      </c>
      <c r="K3415" s="48">
        <v>0</v>
      </c>
      <c r="R3415" s="46">
        <f t="shared" si="324"/>
        <v>0</v>
      </c>
      <c r="S3415" s="46">
        <f t="shared" si="325"/>
        <v>0</v>
      </c>
      <c r="T3415" s="46">
        <f t="shared" si="328"/>
        <v>20</v>
      </c>
      <c r="U3415" s="46">
        <f t="shared" si="326"/>
        <v>20</v>
      </c>
      <c r="V3415" s="54">
        <f t="shared" si="327"/>
        <v>33.833333333333336</v>
      </c>
    </row>
    <row r="3416" spans="1:22" x14ac:dyDescent="0.2">
      <c r="A3416" s="46" t="s">
        <v>137</v>
      </c>
      <c r="B3416" s="46" t="s">
        <v>50</v>
      </c>
      <c r="C3416" s="46" t="s">
        <v>93</v>
      </c>
      <c r="D3416" s="46" t="s">
        <v>178</v>
      </c>
      <c r="E3416" s="46">
        <v>2</v>
      </c>
      <c r="F3416" s="46" t="s">
        <v>60</v>
      </c>
      <c r="G3416" s="46">
        <v>4</v>
      </c>
      <c r="H3416" s="47">
        <v>16</v>
      </c>
      <c r="I3416" s="47" t="s">
        <v>102</v>
      </c>
      <c r="J3416" s="48">
        <v>1</v>
      </c>
      <c r="K3416" s="48">
        <v>0</v>
      </c>
      <c r="R3416" s="46">
        <f t="shared" si="324"/>
        <v>0</v>
      </c>
      <c r="S3416" s="46">
        <f t="shared" si="325"/>
        <v>0</v>
      </c>
      <c r="T3416" s="46">
        <f t="shared" si="328"/>
        <v>20</v>
      </c>
      <c r="U3416" s="46">
        <f t="shared" si="326"/>
        <v>20</v>
      </c>
      <c r="V3416" s="54">
        <f t="shared" si="327"/>
        <v>33.833333333333336</v>
      </c>
    </row>
    <row r="3417" spans="1:22" x14ac:dyDescent="0.2">
      <c r="A3417" s="46" t="s">
        <v>137</v>
      </c>
      <c r="B3417" s="46" t="s">
        <v>50</v>
      </c>
      <c r="C3417" s="46" t="s">
        <v>93</v>
      </c>
      <c r="D3417" s="46" t="s">
        <v>178</v>
      </c>
      <c r="E3417" s="46">
        <v>2</v>
      </c>
      <c r="F3417" s="46" t="s">
        <v>60</v>
      </c>
      <c r="G3417" s="46">
        <v>2</v>
      </c>
      <c r="H3417" s="47">
        <v>22</v>
      </c>
      <c r="I3417" s="47" t="s">
        <v>127</v>
      </c>
      <c r="J3417" s="48">
        <v>1</v>
      </c>
      <c r="K3417" s="48">
        <v>1</v>
      </c>
      <c r="R3417" s="46">
        <f t="shared" si="324"/>
        <v>0</v>
      </c>
      <c r="S3417" s="46">
        <f t="shared" si="325"/>
        <v>0</v>
      </c>
      <c r="T3417" s="46">
        <f t="shared" si="328"/>
        <v>20</v>
      </c>
      <c r="U3417" s="46">
        <f t="shared" si="326"/>
        <v>20</v>
      </c>
      <c r="V3417" s="54">
        <f t="shared" si="327"/>
        <v>33.833333333333336</v>
      </c>
    </row>
    <row r="3418" spans="1:22" x14ac:dyDescent="0.2">
      <c r="A3418" s="46" t="s">
        <v>137</v>
      </c>
      <c r="B3418" s="46" t="s">
        <v>50</v>
      </c>
      <c r="C3418" s="46" t="s">
        <v>93</v>
      </c>
      <c r="D3418" s="46" t="s">
        <v>178</v>
      </c>
      <c r="E3418" s="46">
        <v>2</v>
      </c>
      <c r="F3418" s="46" t="s">
        <v>60</v>
      </c>
      <c r="G3418" s="46">
        <v>3</v>
      </c>
      <c r="H3418" s="47">
        <v>31</v>
      </c>
      <c r="I3418" s="47" t="s">
        <v>116</v>
      </c>
      <c r="J3418" s="48">
        <v>1</v>
      </c>
      <c r="K3418" s="48">
        <v>1</v>
      </c>
      <c r="R3418" s="46">
        <f t="shared" si="324"/>
        <v>0</v>
      </c>
      <c r="S3418" s="46">
        <f t="shared" si="325"/>
        <v>0</v>
      </c>
      <c r="T3418" s="46">
        <f t="shared" si="328"/>
        <v>20</v>
      </c>
      <c r="U3418" s="46">
        <f t="shared" si="326"/>
        <v>20</v>
      </c>
      <c r="V3418" s="54">
        <f t="shared" si="327"/>
        <v>33.833333333333336</v>
      </c>
    </row>
    <row r="3419" spans="1:22" x14ac:dyDescent="0.2">
      <c r="A3419" s="46" t="s">
        <v>137</v>
      </c>
      <c r="B3419" s="46" t="s">
        <v>50</v>
      </c>
      <c r="C3419" s="46" t="s">
        <v>93</v>
      </c>
      <c r="D3419" s="46" t="s">
        <v>178</v>
      </c>
      <c r="E3419" s="46">
        <v>1</v>
      </c>
      <c r="F3419" s="46" t="s">
        <v>60</v>
      </c>
      <c r="G3419" s="46">
        <v>2</v>
      </c>
      <c r="H3419" s="47">
        <v>34</v>
      </c>
      <c r="I3419" s="47" t="s">
        <v>127</v>
      </c>
      <c r="J3419" s="48">
        <v>1</v>
      </c>
      <c r="K3419" s="48">
        <v>0</v>
      </c>
      <c r="O3419" s="48">
        <v>1</v>
      </c>
      <c r="R3419" s="46">
        <f t="shared" si="324"/>
        <v>0</v>
      </c>
      <c r="S3419" s="46">
        <f t="shared" si="325"/>
        <v>0</v>
      </c>
      <c r="T3419" s="46">
        <f t="shared" si="328"/>
        <v>20</v>
      </c>
      <c r="U3419" s="46">
        <f t="shared" si="326"/>
        <v>30</v>
      </c>
      <c r="V3419" s="54">
        <f t="shared" si="327"/>
        <v>33.833333333333336</v>
      </c>
    </row>
    <row r="3420" spans="1:22" x14ac:dyDescent="0.2">
      <c r="A3420" s="46" t="s">
        <v>137</v>
      </c>
      <c r="B3420" s="46" t="s">
        <v>50</v>
      </c>
      <c r="C3420" s="46" t="s">
        <v>93</v>
      </c>
      <c r="D3420" s="46" t="s">
        <v>178</v>
      </c>
      <c r="E3420" s="46">
        <v>4</v>
      </c>
      <c r="F3420" s="46" t="s">
        <v>60</v>
      </c>
      <c r="G3420" s="46">
        <v>3</v>
      </c>
      <c r="H3420" s="47">
        <v>35</v>
      </c>
      <c r="I3420" s="47" t="s">
        <v>159</v>
      </c>
      <c r="J3420" s="48">
        <v>1</v>
      </c>
      <c r="K3420" s="48">
        <v>0</v>
      </c>
      <c r="R3420" s="46">
        <f t="shared" si="324"/>
        <v>0</v>
      </c>
      <c r="S3420" s="46">
        <f t="shared" si="325"/>
        <v>0</v>
      </c>
      <c r="T3420" s="46">
        <f t="shared" si="328"/>
        <v>20</v>
      </c>
      <c r="U3420" s="46">
        <f t="shared" si="326"/>
        <v>20</v>
      </c>
      <c r="V3420" s="54">
        <f t="shared" si="327"/>
        <v>33.833333333333336</v>
      </c>
    </row>
    <row r="3421" spans="1:22" x14ac:dyDescent="0.2">
      <c r="A3421" s="46" t="s">
        <v>137</v>
      </c>
      <c r="B3421" s="46" t="s">
        <v>50</v>
      </c>
      <c r="C3421" s="46" t="s">
        <v>93</v>
      </c>
      <c r="D3421" s="46" t="s">
        <v>178</v>
      </c>
      <c r="E3421" s="46">
        <v>1</v>
      </c>
      <c r="F3421" s="46" t="s">
        <v>60</v>
      </c>
      <c r="G3421" s="46">
        <v>4</v>
      </c>
      <c r="H3421" s="47">
        <v>44</v>
      </c>
      <c r="I3421" s="47" t="s">
        <v>102</v>
      </c>
      <c r="J3421" s="48">
        <v>1</v>
      </c>
      <c r="K3421" s="48">
        <v>1</v>
      </c>
      <c r="R3421" s="46">
        <f t="shared" si="324"/>
        <v>0</v>
      </c>
      <c r="S3421" s="46">
        <f t="shared" si="325"/>
        <v>0</v>
      </c>
      <c r="T3421" s="46">
        <f t="shared" si="328"/>
        <v>20</v>
      </c>
      <c r="U3421" s="46">
        <f t="shared" si="326"/>
        <v>20</v>
      </c>
      <c r="V3421" s="54">
        <f t="shared" si="327"/>
        <v>33.833333333333336</v>
      </c>
    </row>
    <row r="3422" spans="1:22" x14ac:dyDescent="0.2">
      <c r="A3422" s="46" t="s">
        <v>137</v>
      </c>
      <c r="B3422" s="46" t="s">
        <v>50</v>
      </c>
      <c r="C3422" s="46" t="s">
        <v>93</v>
      </c>
      <c r="D3422" s="46" t="s">
        <v>178</v>
      </c>
      <c r="E3422" s="46">
        <v>4</v>
      </c>
      <c r="F3422" s="46" t="s">
        <v>62</v>
      </c>
      <c r="G3422" s="46">
        <v>2</v>
      </c>
      <c r="H3422" s="47" t="s">
        <v>79</v>
      </c>
      <c r="I3422" s="47" t="s">
        <v>127</v>
      </c>
      <c r="J3422" s="48">
        <v>1</v>
      </c>
      <c r="K3422" s="48">
        <v>1</v>
      </c>
      <c r="O3422" s="48">
        <v>1</v>
      </c>
      <c r="R3422" s="46">
        <f t="shared" si="324"/>
        <v>0</v>
      </c>
      <c r="S3422" s="46">
        <f t="shared" si="325"/>
        <v>0</v>
      </c>
      <c r="T3422" s="46">
        <f t="shared" si="328"/>
        <v>20</v>
      </c>
      <c r="U3422" s="46">
        <f t="shared" si="326"/>
        <v>30</v>
      </c>
      <c r="V3422" s="54">
        <f t="shared" si="327"/>
        <v>33.833333333333336</v>
      </c>
    </row>
    <row r="3423" spans="1:22" x14ac:dyDescent="0.2">
      <c r="A3423" s="46" t="s">
        <v>137</v>
      </c>
      <c r="B3423" s="46" t="s">
        <v>50</v>
      </c>
      <c r="C3423" s="46" t="s">
        <v>93</v>
      </c>
      <c r="D3423" s="46" t="s">
        <v>178</v>
      </c>
      <c r="E3423" s="46">
        <v>3</v>
      </c>
      <c r="F3423" s="46" t="s">
        <v>60</v>
      </c>
      <c r="G3423" s="46">
        <v>3</v>
      </c>
      <c r="H3423" s="47">
        <v>27</v>
      </c>
      <c r="I3423" s="47" t="s">
        <v>116</v>
      </c>
      <c r="J3423" s="48">
        <v>2</v>
      </c>
      <c r="K3423" s="48">
        <v>2</v>
      </c>
      <c r="R3423" s="46">
        <f t="shared" si="324"/>
        <v>0</v>
      </c>
      <c r="S3423" s="46">
        <f t="shared" si="325"/>
        <v>0</v>
      </c>
      <c r="T3423" s="46">
        <f t="shared" si="328"/>
        <v>30</v>
      </c>
      <c r="U3423" s="46">
        <f t="shared" si="326"/>
        <v>30</v>
      </c>
      <c r="V3423" s="54">
        <f t="shared" si="327"/>
        <v>33.833333333333336</v>
      </c>
    </row>
    <row r="3424" spans="1:22" x14ac:dyDescent="0.2">
      <c r="A3424" s="46" t="s">
        <v>137</v>
      </c>
      <c r="B3424" s="46" t="s">
        <v>50</v>
      </c>
      <c r="C3424" s="46" t="s">
        <v>93</v>
      </c>
      <c r="D3424" s="46" t="s">
        <v>178</v>
      </c>
      <c r="E3424" s="46">
        <v>3</v>
      </c>
      <c r="F3424" s="46" t="s">
        <v>60</v>
      </c>
      <c r="G3424" s="46">
        <v>2</v>
      </c>
      <c r="H3424" s="47">
        <v>6</v>
      </c>
      <c r="I3424" s="47" t="s">
        <v>127</v>
      </c>
      <c r="J3424" s="48">
        <v>2</v>
      </c>
      <c r="K3424" s="48">
        <v>1</v>
      </c>
      <c r="R3424" s="46">
        <f t="shared" si="324"/>
        <v>0</v>
      </c>
      <c r="S3424" s="46">
        <f t="shared" si="325"/>
        <v>0</v>
      </c>
      <c r="T3424" s="46">
        <f t="shared" si="328"/>
        <v>40</v>
      </c>
      <c r="U3424" s="46">
        <f t="shared" si="326"/>
        <v>40</v>
      </c>
      <c r="V3424" s="54">
        <f t="shared" si="327"/>
        <v>33.833333333333336</v>
      </c>
    </row>
    <row r="3425" spans="1:22" x14ac:dyDescent="0.2">
      <c r="A3425" s="46" t="s">
        <v>137</v>
      </c>
      <c r="B3425" s="46" t="s">
        <v>50</v>
      </c>
      <c r="C3425" s="46" t="s">
        <v>93</v>
      </c>
      <c r="D3425" s="46" t="s">
        <v>178</v>
      </c>
      <c r="E3425" s="46">
        <v>1</v>
      </c>
      <c r="F3425" s="46" t="s">
        <v>60</v>
      </c>
      <c r="G3425" s="46">
        <v>3</v>
      </c>
      <c r="H3425" s="47">
        <v>11</v>
      </c>
      <c r="I3425" s="47" t="s">
        <v>116</v>
      </c>
      <c r="J3425" s="48">
        <v>2</v>
      </c>
      <c r="K3425" s="48">
        <v>0</v>
      </c>
      <c r="R3425" s="46">
        <f t="shared" si="324"/>
        <v>0</v>
      </c>
      <c r="S3425" s="46">
        <f t="shared" si="325"/>
        <v>0</v>
      </c>
      <c r="T3425" s="46">
        <f t="shared" si="328"/>
        <v>40</v>
      </c>
      <c r="U3425" s="46">
        <f t="shared" si="326"/>
        <v>40</v>
      </c>
      <c r="V3425" s="54">
        <f t="shared" si="327"/>
        <v>33.833333333333336</v>
      </c>
    </row>
    <row r="3426" spans="1:22" x14ac:dyDescent="0.2">
      <c r="A3426" s="46" t="s">
        <v>137</v>
      </c>
      <c r="B3426" s="46" t="s">
        <v>50</v>
      </c>
      <c r="C3426" s="46" t="s">
        <v>93</v>
      </c>
      <c r="D3426" s="46" t="s">
        <v>178</v>
      </c>
      <c r="E3426" s="46">
        <v>3</v>
      </c>
      <c r="F3426" s="46" t="s">
        <v>60</v>
      </c>
      <c r="G3426" s="46">
        <v>4</v>
      </c>
      <c r="H3426" s="47">
        <v>20</v>
      </c>
      <c r="I3426" s="47" t="s">
        <v>102</v>
      </c>
      <c r="J3426" s="48">
        <v>2</v>
      </c>
      <c r="K3426" s="48">
        <v>0</v>
      </c>
      <c r="R3426" s="46">
        <f t="shared" si="324"/>
        <v>0</v>
      </c>
      <c r="S3426" s="46">
        <f t="shared" si="325"/>
        <v>0</v>
      </c>
      <c r="T3426" s="46">
        <f t="shared" si="328"/>
        <v>40</v>
      </c>
      <c r="U3426" s="46">
        <f t="shared" si="326"/>
        <v>40</v>
      </c>
      <c r="V3426" s="54">
        <f t="shared" si="327"/>
        <v>33.833333333333336</v>
      </c>
    </row>
    <row r="3427" spans="1:22" x14ac:dyDescent="0.2">
      <c r="A3427" s="46" t="s">
        <v>137</v>
      </c>
      <c r="B3427" s="46" t="s">
        <v>50</v>
      </c>
      <c r="C3427" s="46" t="s">
        <v>93</v>
      </c>
      <c r="D3427" s="46" t="s">
        <v>178</v>
      </c>
      <c r="E3427" s="46">
        <v>2</v>
      </c>
      <c r="F3427" s="46" t="s">
        <v>60</v>
      </c>
      <c r="G3427" s="46">
        <v>1</v>
      </c>
      <c r="H3427" s="47">
        <v>37</v>
      </c>
      <c r="I3427" s="47" t="s">
        <v>101</v>
      </c>
      <c r="J3427" s="48">
        <v>2</v>
      </c>
      <c r="K3427" s="48">
        <v>0</v>
      </c>
      <c r="R3427" s="46">
        <f t="shared" si="324"/>
        <v>0</v>
      </c>
      <c r="S3427" s="46">
        <f t="shared" si="325"/>
        <v>0</v>
      </c>
      <c r="T3427" s="46">
        <f t="shared" si="328"/>
        <v>40</v>
      </c>
      <c r="U3427" s="46">
        <f t="shared" si="326"/>
        <v>40</v>
      </c>
      <c r="V3427" s="54">
        <f t="shared" si="327"/>
        <v>33.833333333333336</v>
      </c>
    </row>
    <row r="3428" spans="1:22" x14ac:dyDescent="0.2">
      <c r="A3428" s="46" t="s">
        <v>137</v>
      </c>
      <c r="B3428" s="46" t="s">
        <v>50</v>
      </c>
      <c r="C3428" s="46" t="s">
        <v>93</v>
      </c>
      <c r="D3428" s="46" t="s">
        <v>178</v>
      </c>
      <c r="E3428" s="46">
        <v>3</v>
      </c>
      <c r="F3428" s="46" t="s">
        <v>60</v>
      </c>
      <c r="G3428" s="46">
        <v>2</v>
      </c>
      <c r="H3428" s="47">
        <v>42</v>
      </c>
      <c r="I3428" s="47" t="s">
        <v>127</v>
      </c>
      <c r="J3428" s="48">
        <v>2</v>
      </c>
      <c r="K3428" s="48">
        <v>0</v>
      </c>
      <c r="R3428" s="46">
        <f t="shared" si="324"/>
        <v>0</v>
      </c>
      <c r="S3428" s="46">
        <f t="shared" si="325"/>
        <v>0</v>
      </c>
      <c r="T3428" s="46">
        <f t="shared" si="328"/>
        <v>40</v>
      </c>
      <c r="U3428" s="46">
        <f t="shared" si="326"/>
        <v>40</v>
      </c>
      <c r="V3428" s="54">
        <f t="shared" si="327"/>
        <v>33.833333333333336</v>
      </c>
    </row>
    <row r="3429" spans="1:22" x14ac:dyDescent="0.2">
      <c r="A3429" s="46" t="s">
        <v>137</v>
      </c>
      <c r="B3429" s="46" t="s">
        <v>50</v>
      </c>
      <c r="C3429" s="46" t="s">
        <v>93</v>
      </c>
      <c r="D3429" s="46" t="s">
        <v>178</v>
      </c>
      <c r="E3429" s="46">
        <v>2</v>
      </c>
      <c r="F3429" s="46" t="s">
        <v>60</v>
      </c>
      <c r="G3429" s="46">
        <v>3</v>
      </c>
      <c r="H3429" s="47">
        <v>47</v>
      </c>
      <c r="I3429" s="47" t="s">
        <v>116</v>
      </c>
      <c r="J3429" s="48">
        <v>2</v>
      </c>
      <c r="K3429" s="48">
        <v>0</v>
      </c>
      <c r="R3429" s="46">
        <f t="shared" si="324"/>
        <v>0</v>
      </c>
      <c r="S3429" s="46">
        <f t="shared" si="325"/>
        <v>0</v>
      </c>
      <c r="T3429" s="46">
        <f t="shared" si="328"/>
        <v>40</v>
      </c>
      <c r="U3429" s="46">
        <f t="shared" si="326"/>
        <v>40</v>
      </c>
      <c r="V3429" s="54">
        <f t="shared" si="327"/>
        <v>33.833333333333336</v>
      </c>
    </row>
    <row r="3430" spans="1:22" x14ac:dyDescent="0.2">
      <c r="A3430" s="46" t="s">
        <v>137</v>
      </c>
      <c r="B3430" s="46" t="s">
        <v>50</v>
      </c>
      <c r="C3430" s="46" t="s">
        <v>93</v>
      </c>
      <c r="D3430" s="46" t="s">
        <v>178</v>
      </c>
      <c r="E3430" s="46">
        <v>3</v>
      </c>
      <c r="F3430" s="46" t="s">
        <v>62</v>
      </c>
      <c r="G3430" s="46">
        <v>2</v>
      </c>
      <c r="H3430" s="47" t="s">
        <v>79</v>
      </c>
      <c r="I3430" s="47" t="s">
        <v>127</v>
      </c>
      <c r="J3430" s="48">
        <v>2</v>
      </c>
      <c r="K3430" s="48">
        <v>0</v>
      </c>
      <c r="R3430" s="46">
        <f t="shared" si="324"/>
        <v>0</v>
      </c>
      <c r="S3430" s="46">
        <f t="shared" si="325"/>
        <v>0</v>
      </c>
      <c r="T3430" s="46">
        <f t="shared" si="328"/>
        <v>40</v>
      </c>
      <c r="U3430" s="46">
        <f t="shared" si="326"/>
        <v>40</v>
      </c>
      <c r="V3430" s="54">
        <f t="shared" si="327"/>
        <v>33.833333333333336</v>
      </c>
    </row>
    <row r="3431" spans="1:22" x14ac:dyDescent="0.2">
      <c r="A3431" s="46" t="s">
        <v>137</v>
      </c>
      <c r="B3431" s="46" t="s">
        <v>50</v>
      </c>
      <c r="C3431" s="46" t="s">
        <v>93</v>
      </c>
      <c r="D3431" s="46" t="s">
        <v>178</v>
      </c>
      <c r="E3431" s="46">
        <v>3</v>
      </c>
      <c r="F3431" s="46" t="s">
        <v>62</v>
      </c>
      <c r="G3431" s="46">
        <v>3</v>
      </c>
      <c r="H3431" s="47" t="s">
        <v>85</v>
      </c>
      <c r="I3431" s="47" t="s">
        <v>116</v>
      </c>
      <c r="J3431" s="48">
        <v>2</v>
      </c>
      <c r="K3431" s="48">
        <v>1</v>
      </c>
      <c r="R3431" s="46">
        <f t="shared" si="324"/>
        <v>0</v>
      </c>
      <c r="S3431" s="46">
        <f t="shared" si="325"/>
        <v>0</v>
      </c>
      <c r="T3431" s="46">
        <f t="shared" si="328"/>
        <v>40</v>
      </c>
      <c r="U3431" s="46">
        <f t="shared" si="326"/>
        <v>40</v>
      </c>
      <c r="V3431" s="54">
        <f t="shared" si="327"/>
        <v>33.833333333333336</v>
      </c>
    </row>
    <row r="3432" spans="1:22" x14ac:dyDescent="0.2">
      <c r="A3432" s="46" t="s">
        <v>137</v>
      </c>
      <c r="B3432" s="46" t="s">
        <v>50</v>
      </c>
      <c r="C3432" s="46" t="s">
        <v>93</v>
      </c>
      <c r="D3432" s="46" t="s">
        <v>178</v>
      </c>
      <c r="E3432" s="46">
        <v>2</v>
      </c>
      <c r="F3432" s="46" t="s">
        <v>63</v>
      </c>
      <c r="G3432" s="46">
        <v>4</v>
      </c>
      <c r="H3432" s="47" t="s">
        <v>149</v>
      </c>
      <c r="I3432" s="47" t="s">
        <v>102</v>
      </c>
      <c r="J3432" s="48">
        <v>2</v>
      </c>
      <c r="K3432" s="48">
        <v>1</v>
      </c>
      <c r="M3432" s="48">
        <v>1</v>
      </c>
      <c r="R3432" s="46">
        <f t="shared" si="324"/>
        <v>0</v>
      </c>
      <c r="S3432" s="46">
        <f t="shared" si="325"/>
        <v>0</v>
      </c>
      <c r="T3432" s="46">
        <f t="shared" si="328"/>
        <v>40</v>
      </c>
      <c r="U3432" s="46">
        <f t="shared" si="326"/>
        <v>60</v>
      </c>
      <c r="V3432" s="54">
        <f t="shared" si="327"/>
        <v>33.833333333333336</v>
      </c>
    </row>
    <row r="3433" spans="1:22" x14ac:dyDescent="0.2">
      <c r="A3433" s="46" t="s">
        <v>137</v>
      </c>
      <c r="B3433" s="46" t="s">
        <v>50</v>
      </c>
      <c r="C3433" s="46" t="s">
        <v>93</v>
      </c>
      <c r="D3433" s="46" t="s">
        <v>178</v>
      </c>
      <c r="E3433" s="46">
        <v>2</v>
      </c>
      <c r="F3433" s="46" t="s">
        <v>63</v>
      </c>
      <c r="G3433" s="46">
        <v>4</v>
      </c>
      <c r="H3433" s="47" t="s">
        <v>152</v>
      </c>
      <c r="I3433" s="47" t="s">
        <v>102</v>
      </c>
      <c r="J3433" s="48">
        <v>2</v>
      </c>
      <c r="K3433" s="48">
        <v>0</v>
      </c>
      <c r="M3433" s="48">
        <v>1</v>
      </c>
      <c r="R3433" s="46">
        <f t="shared" si="324"/>
        <v>0</v>
      </c>
      <c r="S3433" s="46">
        <f t="shared" si="325"/>
        <v>0</v>
      </c>
      <c r="T3433" s="46">
        <f t="shared" si="328"/>
        <v>40</v>
      </c>
      <c r="U3433" s="46">
        <f t="shared" si="326"/>
        <v>60</v>
      </c>
      <c r="V3433" s="54">
        <f t="shared" si="327"/>
        <v>33.833333333333336</v>
      </c>
    </row>
    <row r="3434" spans="1:22" x14ac:dyDescent="0.2">
      <c r="A3434" s="46" t="s">
        <v>137</v>
      </c>
      <c r="B3434" s="46" t="s">
        <v>50</v>
      </c>
      <c r="C3434" s="46" t="s">
        <v>93</v>
      </c>
      <c r="D3434" s="46" t="s">
        <v>178</v>
      </c>
      <c r="E3434" s="46">
        <v>2</v>
      </c>
      <c r="F3434" s="46" t="s">
        <v>63</v>
      </c>
      <c r="G3434" s="46">
        <v>4</v>
      </c>
      <c r="H3434" s="47" t="s">
        <v>172</v>
      </c>
      <c r="I3434" s="47" t="s">
        <v>102</v>
      </c>
      <c r="J3434" s="48">
        <v>2</v>
      </c>
      <c r="K3434" s="48">
        <v>1</v>
      </c>
      <c r="R3434" s="46">
        <f t="shared" si="324"/>
        <v>0</v>
      </c>
      <c r="S3434" s="46">
        <f t="shared" si="325"/>
        <v>0</v>
      </c>
      <c r="T3434" s="46">
        <f t="shared" si="328"/>
        <v>40</v>
      </c>
      <c r="U3434" s="46">
        <f t="shared" si="326"/>
        <v>40</v>
      </c>
      <c r="V3434" s="54">
        <f t="shared" si="327"/>
        <v>33.833333333333336</v>
      </c>
    </row>
    <row r="3435" spans="1:22" x14ac:dyDescent="0.2">
      <c r="A3435" s="46" t="s">
        <v>137</v>
      </c>
      <c r="B3435" s="46" t="s">
        <v>50</v>
      </c>
      <c r="C3435" s="46" t="s">
        <v>93</v>
      </c>
      <c r="D3435" s="46" t="s">
        <v>178</v>
      </c>
      <c r="E3435" s="46">
        <v>4</v>
      </c>
      <c r="F3435" s="46" t="s">
        <v>60</v>
      </c>
      <c r="G3435" s="46">
        <v>2</v>
      </c>
      <c r="H3435" s="47">
        <v>2</v>
      </c>
      <c r="I3435" s="47" t="s">
        <v>127</v>
      </c>
      <c r="J3435" s="48">
        <v>3</v>
      </c>
      <c r="K3435" s="48">
        <v>0</v>
      </c>
      <c r="R3435" s="46">
        <f t="shared" si="324"/>
        <v>0</v>
      </c>
      <c r="S3435" s="46">
        <f t="shared" si="325"/>
        <v>0</v>
      </c>
      <c r="T3435" s="46">
        <f t="shared" si="328"/>
        <v>60</v>
      </c>
      <c r="U3435" s="46">
        <f t="shared" si="326"/>
        <v>60</v>
      </c>
      <c r="V3435" s="54">
        <f t="shared" si="327"/>
        <v>33.833333333333336</v>
      </c>
    </row>
    <row r="3436" spans="1:22" x14ac:dyDescent="0.2">
      <c r="A3436" s="46" t="s">
        <v>137</v>
      </c>
      <c r="B3436" s="46" t="s">
        <v>50</v>
      </c>
      <c r="C3436" s="46" t="s">
        <v>93</v>
      </c>
      <c r="D3436" s="46" t="s">
        <v>178</v>
      </c>
      <c r="E3436" s="46">
        <v>2</v>
      </c>
      <c r="F3436" s="46" t="s">
        <v>60</v>
      </c>
      <c r="G3436" s="46">
        <v>4</v>
      </c>
      <c r="H3436" s="47">
        <v>4</v>
      </c>
      <c r="I3436" s="47" t="s">
        <v>102</v>
      </c>
      <c r="J3436" s="48">
        <v>3</v>
      </c>
      <c r="K3436" s="48">
        <v>1</v>
      </c>
      <c r="R3436" s="46">
        <f t="shared" si="324"/>
        <v>0</v>
      </c>
      <c r="S3436" s="46">
        <f t="shared" si="325"/>
        <v>0</v>
      </c>
      <c r="T3436" s="46">
        <f t="shared" si="328"/>
        <v>60</v>
      </c>
      <c r="U3436" s="46">
        <f t="shared" si="326"/>
        <v>60</v>
      </c>
      <c r="V3436" s="54">
        <f t="shared" si="327"/>
        <v>33.833333333333336</v>
      </c>
    </row>
    <row r="3437" spans="1:22" x14ac:dyDescent="0.2">
      <c r="A3437" s="46" t="s">
        <v>137</v>
      </c>
      <c r="B3437" s="46" t="s">
        <v>50</v>
      </c>
      <c r="C3437" s="46" t="s">
        <v>93</v>
      </c>
      <c r="D3437" s="46" t="s">
        <v>178</v>
      </c>
      <c r="E3437" s="46">
        <v>4</v>
      </c>
      <c r="F3437" s="46" t="s">
        <v>60</v>
      </c>
      <c r="G3437" s="46">
        <v>3</v>
      </c>
      <c r="H3437" s="47">
        <v>15</v>
      </c>
      <c r="I3437" s="47" t="s">
        <v>159</v>
      </c>
      <c r="J3437" s="48">
        <v>3</v>
      </c>
      <c r="K3437" s="48">
        <v>1</v>
      </c>
      <c r="R3437" s="46">
        <f t="shared" si="324"/>
        <v>0</v>
      </c>
      <c r="S3437" s="46">
        <f t="shared" si="325"/>
        <v>0</v>
      </c>
      <c r="T3437" s="46">
        <f t="shared" si="328"/>
        <v>60</v>
      </c>
      <c r="U3437" s="46">
        <f t="shared" si="326"/>
        <v>60</v>
      </c>
      <c r="V3437" s="54">
        <f t="shared" si="327"/>
        <v>33.833333333333336</v>
      </c>
    </row>
    <row r="3438" spans="1:22" x14ac:dyDescent="0.2">
      <c r="A3438" s="46" t="s">
        <v>137</v>
      </c>
      <c r="B3438" s="46" t="s">
        <v>50</v>
      </c>
      <c r="C3438" s="46" t="s">
        <v>93</v>
      </c>
      <c r="D3438" s="46" t="s">
        <v>178</v>
      </c>
      <c r="E3438" s="46">
        <v>3</v>
      </c>
      <c r="F3438" s="46" t="s">
        <v>60</v>
      </c>
      <c r="G3438" s="46">
        <v>3</v>
      </c>
      <c r="H3438" s="47">
        <v>35</v>
      </c>
      <c r="I3438" s="47" t="s">
        <v>116</v>
      </c>
      <c r="J3438" s="48">
        <v>3</v>
      </c>
      <c r="K3438" s="48">
        <v>0</v>
      </c>
      <c r="N3438" s="48">
        <v>1</v>
      </c>
      <c r="R3438" s="46">
        <f t="shared" si="324"/>
        <v>0</v>
      </c>
      <c r="S3438" s="46">
        <f t="shared" si="325"/>
        <v>0</v>
      </c>
      <c r="T3438" s="46">
        <f t="shared" si="328"/>
        <v>60</v>
      </c>
      <c r="U3438" s="46">
        <f t="shared" si="326"/>
        <v>55</v>
      </c>
      <c r="V3438" s="54">
        <f t="shared" si="327"/>
        <v>33.833333333333336</v>
      </c>
    </row>
    <row r="3439" spans="1:22" x14ac:dyDescent="0.2">
      <c r="A3439" s="46" t="s">
        <v>137</v>
      </c>
      <c r="B3439" s="46" t="s">
        <v>50</v>
      </c>
      <c r="C3439" s="46" t="s">
        <v>93</v>
      </c>
      <c r="D3439" s="46" t="s">
        <v>178</v>
      </c>
      <c r="E3439" s="46">
        <v>4</v>
      </c>
      <c r="F3439" s="46" t="s">
        <v>60</v>
      </c>
      <c r="G3439" s="46">
        <v>4</v>
      </c>
      <c r="H3439" s="47">
        <v>44</v>
      </c>
      <c r="I3439" s="47" t="s">
        <v>102</v>
      </c>
      <c r="J3439" s="48">
        <v>3</v>
      </c>
      <c r="K3439" s="48">
        <v>1</v>
      </c>
      <c r="R3439" s="46">
        <f t="shared" si="324"/>
        <v>0</v>
      </c>
      <c r="S3439" s="46">
        <f t="shared" si="325"/>
        <v>0</v>
      </c>
      <c r="T3439" s="46">
        <f t="shared" si="328"/>
        <v>60</v>
      </c>
      <c r="U3439" s="46">
        <f t="shared" si="326"/>
        <v>60</v>
      </c>
      <c r="V3439" s="54">
        <f t="shared" si="327"/>
        <v>33.833333333333336</v>
      </c>
    </row>
    <row r="3440" spans="1:22" x14ac:dyDescent="0.2">
      <c r="A3440" s="46" t="s">
        <v>137</v>
      </c>
      <c r="B3440" s="46" t="s">
        <v>50</v>
      </c>
      <c r="C3440" s="46" t="s">
        <v>93</v>
      </c>
      <c r="D3440" s="46" t="s">
        <v>178</v>
      </c>
      <c r="E3440" s="46">
        <v>2</v>
      </c>
      <c r="F3440" s="46" t="s">
        <v>63</v>
      </c>
      <c r="G3440" s="46">
        <v>4</v>
      </c>
      <c r="H3440" s="47" t="s">
        <v>146</v>
      </c>
      <c r="I3440" s="47" t="s">
        <v>102</v>
      </c>
      <c r="J3440" s="48">
        <v>3</v>
      </c>
      <c r="K3440" s="48">
        <v>0</v>
      </c>
      <c r="R3440" s="46">
        <f t="shared" si="324"/>
        <v>0</v>
      </c>
      <c r="S3440" s="46">
        <f t="shared" si="325"/>
        <v>0</v>
      </c>
      <c r="T3440" s="46">
        <f t="shared" si="328"/>
        <v>60</v>
      </c>
      <c r="U3440" s="46">
        <f t="shared" si="326"/>
        <v>60</v>
      </c>
      <c r="V3440" s="54">
        <f t="shared" si="327"/>
        <v>33.833333333333336</v>
      </c>
    </row>
    <row r="3441" spans="1:22" x14ac:dyDescent="0.2">
      <c r="A3441" s="46" t="s">
        <v>137</v>
      </c>
      <c r="B3441" s="46" t="s">
        <v>50</v>
      </c>
      <c r="C3441" s="46" t="s">
        <v>93</v>
      </c>
      <c r="D3441" s="46" t="s">
        <v>178</v>
      </c>
      <c r="E3441" s="46">
        <v>4</v>
      </c>
      <c r="F3441" s="46" t="s">
        <v>60</v>
      </c>
      <c r="G3441" s="46">
        <v>1</v>
      </c>
      <c r="H3441" s="47">
        <v>9</v>
      </c>
      <c r="I3441" s="47" t="s">
        <v>101</v>
      </c>
      <c r="J3441" s="48">
        <v>4</v>
      </c>
      <c r="K3441" s="48">
        <v>0</v>
      </c>
      <c r="R3441" s="46">
        <f t="shared" si="324"/>
        <v>1</v>
      </c>
      <c r="S3441" s="46">
        <f t="shared" si="325"/>
        <v>0</v>
      </c>
      <c r="T3441" s="46">
        <f t="shared" si="328"/>
        <v>90</v>
      </c>
      <c r="U3441" s="46">
        <f t="shared" si="326"/>
        <v>90</v>
      </c>
      <c r="V3441" s="54">
        <f t="shared" si="327"/>
        <v>33.833333333333336</v>
      </c>
    </row>
    <row r="3442" spans="1:22" x14ac:dyDescent="0.2">
      <c r="A3442" s="46" t="s">
        <v>137</v>
      </c>
      <c r="B3442" s="46" t="s">
        <v>50</v>
      </c>
      <c r="C3442" s="46" t="s">
        <v>93</v>
      </c>
      <c r="D3442" s="46" t="s">
        <v>178</v>
      </c>
      <c r="E3442" s="46">
        <v>5</v>
      </c>
      <c r="F3442" s="46" t="s">
        <v>60</v>
      </c>
      <c r="G3442" s="46">
        <v>4</v>
      </c>
      <c r="H3442" s="47">
        <v>12</v>
      </c>
      <c r="I3442" s="47" t="s">
        <v>102</v>
      </c>
      <c r="J3442" s="48">
        <v>0</v>
      </c>
      <c r="K3442" s="48">
        <v>1</v>
      </c>
      <c r="R3442" s="46">
        <f t="shared" si="324"/>
        <v>0</v>
      </c>
      <c r="S3442" s="46">
        <f t="shared" si="325"/>
        <v>0</v>
      </c>
      <c r="T3442" s="46">
        <f t="shared" si="328"/>
        <v>0</v>
      </c>
      <c r="U3442" s="46">
        <f t="shared" si="326"/>
        <v>0</v>
      </c>
      <c r="V3442" s="54">
        <f t="shared" si="327"/>
        <v>33.833333333333336</v>
      </c>
    </row>
    <row r="3443" spans="1:22" x14ac:dyDescent="0.2">
      <c r="A3443" s="46" t="s">
        <v>137</v>
      </c>
      <c r="B3443" s="46" t="s">
        <v>50</v>
      </c>
      <c r="C3443" s="46" t="s">
        <v>93</v>
      </c>
      <c r="D3443" s="46" t="s">
        <v>178</v>
      </c>
      <c r="E3443" s="46">
        <v>5</v>
      </c>
      <c r="F3443" s="46" t="s">
        <v>60</v>
      </c>
      <c r="G3443" s="46">
        <v>2</v>
      </c>
      <c r="H3443" s="47">
        <v>18</v>
      </c>
      <c r="I3443" s="47" t="s">
        <v>127</v>
      </c>
      <c r="J3443" s="48">
        <v>1</v>
      </c>
      <c r="K3443" s="48">
        <v>0</v>
      </c>
      <c r="R3443" s="46">
        <f t="shared" si="324"/>
        <v>0</v>
      </c>
      <c r="S3443" s="46">
        <f t="shared" si="325"/>
        <v>0</v>
      </c>
      <c r="T3443" s="46">
        <f t="shared" si="328"/>
        <v>20</v>
      </c>
      <c r="U3443" s="46">
        <f t="shared" si="326"/>
        <v>20</v>
      </c>
      <c r="V3443" s="54">
        <f t="shared" si="327"/>
        <v>33.833333333333336</v>
      </c>
    </row>
    <row r="3444" spans="1:22" x14ac:dyDescent="0.2">
      <c r="A3444" s="46" t="s">
        <v>137</v>
      </c>
      <c r="B3444" s="46" t="s">
        <v>50</v>
      </c>
      <c r="C3444" s="46" t="s">
        <v>93</v>
      </c>
      <c r="D3444" s="46" t="s">
        <v>178</v>
      </c>
      <c r="E3444" s="46">
        <v>5</v>
      </c>
      <c r="F3444" s="46" t="s">
        <v>60</v>
      </c>
      <c r="G3444" s="46">
        <v>1</v>
      </c>
      <c r="H3444" s="47">
        <v>25</v>
      </c>
      <c r="I3444" s="47" t="s">
        <v>101</v>
      </c>
      <c r="J3444" s="48">
        <v>2</v>
      </c>
      <c r="K3444" s="48">
        <v>1</v>
      </c>
      <c r="R3444" s="46">
        <f t="shared" si="324"/>
        <v>0</v>
      </c>
      <c r="S3444" s="46">
        <f t="shared" si="325"/>
        <v>0</v>
      </c>
      <c r="T3444" s="46">
        <f t="shared" si="328"/>
        <v>40</v>
      </c>
      <c r="U3444" s="46">
        <f t="shared" si="326"/>
        <v>40</v>
      </c>
      <c r="V3444" s="54">
        <f t="shared" si="327"/>
        <v>33.833333333333336</v>
      </c>
    </row>
    <row r="3445" spans="1:22" x14ac:dyDescent="0.2">
      <c r="A3445" s="46" t="s">
        <v>137</v>
      </c>
      <c r="B3445" s="46" t="s">
        <v>50</v>
      </c>
      <c r="C3445" s="46" t="s">
        <v>93</v>
      </c>
      <c r="D3445" s="46" t="s">
        <v>178</v>
      </c>
      <c r="E3445" s="46">
        <v>5</v>
      </c>
      <c r="F3445" s="46" t="s">
        <v>60</v>
      </c>
      <c r="G3445" s="46">
        <v>1</v>
      </c>
      <c r="H3445" s="47">
        <v>33</v>
      </c>
      <c r="I3445" s="47" t="s">
        <v>101</v>
      </c>
      <c r="J3445" s="48">
        <v>2</v>
      </c>
      <c r="K3445" s="48">
        <v>2</v>
      </c>
      <c r="M3445" s="48">
        <v>1</v>
      </c>
      <c r="R3445" s="46">
        <f t="shared" si="324"/>
        <v>0</v>
      </c>
      <c r="S3445" s="46">
        <f t="shared" si="325"/>
        <v>0</v>
      </c>
      <c r="T3445" s="46">
        <f t="shared" si="328"/>
        <v>30</v>
      </c>
      <c r="U3445" s="46">
        <f t="shared" si="326"/>
        <v>50</v>
      </c>
      <c r="V3445" s="54">
        <f t="shared" si="327"/>
        <v>33.833333333333336</v>
      </c>
    </row>
    <row r="3446" spans="1:22" x14ac:dyDescent="0.2">
      <c r="A3446" s="46" t="s">
        <v>137</v>
      </c>
      <c r="B3446" s="46" t="s">
        <v>50</v>
      </c>
      <c r="C3446" s="46" t="s">
        <v>93</v>
      </c>
      <c r="D3446" s="46" t="s">
        <v>178</v>
      </c>
      <c r="E3446" s="46">
        <v>5</v>
      </c>
      <c r="F3446" s="46" t="s">
        <v>60</v>
      </c>
      <c r="G3446" s="46">
        <v>3</v>
      </c>
      <c r="H3446" s="47">
        <v>39</v>
      </c>
      <c r="I3446" s="47" t="s">
        <v>159</v>
      </c>
      <c r="J3446" s="48">
        <v>4</v>
      </c>
      <c r="K3446" s="48">
        <v>0</v>
      </c>
      <c r="R3446" s="46">
        <f t="shared" si="324"/>
        <v>1</v>
      </c>
      <c r="S3446" s="46">
        <f t="shared" si="325"/>
        <v>0</v>
      </c>
      <c r="T3446" s="46">
        <f t="shared" si="328"/>
        <v>90</v>
      </c>
      <c r="U3446" s="46">
        <f t="shared" si="326"/>
        <v>90</v>
      </c>
      <c r="V3446" s="54">
        <f t="shared" si="327"/>
        <v>33.833333333333336</v>
      </c>
    </row>
    <row r="3447" spans="1:22" x14ac:dyDescent="0.2">
      <c r="A3447" s="46" t="s">
        <v>137</v>
      </c>
      <c r="B3447" s="46" t="s">
        <v>50</v>
      </c>
      <c r="C3447" s="46" t="s">
        <v>93</v>
      </c>
      <c r="D3447" s="46" t="s">
        <v>178</v>
      </c>
      <c r="E3447" s="46">
        <v>5</v>
      </c>
      <c r="F3447" s="46" t="s">
        <v>60</v>
      </c>
      <c r="G3447" s="46">
        <v>3</v>
      </c>
      <c r="H3447" s="47">
        <v>47</v>
      </c>
      <c r="I3447" s="47" t="s">
        <v>159</v>
      </c>
      <c r="J3447" s="48">
        <v>1</v>
      </c>
      <c r="K3447" s="48">
        <v>2</v>
      </c>
      <c r="N3447" s="48">
        <v>1</v>
      </c>
      <c r="R3447" s="46">
        <f t="shared" si="324"/>
        <v>0</v>
      </c>
      <c r="S3447" s="46">
        <f t="shared" si="325"/>
        <v>0</v>
      </c>
      <c r="T3447" s="46">
        <f t="shared" si="328"/>
        <v>10</v>
      </c>
      <c r="U3447" s="46">
        <f t="shared" si="326"/>
        <v>5</v>
      </c>
      <c r="V3447" s="54">
        <f t="shared" si="327"/>
        <v>33.833333333333336</v>
      </c>
    </row>
    <row r="3448" spans="1:22" x14ac:dyDescent="0.2">
      <c r="A3448" s="46" t="s">
        <v>137</v>
      </c>
      <c r="B3448" s="46" t="s">
        <v>50</v>
      </c>
      <c r="C3448" s="46" t="s">
        <v>93</v>
      </c>
      <c r="D3448" s="46" t="s">
        <v>178</v>
      </c>
      <c r="E3448" s="46">
        <v>5</v>
      </c>
      <c r="F3448" s="46" t="s">
        <v>62</v>
      </c>
      <c r="G3448" s="46">
        <v>3</v>
      </c>
      <c r="H3448" s="47" t="s">
        <v>80</v>
      </c>
      <c r="I3448" s="47" t="s">
        <v>219</v>
      </c>
      <c r="J3448" s="48">
        <v>1</v>
      </c>
      <c r="K3448" s="48">
        <v>0</v>
      </c>
      <c r="R3448" s="46">
        <f t="shared" si="324"/>
        <v>0</v>
      </c>
      <c r="S3448" s="46">
        <f t="shared" si="325"/>
        <v>0</v>
      </c>
      <c r="T3448" s="46">
        <f t="shared" si="328"/>
        <v>20</v>
      </c>
      <c r="U3448" s="46">
        <f t="shared" si="326"/>
        <v>20</v>
      </c>
      <c r="V3448" s="54">
        <f t="shared" si="327"/>
        <v>33.833333333333336</v>
      </c>
    </row>
    <row r="3449" spans="1:22" x14ac:dyDescent="0.2">
      <c r="A3449" s="46" t="s">
        <v>137</v>
      </c>
      <c r="B3449" s="46" t="s">
        <v>50</v>
      </c>
      <c r="C3449" s="46" t="s">
        <v>93</v>
      </c>
      <c r="D3449" s="46" t="s">
        <v>178</v>
      </c>
      <c r="E3449" s="46">
        <v>5</v>
      </c>
      <c r="F3449" s="46" t="s">
        <v>62</v>
      </c>
      <c r="G3449" s="46">
        <v>3</v>
      </c>
      <c r="H3449" s="47" t="s">
        <v>85</v>
      </c>
      <c r="I3449" s="47" t="s">
        <v>219</v>
      </c>
      <c r="J3449" s="48">
        <v>2</v>
      </c>
      <c r="K3449" s="48">
        <v>0</v>
      </c>
      <c r="R3449" s="46">
        <f t="shared" si="324"/>
        <v>0</v>
      </c>
      <c r="S3449" s="46">
        <f t="shared" si="325"/>
        <v>0</v>
      </c>
      <c r="T3449" s="46">
        <f t="shared" si="328"/>
        <v>40</v>
      </c>
      <c r="U3449" s="46">
        <f t="shared" si="326"/>
        <v>40</v>
      </c>
      <c r="V3449" s="54">
        <f t="shared" si="327"/>
        <v>33.833333333333336</v>
      </c>
    </row>
    <row r="3450" spans="1:22" x14ac:dyDescent="0.2">
      <c r="A3450" s="46" t="s">
        <v>19</v>
      </c>
      <c r="B3450" s="46" t="s">
        <v>206</v>
      </c>
      <c r="C3450" s="46" t="s">
        <v>91</v>
      </c>
      <c r="D3450" s="46" t="s">
        <v>178</v>
      </c>
      <c r="E3450" s="46">
        <v>2</v>
      </c>
      <c r="F3450" s="46" t="s">
        <v>62</v>
      </c>
      <c r="G3450" s="46">
        <v>2</v>
      </c>
      <c r="H3450" s="47" t="s">
        <v>82</v>
      </c>
      <c r="I3450" s="47" t="s">
        <v>127</v>
      </c>
      <c r="J3450" s="48">
        <v>0</v>
      </c>
      <c r="K3450" s="48">
        <v>3</v>
      </c>
      <c r="R3450" s="46">
        <f t="shared" si="324"/>
        <v>0</v>
      </c>
      <c r="S3450" s="46">
        <f t="shared" si="325"/>
        <v>1</v>
      </c>
      <c r="T3450" s="46">
        <f t="shared" si="328"/>
        <v>-20</v>
      </c>
      <c r="U3450" s="46">
        <f t="shared" si="326"/>
        <v>-20</v>
      </c>
      <c r="V3450" s="54">
        <f t="shared" si="327"/>
        <v>55.333333333333336</v>
      </c>
    </row>
    <row r="3451" spans="1:22" x14ac:dyDescent="0.2">
      <c r="A3451" s="46" t="s">
        <v>19</v>
      </c>
      <c r="B3451" s="46" t="s">
        <v>206</v>
      </c>
      <c r="C3451" s="46" t="s">
        <v>91</v>
      </c>
      <c r="D3451" s="46" t="s">
        <v>178</v>
      </c>
      <c r="E3451" s="46">
        <v>1</v>
      </c>
      <c r="F3451" s="46" t="s">
        <v>61</v>
      </c>
      <c r="G3451" s="46">
        <v>2</v>
      </c>
      <c r="H3451" s="47" t="s">
        <v>66</v>
      </c>
      <c r="I3451" s="47" t="s">
        <v>127</v>
      </c>
      <c r="J3451" s="48">
        <v>0</v>
      </c>
      <c r="K3451" s="48">
        <v>3</v>
      </c>
      <c r="M3451" s="48">
        <v>1</v>
      </c>
      <c r="R3451" s="46">
        <f t="shared" si="324"/>
        <v>0</v>
      </c>
      <c r="S3451" s="46">
        <f t="shared" si="325"/>
        <v>1</v>
      </c>
      <c r="T3451" s="46">
        <f t="shared" si="328"/>
        <v>-20</v>
      </c>
      <c r="U3451" s="46">
        <f t="shared" si="326"/>
        <v>0</v>
      </c>
      <c r="V3451" s="54">
        <f t="shared" si="327"/>
        <v>55.333333333333336</v>
      </c>
    </row>
    <row r="3452" spans="1:22" x14ac:dyDescent="0.2">
      <c r="A3452" s="46" t="s">
        <v>19</v>
      </c>
      <c r="B3452" s="46" t="s">
        <v>206</v>
      </c>
      <c r="C3452" s="46" t="s">
        <v>91</v>
      </c>
      <c r="D3452" s="46" t="s">
        <v>178</v>
      </c>
      <c r="E3452" s="46">
        <v>3</v>
      </c>
      <c r="F3452" s="46" t="s">
        <v>60</v>
      </c>
      <c r="G3452" s="46">
        <v>3</v>
      </c>
      <c r="H3452" s="47">
        <v>19</v>
      </c>
      <c r="I3452" s="47" t="s">
        <v>116</v>
      </c>
      <c r="J3452" s="48">
        <v>0</v>
      </c>
      <c r="K3452" s="48">
        <v>2</v>
      </c>
      <c r="R3452" s="46">
        <f t="shared" si="324"/>
        <v>0</v>
      </c>
      <c r="S3452" s="46">
        <f t="shared" si="325"/>
        <v>0</v>
      </c>
      <c r="T3452" s="46">
        <f t="shared" si="328"/>
        <v>-10</v>
      </c>
      <c r="U3452" s="46">
        <f t="shared" si="326"/>
        <v>-10</v>
      </c>
      <c r="V3452" s="54">
        <f t="shared" si="327"/>
        <v>55.333333333333336</v>
      </c>
    </row>
    <row r="3453" spans="1:22" x14ac:dyDescent="0.2">
      <c r="A3453" s="46" t="s">
        <v>19</v>
      </c>
      <c r="B3453" s="46" t="s">
        <v>206</v>
      </c>
      <c r="C3453" s="46" t="s">
        <v>91</v>
      </c>
      <c r="D3453" s="46" t="s">
        <v>178</v>
      </c>
      <c r="E3453" s="46">
        <v>4</v>
      </c>
      <c r="F3453" s="46" t="s">
        <v>60</v>
      </c>
      <c r="G3453" s="46">
        <v>1</v>
      </c>
      <c r="H3453" s="47">
        <v>29</v>
      </c>
      <c r="I3453" s="47" t="s">
        <v>101</v>
      </c>
      <c r="J3453" s="48">
        <v>0</v>
      </c>
      <c r="K3453" s="48">
        <v>2</v>
      </c>
      <c r="N3453" s="48">
        <v>1</v>
      </c>
      <c r="R3453" s="46">
        <f t="shared" si="324"/>
        <v>0</v>
      </c>
      <c r="S3453" s="46">
        <f t="shared" si="325"/>
        <v>0</v>
      </c>
      <c r="T3453" s="46">
        <f t="shared" si="328"/>
        <v>-10</v>
      </c>
      <c r="U3453" s="46">
        <f t="shared" si="326"/>
        <v>-15</v>
      </c>
      <c r="V3453" s="54">
        <f t="shared" si="327"/>
        <v>55.333333333333336</v>
      </c>
    </row>
    <row r="3454" spans="1:22" x14ac:dyDescent="0.2">
      <c r="A3454" s="46" t="s">
        <v>19</v>
      </c>
      <c r="B3454" s="46" t="s">
        <v>206</v>
      </c>
      <c r="C3454" s="46" t="s">
        <v>91</v>
      </c>
      <c r="D3454" s="46" t="s">
        <v>178</v>
      </c>
      <c r="E3454" s="46">
        <v>3</v>
      </c>
      <c r="F3454" s="46" t="s">
        <v>60</v>
      </c>
      <c r="G3454" s="46">
        <v>3</v>
      </c>
      <c r="H3454" s="47">
        <v>3</v>
      </c>
      <c r="I3454" s="47" t="s">
        <v>116</v>
      </c>
      <c r="J3454" s="48">
        <v>1</v>
      </c>
      <c r="K3454" s="48">
        <v>3</v>
      </c>
      <c r="R3454" s="46">
        <f t="shared" si="324"/>
        <v>0</v>
      </c>
      <c r="S3454" s="46">
        <f t="shared" si="325"/>
        <v>1</v>
      </c>
      <c r="T3454" s="46">
        <f t="shared" si="328"/>
        <v>0</v>
      </c>
      <c r="U3454" s="46">
        <f t="shared" si="326"/>
        <v>0</v>
      </c>
      <c r="V3454" s="54">
        <f t="shared" si="327"/>
        <v>55.333333333333336</v>
      </c>
    </row>
    <row r="3455" spans="1:22" x14ac:dyDescent="0.2">
      <c r="A3455" s="46" t="s">
        <v>19</v>
      </c>
      <c r="B3455" s="46" t="s">
        <v>206</v>
      </c>
      <c r="C3455" s="46" t="s">
        <v>91</v>
      </c>
      <c r="D3455" s="46" t="s">
        <v>178</v>
      </c>
      <c r="E3455" s="46">
        <v>3</v>
      </c>
      <c r="F3455" s="46" t="s">
        <v>62</v>
      </c>
      <c r="G3455" s="46">
        <v>3</v>
      </c>
      <c r="H3455" s="47" t="s">
        <v>84</v>
      </c>
      <c r="I3455" s="47" t="s">
        <v>116</v>
      </c>
      <c r="J3455" s="48">
        <v>1</v>
      </c>
      <c r="K3455" s="48">
        <v>3</v>
      </c>
      <c r="R3455" s="46">
        <f t="shared" si="324"/>
        <v>0</v>
      </c>
      <c r="S3455" s="46">
        <f t="shared" si="325"/>
        <v>1</v>
      </c>
      <c r="T3455" s="46">
        <f t="shared" si="328"/>
        <v>0</v>
      </c>
      <c r="U3455" s="46">
        <f t="shared" si="326"/>
        <v>0</v>
      </c>
      <c r="V3455" s="54">
        <f t="shared" si="327"/>
        <v>55.333333333333336</v>
      </c>
    </row>
    <row r="3456" spans="1:22" x14ac:dyDescent="0.2">
      <c r="A3456" s="46" t="s">
        <v>19</v>
      </c>
      <c r="B3456" s="46" t="s">
        <v>206</v>
      </c>
      <c r="C3456" s="46" t="s">
        <v>91</v>
      </c>
      <c r="D3456" s="46" t="s">
        <v>178</v>
      </c>
      <c r="E3456" s="46">
        <v>4</v>
      </c>
      <c r="F3456" s="46" t="s">
        <v>60</v>
      </c>
      <c r="G3456" s="46">
        <v>3</v>
      </c>
      <c r="H3456" s="47">
        <v>7</v>
      </c>
      <c r="I3456" s="47" t="s">
        <v>159</v>
      </c>
      <c r="J3456" s="48">
        <v>1</v>
      </c>
      <c r="K3456" s="48">
        <v>2</v>
      </c>
      <c r="R3456" s="46">
        <f t="shared" si="324"/>
        <v>0</v>
      </c>
      <c r="S3456" s="46">
        <f t="shared" si="325"/>
        <v>0</v>
      </c>
      <c r="T3456" s="46">
        <f t="shared" si="328"/>
        <v>10</v>
      </c>
      <c r="U3456" s="46">
        <f t="shared" si="326"/>
        <v>10</v>
      </c>
      <c r="V3456" s="54">
        <f t="shared" si="327"/>
        <v>55.333333333333336</v>
      </c>
    </row>
    <row r="3457" spans="1:22" x14ac:dyDescent="0.2">
      <c r="A3457" s="46" t="s">
        <v>19</v>
      </c>
      <c r="B3457" s="46" t="s">
        <v>206</v>
      </c>
      <c r="C3457" s="46" t="s">
        <v>91</v>
      </c>
      <c r="D3457" s="46" t="s">
        <v>178</v>
      </c>
      <c r="E3457" s="46">
        <v>4</v>
      </c>
      <c r="F3457" s="46" t="s">
        <v>60</v>
      </c>
      <c r="G3457" s="46">
        <v>4</v>
      </c>
      <c r="H3457" s="47">
        <v>20</v>
      </c>
      <c r="I3457" s="47" t="s">
        <v>102</v>
      </c>
      <c r="J3457" s="48">
        <v>1</v>
      </c>
      <c r="K3457" s="48">
        <v>1</v>
      </c>
      <c r="R3457" s="46">
        <f t="shared" si="324"/>
        <v>0</v>
      </c>
      <c r="S3457" s="46">
        <f t="shared" si="325"/>
        <v>0</v>
      </c>
      <c r="T3457" s="46">
        <f t="shared" si="328"/>
        <v>20</v>
      </c>
      <c r="U3457" s="46">
        <f t="shared" si="326"/>
        <v>20</v>
      </c>
      <c r="V3457" s="54">
        <f t="shared" si="327"/>
        <v>55.333333333333336</v>
      </c>
    </row>
    <row r="3458" spans="1:22" x14ac:dyDescent="0.2">
      <c r="A3458" s="46" t="s">
        <v>19</v>
      </c>
      <c r="B3458" s="46" t="s">
        <v>206</v>
      </c>
      <c r="C3458" s="46" t="s">
        <v>91</v>
      </c>
      <c r="D3458" s="46" t="s">
        <v>178</v>
      </c>
      <c r="E3458" s="46">
        <v>2</v>
      </c>
      <c r="F3458" s="46" t="s">
        <v>60</v>
      </c>
      <c r="G3458" s="46">
        <v>3</v>
      </c>
      <c r="H3458" s="47">
        <v>27</v>
      </c>
      <c r="I3458" s="47" t="s">
        <v>116</v>
      </c>
      <c r="J3458" s="48">
        <v>2</v>
      </c>
      <c r="K3458" s="48">
        <v>3</v>
      </c>
      <c r="R3458" s="46">
        <f t="shared" ref="R3458:R3521" si="329">IF(J3458=4,1,0)</f>
        <v>0</v>
      </c>
      <c r="S3458" s="46">
        <f t="shared" ref="S3458:S3521" si="330">IF(K3458=3,1,0)</f>
        <v>1</v>
      </c>
      <c r="T3458" s="46">
        <f t="shared" si="328"/>
        <v>20</v>
      </c>
      <c r="U3458" s="46">
        <f t="shared" ref="U3458:U3521" si="331">T3458+M3458*(20) + (SUM(O3458:Q3458)*(10)) - L3458*(5) - N3458*(5)</f>
        <v>20</v>
      </c>
      <c r="V3458" s="54">
        <f t="shared" ref="V3458:V3521" si="332">AVERAGEIFS(U:U,A:A,A3458,F:F,"Pre")</f>
        <v>55.333333333333336</v>
      </c>
    </row>
    <row r="3459" spans="1:22" x14ac:dyDescent="0.2">
      <c r="A3459" s="46" t="s">
        <v>19</v>
      </c>
      <c r="B3459" s="46" t="s">
        <v>206</v>
      </c>
      <c r="C3459" s="46" t="s">
        <v>91</v>
      </c>
      <c r="D3459" s="46" t="s">
        <v>178</v>
      </c>
      <c r="E3459" s="46">
        <v>4</v>
      </c>
      <c r="F3459" s="46" t="s">
        <v>63</v>
      </c>
      <c r="G3459" s="46">
        <v>4</v>
      </c>
      <c r="H3459" s="47" t="s">
        <v>147</v>
      </c>
      <c r="I3459" s="47" t="s">
        <v>102</v>
      </c>
      <c r="J3459" s="48">
        <v>1</v>
      </c>
      <c r="K3459" s="48">
        <v>1</v>
      </c>
      <c r="R3459" s="46">
        <f t="shared" si="329"/>
        <v>0</v>
      </c>
      <c r="S3459" s="46">
        <f t="shared" si="330"/>
        <v>0</v>
      </c>
      <c r="T3459" s="46">
        <f t="shared" si="328"/>
        <v>20</v>
      </c>
      <c r="U3459" s="46">
        <f t="shared" si="331"/>
        <v>20</v>
      </c>
      <c r="V3459" s="54">
        <f t="shared" si="332"/>
        <v>55.333333333333336</v>
      </c>
    </row>
    <row r="3460" spans="1:22" x14ac:dyDescent="0.2">
      <c r="A3460" s="46" t="s">
        <v>19</v>
      </c>
      <c r="B3460" s="46" t="s">
        <v>206</v>
      </c>
      <c r="C3460" s="46" t="s">
        <v>91</v>
      </c>
      <c r="D3460" s="46" t="s">
        <v>178</v>
      </c>
      <c r="E3460" s="46">
        <v>4</v>
      </c>
      <c r="F3460" s="46" t="s">
        <v>63</v>
      </c>
      <c r="G3460" s="46">
        <v>4</v>
      </c>
      <c r="H3460" s="47" t="s">
        <v>148</v>
      </c>
      <c r="I3460" s="47" t="s">
        <v>102</v>
      </c>
      <c r="J3460" s="48">
        <v>2</v>
      </c>
      <c r="K3460" s="48">
        <v>3</v>
      </c>
      <c r="N3460" s="48">
        <v>1</v>
      </c>
      <c r="R3460" s="46">
        <f t="shared" si="329"/>
        <v>0</v>
      </c>
      <c r="S3460" s="46">
        <f t="shared" si="330"/>
        <v>1</v>
      </c>
      <c r="T3460" s="46">
        <f t="shared" si="328"/>
        <v>20</v>
      </c>
      <c r="U3460" s="46">
        <f t="shared" si="331"/>
        <v>15</v>
      </c>
      <c r="V3460" s="54">
        <f t="shared" si="332"/>
        <v>55.333333333333336</v>
      </c>
    </row>
    <row r="3461" spans="1:22" x14ac:dyDescent="0.2">
      <c r="A3461" s="46" t="s">
        <v>19</v>
      </c>
      <c r="B3461" s="46" t="s">
        <v>206</v>
      </c>
      <c r="C3461" s="46" t="s">
        <v>91</v>
      </c>
      <c r="D3461" s="46" t="s">
        <v>178</v>
      </c>
      <c r="E3461" s="46">
        <v>4</v>
      </c>
      <c r="F3461" s="46" t="s">
        <v>60</v>
      </c>
      <c r="G3461" s="46">
        <v>2</v>
      </c>
      <c r="H3461" s="47">
        <v>10</v>
      </c>
      <c r="I3461" s="47" t="s">
        <v>127</v>
      </c>
      <c r="J3461" s="48">
        <v>2</v>
      </c>
      <c r="K3461" s="48">
        <v>2</v>
      </c>
      <c r="R3461" s="46">
        <f t="shared" si="329"/>
        <v>0</v>
      </c>
      <c r="S3461" s="46">
        <f t="shared" si="330"/>
        <v>0</v>
      </c>
      <c r="T3461" s="46">
        <f t="shared" si="328"/>
        <v>30</v>
      </c>
      <c r="U3461" s="46">
        <f t="shared" si="331"/>
        <v>30</v>
      </c>
      <c r="V3461" s="54">
        <f t="shared" si="332"/>
        <v>55.333333333333336</v>
      </c>
    </row>
    <row r="3462" spans="1:22" x14ac:dyDescent="0.2">
      <c r="A3462" s="46" t="s">
        <v>19</v>
      </c>
      <c r="B3462" s="46" t="s">
        <v>206</v>
      </c>
      <c r="C3462" s="46" t="s">
        <v>91</v>
      </c>
      <c r="D3462" s="46" t="s">
        <v>178</v>
      </c>
      <c r="E3462" s="46">
        <v>3</v>
      </c>
      <c r="F3462" s="46" t="s">
        <v>60</v>
      </c>
      <c r="G3462" s="46">
        <v>1</v>
      </c>
      <c r="H3462" s="47">
        <v>41</v>
      </c>
      <c r="I3462" s="47" t="s">
        <v>101</v>
      </c>
      <c r="J3462" s="48">
        <v>2</v>
      </c>
      <c r="K3462" s="48">
        <v>2</v>
      </c>
      <c r="R3462" s="46">
        <f t="shared" si="329"/>
        <v>0</v>
      </c>
      <c r="S3462" s="46">
        <f t="shared" si="330"/>
        <v>0</v>
      </c>
      <c r="T3462" s="46">
        <f t="shared" si="328"/>
        <v>30</v>
      </c>
      <c r="U3462" s="46">
        <f t="shared" si="331"/>
        <v>30</v>
      </c>
      <c r="V3462" s="54">
        <f t="shared" si="332"/>
        <v>55.333333333333336</v>
      </c>
    </row>
    <row r="3463" spans="1:22" x14ac:dyDescent="0.2">
      <c r="A3463" s="46" t="s">
        <v>19</v>
      </c>
      <c r="B3463" s="46" t="s">
        <v>206</v>
      </c>
      <c r="C3463" s="46" t="s">
        <v>91</v>
      </c>
      <c r="D3463" s="46" t="s">
        <v>178</v>
      </c>
      <c r="E3463" s="46">
        <v>4</v>
      </c>
      <c r="F3463" s="46" t="s">
        <v>63</v>
      </c>
      <c r="G3463" s="46">
        <v>4</v>
      </c>
      <c r="H3463" s="47" t="s">
        <v>149</v>
      </c>
      <c r="I3463" s="47" t="s">
        <v>102</v>
      </c>
      <c r="J3463" s="48">
        <v>2</v>
      </c>
      <c r="K3463" s="48">
        <v>2</v>
      </c>
      <c r="R3463" s="46">
        <f t="shared" si="329"/>
        <v>0</v>
      </c>
      <c r="S3463" s="46">
        <f t="shared" si="330"/>
        <v>0</v>
      </c>
      <c r="T3463" s="46">
        <f t="shared" si="328"/>
        <v>30</v>
      </c>
      <c r="U3463" s="46">
        <f t="shared" si="331"/>
        <v>30</v>
      </c>
      <c r="V3463" s="54">
        <f t="shared" si="332"/>
        <v>55.333333333333336</v>
      </c>
    </row>
    <row r="3464" spans="1:22" x14ac:dyDescent="0.2">
      <c r="A3464" s="46" t="s">
        <v>19</v>
      </c>
      <c r="B3464" s="46" t="s">
        <v>206</v>
      </c>
      <c r="C3464" s="46" t="s">
        <v>91</v>
      </c>
      <c r="D3464" s="46" t="s">
        <v>178</v>
      </c>
      <c r="E3464" s="46">
        <v>3</v>
      </c>
      <c r="F3464" s="46" t="s">
        <v>60</v>
      </c>
      <c r="G3464" s="46">
        <v>4</v>
      </c>
      <c r="H3464" s="47">
        <v>32</v>
      </c>
      <c r="I3464" s="47" t="s">
        <v>102</v>
      </c>
      <c r="J3464" s="48">
        <v>2</v>
      </c>
      <c r="K3464" s="48">
        <v>1</v>
      </c>
      <c r="R3464" s="46">
        <f t="shared" si="329"/>
        <v>0</v>
      </c>
      <c r="S3464" s="46">
        <f t="shared" si="330"/>
        <v>0</v>
      </c>
      <c r="T3464" s="46">
        <f t="shared" si="328"/>
        <v>40</v>
      </c>
      <c r="U3464" s="46">
        <f t="shared" si="331"/>
        <v>40</v>
      </c>
      <c r="V3464" s="54">
        <f t="shared" si="332"/>
        <v>55.333333333333336</v>
      </c>
    </row>
    <row r="3465" spans="1:22" x14ac:dyDescent="0.2">
      <c r="A3465" s="46" t="s">
        <v>19</v>
      </c>
      <c r="B3465" s="46" t="s">
        <v>206</v>
      </c>
      <c r="C3465" s="46" t="s">
        <v>91</v>
      </c>
      <c r="D3465" s="46" t="s">
        <v>178</v>
      </c>
      <c r="E3465" s="46">
        <v>2</v>
      </c>
      <c r="F3465" s="46" t="s">
        <v>60</v>
      </c>
      <c r="G3465" s="46">
        <v>4</v>
      </c>
      <c r="H3465" s="47">
        <v>36</v>
      </c>
      <c r="I3465" s="47" t="s">
        <v>102</v>
      </c>
      <c r="J3465" s="48">
        <v>2</v>
      </c>
      <c r="K3465" s="48">
        <v>1</v>
      </c>
      <c r="R3465" s="46">
        <f t="shared" si="329"/>
        <v>0</v>
      </c>
      <c r="S3465" s="46">
        <f t="shared" si="330"/>
        <v>0</v>
      </c>
      <c r="T3465" s="46">
        <f t="shared" si="328"/>
        <v>40</v>
      </c>
      <c r="U3465" s="46">
        <f t="shared" si="331"/>
        <v>40</v>
      </c>
      <c r="V3465" s="54">
        <f t="shared" si="332"/>
        <v>55.333333333333336</v>
      </c>
    </row>
    <row r="3466" spans="1:22" x14ac:dyDescent="0.2">
      <c r="A3466" s="46" t="s">
        <v>19</v>
      </c>
      <c r="B3466" s="46" t="s">
        <v>206</v>
      </c>
      <c r="C3466" s="46" t="s">
        <v>91</v>
      </c>
      <c r="D3466" s="46" t="s">
        <v>178</v>
      </c>
      <c r="E3466" s="46">
        <v>2</v>
      </c>
      <c r="F3466" s="46" t="s">
        <v>60</v>
      </c>
      <c r="G3466" s="46">
        <v>2</v>
      </c>
      <c r="H3466" s="47">
        <v>18</v>
      </c>
      <c r="I3466" s="47" t="s">
        <v>127</v>
      </c>
      <c r="J3466" s="48">
        <v>3</v>
      </c>
      <c r="K3466" s="48">
        <v>2</v>
      </c>
      <c r="R3466" s="46">
        <f t="shared" si="329"/>
        <v>0</v>
      </c>
      <c r="S3466" s="46">
        <f t="shared" si="330"/>
        <v>0</v>
      </c>
      <c r="T3466" s="46">
        <f t="shared" si="328"/>
        <v>50</v>
      </c>
      <c r="U3466" s="46">
        <f t="shared" si="331"/>
        <v>50</v>
      </c>
      <c r="V3466" s="54">
        <f t="shared" si="332"/>
        <v>55.333333333333336</v>
      </c>
    </row>
    <row r="3467" spans="1:22" x14ac:dyDescent="0.2">
      <c r="A3467" s="46" t="s">
        <v>19</v>
      </c>
      <c r="B3467" s="46" t="s">
        <v>206</v>
      </c>
      <c r="C3467" s="46" t="s">
        <v>91</v>
      </c>
      <c r="D3467" s="46" t="s">
        <v>178</v>
      </c>
      <c r="E3467" s="46">
        <v>3</v>
      </c>
      <c r="F3467" s="46" t="s">
        <v>60</v>
      </c>
      <c r="G3467" s="46">
        <v>1</v>
      </c>
      <c r="H3467" s="47">
        <v>49</v>
      </c>
      <c r="I3467" s="47" t="s">
        <v>101</v>
      </c>
      <c r="J3467" s="48">
        <v>3</v>
      </c>
      <c r="K3467" s="48">
        <v>2</v>
      </c>
      <c r="M3467" s="48">
        <v>1</v>
      </c>
      <c r="R3467" s="46">
        <f t="shared" si="329"/>
        <v>0</v>
      </c>
      <c r="S3467" s="46">
        <f t="shared" si="330"/>
        <v>0</v>
      </c>
      <c r="T3467" s="46">
        <f t="shared" si="328"/>
        <v>50</v>
      </c>
      <c r="U3467" s="46">
        <f t="shared" si="331"/>
        <v>70</v>
      </c>
      <c r="V3467" s="54">
        <f t="shared" si="332"/>
        <v>55.333333333333336</v>
      </c>
    </row>
    <row r="3468" spans="1:22" x14ac:dyDescent="0.2">
      <c r="A3468" s="46" t="s">
        <v>19</v>
      </c>
      <c r="B3468" s="46" t="s">
        <v>206</v>
      </c>
      <c r="C3468" s="46" t="s">
        <v>91</v>
      </c>
      <c r="D3468" s="46" t="s">
        <v>178</v>
      </c>
      <c r="E3468" s="46">
        <v>4</v>
      </c>
      <c r="F3468" s="46" t="s">
        <v>60</v>
      </c>
      <c r="G3468" s="46">
        <v>1</v>
      </c>
      <c r="H3468" s="47">
        <v>25</v>
      </c>
      <c r="I3468" s="47" t="s">
        <v>101</v>
      </c>
      <c r="J3468" s="48">
        <v>3</v>
      </c>
      <c r="K3468" s="48">
        <v>1</v>
      </c>
      <c r="R3468" s="46">
        <f t="shared" si="329"/>
        <v>0</v>
      </c>
      <c r="S3468" s="46">
        <f t="shared" si="330"/>
        <v>0</v>
      </c>
      <c r="T3468" s="46">
        <f t="shared" si="328"/>
        <v>60</v>
      </c>
      <c r="U3468" s="46">
        <f t="shared" si="331"/>
        <v>60</v>
      </c>
      <c r="V3468" s="54">
        <f t="shared" si="332"/>
        <v>55.333333333333336</v>
      </c>
    </row>
    <row r="3469" spans="1:22" x14ac:dyDescent="0.2">
      <c r="A3469" s="46" t="s">
        <v>19</v>
      </c>
      <c r="B3469" s="46" t="s">
        <v>206</v>
      </c>
      <c r="C3469" s="46" t="s">
        <v>91</v>
      </c>
      <c r="D3469" s="46" t="s">
        <v>178</v>
      </c>
      <c r="E3469" s="46">
        <v>3</v>
      </c>
      <c r="F3469" s="46" t="s">
        <v>62</v>
      </c>
      <c r="G3469" s="46">
        <v>2</v>
      </c>
      <c r="H3469" s="47" t="s">
        <v>79</v>
      </c>
      <c r="I3469" s="47" t="s">
        <v>127</v>
      </c>
      <c r="J3469" s="48">
        <v>3</v>
      </c>
      <c r="K3469" s="48">
        <v>1</v>
      </c>
      <c r="M3469" s="48">
        <v>1</v>
      </c>
      <c r="R3469" s="46">
        <f t="shared" si="329"/>
        <v>0</v>
      </c>
      <c r="S3469" s="46">
        <f t="shared" si="330"/>
        <v>0</v>
      </c>
      <c r="T3469" s="46">
        <f t="shared" ref="T3469:T3532" si="333">quizscore(J3469,K3469)</f>
        <v>60</v>
      </c>
      <c r="U3469" s="46">
        <f t="shared" si="331"/>
        <v>80</v>
      </c>
      <c r="V3469" s="54">
        <f t="shared" si="332"/>
        <v>55.333333333333336</v>
      </c>
    </row>
    <row r="3470" spans="1:22" x14ac:dyDescent="0.2">
      <c r="A3470" s="46" t="s">
        <v>19</v>
      </c>
      <c r="B3470" s="46" t="s">
        <v>206</v>
      </c>
      <c r="C3470" s="46" t="s">
        <v>91</v>
      </c>
      <c r="D3470" s="46" t="s">
        <v>178</v>
      </c>
      <c r="E3470" s="46">
        <v>2</v>
      </c>
      <c r="F3470" s="46" t="s">
        <v>60</v>
      </c>
      <c r="G3470" s="46">
        <v>1</v>
      </c>
      <c r="H3470" s="47">
        <v>9</v>
      </c>
      <c r="I3470" s="47" t="s">
        <v>101</v>
      </c>
      <c r="J3470" s="48">
        <v>4</v>
      </c>
      <c r="K3470" s="48">
        <v>2</v>
      </c>
      <c r="R3470" s="46">
        <f t="shared" si="329"/>
        <v>1</v>
      </c>
      <c r="S3470" s="46">
        <f t="shared" si="330"/>
        <v>0</v>
      </c>
      <c r="T3470" s="46">
        <f t="shared" si="333"/>
        <v>70</v>
      </c>
      <c r="U3470" s="46">
        <f t="shared" si="331"/>
        <v>70</v>
      </c>
      <c r="V3470" s="54">
        <f t="shared" si="332"/>
        <v>55.333333333333336</v>
      </c>
    </row>
    <row r="3471" spans="1:22" x14ac:dyDescent="0.2">
      <c r="A3471" s="46" t="s">
        <v>19</v>
      </c>
      <c r="B3471" s="46" t="s">
        <v>206</v>
      </c>
      <c r="C3471" s="46" t="s">
        <v>91</v>
      </c>
      <c r="D3471" s="46" t="s">
        <v>178</v>
      </c>
      <c r="E3471" s="46">
        <v>2</v>
      </c>
      <c r="F3471" s="46" t="s">
        <v>60</v>
      </c>
      <c r="G3471" s="46">
        <v>2</v>
      </c>
      <c r="H3471" s="47">
        <v>46</v>
      </c>
      <c r="I3471" s="47" t="s">
        <v>127</v>
      </c>
      <c r="J3471" s="48">
        <v>4</v>
      </c>
      <c r="K3471" s="48">
        <v>2</v>
      </c>
      <c r="M3471" s="48">
        <v>1</v>
      </c>
      <c r="R3471" s="46">
        <f t="shared" si="329"/>
        <v>1</v>
      </c>
      <c r="S3471" s="46">
        <f t="shared" si="330"/>
        <v>0</v>
      </c>
      <c r="T3471" s="46">
        <f t="shared" si="333"/>
        <v>70</v>
      </c>
      <c r="U3471" s="46">
        <f t="shared" si="331"/>
        <v>90</v>
      </c>
      <c r="V3471" s="54">
        <f t="shared" si="332"/>
        <v>55.333333333333336</v>
      </c>
    </row>
    <row r="3472" spans="1:22" x14ac:dyDescent="0.2">
      <c r="A3472" s="46" t="s">
        <v>19</v>
      </c>
      <c r="B3472" s="46" t="s">
        <v>206</v>
      </c>
      <c r="C3472" s="46" t="s">
        <v>91</v>
      </c>
      <c r="D3472" s="46" t="s">
        <v>178</v>
      </c>
      <c r="E3472" s="46">
        <v>1</v>
      </c>
      <c r="F3472" s="46" t="s">
        <v>61</v>
      </c>
      <c r="G3472" s="46">
        <v>1</v>
      </c>
      <c r="H3472" s="47" t="s">
        <v>67</v>
      </c>
      <c r="I3472" s="47" t="s">
        <v>101</v>
      </c>
      <c r="J3472" s="48">
        <v>4</v>
      </c>
      <c r="K3472" s="48">
        <v>2</v>
      </c>
      <c r="M3472" s="48">
        <v>2</v>
      </c>
      <c r="R3472" s="46">
        <f t="shared" si="329"/>
        <v>1</v>
      </c>
      <c r="S3472" s="46">
        <f t="shared" si="330"/>
        <v>0</v>
      </c>
      <c r="T3472" s="46">
        <f t="shared" si="333"/>
        <v>70</v>
      </c>
      <c r="U3472" s="46">
        <f t="shared" si="331"/>
        <v>110</v>
      </c>
      <c r="V3472" s="54">
        <f t="shared" si="332"/>
        <v>55.333333333333336</v>
      </c>
    </row>
    <row r="3473" spans="1:22" x14ac:dyDescent="0.2">
      <c r="A3473" s="46" t="s">
        <v>19</v>
      </c>
      <c r="B3473" s="46" t="s">
        <v>206</v>
      </c>
      <c r="C3473" s="46" t="s">
        <v>91</v>
      </c>
      <c r="D3473" s="46" t="s">
        <v>178</v>
      </c>
      <c r="E3473" s="46">
        <v>3</v>
      </c>
      <c r="F3473" s="46" t="s">
        <v>62</v>
      </c>
      <c r="G3473" s="46">
        <v>3</v>
      </c>
      <c r="H3473" s="47" t="s">
        <v>87</v>
      </c>
      <c r="I3473" s="47" t="s">
        <v>116</v>
      </c>
      <c r="J3473" s="48">
        <v>4</v>
      </c>
      <c r="K3473" s="48">
        <v>2</v>
      </c>
      <c r="R3473" s="46">
        <f t="shared" si="329"/>
        <v>1</v>
      </c>
      <c r="S3473" s="46">
        <f t="shared" si="330"/>
        <v>0</v>
      </c>
      <c r="T3473" s="46">
        <f t="shared" si="333"/>
        <v>70</v>
      </c>
      <c r="U3473" s="46">
        <f t="shared" si="331"/>
        <v>70</v>
      </c>
      <c r="V3473" s="54">
        <f t="shared" si="332"/>
        <v>55.333333333333336</v>
      </c>
    </row>
    <row r="3474" spans="1:22" x14ac:dyDescent="0.2">
      <c r="A3474" s="46" t="s">
        <v>19</v>
      </c>
      <c r="B3474" s="46" t="s">
        <v>206</v>
      </c>
      <c r="C3474" s="46" t="s">
        <v>91</v>
      </c>
      <c r="D3474" s="46" t="s">
        <v>178</v>
      </c>
      <c r="E3474" s="46">
        <v>3</v>
      </c>
      <c r="F3474" s="46" t="s">
        <v>60</v>
      </c>
      <c r="G3474" s="46">
        <v>2</v>
      </c>
      <c r="H3474" s="47">
        <v>38</v>
      </c>
      <c r="I3474" s="47" t="s">
        <v>127</v>
      </c>
      <c r="J3474" s="48">
        <v>4</v>
      </c>
      <c r="K3474" s="48">
        <v>1</v>
      </c>
      <c r="R3474" s="46">
        <f t="shared" si="329"/>
        <v>1</v>
      </c>
      <c r="S3474" s="46">
        <f t="shared" si="330"/>
        <v>0</v>
      </c>
      <c r="T3474" s="46">
        <f t="shared" si="333"/>
        <v>80</v>
      </c>
      <c r="U3474" s="46">
        <f t="shared" si="331"/>
        <v>80</v>
      </c>
      <c r="V3474" s="54">
        <f t="shared" si="332"/>
        <v>55.333333333333336</v>
      </c>
    </row>
    <row r="3475" spans="1:22" x14ac:dyDescent="0.2">
      <c r="A3475" s="46" t="s">
        <v>19</v>
      </c>
      <c r="B3475" s="46" t="s">
        <v>206</v>
      </c>
      <c r="C3475" s="46" t="s">
        <v>91</v>
      </c>
      <c r="D3475" s="46" t="s">
        <v>178</v>
      </c>
      <c r="E3475" s="46">
        <v>1</v>
      </c>
      <c r="F3475" s="46" t="s">
        <v>60</v>
      </c>
      <c r="G3475" s="46">
        <v>2</v>
      </c>
      <c r="H3475" s="47">
        <v>50</v>
      </c>
      <c r="I3475" s="47" t="s">
        <v>127</v>
      </c>
      <c r="J3475" s="48">
        <v>4</v>
      </c>
      <c r="K3475" s="48">
        <v>1</v>
      </c>
      <c r="M3475" s="48">
        <v>1</v>
      </c>
      <c r="R3475" s="46">
        <f t="shared" si="329"/>
        <v>1</v>
      </c>
      <c r="S3475" s="46">
        <f t="shared" si="330"/>
        <v>0</v>
      </c>
      <c r="T3475" s="46">
        <f t="shared" si="333"/>
        <v>80</v>
      </c>
      <c r="U3475" s="46">
        <f t="shared" si="331"/>
        <v>100</v>
      </c>
      <c r="V3475" s="54">
        <f t="shared" si="332"/>
        <v>55.333333333333336</v>
      </c>
    </row>
    <row r="3476" spans="1:22" x14ac:dyDescent="0.2">
      <c r="A3476" s="46" t="s">
        <v>19</v>
      </c>
      <c r="B3476" s="46" t="s">
        <v>206</v>
      </c>
      <c r="C3476" s="46" t="s">
        <v>91</v>
      </c>
      <c r="D3476" s="46" t="s">
        <v>178</v>
      </c>
      <c r="E3476" s="46">
        <v>2</v>
      </c>
      <c r="F3476" s="46" t="s">
        <v>62</v>
      </c>
      <c r="G3476" s="46">
        <v>2</v>
      </c>
      <c r="H3476" s="47" t="s">
        <v>81</v>
      </c>
      <c r="I3476" s="47" t="s">
        <v>127</v>
      </c>
      <c r="J3476" s="48">
        <v>4</v>
      </c>
      <c r="K3476" s="48">
        <v>1</v>
      </c>
      <c r="M3476" s="48">
        <v>1</v>
      </c>
      <c r="R3476" s="46">
        <f t="shared" si="329"/>
        <v>1</v>
      </c>
      <c r="S3476" s="46">
        <f t="shared" si="330"/>
        <v>0</v>
      </c>
      <c r="T3476" s="46">
        <f t="shared" si="333"/>
        <v>80</v>
      </c>
      <c r="U3476" s="46">
        <f t="shared" si="331"/>
        <v>100</v>
      </c>
      <c r="V3476" s="54">
        <f t="shared" si="332"/>
        <v>55.333333333333336</v>
      </c>
    </row>
    <row r="3477" spans="1:22" x14ac:dyDescent="0.2">
      <c r="A3477" s="46" t="s">
        <v>19</v>
      </c>
      <c r="B3477" s="46" t="s">
        <v>206</v>
      </c>
      <c r="C3477" s="46" t="s">
        <v>91</v>
      </c>
      <c r="D3477" s="46" t="s">
        <v>178</v>
      </c>
      <c r="E3477" s="46">
        <v>2</v>
      </c>
      <c r="F3477" s="46" t="s">
        <v>62</v>
      </c>
      <c r="G3477" s="46">
        <v>2</v>
      </c>
      <c r="H3477" s="47" t="s">
        <v>86</v>
      </c>
      <c r="I3477" s="47" t="s">
        <v>127</v>
      </c>
      <c r="J3477" s="48">
        <v>4</v>
      </c>
      <c r="K3477" s="48">
        <v>1</v>
      </c>
      <c r="M3477" s="48">
        <v>1</v>
      </c>
      <c r="R3477" s="46">
        <f t="shared" si="329"/>
        <v>1</v>
      </c>
      <c r="S3477" s="46">
        <f t="shared" si="330"/>
        <v>0</v>
      </c>
      <c r="T3477" s="46">
        <f t="shared" si="333"/>
        <v>80</v>
      </c>
      <c r="U3477" s="46">
        <f t="shared" si="331"/>
        <v>100</v>
      </c>
      <c r="V3477" s="54">
        <f t="shared" si="332"/>
        <v>55.333333333333336</v>
      </c>
    </row>
    <row r="3478" spans="1:22" x14ac:dyDescent="0.2">
      <c r="A3478" s="46" t="s">
        <v>19</v>
      </c>
      <c r="B3478" s="46" t="s">
        <v>206</v>
      </c>
      <c r="C3478" s="46" t="s">
        <v>91</v>
      </c>
      <c r="D3478" s="46" t="s">
        <v>178</v>
      </c>
      <c r="E3478" s="46">
        <v>2</v>
      </c>
      <c r="F3478" s="46" t="s">
        <v>62</v>
      </c>
      <c r="G3478" s="46">
        <v>3</v>
      </c>
      <c r="H3478" s="47" t="s">
        <v>64</v>
      </c>
      <c r="I3478" s="47" t="s">
        <v>116</v>
      </c>
      <c r="J3478" s="48">
        <v>4</v>
      </c>
      <c r="K3478" s="48">
        <v>1</v>
      </c>
      <c r="N3478" s="48">
        <v>1</v>
      </c>
      <c r="R3478" s="46">
        <f t="shared" si="329"/>
        <v>1</v>
      </c>
      <c r="S3478" s="46">
        <f t="shared" si="330"/>
        <v>0</v>
      </c>
      <c r="T3478" s="46">
        <f t="shared" si="333"/>
        <v>80</v>
      </c>
      <c r="U3478" s="46">
        <f t="shared" si="331"/>
        <v>75</v>
      </c>
      <c r="V3478" s="54">
        <f t="shared" si="332"/>
        <v>55.333333333333336</v>
      </c>
    </row>
    <row r="3479" spans="1:22" x14ac:dyDescent="0.2">
      <c r="A3479" s="46" t="s">
        <v>19</v>
      </c>
      <c r="B3479" s="46" t="s">
        <v>206</v>
      </c>
      <c r="C3479" s="46" t="s">
        <v>91</v>
      </c>
      <c r="D3479" s="46" t="s">
        <v>178</v>
      </c>
      <c r="E3479" s="46">
        <v>1</v>
      </c>
      <c r="F3479" s="46" t="s">
        <v>60</v>
      </c>
      <c r="G3479" s="46">
        <v>1</v>
      </c>
      <c r="H3479" s="47">
        <v>5</v>
      </c>
      <c r="I3479" s="47" t="s">
        <v>101</v>
      </c>
      <c r="J3479" s="48">
        <v>4</v>
      </c>
      <c r="K3479" s="48">
        <v>0</v>
      </c>
      <c r="M3479" s="48">
        <v>1</v>
      </c>
      <c r="R3479" s="46">
        <f t="shared" si="329"/>
        <v>1</v>
      </c>
      <c r="S3479" s="46">
        <f t="shared" si="330"/>
        <v>0</v>
      </c>
      <c r="T3479" s="46">
        <f t="shared" si="333"/>
        <v>90</v>
      </c>
      <c r="U3479" s="46">
        <f t="shared" si="331"/>
        <v>110</v>
      </c>
      <c r="V3479" s="54">
        <f t="shared" si="332"/>
        <v>55.333333333333336</v>
      </c>
    </row>
    <row r="3480" spans="1:22" x14ac:dyDescent="0.2">
      <c r="A3480" s="46" t="s">
        <v>19</v>
      </c>
      <c r="B3480" s="46" t="s">
        <v>206</v>
      </c>
      <c r="C3480" s="46" t="s">
        <v>91</v>
      </c>
      <c r="D3480" s="46" t="s">
        <v>178</v>
      </c>
      <c r="E3480" s="46">
        <v>1</v>
      </c>
      <c r="F3480" s="46" t="s">
        <v>60</v>
      </c>
      <c r="G3480" s="46">
        <v>4</v>
      </c>
      <c r="H3480" s="47">
        <v>16</v>
      </c>
      <c r="I3480" s="47" t="s">
        <v>102</v>
      </c>
      <c r="J3480" s="48">
        <v>4</v>
      </c>
      <c r="K3480" s="48">
        <v>0</v>
      </c>
      <c r="M3480" s="48">
        <v>1</v>
      </c>
      <c r="R3480" s="46">
        <f t="shared" si="329"/>
        <v>1</v>
      </c>
      <c r="S3480" s="46">
        <f t="shared" si="330"/>
        <v>0</v>
      </c>
      <c r="T3480" s="46">
        <f t="shared" si="333"/>
        <v>90</v>
      </c>
      <c r="U3480" s="46">
        <f t="shared" si="331"/>
        <v>110</v>
      </c>
      <c r="V3480" s="54">
        <f t="shared" si="332"/>
        <v>55.333333333333336</v>
      </c>
    </row>
    <row r="3481" spans="1:22" x14ac:dyDescent="0.2">
      <c r="A3481" s="46" t="s">
        <v>19</v>
      </c>
      <c r="B3481" s="46" t="s">
        <v>206</v>
      </c>
      <c r="C3481" s="46" t="s">
        <v>91</v>
      </c>
      <c r="D3481" s="46" t="s">
        <v>178</v>
      </c>
      <c r="E3481" s="46">
        <v>1</v>
      </c>
      <c r="F3481" s="46" t="s">
        <v>60</v>
      </c>
      <c r="G3481" s="46">
        <v>1</v>
      </c>
      <c r="H3481" s="47">
        <v>21</v>
      </c>
      <c r="I3481" s="47" t="s">
        <v>101</v>
      </c>
      <c r="J3481" s="48">
        <v>4</v>
      </c>
      <c r="K3481" s="48">
        <v>0</v>
      </c>
      <c r="N3481" s="48">
        <v>1</v>
      </c>
      <c r="R3481" s="46">
        <f t="shared" si="329"/>
        <v>1</v>
      </c>
      <c r="S3481" s="46">
        <f t="shared" si="330"/>
        <v>0</v>
      </c>
      <c r="T3481" s="46">
        <f t="shared" si="333"/>
        <v>90</v>
      </c>
      <c r="U3481" s="46">
        <f t="shared" si="331"/>
        <v>85</v>
      </c>
      <c r="V3481" s="54">
        <f t="shared" si="332"/>
        <v>55.333333333333336</v>
      </c>
    </row>
    <row r="3482" spans="1:22" x14ac:dyDescent="0.2">
      <c r="A3482" s="46" t="s">
        <v>19</v>
      </c>
      <c r="B3482" s="46" t="s">
        <v>206</v>
      </c>
      <c r="C3482" s="46" t="s">
        <v>91</v>
      </c>
      <c r="D3482" s="46" t="s">
        <v>178</v>
      </c>
      <c r="E3482" s="46">
        <v>1</v>
      </c>
      <c r="F3482" s="46" t="s">
        <v>60</v>
      </c>
      <c r="G3482" s="46">
        <v>4</v>
      </c>
      <c r="H3482" s="47">
        <v>32</v>
      </c>
      <c r="I3482" s="47" t="s">
        <v>102</v>
      </c>
      <c r="J3482" s="48">
        <v>4</v>
      </c>
      <c r="K3482" s="48">
        <v>0</v>
      </c>
      <c r="R3482" s="46">
        <f t="shared" si="329"/>
        <v>1</v>
      </c>
      <c r="S3482" s="46">
        <f t="shared" si="330"/>
        <v>0</v>
      </c>
      <c r="T3482" s="46">
        <f t="shared" si="333"/>
        <v>90</v>
      </c>
      <c r="U3482" s="46">
        <f t="shared" si="331"/>
        <v>90</v>
      </c>
      <c r="V3482" s="54">
        <f t="shared" si="332"/>
        <v>55.333333333333336</v>
      </c>
    </row>
    <row r="3483" spans="1:22" x14ac:dyDescent="0.2">
      <c r="A3483" s="46" t="s">
        <v>19</v>
      </c>
      <c r="B3483" s="46" t="s">
        <v>206</v>
      </c>
      <c r="C3483" s="46" t="s">
        <v>91</v>
      </c>
      <c r="D3483" s="46" t="s">
        <v>178</v>
      </c>
      <c r="E3483" s="46">
        <v>1</v>
      </c>
      <c r="F3483" s="46" t="s">
        <v>60</v>
      </c>
      <c r="G3483" s="46">
        <v>3</v>
      </c>
      <c r="H3483" s="47">
        <v>39</v>
      </c>
      <c r="I3483" s="47" t="s">
        <v>116</v>
      </c>
      <c r="J3483" s="48">
        <v>4</v>
      </c>
      <c r="K3483" s="48">
        <v>0</v>
      </c>
      <c r="R3483" s="46">
        <f t="shared" si="329"/>
        <v>1</v>
      </c>
      <c r="S3483" s="46">
        <f t="shared" si="330"/>
        <v>0</v>
      </c>
      <c r="T3483" s="46">
        <f t="shared" si="333"/>
        <v>90</v>
      </c>
      <c r="U3483" s="46">
        <f t="shared" si="331"/>
        <v>90</v>
      </c>
      <c r="V3483" s="54">
        <f t="shared" si="332"/>
        <v>55.333333333333336</v>
      </c>
    </row>
    <row r="3484" spans="1:22" x14ac:dyDescent="0.2">
      <c r="A3484" s="46" t="s">
        <v>19</v>
      </c>
      <c r="B3484" s="46" t="s">
        <v>206</v>
      </c>
      <c r="C3484" s="46" t="s">
        <v>91</v>
      </c>
      <c r="D3484" s="46" t="s">
        <v>178</v>
      </c>
      <c r="E3484" s="46">
        <v>2</v>
      </c>
      <c r="F3484" s="46" t="s">
        <v>60</v>
      </c>
      <c r="G3484" s="46">
        <v>3</v>
      </c>
      <c r="H3484" s="47">
        <v>43</v>
      </c>
      <c r="I3484" s="47" t="s">
        <v>116</v>
      </c>
      <c r="J3484" s="48">
        <v>4</v>
      </c>
      <c r="K3484" s="48">
        <v>0</v>
      </c>
      <c r="O3484" s="48">
        <v>1</v>
      </c>
      <c r="R3484" s="46">
        <f t="shared" si="329"/>
        <v>1</v>
      </c>
      <c r="S3484" s="46">
        <f t="shared" si="330"/>
        <v>0</v>
      </c>
      <c r="T3484" s="46">
        <f t="shared" si="333"/>
        <v>90</v>
      </c>
      <c r="U3484" s="46">
        <f t="shared" si="331"/>
        <v>100</v>
      </c>
      <c r="V3484" s="54">
        <f t="shared" si="332"/>
        <v>55.333333333333336</v>
      </c>
    </row>
    <row r="3485" spans="1:22" x14ac:dyDescent="0.2">
      <c r="A3485" s="46" t="s">
        <v>19</v>
      </c>
      <c r="B3485" s="46" t="s">
        <v>206</v>
      </c>
      <c r="C3485" s="46" t="s">
        <v>91</v>
      </c>
      <c r="D3485" s="46" t="s">
        <v>178</v>
      </c>
      <c r="E3485" s="46">
        <v>4</v>
      </c>
      <c r="F3485" s="46" t="s">
        <v>60</v>
      </c>
      <c r="G3485" s="46">
        <v>4</v>
      </c>
      <c r="H3485" s="47">
        <v>44</v>
      </c>
      <c r="I3485" s="47" t="s">
        <v>102</v>
      </c>
      <c r="J3485" s="48">
        <v>4</v>
      </c>
      <c r="K3485" s="48">
        <v>0</v>
      </c>
      <c r="R3485" s="46">
        <f t="shared" si="329"/>
        <v>1</v>
      </c>
      <c r="S3485" s="46">
        <f t="shared" si="330"/>
        <v>0</v>
      </c>
      <c r="T3485" s="46">
        <f t="shared" si="333"/>
        <v>90</v>
      </c>
      <c r="U3485" s="46">
        <f t="shared" si="331"/>
        <v>90</v>
      </c>
      <c r="V3485" s="54">
        <f t="shared" si="332"/>
        <v>55.333333333333336</v>
      </c>
    </row>
    <row r="3486" spans="1:22" x14ac:dyDescent="0.2">
      <c r="A3486" s="46" t="s">
        <v>19</v>
      </c>
      <c r="B3486" s="46" t="s">
        <v>206</v>
      </c>
      <c r="C3486" s="46" t="s">
        <v>91</v>
      </c>
      <c r="D3486" s="46" t="s">
        <v>178</v>
      </c>
      <c r="E3486" s="46">
        <v>1</v>
      </c>
      <c r="F3486" s="46" t="s">
        <v>61</v>
      </c>
      <c r="G3486" s="46">
        <v>1</v>
      </c>
      <c r="H3486" s="47" t="s">
        <v>68</v>
      </c>
      <c r="I3486" s="47" t="s">
        <v>101</v>
      </c>
      <c r="J3486" s="48">
        <v>4</v>
      </c>
      <c r="K3486" s="48">
        <v>0</v>
      </c>
      <c r="N3486" s="48">
        <v>1</v>
      </c>
      <c r="R3486" s="46">
        <f t="shared" si="329"/>
        <v>1</v>
      </c>
      <c r="S3486" s="46">
        <f t="shared" si="330"/>
        <v>0</v>
      </c>
      <c r="T3486" s="46">
        <f t="shared" si="333"/>
        <v>90</v>
      </c>
      <c r="U3486" s="46">
        <f t="shared" si="331"/>
        <v>85</v>
      </c>
      <c r="V3486" s="54">
        <f t="shared" si="332"/>
        <v>55.333333333333336</v>
      </c>
    </row>
    <row r="3487" spans="1:22" x14ac:dyDescent="0.2">
      <c r="A3487" s="46" t="s">
        <v>19</v>
      </c>
      <c r="B3487" s="46" t="s">
        <v>206</v>
      </c>
      <c r="C3487" s="46" t="s">
        <v>91</v>
      </c>
      <c r="D3487" s="46" t="s">
        <v>178</v>
      </c>
      <c r="E3487" s="46">
        <v>4</v>
      </c>
      <c r="F3487" s="46" t="s">
        <v>63</v>
      </c>
      <c r="G3487" s="46">
        <v>4</v>
      </c>
      <c r="H3487" s="47" t="s">
        <v>172</v>
      </c>
      <c r="I3487" s="47" t="s">
        <v>102</v>
      </c>
      <c r="J3487" s="48">
        <v>2</v>
      </c>
      <c r="K3487" s="48">
        <v>2</v>
      </c>
      <c r="R3487" s="46">
        <f t="shared" si="329"/>
        <v>0</v>
      </c>
      <c r="S3487" s="46">
        <f t="shared" si="330"/>
        <v>0</v>
      </c>
      <c r="T3487" s="46">
        <f t="shared" si="333"/>
        <v>30</v>
      </c>
      <c r="U3487" s="46">
        <f t="shared" si="331"/>
        <v>30</v>
      </c>
      <c r="V3487" s="54">
        <f t="shared" si="332"/>
        <v>55.333333333333336</v>
      </c>
    </row>
    <row r="3488" spans="1:22" x14ac:dyDescent="0.2">
      <c r="A3488" s="46" t="s">
        <v>19</v>
      </c>
      <c r="B3488" s="46" t="s">
        <v>206</v>
      </c>
      <c r="C3488" s="46" t="s">
        <v>91</v>
      </c>
      <c r="D3488" s="46" t="s">
        <v>178</v>
      </c>
      <c r="E3488" s="46">
        <v>5</v>
      </c>
      <c r="F3488" s="46" t="s">
        <v>60</v>
      </c>
      <c r="G3488" s="46">
        <v>1</v>
      </c>
      <c r="H3488" s="47">
        <v>9</v>
      </c>
      <c r="I3488" s="47" t="s">
        <v>101</v>
      </c>
      <c r="J3488" s="48">
        <v>2</v>
      </c>
      <c r="K3488" s="48">
        <v>2</v>
      </c>
      <c r="R3488" s="46">
        <f t="shared" si="329"/>
        <v>0</v>
      </c>
      <c r="S3488" s="46">
        <f t="shared" si="330"/>
        <v>0</v>
      </c>
      <c r="T3488" s="46">
        <f t="shared" si="333"/>
        <v>30</v>
      </c>
      <c r="U3488" s="46">
        <f t="shared" si="331"/>
        <v>30</v>
      </c>
      <c r="V3488" s="54">
        <f t="shared" si="332"/>
        <v>55.333333333333336</v>
      </c>
    </row>
    <row r="3489" spans="1:22" x14ac:dyDescent="0.2">
      <c r="A3489" s="46" t="s">
        <v>19</v>
      </c>
      <c r="B3489" s="46" t="s">
        <v>206</v>
      </c>
      <c r="C3489" s="46" t="s">
        <v>91</v>
      </c>
      <c r="D3489" s="46" t="s">
        <v>178</v>
      </c>
      <c r="E3489" s="46">
        <v>5</v>
      </c>
      <c r="F3489" s="46" t="s">
        <v>60</v>
      </c>
      <c r="G3489" s="46">
        <v>4</v>
      </c>
      <c r="H3489" s="47">
        <v>20</v>
      </c>
      <c r="I3489" s="47" t="s">
        <v>102</v>
      </c>
      <c r="J3489" s="48">
        <v>3</v>
      </c>
      <c r="K3489" s="48">
        <v>0</v>
      </c>
      <c r="R3489" s="46">
        <f t="shared" si="329"/>
        <v>0</v>
      </c>
      <c r="S3489" s="46">
        <f t="shared" si="330"/>
        <v>0</v>
      </c>
      <c r="T3489" s="46">
        <f t="shared" si="333"/>
        <v>60</v>
      </c>
      <c r="U3489" s="46">
        <f t="shared" si="331"/>
        <v>60</v>
      </c>
      <c r="V3489" s="54">
        <f t="shared" si="332"/>
        <v>55.333333333333336</v>
      </c>
    </row>
    <row r="3490" spans="1:22" x14ac:dyDescent="0.2">
      <c r="A3490" s="46" t="s">
        <v>19</v>
      </c>
      <c r="B3490" s="46" t="s">
        <v>206</v>
      </c>
      <c r="C3490" s="46" t="s">
        <v>91</v>
      </c>
      <c r="D3490" s="46" t="s">
        <v>178</v>
      </c>
      <c r="E3490" s="46">
        <v>5</v>
      </c>
      <c r="F3490" s="46" t="s">
        <v>60</v>
      </c>
      <c r="G3490" s="46">
        <v>3</v>
      </c>
      <c r="H3490" s="47">
        <v>27</v>
      </c>
      <c r="I3490" s="47" t="s">
        <v>159</v>
      </c>
      <c r="J3490" s="48">
        <v>2</v>
      </c>
      <c r="K3490" s="48">
        <v>0</v>
      </c>
      <c r="R3490" s="46">
        <f t="shared" si="329"/>
        <v>0</v>
      </c>
      <c r="S3490" s="46">
        <f t="shared" si="330"/>
        <v>0</v>
      </c>
      <c r="T3490" s="46">
        <f t="shared" si="333"/>
        <v>40</v>
      </c>
      <c r="U3490" s="46">
        <f t="shared" si="331"/>
        <v>40</v>
      </c>
      <c r="V3490" s="54">
        <f t="shared" si="332"/>
        <v>55.333333333333336</v>
      </c>
    </row>
    <row r="3491" spans="1:22" x14ac:dyDescent="0.2">
      <c r="A3491" s="46" t="s">
        <v>19</v>
      </c>
      <c r="B3491" s="46" t="s">
        <v>206</v>
      </c>
      <c r="C3491" s="46" t="s">
        <v>91</v>
      </c>
      <c r="D3491" s="46" t="s">
        <v>178</v>
      </c>
      <c r="E3491" s="46">
        <v>5</v>
      </c>
      <c r="F3491" s="46" t="s">
        <v>60</v>
      </c>
      <c r="G3491" s="46">
        <v>4</v>
      </c>
      <c r="H3491" s="47">
        <v>36</v>
      </c>
      <c r="I3491" s="47" t="s">
        <v>102</v>
      </c>
      <c r="J3491" s="48">
        <v>1</v>
      </c>
      <c r="K3491" s="48">
        <v>0</v>
      </c>
      <c r="M3491" s="48">
        <v>1</v>
      </c>
      <c r="R3491" s="46">
        <f t="shared" si="329"/>
        <v>0</v>
      </c>
      <c r="S3491" s="46">
        <f t="shared" si="330"/>
        <v>0</v>
      </c>
      <c r="T3491" s="46">
        <f t="shared" si="333"/>
        <v>20</v>
      </c>
      <c r="U3491" s="46">
        <f t="shared" si="331"/>
        <v>40</v>
      </c>
      <c r="V3491" s="54">
        <f t="shared" si="332"/>
        <v>55.333333333333336</v>
      </c>
    </row>
    <row r="3492" spans="1:22" x14ac:dyDescent="0.2">
      <c r="A3492" s="46" t="s">
        <v>19</v>
      </c>
      <c r="B3492" s="46" t="s">
        <v>206</v>
      </c>
      <c r="C3492" s="46" t="s">
        <v>91</v>
      </c>
      <c r="D3492" s="46" t="s">
        <v>178</v>
      </c>
      <c r="E3492" s="46">
        <v>5</v>
      </c>
      <c r="F3492" s="46" t="s">
        <v>60</v>
      </c>
      <c r="G3492" s="46">
        <v>2</v>
      </c>
      <c r="H3492" s="47">
        <v>42</v>
      </c>
      <c r="I3492" s="47" t="s">
        <v>127</v>
      </c>
      <c r="J3492" s="48">
        <v>1</v>
      </c>
      <c r="K3492" s="48">
        <v>0</v>
      </c>
      <c r="M3492" s="48">
        <v>1</v>
      </c>
      <c r="R3492" s="46">
        <f t="shared" si="329"/>
        <v>0</v>
      </c>
      <c r="S3492" s="46">
        <f t="shared" si="330"/>
        <v>0</v>
      </c>
      <c r="T3492" s="46">
        <f t="shared" si="333"/>
        <v>20</v>
      </c>
      <c r="U3492" s="46">
        <f t="shared" si="331"/>
        <v>40</v>
      </c>
      <c r="V3492" s="54">
        <f t="shared" si="332"/>
        <v>55.333333333333336</v>
      </c>
    </row>
    <row r="3493" spans="1:22" x14ac:dyDescent="0.2">
      <c r="A3493" s="46" t="s">
        <v>19</v>
      </c>
      <c r="B3493" s="46" t="s">
        <v>206</v>
      </c>
      <c r="C3493" s="46" t="s">
        <v>91</v>
      </c>
      <c r="D3493" s="46" t="s">
        <v>178</v>
      </c>
      <c r="E3493" s="46">
        <v>5</v>
      </c>
      <c r="F3493" s="46" t="s">
        <v>60</v>
      </c>
      <c r="G3493" s="46">
        <v>2</v>
      </c>
      <c r="H3493" s="47">
        <v>50</v>
      </c>
      <c r="I3493" s="47" t="s">
        <v>127</v>
      </c>
      <c r="J3493" s="48">
        <v>4</v>
      </c>
      <c r="K3493" s="48">
        <v>0</v>
      </c>
      <c r="R3493" s="46">
        <f t="shared" si="329"/>
        <v>1</v>
      </c>
      <c r="S3493" s="46">
        <f t="shared" si="330"/>
        <v>0</v>
      </c>
      <c r="T3493" s="46">
        <f t="shared" si="333"/>
        <v>90</v>
      </c>
      <c r="U3493" s="46">
        <f t="shared" si="331"/>
        <v>90</v>
      </c>
      <c r="V3493" s="54">
        <f t="shared" si="332"/>
        <v>55.333333333333336</v>
      </c>
    </row>
    <row r="3494" spans="1:22" x14ac:dyDescent="0.2">
      <c r="A3494" s="46" t="s">
        <v>19</v>
      </c>
      <c r="B3494" s="46" t="s">
        <v>206</v>
      </c>
      <c r="C3494" s="46" t="s">
        <v>91</v>
      </c>
      <c r="D3494" s="46" t="s">
        <v>178</v>
      </c>
      <c r="E3494" s="46">
        <v>5</v>
      </c>
      <c r="F3494" s="46" t="s">
        <v>62</v>
      </c>
      <c r="G3494" s="46">
        <v>3</v>
      </c>
      <c r="H3494" s="47" t="s">
        <v>80</v>
      </c>
      <c r="I3494" s="47" t="s">
        <v>219</v>
      </c>
      <c r="J3494" s="48">
        <v>2</v>
      </c>
      <c r="K3494" s="48">
        <v>0</v>
      </c>
      <c r="N3494" s="48">
        <v>2</v>
      </c>
      <c r="R3494" s="46">
        <f t="shared" si="329"/>
        <v>0</v>
      </c>
      <c r="S3494" s="46">
        <f t="shared" si="330"/>
        <v>0</v>
      </c>
      <c r="T3494" s="46">
        <f t="shared" si="333"/>
        <v>40</v>
      </c>
      <c r="U3494" s="46">
        <f t="shared" si="331"/>
        <v>30</v>
      </c>
      <c r="V3494" s="54">
        <f t="shared" si="332"/>
        <v>55.333333333333336</v>
      </c>
    </row>
    <row r="3495" spans="1:22" x14ac:dyDescent="0.2">
      <c r="A3495" s="46" t="s">
        <v>19</v>
      </c>
      <c r="B3495" s="46" t="s">
        <v>206</v>
      </c>
      <c r="C3495" s="46" t="s">
        <v>91</v>
      </c>
      <c r="D3495" s="46" t="s">
        <v>178</v>
      </c>
      <c r="E3495" s="46">
        <v>5</v>
      </c>
      <c r="F3495" s="46" t="s">
        <v>62</v>
      </c>
      <c r="G3495" s="46">
        <v>3</v>
      </c>
      <c r="H3495" s="47" t="s">
        <v>84</v>
      </c>
      <c r="I3495" s="47" t="s">
        <v>219</v>
      </c>
      <c r="J3495" s="48">
        <v>3</v>
      </c>
      <c r="K3495" s="48">
        <v>1</v>
      </c>
      <c r="N3495" s="48">
        <v>1</v>
      </c>
      <c r="R3495" s="46">
        <f t="shared" si="329"/>
        <v>0</v>
      </c>
      <c r="S3495" s="46">
        <f t="shared" si="330"/>
        <v>0</v>
      </c>
      <c r="T3495" s="46">
        <f t="shared" si="333"/>
        <v>60</v>
      </c>
      <c r="U3495" s="46">
        <f t="shared" si="331"/>
        <v>55</v>
      </c>
      <c r="V3495" s="54">
        <f t="shared" si="332"/>
        <v>55.333333333333336</v>
      </c>
    </row>
    <row r="3496" spans="1:22" x14ac:dyDescent="0.2">
      <c r="A3496" s="46" t="s">
        <v>19</v>
      </c>
      <c r="B3496" s="46" t="s">
        <v>206</v>
      </c>
      <c r="C3496" s="46" t="s">
        <v>91</v>
      </c>
      <c r="D3496" s="46" t="s">
        <v>178</v>
      </c>
      <c r="E3496" s="46">
        <v>5</v>
      </c>
      <c r="F3496" s="46" t="s">
        <v>62</v>
      </c>
      <c r="G3496" s="46">
        <v>2</v>
      </c>
      <c r="H3496" s="47" t="s">
        <v>86</v>
      </c>
      <c r="I3496" s="47" t="s">
        <v>127</v>
      </c>
      <c r="J3496" s="48">
        <v>2</v>
      </c>
      <c r="K3496" s="48">
        <v>2</v>
      </c>
      <c r="R3496" s="46">
        <f t="shared" si="329"/>
        <v>0</v>
      </c>
      <c r="S3496" s="46">
        <f t="shared" si="330"/>
        <v>0</v>
      </c>
      <c r="T3496" s="46">
        <f t="shared" si="333"/>
        <v>30</v>
      </c>
      <c r="U3496" s="46">
        <f t="shared" si="331"/>
        <v>30</v>
      </c>
      <c r="V3496" s="54">
        <f t="shared" si="332"/>
        <v>55.333333333333336</v>
      </c>
    </row>
    <row r="3497" spans="1:22" x14ac:dyDescent="0.2">
      <c r="A3497" s="46" t="s">
        <v>19</v>
      </c>
      <c r="B3497" s="46" t="s">
        <v>206</v>
      </c>
      <c r="C3497" s="46" t="str">
        <f>VLOOKUP(B3497,$B$2:$C$3219,2,FALSE)</f>
        <v>Fox Island</v>
      </c>
      <c r="D3497" s="46" t="s">
        <v>178</v>
      </c>
      <c r="E3497" s="46">
        <v>5</v>
      </c>
      <c r="F3497" s="46" t="s">
        <v>62</v>
      </c>
      <c r="G3497" s="46">
        <v>3</v>
      </c>
      <c r="H3497" s="47" t="s">
        <v>64</v>
      </c>
      <c r="I3497" s="47" t="s">
        <v>219</v>
      </c>
      <c r="J3497" s="48">
        <v>0</v>
      </c>
      <c r="K3497" s="48">
        <v>2</v>
      </c>
      <c r="M3497" s="48">
        <v>1</v>
      </c>
      <c r="R3497" s="46">
        <f t="shared" si="329"/>
        <v>0</v>
      </c>
      <c r="S3497" s="46">
        <f t="shared" si="330"/>
        <v>0</v>
      </c>
      <c r="T3497" s="46">
        <f t="shared" si="333"/>
        <v>-10</v>
      </c>
      <c r="U3497" s="46">
        <f t="shared" si="331"/>
        <v>10</v>
      </c>
      <c r="V3497" s="54">
        <f t="shared" si="332"/>
        <v>55.333333333333336</v>
      </c>
    </row>
    <row r="3498" spans="1:22" x14ac:dyDescent="0.2">
      <c r="A3498" s="46" t="s">
        <v>205</v>
      </c>
      <c r="B3498" s="46" t="s">
        <v>120</v>
      </c>
      <c r="C3498" s="46" t="s">
        <v>54</v>
      </c>
      <c r="D3498" s="46" t="s">
        <v>178</v>
      </c>
      <c r="E3498" s="46">
        <v>2</v>
      </c>
      <c r="F3498" s="46" t="s">
        <v>60</v>
      </c>
      <c r="G3498" s="46">
        <v>1</v>
      </c>
      <c r="H3498" s="47">
        <v>1</v>
      </c>
      <c r="I3498" s="47" t="s">
        <v>101</v>
      </c>
      <c r="J3498" s="48">
        <v>0</v>
      </c>
      <c r="K3498" s="48">
        <v>1</v>
      </c>
      <c r="R3498" s="46">
        <f t="shared" si="329"/>
        <v>0</v>
      </c>
      <c r="S3498" s="46">
        <f t="shared" si="330"/>
        <v>0</v>
      </c>
      <c r="T3498" s="46">
        <f t="shared" si="333"/>
        <v>0</v>
      </c>
      <c r="U3498" s="46">
        <f t="shared" si="331"/>
        <v>0</v>
      </c>
      <c r="V3498" s="54">
        <f t="shared" si="332"/>
        <v>0</v>
      </c>
    </row>
    <row r="3499" spans="1:22" x14ac:dyDescent="0.2">
      <c r="A3499" s="46" t="s">
        <v>205</v>
      </c>
      <c r="B3499" s="46" t="s">
        <v>120</v>
      </c>
      <c r="C3499" s="46" t="s">
        <v>54</v>
      </c>
      <c r="D3499" s="46" t="s">
        <v>178</v>
      </c>
      <c r="E3499" s="46">
        <v>4</v>
      </c>
      <c r="F3499" s="46" t="s">
        <v>60</v>
      </c>
      <c r="G3499" s="46">
        <v>1</v>
      </c>
      <c r="H3499" s="47">
        <v>1</v>
      </c>
      <c r="I3499" s="47" t="s">
        <v>101</v>
      </c>
      <c r="J3499" s="48">
        <v>0</v>
      </c>
      <c r="K3499" s="48">
        <v>0</v>
      </c>
      <c r="R3499" s="46">
        <f t="shared" si="329"/>
        <v>0</v>
      </c>
      <c r="S3499" s="46">
        <f t="shared" si="330"/>
        <v>0</v>
      </c>
      <c r="T3499" s="46">
        <f t="shared" si="333"/>
        <v>0</v>
      </c>
      <c r="U3499" s="46">
        <f t="shared" si="331"/>
        <v>0</v>
      </c>
      <c r="V3499" s="54">
        <f t="shared" si="332"/>
        <v>0</v>
      </c>
    </row>
    <row r="3500" spans="1:22" x14ac:dyDescent="0.2">
      <c r="A3500" s="46" t="s">
        <v>205</v>
      </c>
      <c r="B3500" s="46" t="s">
        <v>120</v>
      </c>
      <c r="C3500" s="46" t="s">
        <v>54</v>
      </c>
      <c r="D3500" s="46" t="s">
        <v>178</v>
      </c>
      <c r="E3500" s="46">
        <v>1</v>
      </c>
      <c r="F3500" s="46" t="s">
        <v>60</v>
      </c>
      <c r="G3500" s="46">
        <v>1</v>
      </c>
      <c r="H3500" s="47">
        <v>5</v>
      </c>
      <c r="I3500" s="47" t="s">
        <v>101</v>
      </c>
      <c r="J3500" s="48">
        <v>0</v>
      </c>
      <c r="K3500" s="48">
        <v>0</v>
      </c>
      <c r="R3500" s="46">
        <f t="shared" si="329"/>
        <v>0</v>
      </c>
      <c r="S3500" s="46">
        <f t="shared" si="330"/>
        <v>0</v>
      </c>
      <c r="T3500" s="46">
        <f t="shared" si="333"/>
        <v>0</v>
      </c>
      <c r="U3500" s="46">
        <f t="shared" si="331"/>
        <v>0</v>
      </c>
      <c r="V3500" s="54">
        <f t="shared" si="332"/>
        <v>0</v>
      </c>
    </row>
    <row r="3501" spans="1:22" x14ac:dyDescent="0.2">
      <c r="A3501" s="46" t="s">
        <v>205</v>
      </c>
      <c r="B3501" s="46" t="s">
        <v>120</v>
      </c>
      <c r="C3501" s="46" t="s">
        <v>54</v>
      </c>
      <c r="D3501" s="46" t="s">
        <v>178</v>
      </c>
      <c r="E3501" s="46">
        <v>3</v>
      </c>
      <c r="F3501" s="46" t="s">
        <v>60</v>
      </c>
      <c r="G3501" s="46">
        <v>2</v>
      </c>
      <c r="H3501" s="47">
        <v>6</v>
      </c>
      <c r="I3501" s="47" t="s">
        <v>127</v>
      </c>
      <c r="J3501" s="48">
        <v>0</v>
      </c>
      <c r="K3501" s="48">
        <v>0</v>
      </c>
      <c r="R3501" s="46">
        <f t="shared" si="329"/>
        <v>0</v>
      </c>
      <c r="S3501" s="46">
        <f t="shared" si="330"/>
        <v>0</v>
      </c>
      <c r="T3501" s="46">
        <f t="shared" si="333"/>
        <v>0</v>
      </c>
      <c r="U3501" s="46">
        <f t="shared" si="331"/>
        <v>0</v>
      </c>
      <c r="V3501" s="54">
        <f t="shared" si="332"/>
        <v>0</v>
      </c>
    </row>
    <row r="3502" spans="1:22" x14ac:dyDescent="0.2">
      <c r="A3502" s="46" t="s">
        <v>205</v>
      </c>
      <c r="B3502" s="46" t="s">
        <v>120</v>
      </c>
      <c r="C3502" s="46" t="s">
        <v>54</v>
      </c>
      <c r="D3502" s="46" t="s">
        <v>178</v>
      </c>
      <c r="E3502" s="46">
        <v>2</v>
      </c>
      <c r="F3502" s="46" t="s">
        <v>60</v>
      </c>
      <c r="G3502" s="46">
        <v>1</v>
      </c>
      <c r="H3502" s="47">
        <v>9</v>
      </c>
      <c r="I3502" s="47" t="s">
        <v>101</v>
      </c>
      <c r="J3502" s="48">
        <v>0</v>
      </c>
      <c r="K3502" s="48">
        <v>1</v>
      </c>
      <c r="R3502" s="46">
        <f t="shared" si="329"/>
        <v>0</v>
      </c>
      <c r="S3502" s="46">
        <f t="shared" si="330"/>
        <v>0</v>
      </c>
      <c r="T3502" s="46">
        <f t="shared" si="333"/>
        <v>0</v>
      </c>
      <c r="U3502" s="46">
        <f t="shared" si="331"/>
        <v>0</v>
      </c>
      <c r="V3502" s="54">
        <f t="shared" si="332"/>
        <v>0</v>
      </c>
    </row>
    <row r="3503" spans="1:22" x14ac:dyDescent="0.2">
      <c r="A3503" s="46" t="s">
        <v>205</v>
      </c>
      <c r="B3503" s="46" t="s">
        <v>120</v>
      </c>
      <c r="C3503" s="46" t="s">
        <v>54</v>
      </c>
      <c r="D3503" s="46" t="s">
        <v>178</v>
      </c>
      <c r="E3503" s="46">
        <v>4</v>
      </c>
      <c r="F3503" s="46" t="s">
        <v>60</v>
      </c>
      <c r="G3503" s="46">
        <v>3</v>
      </c>
      <c r="H3503" s="47">
        <v>11</v>
      </c>
      <c r="I3503" s="47" t="s">
        <v>159</v>
      </c>
      <c r="J3503" s="48">
        <v>0</v>
      </c>
      <c r="K3503" s="48">
        <v>0</v>
      </c>
      <c r="R3503" s="46">
        <f t="shared" si="329"/>
        <v>0</v>
      </c>
      <c r="S3503" s="46">
        <f t="shared" si="330"/>
        <v>0</v>
      </c>
      <c r="T3503" s="46">
        <f t="shared" si="333"/>
        <v>0</v>
      </c>
      <c r="U3503" s="46">
        <f t="shared" si="331"/>
        <v>0</v>
      </c>
      <c r="V3503" s="54">
        <f t="shared" si="332"/>
        <v>0</v>
      </c>
    </row>
    <row r="3504" spans="1:22" x14ac:dyDescent="0.2">
      <c r="A3504" s="46" t="s">
        <v>205</v>
      </c>
      <c r="B3504" s="46" t="s">
        <v>120</v>
      </c>
      <c r="C3504" s="46" t="s">
        <v>54</v>
      </c>
      <c r="D3504" s="46" t="s">
        <v>178</v>
      </c>
      <c r="E3504" s="46">
        <v>1</v>
      </c>
      <c r="F3504" s="46" t="s">
        <v>60</v>
      </c>
      <c r="G3504" s="46">
        <v>2</v>
      </c>
      <c r="H3504" s="47">
        <v>14</v>
      </c>
      <c r="I3504" s="47" t="s">
        <v>127</v>
      </c>
      <c r="J3504" s="48">
        <v>0</v>
      </c>
      <c r="K3504" s="48">
        <v>0</v>
      </c>
      <c r="R3504" s="46">
        <f t="shared" si="329"/>
        <v>0</v>
      </c>
      <c r="S3504" s="46">
        <f t="shared" si="330"/>
        <v>0</v>
      </c>
      <c r="T3504" s="46">
        <f t="shared" si="333"/>
        <v>0</v>
      </c>
      <c r="U3504" s="46">
        <f t="shared" si="331"/>
        <v>0</v>
      </c>
      <c r="V3504" s="54">
        <f t="shared" si="332"/>
        <v>0</v>
      </c>
    </row>
    <row r="3505" spans="1:22" x14ac:dyDescent="0.2">
      <c r="A3505" s="46" t="s">
        <v>205</v>
      </c>
      <c r="B3505" s="46" t="s">
        <v>120</v>
      </c>
      <c r="C3505" s="46" t="s">
        <v>54</v>
      </c>
      <c r="D3505" s="46" t="s">
        <v>178</v>
      </c>
      <c r="E3505" s="46">
        <v>3</v>
      </c>
      <c r="F3505" s="46" t="s">
        <v>60</v>
      </c>
      <c r="G3505" s="46">
        <v>4</v>
      </c>
      <c r="H3505" s="47">
        <v>16</v>
      </c>
      <c r="I3505" s="47" t="s">
        <v>102</v>
      </c>
      <c r="J3505" s="48">
        <v>0</v>
      </c>
      <c r="K3505" s="48">
        <v>0</v>
      </c>
      <c r="R3505" s="46">
        <f t="shared" si="329"/>
        <v>0</v>
      </c>
      <c r="S3505" s="46">
        <f t="shared" si="330"/>
        <v>0</v>
      </c>
      <c r="T3505" s="46">
        <f t="shared" si="333"/>
        <v>0</v>
      </c>
      <c r="U3505" s="46">
        <f t="shared" si="331"/>
        <v>0</v>
      </c>
      <c r="V3505" s="54">
        <f t="shared" si="332"/>
        <v>0</v>
      </c>
    </row>
    <row r="3506" spans="1:22" x14ac:dyDescent="0.2">
      <c r="A3506" s="46" t="s">
        <v>205</v>
      </c>
      <c r="B3506" s="46" t="s">
        <v>120</v>
      </c>
      <c r="C3506" s="46" t="s">
        <v>54</v>
      </c>
      <c r="D3506" s="46" t="s">
        <v>178</v>
      </c>
      <c r="E3506" s="46">
        <v>4</v>
      </c>
      <c r="F3506" s="46" t="s">
        <v>60</v>
      </c>
      <c r="G3506" s="46">
        <v>1</v>
      </c>
      <c r="H3506" s="47">
        <v>17</v>
      </c>
      <c r="I3506" s="47" t="s">
        <v>101</v>
      </c>
      <c r="J3506" s="48">
        <v>0</v>
      </c>
      <c r="K3506" s="48">
        <v>0</v>
      </c>
      <c r="R3506" s="46">
        <f t="shared" si="329"/>
        <v>0</v>
      </c>
      <c r="S3506" s="46">
        <f t="shared" si="330"/>
        <v>0</v>
      </c>
      <c r="T3506" s="46">
        <f t="shared" si="333"/>
        <v>0</v>
      </c>
      <c r="U3506" s="46">
        <f t="shared" si="331"/>
        <v>0</v>
      </c>
      <c r="V3506" s="54">
        <f t="shared" si="332"/>
        <v>0</v>
      </c>
    </row>
    <row r="3507" spans="1:22" x14ac:dyDescent="0.2">
      <c r="A3507" s="46" t="s">
        <v>205</v>
      </c>
      <c r="B3507" s="46" t="s">
        <v>120</v>
      </c>
      <c r="C3507" s="46" t="s">
        <v>54</v>
      </c>
      <c r="D3507" s="46" t="s">
        <v>178</v>
      </c>
      <c r="E3507" s="46">
        <v>1</v>
      </c>
      <c r="F3507" s="46" t="s">
        <v>60</v>
      </c>
      <c r="G3507" s="46">
        <v>2</v>
      </c>
      <c r="H3507" s="47">
        <v>22</v>
      </c>
      <c r="I3507" s="47" t="s">
        <v>127</v>
      </c>
      <c r="J3507" s="48">
        <v>0</v>
      </c>
      <c r="K3507" s="48">
        <v>0</v>
      </c>
      <c r="R3507" s="46">
        <f t="shared" si="329"/>
        <v>0</v>
      </c>
      <c r="S3507" s="46">
        <f t="shared" si="330"/>
        <v>0</v>
      </c>
      <c r="T3507" s="46">
        <f t="shared" si="333"/>
        <v>0</v>
      </c>
      <c r="U3507" s="46">
        <f t="shared" si="331"/>
        <v>0</v>
      </c>
      <c r="V3507" s="54">
        <f t="shared" si="332"/>
        <v>0</v>
      </c>
    </row>
    <row r="3508" spans="1:22" x14ac:dyDescent="0.2">
      <c r="A3508" s="46" t="s">
        <v>205</v>
      </c>
      <c r="B3508" s="46" t="s">
        <v>120</v>
      </c>
      <c r="C3508" s="46" t="s">
        <v>54</v>
      </c>
      <c r="D3508" s="46" t="s">
        <v>178</v>
      </c>
      <c r="E3508" s="46">
        <v>2</v>
      </c>
      <c r="F3508" s="46" t="s">
        <v>60</v>
      </c>
      <c r="G3508" s="46">
        <v>4</v>
      </c>
      <c r="H3508" s="47">
        <v>24</v>
      </c>
      <c r="I3508" s="47" t="s">
        <v>102</v>
      </c>
      <c r="J3508" s="48">
        <v>0</v>
      </c>
      <c r="K3508" s="48">
        <v>0</v>
      </c>
      <c r="R3508" s="46">
        <f t="shared" si="329"/>
        <v>0</v>
      </c>
      <c r="S3508" s="46">
        <f t="shared" si="330"/>
        <v>0</v>
      </c>
      <c r="T3508" s="46">
        <f t="shared" si="333"/>
        <v>0</v>
      </c>
      <c r="U3508" s="46">
        <f t="shared" si="331"/>
        <v>0</v>
      </c>
      <c r="V3508" s="54">
        <f t="shared" si="332"/>
        <v>0</v>
      </c>
    </row>
    <row r="3509" spans="1:22" x14ac:dyDescent="0.2">
      <c r="A3509" s="46" t="s">
        <v>205</v>
      </c>
      <c r="B3509" s="46" t="s">
        <v>120</v>
      </c>
      <c r="C3509" s="46" t="s">
        <v>54</v>
      </c>
      <c r="D3509" s="46" t="s">
        <v>178</v>
      </c>
      <c r="E3509" s="46">
        <v>3</v>
      </c>
      <c r="F3509" s="46" t="s">
        <v>60</v>
      </c>
      <c r="G3509" s="46">
        <v>4</v>
      </c>
      <c r="H3509" s="47">
        <v>24</v>
      </c>
      <c r="I3509" s="47" t="s">
        <v>102</v>
      </c>
      <c r="J3509" s="48">
        <v>0</v>
      </c>
      <c r="K3509" s="48">
        <v>0</v>
      </c>
      <c r="R3509" s="46">
        <f t="shared" si="329"/>
        <v>0</v>
      </c>
      <c r="S3509" s="46">
        <f t="shared" si="330"/>
        <v>0</v>
      </c>
      <c r="T3509" s="46">
        <f t="shared" si="333"/>
        <v>0</v>
      </c>
      <c r="U3509" s="46">
        <f t="shared" si="331"/>
        <v>0</v>
      </c>
      <c r="V3509" s="54">
        <f t="shared" si="332"/>
        <v>0</v>
      </c>
    </row>
    <row r="3510" spans="1:22" x14ac:dyDescent="0.2">
      <c r="A3510" s="46" t="s">
        <v>205</v>
      </c>
      <c r="B3510" s="46" t="s">
        <v>120</v>
      </c>
      <c r="C3510" s="46" t="s">
        <v>54</v>
      </c>
      <c r="D3510" s="46" t="s">
        <v>178</v>
      </c>
      <c r="E3510" s="46">
        <v>1</v>
      </c>
      <c r="F3510" s="46" t="s">
        <v>60</v>
      </c>
      <c r="G3510" s="46">
        <v>4</v>
      </c>
      <c r="H3510" s="47">
        <v>28</v>
      </c>
      <c r="I3510" s="47" t="s">
        <v>102</v>
      </c>
      <c r="J3510" s="48">
        <v>0</v>
      </c>
      <c r="K3510" s="48">
        <v>0</v>
      </c>
      <c r="R3510" s="46">
        <f t="shared" si="329"/>
        <v>0</v>
      </c>
      <c r="S3510" s="46">
        <f t="shared" si="330"/>
        <v>0</v>
      </c>
      <c r="T3510" s="46">
        <f t="shared" si="333"/>
        <v>0</v>
      </c>
      <c r="U3510" s="46">
        <f t="shared" si="331"/>
        <v>0</v>
      </c>
      <c r="V3510" s="54">
        <f t="shared" si="332"/>
        <v>0</v>
      </c>
    </row>
    <row r="3511" spans="1:22" x14ac:dyDescent="0.2">
      <c r="A3511" s="46" t="s">
        <v>205</v>
      </c>
      <c r="B3511" s="46" t="s">
        <v>120</v>
      </c>
      <c r="C3511" s="46" t="s">
        <v>54</v>
      </c>
      <c r="D3511" s="46" t="s">
        <v>178</v>
      </c>
      <c r="E3511" s="46">
        <v>4</v>
      </c>
      <c r="F3511" s="46" t="s">
        <v>60</v>
      </c>
      <c r="G3511" s="46">
        <v>4</v>
      </c>
      <c r="H3511" s="47">
        <v>28</v>
      </c>
      <c r="I3511" s="47" t="s">
        <v>102</v>
      </c>
      <c r="J3511" s="48">
        <v>0</v>
      </c>
      <c r="K3511" s="48">
        <v>0</v>
      </c>
      <c r="R3511" s="46">
        <f t="shared" si="329"/>
        <v>0</v>
      </c>
      <c r="S3511" s="46">
        <f t="shared" si="330"/>
        <v>0</v>
      </c>
      <c r="T3511" s="46">
        <f t="shared" si="333"/>
        <v>0</v>
      </c>
      <c r="U3511" s="46">
        <f t="shared" si="331"/>
        <v>0</v>
      </c>
      <c r="V3511" s="54">
        <f t="shared" si="332"/>
        <v>0</v>
      </c>
    </row>
    <row r="3512" spans="1:22" x14ac:dyDescent="0.2">
      <c r="A3512" s="46" t="s">
        <v>205</v>
      </c>
      <c r="B3512" s="46" t="s">
        <v>120</v>
      </c>
      <c r="C3512" s="46" t="s">
        <v>54</v>
      </c>
      <c r="D3512" s="46" t="s">
        <v>178</v>
      </c>
      <c r="E3512" s="46">
        <v>3</v>
      </c>
      <c r="F3512" s="46" t="s">
        <v>60</v>
      </c>
      <c r="G3512" s="46">
        <v>1</v>
      </c>
      <c r="H3512" s="47">
        <v>29</v>
      </c>
      <c r="I3512" s="47" t="s">
        <v>101</v>
      </c>
      <c r="J3512" s="48">
        <v>0</v>
      </c>
      <c r="K3512" s="48">
        <v>0</v>
      </c>
      <c r="R3512" s="46">
        <f t="shared" si="329"/>
        <v>0</v>
      </c>
      <c r="S3512" s="46">
        <f t="shared" si="330"/>
        <v>0</v>
      </c>
      <c r="T3512" s="46">
        <f t="shared" si="333"/>
        <v>0</v>
      </c>
      <c r="U3512" s="46">
        <f t="shared" si="331"/>
        <v>0</v>
      </c>
      <c r="V3512" s="54">
        <f t="shared" si="332"/>
        <v>0</v>
      </c>
    </row>
    <row r="3513" spans="1:22" x14ac:dyDescent="0.2">
      <c r="A3513" s="46" t="s">
        <v>205</v>
      </c>
      <c r="B3513" s="46" t="s">
        <v>120</v>
      </c>
      <c r="C3513" s="46" t="s">
        <v>54</v>
      </c>
      <c r="D3513" s="46" t="s">
        <v>178</v>
      </c>
      <c r="E3513" s="46">
        <v>2</v>
      </c>
      <c r="F3513" s="46" t="s">
        <v>60</v>
      </c>
      <c r="G3513" s="46">
        <v>3</v>
      </c>
      <c r="H3513" s="47">
        <v>31</v>
      </c>
      <c r="I3513" s="47" t="s">
        <v>116</v>
      </c>
      <c r="J3513" s="48">
        <v>0</v>
      </c>
      <c r="K3513" s="48">
        <v>0</v>
      </c>
      <c r="R3513" s="46">
        <f t="shared" si="329"/>
        <v>0</v>
      </c>
      <c r="S3513" s="46">
        <f t="shared" si="330"/>
        <v>0</v>
      </c>
      <c r="T3513" s="46">
        <f t="shared" si="333"/>
        <v>0</v>
      </c>
      <c r="U3513" s="46">
        <f t="shared" si="331"/>
        <v>0</v>
      </c>
      <c r="V3513" s="54">
        <f t="shared" si="332"/>
        <v>0</v>
      </c>
    </row>
    <row r="3514" spans="1:22" x14ac:dyDescent="0.2">
      <c r="A3514" s="46" t="s">
        <v>205</v>
      </c>
      <c r="B3514" s="46" t="s">
        <v>120</v>
      </c>
      <c r="C3514" s="46" t="s">
        <v>54</v>
      </c>
      <c r="D3514" s="46" t="s">
        <v>178</v>
      </c>
      <c r="E3514" s="46">
        <v>4</v>
      </c>
      <c r="F3514" s="46" t="s">
        <v>60</v>
      </c>
      <c r="G3514" s="46">
        <v>2</v>
      </c>
      <c r="H3514" s="47">
        <v>34</v>
      </c>
      <c r="I3514" s="47" t="s">
        <v>127</v>
      </c>
      <c r="J3514" s="48">
        <v>0</v>
      </c>
      <c r="K3514" s="48">
        <v>0</v>
      </c>
      <c r="R3514" s="46">
        <f t="shared" si="329"/>
        <v>0</v>
      </c>
      <c r="S3514" s="46">
        <f t="shared" si="330"/>
        <v>0</v>
      </c>
      <c r="T3514" s="46">
        <f t="shared" si="333"/>
        <v>0</v>
      </c>
      <c r="U3514" s="46">
        <f t="shared" si="331"/>
        <v>0</v>
      </c>
      <c r="V3514" s="54">
        <f t="shared" si="332"/>
        <v>0</v>
      </c>
    </row>
    <row r="3515" spans="1:22" x14ac:dyDescent="0.2">
      <c r="A3515" s="46" t="s">
        <v>205</v>
      </c>
      <c r="B3515" s="46" t="s">
        <v>120</v>
      </c>
      <c r="C3515" s="46" t="s">
        <v>54</v>
      </c>
      <c r="D3515" s="46" t="s">
        <v>178</v>
      </c>
      <c r="E3515" s="46">
        <v>3</v>
      </c>
      <c r="F3515" s="46" t="s">
        <v>60</v>
      </c>
      <c r="G3515" s="46">
        <v>2</v>
      </c>
      <c r="H3515" s="47">
        <v>38</v>
      </c>
      <c r="I3515" s="47" t="s">
        <v>127</v>
      </c>
      <c r="J3515" s="48">
        <v>0</v>
      </c>
      <c r="K3515" s="48">
        <v>0</v>
      </c>
      <c r="R3515" s="46">
        <f t="shared" si="329"/>
        <v>0</v>
      </c>
      <c r="S3515" s="46">
        <f t="shared" si="330"/>
        <v>0</v>
      </c>
      <c r="T3515" s="46">
        <f t="shared" si="333"/>
        <v>0</v>
      </c>
      <c r="U3515" s="46">
        <f t="shared" si="331"/>
        <v>0</v>
      </c>
      <c r="V3515" s="54">
        <f t="shared" si="332"/>
        <v>0</v>
      </c>
    </row>
    <row r="3516" spans="1:22" x14ac:dyDescent="0.2">
      <c r="A3516" s="46" t="s">
        <v>205</v>
      </c>
      <c r="B3516" s="46" t="s">
        <v>120</v>
      </c>
      <c r="C3516" s="46" t="s">
        <v>54</v>
      </c>
      <c r="D3516" s="46" t="s">
        <v>178</v>
      </c>
      <c r="E3516" s="46">
        <v>1</v>
      </c>
      <c r="F3516" s="46" t="s">
        <v>60</v>
      </c>
      <c r="G3516" s="46">
        <v>4</v>
      </c>
      <c r="H3516" s="47">
        <v>40</v>
      </c>
      <c r="I3516" s="47" t="s">
        <v>102</v>
      </c>
      <c r="J3516" s="48">
        <v>0</v>
      </c>
      <c r="K3516" s="48">
        <v>0</v>
      </c>
      <c r="R3516" s="46">
        <f t="shared" si="329"/>
        <v>0</v>
      </c>
      <c r="S3516" s="46">
        <f t="shared" si="330"/>
        <v>0</v>
      </c>
      <c r="T3516" s="46">
        <f t="shared" si="333"/>
        <v>0</v>
      </c>
      <c r="U3516" s="46">
        <f t="shared" si="331"/>
        <v>0</v>
      </c>
      <c r="V3516" s="54">
        <f t="shared" si="332"/>
        <v>0</v>
      </c>
    </row>
    <row r="3517" spans="1:22" x14ac:dyDescent="0.2">
      <c r="A3517" s="46" t="s">
        <v>205</v>
      </c>
      <c r="B3517" s="46" t="s">
        <v>120</v>
      </c>
      <c r="C3517" s="46" t="s">
        <v>54</v>
      </c>
      <c r="D3517" s="46" t="s">
        <v>178</v>
      </c>
      <c r="E3517" s="46">
        <v>3</v>
      </c>
      <c r="F3517" s="46" t="s">
        <v>60</v>
      </c>
      <c r="G3517" s="46">
        <v>3</v>
      </c>
      <c r="H3517" s="47">
        <v>43</v>
      </c>
      <c r="I3517" s="47" t="s">
        <v>116</v>
      </c>
      <c r="J3517" s="48">
        <v>0</v>
      </c>
      <c r="K3517" s="48">
        <v>0</v>
      </c>
      <c r="R3517" s="46">
        <f t="shared" si="329"/>
        <v>0</v>
      </c>
      <c r="S3517" s="46">
        <f t="shared" si="330"/>
        <v>0</v>
      </c>
      <c r="T3517" s="46">
        <f t="shared" si="333"/>
        <v>0</v>
      </c>
      <c r="U3517" s="46">
        <f t="shared" si="331"/>
        <v>0</v>
      </c>
      <c r="V3517" s="54">
        <f t="shared" si="332"/>
        <v>0</v>
      </c>
    </row>
    <row r="3518" spans="1:22" x14ac:dyDescent="0.2">
      <c r="A3518" s="46" t="s">
        <v>205</v>
      </c>
      <c r="B3518" s="46" t="s">
        <v>120</v>
      </c>
      <c r="C3518" s="46" t="s">
        <v>54</v>
      </c>
      <c r="D3518" s="46" t="s">
        <v>178</v>
      </c>
      <c r="E3518" s="46">
        <v>2</v>
      </c>
      <c r="F3518" s="46" t="s">
        <v>60</v>
      </c>
      <c r="G3518" s="46">
        <v>4</v>
      </c>
      <c r="H3518" s="47">
        <v>44</v>
      </c>
      <c r="I3518" s="47" t="s">
        <v>102</v>
      </c>
      <c r="J3518" s="48">
        <v>0</v>
      </c>
      <c r="K3518" s="48">
        <v>0</v>
      </c>
      <c r="R3518" s="46">
        <f t="shared" si="329"/>
        <v>0</v>
      </c>
      <c r="S3518" s="46">
        <f t="shared" si="330"/>
        <v>0</v>
      </c>
      <c r="T3518" s="46">
        <f t="shared" si="333"/>
        <v>0</v>
      </c>
      <c r="U3518" s="46">
        <f t="shared" si="331"/>
        <v>0</v>
      </c>
      <c r="V3518" s="54">
        <f t="shared" si="332"/>
        <v>0</v>
      </c>
    </row>
    <row r="3519" spans="1:22" x14ac:dyDescent="0.2">
      <c r="A3519" s="46" t="s">
        <v>205</v>
      </c>
      <c r="B3519" s="46" t="s">
        <v>120</v>
      </c>
      <c r="C3519" s="46" t="s">
        <v>54</v>
      </c>
      <c r="D3519" s="46" t="s">
        <v>178</v>
      </c>
      <c r="E3519" s="46">
        <v>4</v>
      </c>
      <c r="F3519" s="46" t="s">
        <v>60</v>
      </c>
      <c r="G3519" s="46">
        <v>4</v>
      </c>
      <c r="H3519" s="47">
        <v>44</v>
      </c>
      <c r="I3519" s="47" t="s">
        <v>102</v>
      </c>
      <c r="J3519" s="48">
        <v>0</v>
      </c>
      <c r="K3519" s="48">
        <v>0</v>
      </c>
      <c r="R3519" s="46">
        <f t="shared" si="329"/>
        <v>0</v>
      </c>
      <c r="S3519" s="46">
        <f t="shared" si="330"/>
        <v>0</v>
      </c>
      <c r="T3519" s="46">
        <f t="shared" si="333"/>
        <v>0</v>
      </c>
      <c r="U3519" s="46">
        <f t="shared" si="331"/>
        <v>0</v>
      </c>
      <c r="V3519" s="54">
        <f t="shared" si="332"/>
        <v>0</v>
      </c>
    </row>
    <row r="3520" spans="1:22" x14ac:dyDescent="0.2">
      <c r="A3520" s="46" t="s">
        <v>205</v>
      </c>
      <c r="B3520" s="46" t="s">
        <v>120</v>
      </c>
      <c r="C3520" s="46" t="s">
        <v>54</v>
      </c>
      <c r="D3520" s="46" t="s">
        <v>178</v>
      </c>
      <c r="E3520" s="46">
        <v>1</v>
      </c>
      <c r="F3520" s="46" t="s">
        <v>60</v>
      </c>
      <c r="G3520" s="46">
        <v>3</v>
      </c>
      <c r="H3520" s="47">
        <v>47</v>
      </c>
      <c r="I3520" s="47" t="s">
        <v>116</v>
      </c>
      <c r="J3520" s="48">
        <v>0</v>
      </c>
      <c r="K3520" s="48">
        <v>0</v>
      </c>
      <c r="R3520" s="46">
        <f t="shared" si="329"/>
        <v>0</v>
      </c>
      <c r="S3520" s="46">
        <f t="shared" si="330"/>
        <v>0</v>
      </c>
      <c r="T3520" s="46">
        <f t="shared" si="333"/>
        <v>0</v>
      </c>
      <c r="U3520" s="46">
        <f t="shared" si="331"/>
        <v>0</v>
      </c>
      <c r="V3520" s="54">
        <f t="shared" si="332"/>
        <v>0</v>
      </c>
    </row>
    <row r="3521" spans="1:22" x14ac:dyDescent="0.2">
      <c r="A3521" s="46" t="s">
        <v>205</v>
      </c>
      <c r="B3521" s="46" t="s">
        <v>120</v>
      </c>
      <c r="C3521" s="46" t="s">
        <v>54</v>
      </c>
      <c r="D3521" s="46" t="s">
        <v>178</v>
      </c>
      <c r="E3521" s="46">
        <v>2</v>
      </c>
      <c r="F3521" s="46" t="s">
        <v>60</v>
      </c>
      <c r="G3521" s="46">
        <v>2</v>
      </c>
      <c r="H3521" s="47">
        <v>50</v>
      </c>
      <c r="I3521" s="47" t="s">
        <v>127</v>
      </c>
      <c r="J3521" s="48">
        <v>0</v>
      </c>
      <c r="K3521" s="48">
        <v>0</v>
      </c>
      <c r="R3521" s="46">
        <f t="shared" si="329"/>
        <v>0</v>
      </c>
      <c r="S3521" s="46">
        <f t="shared" si="330"/>
        <v>0</v>
      </c>
      <c r="T3521" s="46">
        <f t="shared" si="333"/>
        <v>0</v>
      </c>
      <c r="U3521" s="46">
        <f t="shared" si="331"/>
        <v>0</v>
      </c>
      <c r="V3521" s="54">
        <f t="shared" si="332"/>
        <v>0</v>
      </c>
    </row>
    <row r="3522" spans="1:22" x14ac:dyDescent="0.2">
      <c r="A3522" s="46" t="s">
        <v>205</v>
      </c>
      <c r="B3522" s="46" t="s">
        <v>120</v>
      </c>
      <c r="C3522" s="46" t="s">
        <v>54</v>
      </c>
      <c r="D3522" s="46" t="s">
        <v>178</v>
      </c>
      <c r="E3522" s="46">
        <v>1</v>
      </c>
      <c r="F3522" s="46" t="s">
        <v>62</v>
      </c>
      <c r="G3522" s="46">
        <v>2</v>
      </c>
      <c r="H3522" s="47" t="s">
        <v>81</v>
      </c>
      <c r="I3522" s="47" t="s">
        <v>127</v>
      </c>
      <c r="J3522" s="48">
        <v>0</v>
      </c>
      <c r="K3522" s="48">
        <v>0</v>
      </c>
      <c r="R3522" s="46">
        <f t="shared" ref="R3522:R3585" si="334">IF(J3522=4,1,0)</f>
        <v>0</v>
      </c>
      <c r="S3522" s="46">
        <f t="shared" ref="S3522:S3585" si="335">IF(K3522=3,1,0)</f>
        <v>0</v>
      </c>
      <c r="T3522" s="46">
        <f t="shared" si="333"/>
        <v>0</v>
      </c>
      <c r="U3522" s="46">
        <f t="shared" ref="U3522:U3585" si="336">T3522+M3522*(20) + (SUM(O3522:Q3522)*(10)) - L3522*(5) - N3522*(5)</f>
        <v>0</v>
      </c>
      <c r="V3522" s="54">
        <f t="shared" ref="V3522:V3585" si="337">AVERAGEIFS(U:U,A:A,A3522,F:F,"Pre")</f>
        <v>0</v>
      </c>
    </row>
    <row r="3523" spans="1:22" x14ac:dyDescent="0.2">
      <c r="A3523" s="46" t="s">
        <v>205</v>
      </c>
      <c r="B3523" s="46" t="s">
        <v>120</v>
      </c>
      <c r="C3523" s="46" t="s">
        <v>54</v>
      </c>
      <c r="D3523" s="46" t="s">
        <v>178</v>
      </c>
      <c r="E3523" s="46">
        <v>2</v>
      </c>
      <c r="F3523" s="46" t="s">
        <v>62</v>
      </c>
      <c r="G3523" s="46">
        <v>2</v>
      </c>
      <c r="H3523" s="47" t="s">
        <v>81</v>
      </c>
      <c r="I3523" s="47" t="s">
        <v>127</v>
      </c>
      <c r="J3523" s="48">
        <v>0</v>
      </c>
      <c r="K3523" s="48">
        <v>0</v>
      </c>
      <c r="R3523" s="46">
        <f t="shared" si="334"/>
        <v>0</v>
      </c>
      <c r="S3523" s="46">
        <f t="shared" si="335"/>
        <v>0</v>
      </c>
      <c r="T3523" s="46">
        <f t="shared" si="333"/>
        <v>0</v>
      </c>
      <c r="U3523" s="46">
        <f t="shared" si="336"/>
        <v>0</v>
      </c>
      <c r="V3523" s="54">
        <f t="shared" si="337"/>
        <v>0</v>
      </c>
    </row>
    <row r="3524" spans="1:22" x14ac:dyDescent="0.2">
      <c r="A3524" s="46" t="s">
        <v>205</v>
      </c>
      <c r="B3524" s="46" t="s">
        <v>120</v>
      </c>
      <c r="C3524" s="46" t="s">
        <v>54</v>
      </c>
      <c r="D3524" s="46" t="s">
        <v>178</v>
      </c>
      <c r="E3524" s="46">
        <v>3</v>
      </c>
      <c r="F3524" s="46" t="s">
        <v>62</v>
      </c>
      <c r="G3524" s="46">
        <v>2</v>
      </c>
      <c r="H3524" s="47" t="s">
        <v>81</v>
      </c>
      <c r="I3524" s="47" t="s">
        <v>127</v>
      </c>
      <c r="J3524" s="48">
        <v>0</v>
      </c>
      <c r="K3524" s="48">
        <v>0</v>
      </c>
      <c r="R3524" s="46">
        <f t="shared" si="334"/>
        <v>0</v>
      </c>
      <c r="S3524" s="46">
        <f t="shared" si="335"/>
        <v>0</v>
      </c>
      <c r="T3524" s="46">
        <f t="shared" si="333"/>
        <v>0</v>
      </c>
      <c r="U3524" s="46">
        <f t="shared" si="336"/>
        <v>0</v>
      </c>
      <c r="V3524" s="54">
        <f t="shared" si="337"/>
        <v>0</v>
      </c>
    </row>
    <row r="3525" spans="1:22" x14ac:dyDescent="0.2">
      <c r="A3525" s="46" t="s">
        <v>205</v>
      </c>
      <c r="B3525" s="46" t="s">
        <v>120</v>
      </c>
      <c r="C3525" s="46" t="s">
        <v>54</v>
      </c>
      <c r="D3525" s="46" t="s">
        <v>178</v>
      </c>
      <c r="E3525" s="46">
        <v>3</v>
      </c>
      <c r="F3525" s="46" t="s">
        <v>62</v>
      </c>
      <c r="G3525" s="46">
        <v>3</v>
      </c>
      <c r="H3525" s="47" t="s">
        <v>84</v>
      </c>
      <c r="I3525" s="47" t="s">
        <v>116</v>
      </c>
      <c r="J3525" s="48">
        <v>0</v>
      </c>
      <c r="K3525" s="48">
        <v>0</v>
      </c>
      <c r="R3525" s="46">
        <f t="shared" si="334"/>
        <v>0</v>
      </c>
      <c r="S3525" s="46">
        <f t="shared" si="335"/>
        <v>0</v>
      </c>
      <c r="T3525" s="46">
        <f t="shared" si="333"/>
        <v>0</v>
      </c>
      <c r="U3525" s="46">
        <f t="shared" si="336"/>
        <v>0</v>
      </c>
      <c r="V3525" s="54">
        <f t="shared" si="337"/>
        <v>0</v>
      </c>
    </row>
    <row r="3526" spans="1:22" x14ac:dyDescent="0.2">
      <c r="A3526" s="46" t="s">
        <v>205</v>
      </c>
      <c r="B3526" s="46" t="s">
        <v>120</v>
      </c>
      <c r="C3526" s="46" t="s">
        <v>54</v>
      </c>
      <c r="D3526" s="46" t="s">
        <v>178</v>
      </c>
      <c r="E3526" s="46">
        <v>1</v>
      </c>
      <c r="F3526" s="46" t="s">
        <v>62</v>
      </c>
      <c r="G3526" s="46">
        <v>3</v>
      </c>
      <c r="H3526" s="47" t="s">
        <v>85</v>
      </c>
      <c r="I3526" s="47" t="s">
        <v>116</v>
      </c>
      <c r="J3526" s="48">
        <v>0</v>
      </c>
      <c r="K3526" s="48">
        <v>0</v>
      </c>
      <c r="R3526" s="46">
        <f t="shared" si="334"/>
        <v>0</v>
      </c>
      <c r="S3526" s="46">
        <f t="shared" si="335"/>
        <v>0</v>
      </c>
      <c r="T3526" s="46">
        <f t="shared" si="333"/>
        <v>0</v>
      </c>
      <c r="U3526" s="46">
        <f t="shared" si="336"/>
        <v>0</v>
      </c>
      <c r="V3526" s="54">
        <f t="shared" si="337"/>
        <v>0</v>
      </c>
    </row>
    <row r="3527" spans="1:22" x14ac:dyDescent="0.2">
      <c r="A3527" s="46" t="s">
        <v>205</v>
      </c>
      <c r="B3527" s="46" t="s">
        <v>120</v>
      </c>
      <c r="C3527" s="46" t="s">
        <v>54</v>
      </c>
      <c r="D3527" s="46" t="s">
        <v>178</v>
      </c>
      <c r="E3527" s="46">
        <v>2</v>
      </c>
      <c r="F3527" s="46" t="s">
        <v>62</v>
      </c>
      <c r="G3527" s="46">
        <v>3</v>
      </c>
      <c r="H3527" s="47" t="s">
        <v>85</v>
      </c>
      <c r="I3527" s="47" t="s">
        <v>116</v>
      </c>
      <c r="J3527" s="48">
        <v>0</v>
      </c>
      <c r="K3527" s="48">
        <v>0</v>
      </c>
      <c r="R3527" s="46">
        <f t="shared" si="334"/>
        <v>0</v>
      </c>
      <c r="S3527" s="46">
        <f t="shared" si="335"/>
        <v>0</v>
      </c>
      <c r="T3527" s="46">
        <f t="shared" si="333"/>
        <v>0</v>
      </c>
      <c r="U3527" s="46">
        <f t="shared" si="336"/>
        <v>0</v>
      </c>
      <c r="V3527" s="54">
        <f t="shared" si="337"/>
        <v>0</v>
      </c>
    </row>
    <row r="3528" spans="1:22" x14ac:dyDescent="0.2">
      <c r="A3528" s="46" t="s">
        <v>205</v>
      </c>
      <c r="B3528" s="46" t="s">
        <v>120</v>
      </c>
      <c r="C3528" s="46" t="s">
        <v>54</v>
      </c>
      <c r="D3528" s="46" t="s">
        <v>178</v>
      </c>
      <c r="E3528" s="46">
        <v>3</v>
      </c>
      <c r="F3528" s="46" t="s">
        <v>62</v>
      </c>
      <c r="G3528" s="46">
        <v>2</v>
      </c>
      <c r="H3528" s="47" t="s">
        <v>86</v>
      </c>
      <c r="I3528" s="47" t="s">
        <v>127</v>
      </c>
      <c r="J3528" s="48">
        <v>0</v>
      </c>
      <c r="K3528" s="48">
        <v>0</v>
      </c>
      <c r="R3528" s="46">
        <f t="shared" si="334"/>
        <v>0</v>
      </c>
      <c r="S3528" s="46">
        <f t="shared" si="335"/>
        <v>0</v>
      </c>
      <c r="T3528" s="46">
        <f t="shared" si="333"/>
        <v>0</v>
      </c>
      <c r="U3528" s="46">
        <f t="shared" si="336"/>
        <v>0</v>
      </c>
      <c r="V3528" s="54">
        <f t="shared" si="337"/>
        <v>0</v>
      </c>
    </row>
    <row r="3529" spans="1:22" x14ac:dyDescent="0.2">
      <c r="A3529" s="46" t="s">
        <v>205</v>
      </c>
      <c r="B3529" s="46" t="s">
        <v>120</v>
      </c>
      <c r="C3529" s="46" t="s">
        <v>54</v>
      </c>
      <c r="D3529" s="46" t="s">
        <v>178</v>
      </c>
      <c r="E3529" s="46">
        <v>3</v>
      </c>
      <c r="F3529" s="46" t="s">
        <v>62</v>
      </c>
      <c r="G3529" s="46">
        <v>3</v>
      </c>
      <c r="H3529" s="47" t="s">
        <v>64</v>
      </c>
      <c r="I3529" s="47" t="s">
        <v>116</v>
      </c>
      <c r="J3529" s="48">
        <v>0</v>
      </c>
      <c r="K3529" s="48">
        <v>0</v>
      </c>
      <c r="R3529" s="46">
        <f t="shared" si="334"/>
        <v>0</v>
      </c>
      <c r="S3529" s="46">
        <f t="shared" si="335"/>
        <v>0</v>
      </c>
      <c r="T3529" s="46">
        <f t="shared" si="333"/>
        <v>0</v>
      </c>
      <c r="U3529" s="46">
        <f t="shared" si="336"/>
        <v>0</v>
      </c>
      <c r="V3529" s="54">
        <f t="shared" si="337"/>
        <v>0</v>
      </c>
    </row>
    <row r="3530" spans="1:22" x14ac:dyDescent="0.2">
      <c r="A3530" s="46" t="s">
        <v>205</v>
      </c>
      <c r="B3530" s="46" t="s">
        <v>120</v>
      </c>
      <c r="C3530" s="46" t="s">
        <v>54</v>
      </c>
      <c r="D3530" s="46" t="s">
        <v>178</v>
      </c>
      <c r="E3530" s="46">
        <v>4</v>
      </c>
      <c r="F3530" s="46" t="s">
        <v>63</v>
      </c>
      <c r="G3530" s="46">
        <v>4</v>
      </c>
      <c r="H3530" s="47" t="s">
        <v>146</v>
      </c>
      <c r="I3530" s="47" t="s">
        <v>102</v>
      </c>
      <c r="J3530" s="48">
        <v>0</v>
      </c>
      <c r="K3530" s="48">
        <v>0</v>
      </c>
      <c r="R3530" s="46">
        <f t="shared" si="334"/>
        <v>0</v>
      </c>
      <c r="S3530" s="46">
        <f t="shared" si="335"/>
        <v>0</v>
      </c>
      <c r="T3530" s="46">
        <f t="shared" si="333"/>
        <v>0</v>
      </c>
      <c r="U3530" s="46">
        <f t="shared" si="336"/>
        <v>0</v>
      </c>
      <c r="V3530" s="54">
        <f t="shared" si="337"/>
        <v>0</v>
      </c>
    </row>
    <row r="3531" spans="1:22" x14ac:dyDescent="0.2">
      <c r="A3531" s="46" t="s">
        <v>205</v>
      </c>
      <c r="B3531" s="46" t="s">
        <v>120</v>
      </c>
      <c r="C3531" s="46" t="s">
        <v>54</v>
      </c>
      <c r="D3531" s="46" t="s">
        <v>178</v>
      </c>
      <c r="E3531" s="46">
        <v>4</v>
      </c>
      <c r="F3531" s="46" t="s">
        <v>63</v>
      </c>
      <c r="G3531" s="46">
        <v>4</v>
      </c>
      <c r="H3531" s="47" t="s">
        <v>147</v>
      </c>
      <c r="I3531" s="47" t="s">
        <v>102</v>
      </c>
      <c r="J3531" s="48">
        <v>0</v>
      </c>
      <c r="K3531" s="48">
        <v>0</v>
      </c>
      <c r="R3531" s="46">
        <f t="shared" si="334"/>
        <v>0</v>
      </c>
      <c r="S3531" s="46">
        <f t="shared" si="335"/>
        <v>0</v>
      </c>
      <c r="T3531" s="46">
        <f t="shared" si="333"/>
        <v>0</v>
      </c>
      <c r="U3531" s="46">
        <f t="shared" si="336"/>
        <v>0</v>
      </c>
      <c r="V3531" s="54">
        <f t="shared" si="337"/>
        <v>0</v>
      </c>
    </row>
    <row r="3532" spans="1:22" x14ac:dyDescent="0.2">
      <c r="A3532" s="46" t="s">
        <v>205</v>
      </c>
      <c r="B3532" s="46" t="s">
        <v>120</v>
      </c>
      <c r="C3532" s="46" t="s">
        <v>54</v>
      </c>
      <c r="D3532" s="46" t="s">
        <v>178</v>
      </c>
      <c r="E3532" s="46">
        <v>4</v>
      </c>
      <c r="F3532" s="46" t="s">
        <v>63</v>
      </c>
      <c r="G3532" s="46">
        <v>4</v>
      </c>
      <c r="H3532" s="47" t="s">
        <v>150</v>
      </c>
      <c r="I3532" s="47" t="s">
        <v>102</v>
      </c>
      <c r="J3532" s="48">
        <v>0</v>
      </c>
      <c r="K3532" s="48">
        <v>0</v>
      </c>
      <c r="R3532" s="46">
        <f t="shared" si="334"/>
        <v>0</v>
      </c>
      <c r="S3532" s="46">
        <f t="shared" si="335"/>
        <v>0</v>
      </c>
      <c r="T3532" s="46">
        <f t="shared" si="333"/>
        <v>0</v>
      </c>
      <c r="U3532" s="46">
        <f t="shared" si="336"/>
        <v>0</v>
      </c>
      <c r="V3532" s="54">
        <f t="shared" si="337"/>
        <v>0</v>
      </c>
    </row>
    <row r="3533" spans="1:22" x14ac:dyDescent="0.2">
      <c r="A3533" s="46" t="s">
        <v>205</v>
      </c>
      <c r="B3533" s="46" t="s">
        <v>120</v>
      </c>
      <c r="C3533" s="46" t="s">
        <v>54</v>
      </c>
      <c r="D3533" s="46" t="s">
        <v>178</v>
      </c>
      <c r="E3533" s="46">
        <v>5</v>
      </c>
      <c r="F3533" s="46" t="s">
        <v>60</v>
      </c>
      <c r="G3533" s="46">
        <v>3</v>
      </c>
      <c r="H3533" s="47">
        <v>7</v>
      </c>
      <c r="I3533" s="47" t="s">
        <v>159</v>
      </c>
      <c r="J3533" s="48">
        <v>0</v>
      </c>
      <c r="K3533" s="48">
        <v>0</v>
      </c>
      <c r="R3533" s="46">
        <f t="shared" si="334"/>
        <v>0</v>
      </c>
      <c r="S3533" s="46">
        <f t="shared" si="335"/>
        <v>0</v>
      </c>
      <c r="T3533" s="46">
        <f t="shared" ref="T3533:T3541" si="338">quizscore(J3533,K3533)</f>
        <v>0</v>
      </c>
      <c r="U3533" s="46">
        <f t="shared" si="336"/>
        <v>0</v>
      </c>
      <c r="V3533" s="54">
        <f t="shared" si="337"/>
        <v>0</v>
      </c>
    </row>
    <row r="3534" spans="1:22" x14ac:dyDescent="0.2">
      <c r="A3534" s="46" t="s">
        <v>205</v>
      </c>
      <c r="B3534" s="46" t="s">
        <v>120</v>
      </c>
      <c r="C3534" s="46" t="s">
        <v>54</v>
      </c>
      <c r="D3534" s="46" t="s">
        <v>178</v>
      </c>
      <c r="E3534" s="46">
        <v>5</v>
      </c>
      <c r="F3534" s="46" t="s">
        <v>60</v>
      </c>
      <c r="G3534" s="46">
        <v>2</v>
      </c>
      <c r="H3534" s="47">
        <v>14</v>
      </c>
      <c r="I3534" s="47" t="s">
        <v>127</v>
      </c>
      <c r="J3534" s="48">
        <v>0</v>
      </c>
      <c r="K3534" s="48">
        <v>0</v>
      </c>
      <c r="R3534" s="46">
        <f t="shared" si="334"/>
        <v>0</v>
      </c>
      <c r="S3534" s="46">
        <f t="shared" si="335"/>
        <v>0</v>
      </c>
      <c r="T3534" s="46">
        <f t="shared" si="338"/>
        <v>0</v>
      </c>
      <c r="U3534" s="46">
        <f t="shared" si="336"/>
        <v>0</v>
      </c>
      <c r="V3534" s="54">
        <f t="shared" si="337"/>
        <v>0</v>
      </c>
    </row>
    <row r="3535" spans="1:22" x14ac:dyDescent="0.2">
      <c r="A3535" s="46" t="s">
        <v>205</v>
      </c>
      <c r="B3535" s="46" t="s">
        <v>120</v>
      </c>
      <c r="C3535" s="46" t="s">
        <v>54</v>
      </c>
      <c r="D3535" s="46" t="s">
        <v>178</v>
      </c>
      <c r="E3535" s="46">
        <v>5</v>
      </c>
      <c r="F3535" s="46" t="s">
        <v>60</v>
      </c>
      <c r="G3535" s="46">
        <v>2</v>
      </c>
      <c r="H3535" s="47">
        <v>18</v>
      </c>
      <c r="I3535" s="47" t="s">
        <v>127</v>
      </c>
      <c r="J3535" s="48">
        <v>0</v>
      </c>
      <c r="K3535" s="48">
        <v>0</v>
      </c>
      <c r="R3535" s="46">
        <f t="shared" si="334"/>
        <v>0</v>
      </c>
      <c r="S3535" s="46">
        <f t="shared" si="335"/>
        <v>0</v>
      </c>
      <c r="T3535" s="46">
        <f t="shared" si="338"/>
        <v>0</v>
      </c>
      <c r="U3535" s="46">
        <f t="shared" si="336"/>
        <v>0</v>
      </c>
      <c r="V3535" s="54">
        <f t="shared" si="337"/>
        <v>0</v>
      </c>
    </row>
    <row r="3536" spans="1:22" x14ac:dyDescent="0.2">
      <c r="A3536" s="46" t="s">
        <v>205</v>
      </c>
      <c r="B3536" s="46" t="s">
        <v>120</v>
      </c>
      <c r="C3536" s="46" t="s">
        <v>54</v>
      </c>
      <c r="D3536" s="46" t="s">
        <v>178</v>
      </c>
      <c r="E3536" s="46">
        <v>5</v>
      </c>
      <c r="F3536" s="46" t="s">
        <v>60</v>
      </c>
      <c r="G3536" s="46">
        <v>4</v>
      </c>
      <c r="H3536" s="47">
        <v>32</v>
      </c>
      <c r="I3536" s="47" t="s">
        <v>102</v>
      </c>
      <c r="J3536" s="48">
        <v>0</v>
      </c>
      <c r="K3536" s="48">
        <v>0</v>
      </c>
      <c r="R3536" s="46">
        <f t="shared" si="334"/>
        <v>0</v>
      </c>
      <c r="S3536" s="46">
        <f t="shared" si="335"/>
        <v>0</v>
      </c>
      <c r="T3536" s="46">
        <f t="shared" si="338"/>
        <v>0</v>
      </c>
      <c r="U3536" s="46">
        <f t="shared" si="336"/>
        <v>0</v>
      </c>
      <c r="V3536" s="54">
        <f t="shared" si="337"/>
        <v>0</v>
      </c>
    </row>
    <row r="3537" spans="1:22" x14ac:dyDescent="0.2">
      <c r="A3537" s="46" t="s">
        <v>205</v>
      </c>
      <c r="B3537" s="46" t="s">
        <v>120</v>
      </c>
      <c r="C3537" s="46" t="s">
        <v>54</v>
      </c>
      <c r="D3537" s="46" t="s">
        <v>178</v>
      </c>
      <c r="E3537" s="46">
        <v>5</v>
      </c>
      <c r="F3537" s="46" t="s">
        <v>60</v>
      </c>
      <c r="G3537" s="46">
        <v>4</v>
      </c>
      <c r="H3537" s="47">
        <v>40</v>
      </c>
      <c r="I3537" s="47" t="s">
        <v>102</v>
      </c>
      <c r="J3537" s="48">
        <v>0</v>
      </c>
      <c r="K3537" s="48">
        <v>0</v>
      </c>
      <c r="R3537" s="46">
        <f t="shared" si="334"/>
        <v>0</v>
      </c>
      <c r="S3537" s="46">
        <f t="shared" si="335"/>
        <v>0</v>
      </c>
      <c r="T3537" s="46">
        <f t="shared" si="338"/>
        <v>0</v>
      </c>
      <c r="U3537" s="46">
        <f t="shared" si="336"/>
        <v>0</v>
      </c>
      <c r="V3537" s="54">
        <f t="shared" si="337"/>
        <v>0</v>
      </c>
    </row>
    <row r="3538" spans="1:22" x14ac:dyDescent="0.2">
      <c r="A3538" s="46" t="s">
        <v>205</v>
      </c>
      <c r="B3538" s="46" t="s">
        <v>120</v>
      </c>
      <c r="C3538" s="46" t="s">
        <v>54</v>
      </c>
      <c r="D3538" s="46" t="s">
        <v>178</v>
      </c>
      <c r="E3538" s="46">
        <v>5</v>
      </c>
      <c r="F3538" s="46" t="s">
        <v>60</v>
      </c>
      <c r="G3538" s="46">
        <v>1</v>
      </c>
      <c r="H3538" s="47">
        <v>49</v>
      </c>
      <c r="I3538" s="47" t="s">
        <v>101</v>
      </c>
      <c r="J3538" s="48">
        <v>0</v>
      </c>
      <c r="K3538" s="48">
        <v>0</v>
      </c>
      <c r="R3538" s="46">
        <f t="shared" si="334"/>
        <v>0</v>
      </c>
      <c r="S3538" s="46">
        <f t="shared" si="335"/>
        <v>0</v>
      </c>
      <c r="T3538" s="46">
        <f t="shared" si="338"/>
        <v>0</v>
      </c>
      <c r="U3538" s="46">
        <f t="shared" si="336"/>
        <v>0</v>
      </c>
      <c r="V3538" s="54">
        <f t="shared" si="337"/>
        <v>0</v>
      </c>
    </row>
    <row r="3539" spans="1:22" x14ac:dyDescent="0.2">
      <c r="A3539" s="46" t="s">
        <v>205</v>
      </c>
      <c r="B3539" s="46" t="s">
        <v>120</v>
      </c>
      <c r="C3539" s="46" t="str">
        <f>VLOOKUP(B3539,$B$2:$C$3219,2,FALSE)</f>
        <v>EBC</v>
      </c>
      <c r="D3539" s="46" t="s">
        <v>178</v>
      </c>
      <c r="E3539" s="46">
        <v>5</v>
      </c>
      <c r="F3539" s="46" t="s">
        <v>63</v>
      </c>
      <c r="G3539" s="46">
        <v>4</v>
      </c>
      <c r="H3539" s="47" t="s">
        <v>147</v>
      </c>
      <c r="I3539" s="47" t="s">
        <v>102</v>
      </c>
      <c r="J3539" s="48">
        <v>0</v>
      </c>
      <c r="K3539" s="48">
        <v>0</v>
      </c>
      <c r="R3539" s="46">
        <f t="shared" si="334"/>
        <v>0</v>
      </c>
      <c r="S3539" s="46">
        <f t="shared" si="335"/>
        <v>0</v>
      </c>
      <c r="T3539" s="46">
        <f t="shared" si="338"/>
        <v>0</v>
      </c>
      <c r="U3539" s="46">
        <f t="shared" si="336"/>
        <v>0</v>
      </c>
      <c r="V3539" s="54">
        <f t="shared" si="337"/>
        <v>0</v>
      </c>
    </row>
    <row r="3540" spans="1:22" x14ac:dyDescent="0.2">
      <c r="A3540" s="46" t="s">
        <v>205</v>
      </c>
      <c r="B3540" s="46" t="s">
        <v>120</v>
      </c>
      <c r="C3540" s="46" t="str">
        <f>VLOOKUP(B3540,$B$2:$C$3219,2,FALSE)</f>
        <v>EBC</v>
      </c>
      <c r="D3540" s="46" t="s">
        <v>178</v>
      </c>
      <c r="E3540" s="46">
        <v>5</v>
      </c>
      <c r="F3540" s="46" t="s">
        <v>63</v>
      </c>
      <c r="G3540" s="46">
        <v>4</v>
      </c>
      <c r="H3540" s="47" t="s">
        <v>148</v>
      </c>
      <c r="I3540" s="47" t="s">
        <v>102</v>
      </c>
      <c r="J3540" s="48">
        <v>0</v>
      </c>
      <c r="K3540" s="48">
        <v>0</v>
      </c>
      <c r="R3540" s="46">
        <f t="shared" si="334"/>
        <v>0</v>
      </c>
      <c r="S3540" s="46">
        <f t="shared" si="335"/>
        <v>0</v>
      </c>
      <c r="T3540" s="46">
        <f t="shared" si="338"/>
        <v>0</v>
      </c>
      <c r="U3540" s="46">
        <f t="shared" si="336"/>
        <v>0</v>
      </c>
      <c r="V3540" s="54">
        <f t="shared" si="337"/>
        <v>0</v>
      </c>
    </row>
    <row r="3541" spans="1:22" x14ac:dyDescent="0.2">
      <c r="A3541" s="46" t="s">
        <v>205</v>
      </c>
      <c r="B3541" s="46" t="s">
        <v>120</v>
      </c>
      <c r="C3541" s="46" t="str">
        <f>VLOOKUP(B3541,$B$2:$C$3219,2,FALSE)</f>
        <v>EBC</v>
      </c>
      <c r="D3541" s="46" t="s">
        <v>178</v>
      </c>
      <c r="E3541" s="46">
        <v>5</v>
      </c>
      <c r="F3541" s="46" t="s">
        <v>63</v>
      </c>
      <c r="G3541" s="46">
        <v>4</v>
      </c>
      <c r="H3541" s="47" t="s">
        <v>149</v>
      </c>
      <c r="I3541" s="47" t="s">
        <v>102</v>
      </c>
      <c r="J3541" s="48">
        <v>1</v>
      </c>
      <c r="K3541" s="48">
        <v>0</v>
      </c>
      <c r="R3541" s="46">
        <f t="shared" si="334"/>
        <v>0</v>
      </c>
      <c r="S3541" s="46">
        <f t="shared" si="335"/>
        <v>0</v>
      </c>
      <c r="T3541" s="46">
        <f t="shared" si="338"/>
        <v>20</v>
      </c>
      <c r="U3541" s="46">
        <f t="shared" si="336"/>
        <v>20</v>
      </c>
      <c r="V3541" s="54">
        <f t="shared" si="337"/>
        <v>0</v>
      </c>
    </row>
    <row r="3542" spans="1:22" x14ac:dyDescent="0.2">
      <c r="A3542" s="46" t="s">
        <v>205</v>
      </c>
      <c r="B3542" s="46" t="s">
        <v>120</v>
      </c>
      <c r="C3542" s="46" t="str">
        <f>VLOOKUP(B3542,$B$2:$C$3219,2,FALSE)</f>
        <v>EBC</v>
      </c>
      <c r="D3542" s="46" t="s">
        <v>178</v>
      </c>
      <c r="E3542" s="46">
        <v>5</v>
      </c>
      <c r="F3542" s="46" t="s">
        <v>63</v>
      </c>
      <c r="G3542" s="46">
        <v>4</v>
      </c>
      <c r="H3542" s="47" t="s">
        <v>172</v>
      </c>
      <c r="I3542" s="47" t="s">
        <v>102</v>
      </c>
      <c r="J3542" s="48">
        <v>0</v>
      </c>
      <c r="K3542" s="48">
        <v>1</v>
      </c>
      <c r="L3542" s="48">
        <v>1</v>
      </c>
      <c r="R3542" s="46">
        <f t="shared" si="334"/>
        <v>0</v>
      </c>
      <c r="S3542" s="46">
        <f t="shared" si="335"/>
        <v>0</v>
      </c>
      <c r="U3542" s="46">
        <f t="shared" si="336"/>
        <v>-5</v>
      </c>
      <c r="V3542" s="54">
        <f t="shared" si="337"/>
        <v>0</v>
      </c>
    </row>
    <row r="3543" spans="1:22" x14ac:dyDescent="0.2">
      <c r="A3543" s="46" t="s">
        <v>202</v>
      </c>
      <c r="B3543" s="46" t="s">
        <v>209</v>
      </c>
      <c r="C3543" s="46" t="s">
        <v>93</v>
      </c>
      <c r="D3543" s="46" t="s">
        <v>178</v>
      </c>
      <c r="E3543" s="46">
        <v>1</v>
      </c>
      <c r="F3543" s="46" t="s">
        <v>62</v>
      </c>
      <c r="G3543" s="46">
        <v>3</v>
      </c>
      <c r="H3543" s="47" t="s">
        <v>64</v>
      </c>
      <c r="I3543" s="47" t="s">
        <v>116</v>
      </c>
      <c r="J3543" s="48">
        <v>0</v>
      </c>
      <c r="K3543" s="48">
        <v>2</v>
      </c>
      <c r="M3543" s="48">
        <v>1</v>
      </c>
      <c r="R3543" s="46">
        <f t="shared" si="334"/>
        <v>0</v>
      </c>
      <c r="S3543" s="46">
        <f t="shared" si="335"/>
        <v>0</v>
      </c>
      <c r="T3543" s="46">
        <f t="shared" ref="T3543:T3574" si="339">quizscore(J3543,K3543)</f>
        <v>-10</v>
      </c>
      <c r="U3543" s="46">
        <f t="shared" si="336"/>
        <v>10</v>
      </c>
      <c r="V3543" s="54">
        <f t="shared" si="337"/>
        <v>27</v>
      </c>
    </row>
    <row r="3544" spans="1:22" x14ac:dyDescent="0.2">
      <c r="A3544" s="46" t="s">
        <v>202</v>
      </c>
      <c r="B3544" s="46" t="s">
        <v>209</v>
      </c>
      <c r="C3544" s="46" t="s">
        <v>93</v>
      </c>
      <c r="D3544" s="46" t="s">
        <v>178</v>
      </c>
      <c r="E3544" s="46">
        <v>3</v>
      </c>
      <c r="F3544" s="46" t="s">
        <v>60</v>
      </c>
      <c r="G3544" s="46">
        <v>1</v>
      </c>
      <c r="H3544" s="47">
        <v>1</v>
      </c>
      <c r="I3544" s="47" t="s">
        <v>101</v>
      </c>
      <c r="J3544" s="48">
        <v>0</v>
      </c>
      <c r="K3544" s="48">
        <v>1</v>
      </c>
      <c r="R3544" s="46">
        <f t="shared" si="334"/>
        <v>0</v>
      </c>
      <c r="S3544" s="46">
        <f t="shared" si="335"/>
        <v>0</v>
      </c>
      <c r="T3544" s="46">
        <f t="shared" si="339"/>
        <v>0</v>
      </c>
      <c r="U3544" s="46">
        <f t="shared" si="336"/>
        <v>0</v>
      </c>
      <c r="V3544" s="54">
        <f t="shared" si="337"/>
        <v>27</v>
      </c>
    </row>
    <row r="3545" spans="1:22" x14ac:dyDescent="0.2">
      <c r="A3545" s="46" t="s">
        <v>202</v>
      </c>
      <c r="B3545" s="46" t="s">
        <v>209</v>
      </c>
      <c r="C3545" s="46" t="s">
        <v>93</v>
      </c>
      <c r="D3545" s="46" t="s">
        <v>178</v>
      </c>
      <c r="E3545" s="46">
        <v>2</v>
      </c>
      <c r="F3545" s="46" t="s">
        <v>60</v>
      </c>
      <c r="G3545" s="46">
        <v>2</v>
      </c>
      <c r="H3545" s="47">
        <v>2</v>
      </c>
      <c r="I3545" s="47" t="s">
        <v>127</v>
      </c>
      <c r="J3545" s="48">
        <v>0</v>
      </c>
      <c r="K3545" s="48">
        <v>0</v>
      </c>
      <c r="N3545" s="48">
        <v>1</v>
      </c>
      <c r="R3545" s="46">
        <f t="shared" si="334"/>
        <v>0</v>
      </c>
      <c r="S3545" s="46">
        <f t="shared" si="335"/>
        <v>0</v>
      </c>
      <c r="T3545" s="46">
        <f t="shared" si="339"/>
        <v>0</v>
      </c>
      <c r="U3545" s="46">
        <f t="shared" si="336"/>
        <v>-5</v>
      </c>
      <c r="V3545" s="54">
        <f t="shared" si="337"/>
        <v>27</v>
      </c>
    </row>
    <row r="3546" spans="1:22" x14ac:dyDescent="0.2">
      <c r="A3546" s="46" t="s">
        <v>202</v>
      </c>
      <c r="B3546" s="46" t="s">
        <v>209</v>
      </c>
      <c r="C3546" s="46" t="s">
        <v>93</v>
      </c>
      <c r="D3546" s="46" t="s">
        <v>178</v>
      </c>
      <c r="E3546" s="46">
        <v>2</v>
      </c>
      <c r="F3546" s="46" t="s">
        <v>60</v>
      </c>
      <c r="G3546" s="46">
        <v>4</v>
      </c>
      <c r="H3546" s="47">
        <v>8</v>
      </c>
      <c r="I3546" s="47" t="s">
        <v>102</v>
      </c>
      <c r="J3546" s="48">
        <v>0</v>
      </c>
      <c r="K3546" s="48">
        <v>1</v>
      </c>
      <c r="R3546" s="46">
        <f t="shared" si="334"/>
        <v>0</v>
      </c>
      <c r="S3546" s="46">
        <f t="shared" si="335"/>
        <v>0</v>
      </c>
      <c r="T3546" s="46">
        <f t="shared" si="339"/>
        <v>0</v>
      </c>
      <c r="U3546" s="46">
        <f t="shared" si="336"/>
        <v>0</v>
      </c>
      <c r="V3546" s="54">
        <f t="shared" si="337"/>
        <v>27</v>
      </c>
    </row>
    <row r="3547" spans="1:22" x14ac:dyDescent="0.2">
      <c r="A3547" s="46" t="s">
        <v>202</v>
      </c>
      <c r="B3547" s="46" t="s">
        <v>209</v>
      </c>
      <c r="C3547" s="46" t="s">
        <v>93</v>
      </c>
      <c r="D3547" s="46" t="s">
        <v>178</v>
      </c>
      <c r="E3547" s="46">
        <v>1</v>
      </c>
      <c r="F3547" s="46" t="s">
        <v>60</v>
      </c>
      <c r="G3547" s="46">
        <v>3</v>
      </c>
      <c r="H3547" s="47">
        <v>15</v>
      </c>
      <c r="I3547" s="47" t="s">
        <v>116</v>
      </c>
      <c r="J3547" s="48">
        <v>0</v>
      </c>
      <c r="K3547" s="48">
        <v>0</v>
      </c>
      <c r="M3547" s="48">
        <v>1</v>
      </c>
      <c r="R3547" s="46">
        <f t="shared" si="334"/>
        <v>0</v>
      </c>
      <c r="S3547" s="46">
        <f t="shared" si="335"/>
        <v>0</v>
      </c>
      <c r="T3547" s="46">
        <f t="shared" si="339"/>
        <v>0</v>
      </c>
      <c r="U3547" s="46">
        <f t="shared" si="336"/>
        <v>20</v>
      </c>
      <c r="V3547" s="54">
        <f t="shared" si="337"/>
        <v>27</v>
      </c>
    </row>
    <row r="3548" spans="1:22" x14ac:dyDescent="0.2">
      <c r="A3548" s="46" t="s">
        <v>202</v>
      </c>
      <c r="B3548" s="46" t="s">
        <v>209</v>
      </c>
      <c r="C3548" s="46" t="s">
        <v>93</v>
      </c>
      <c r="D3548" s="46" t="s">
        <v>178</v>
      </c>
      <c r="E3548" s="46">
        <v>3</v>
      </c>
      <c r="F3548" s="46" t="s">
        <v>60</v>
      </c>
      <c r="G3548" s="46">
        <v>3</v>
      </c>
      <c r="H3548" s="47">
        <v>15</v>
      </c>
      <c r="I3548" s="47" t="s">
        <v>116</v>
      </c>
      <c r="J3548" s="48">
        <v>0</v>
      </c>
      <c r="K3548" s="48">
        <v>1</v>
      </c>
      <c r="R3548" s="46">
        <f t="shared" si="334"/>
        <v>0</v>
      </c>
      <c r="S3548" s="46">
        <f t="shared" si="335"/>
        <v>0</v>
      </c>
      <c r="T3548" s="46">
        <f t="shared" si="339"/>
        <v>0</v>
      </c>
      <c r="U3548" s="46">
        <f t="shared" si="336"/>
        <v>0</v>
      </c>
      <c r="V3548" s="54">
        <f t="shared" si="337"/>
        <v>27</v>
      </c>
    </row>
    <row r="3549" spans="1:22" x14ac:dyDescent="0.2">
      <c r="A3549" s="46" t="s">
        <v>202</v>
      </c>
      <c r="B3549" s="46" t="s">
        <v>209</v>
      </c>
      <c r="C3549" s="46" t="s">
        <v>93</v>
      </c>
      <c r="D3549" s="46" t="s">
        <v>178</v>
      </c>
      <c r="E3549" s="46">
        <v>4</v>
      </c>
      <c r="F3549" s="46" t="s">
        <v>60</v>
      </c>
      <c r="G3549" s="46">
        <v>3</v>
      </c>
      <c r="H3549" s="47">
        <v>19</v>
      </c>
      <c r="I3549" s="47" t="s">
        <v>159</v>
      </c>
      <c r="J3549" s="48">
        <v>0</v>
      </c>
      <c r="K3549" s="48">
        <v>0</v>
      </c>
      <c r="R3549" s="46">
        <f t="shared" si="334"/>
        <v>0</v>
      </c>
      <c r="S3549" s="46">
        <f t="shared" si="335"/>
        <v>0</v>
      </c>
      <c r="T3549" s="46">
        <f t="shared" si="339"/>
        <v>0</v>
      </c>
      <c r="U3549" s="46">
        <f t="shared" si="336"/>
        <v>0</v>
      </c>
      <c r="V3549" s="54">
        <f t="shared" si="337"/>
        <v>27</v>
      </c>
    </row>
    <row r="3550" spans="1:22" x14ac:dyDescent="0.2">
      <c r="A3550" s="46" t="s">
        <v>202</v>
      </c>
      <c r="B3550" s="46" t="s">
        <v>209</v>
      </c>
      <c r="C3550" s="46" t="s">
        <v>93</v>
      </c>
      <c r="D3550" s="46" t="s">
        <v>178</v>
      </c>
      <c r="E3550" s="46">
        <v>2</v>
      </c>
      <c r="F3550" s="46" t="s">
        <v>60</v>
      </c>
      <c r="G3550" s="46">
        <v>2</v>
      </c>
      <c r="H3550" s="47">
        <v>22</v>
      </c>
      <c r="I3550" s="47" t="s">
        <v>127</v>
      </c>
      <c r="J3550" s="48">
        <v>0</v>
      </c>
      <c r="K3550" s="48">
        <v>1</v>
      </c>
      <c r="R3550" s="46">
        <f t="shared" si="334"/>
        <v>0</v>
      </c>
      <c r="S3550" s="46">
        <f t="shared" si="335"/>
        <v>0</v>
      </c>
      <c r="T3550" s="46">
        <f t="shared" si="339"/>
        <v>0</v>
      </c>
      <c r="U3550" s="46">
        <f t="shared" si="336"/>
        <v>0</v>
      </c>
      <c r="V3550" s="54">
        <f t="shared" si="337"/>
        <v>27</v>
      </c>
    </row>
    <row r="3551" spans="1:22" x14ac:dyDescent="0.2">
      <c r="A3551" s="46" t="s">
        <v>202</v>
      </c>
      <c r="B3551" s="46" t="s">
        <v>209</v>
      </c>
      <c r="C3551" s="46" t="s">
        <v>93</v>
      </c>
      <c r="D3551" s="46" t="s">
        <v>178</v>
      </c>
      <c r="E3551" s="46">
        <v>3</v>
      </c>
      <c r="F3551" s="46" t="s">
        <v>60</v>
      </c>
      <c r="G3551" s="46">
        <v>2</v>
      </c>
      <c r="H3551" s="47">
        <v>50</v>
      </c>
      <c r="I3551" s="47" t="s">
        <v>127</v>
      </c>
      <c r="J3551" s="48">
        <v>1</v>
      </c>
      <c r="K3551" s="48">
        <v>3</v>
      </c>
      <c r="R3551" s="46">
        <f t="shared" si="334"/>
        <v>0</v>
      </c>
      <c r="S3551" s="46">
        <f t="shared" si="335"/>
        <v>1</v>
      </c>
      <c r="T3551" s="46">
        <f t="shared" si="339"/>
        <v>0</v>
      </c>
      <c r="U3551" s="46">
        <f t="shared" si="336"/>
        <v>0</v>
      </c>
      <c r="V3551" s="54">
        <f t="shared" si="337"/>
        <v>27</v>
      </c>
    </row>
    <row r="3552" spans="1:22" x14ac:dyDescent="0.2">
      <c r="A3552" s="46" t="s">
        <v>202</v>
      </c>
      <c r="B3552" s="46" t="s">
        <v>209</v>
      </c>
      <c r="C3552" s="46" t="s">
        <v>93</v>
      </c>
      <c r="D3552" s="46" t="s">
        <v>178</v>
      </c>
      <c r="E3552" s="46">
        <v>4</v>
      </c>
      <c r="F3552" s="46" t="s">
        <v>61</v>
      </c>
      <c r="G3552" s="46">
        <v>1</v>
      </c>
      <c r="H3552" s="47" t="s">
        <v>67</v>
      </c>
      <c r="I3552" s="47" t="s">
        <v>101</v>
      </c>
      <c r="J3552" s="48">
        <v>0</v>
      </c>
      <c r="K3552" s="48">
        <v>0</v>
      </c>
      <c r="N3552" s="48">
        <v>1</v>
      </c>
      <c r="R3552" s="46">
        <f t="shared" si="334"/>
        <v>0</v>
      </c>
      <c r="S3552" s="46">
        <f t="shared" si="335"/>
        <v>0</v>
      </c>
      <c r="T3552" s="46">
        <f t="shared" si="339"/>
        <v>0</v>
      </c>
      <c r="U3552" s="46">
        <f t="shared" si="336"/>
        <v>-5</v>
      </c>
      <c r="V3552" s="54">
        <f t="shared" si="337"/>
        <v>27</v>
      </c>
    </row>
    <row r="3553" spans="1:22" x14ac:dyDescent="0.2">
      <c r="A3553" s="46" t="s">
        <v>202</v>
      </c>
      <c r="B3553" s="46" t="s">
        <v>209</v>
      </c>
      <c r="C3553" s="46" t="s">
        <v>93</v>
      </c>
      <c r="D3553" s="46" t="s">
        <v>178</v>
      </c>
      <c r="E3553" s="46">
        <v>4</v>
      </c>
      <c r="F3553" s="46" t="s">
        <v>61</v>
      </c>
      <c r="G3553" s="46">
        <v>1</v>
      </c>
      <c r="H3553" s="47" t="s">
        <v>68</v>
      </c>
      <c r="I3553" s="47" t="s">
        <v>101</v>
      </c>
      <c r="J3553" s="48">
        <v>0</v>
      </c>
      <c r="K3553" s="48">
        <v>0</v>
      </c>
      <c r="R3553" s="46">
        <f t="shared" si="334"/>
        <v>0</v>
      </c>
      <c r="S3553" s="46">
        <f t="shared" si="335"/>
        <v>0</v>
      </c>
      <c r="T3553" s="46">
        <f t="shared" si="339"/>
        <v>0</v>
      </c>
      <c r="U3553" s="46">
        <f t="shared" si="336"/>
        <v>0</v>
      </c>
      <c r="V3553" s="54">
        <f t="shared" si="337"/>
        <v>27</v>
      </c>
    </row>
    <row r="3554" spans="1:22" x14ac:dyDescent="0.2">
      <c r="A3554" s="46" t="s">
        <v>202</v>
      </c>
      <c r="B3554" s="46" t="s">
        <v>209</v>
      </c>
      <c r="C3554" s="46" t="s">
        <v>93</v>
      </c>
      <c r="D3554" s="46" t="s">
        <v>178</v>
      </c>
      <c r="E3554" s="46">
        <v>2</v>
      </c>
      <c r="F3554" s="46" t="s">
        <v>63</v>
      </c>
      <c r="G3554" s="46">
        <v>4</v>
      </c>
      <c r="H3554" s="47" t="s">
        <v>147</v>
      </c>
      <c r="I3554" s="47" t="s">
        <v>102</v>
      </c>
      <c r="J3554" s="48">
        <v>1</v>
      </c>
      <c r="K3554" s="48">
        <v>2</v>
      </c>
      <c r="O3554" s="48">
        <v>1</v>
      </c>
      <c r="R3554" s="46">
        <f t="shared" si="334"/>
        <v>0</v>
      </c>
      <c r="S3554" s="46">
        <f t="shared" si="335"/>
        <v>0</v>
      </c>
      <c r="T3554" s="46">
        <f t="shared" si="339"/>
        <v>10</v>
      </c>
      <c r="U3554" s="46">
        <f t="shared" si="336"/>
        <v>20</v>
      </c>
      <c r="V3554" s="54">
        <f t="shared" si="337"/>
        <v>27</v>
      </c>
    </row>
    <row r="3555" spans="1:22" x14ac:dyDescent="0.2">
      <c r="A3555" s="46" t="s">
        <v>202</v>
      </c>
      <c r="B3555" s="46" t="s">
        <v>209</v>
      </c>
      <c r="C3555" s="46" t="s">
        <v>93</v>
      </c>
      <c r="D3555" s="46" t="s">
        <v>178</v>
      </c>
      <c r="E3555" s="46">
        <v>1</v>
      </c>
      <c r="F3555" s="46" t="s">
        <v>60</v>
      </c>
      <c r="G3555" s="46">
        <v>3</v>
      </c>
      <c r="H3555" s="47">
        <v>7</v>
      </c>
      <c r="I3555" s="47" t="s">
        <v>116</v>
      </c>
      <c r="J3555" s="48">
        <v>1</v>
      </c>
      <c r="K3555" s="48">
        <v>0</v>
      </c>
      <c r="R3555" s="46">
        <f t="shared" si="334"/>
        <v>0</v>
      </c>
      <c r="S3555" s="46">
        <f t="shared" si="335"/>
        <v>0</v>
      </c>
      <c r="T3555" s="46">
        <f t="shared" si="339"/>
        <v>20</v>
      </c>
      <c r="U3555" s="46">
        <f t="shared" si="336"/>
        <v>20</v>
      </c>
      <c r="V3555" s="54">
        <f t="shared" si="337"/>
        <v>27</v>
      </c>
    </row>
    <row r="3556" spans="1:22" x14ac:dyDescent="0.2">
      <c r="A3556" s="46" t="s">
        <v>202</v>
      </c>
      <c r="B3556" s="46" t="s">
        <v>209</v>
      </c>
      <c r="C3556" s="46" t="s">
        <v>93</v>
      </c>
      <c r="D3556" s="46" t="s">
        <v>178</v>
      </c>
      <c r="E3556" s="46">
        <v>4</v>
      </c>
      <c r="F3556" s="46" t="s">
        <v>60</v>
      </c>
      <c r="G3556" s="46">
        <v>4</v>
      </c>
      <c r="H3556" s="47">
        <v>8</v>
      </c>
      <c r="I3556" s="47" t="s">
        <v>102</v>
      </c>
      <c r="J3556" s="48">
        <v>1</v>
      </c>
      <c r="K3556" s="48">
        <v>1</v>
      </c>
      <c r="R3556" s="46">
        <f t="shared" si="334"/>
        <v>0</v>
      </c>
      <c r="S3556" s="46">
        <f t="shared" si="335"/>
        <v>0</v>
      </c>
      <c r="T3556" s="46">
        <f t="shared" si="339"/>
        <v>20</v>
      </c>
      <c r="U3556" s="46">
        <f t="shared" si="336"/>
        <v>20</v>
      </c>
      <c r="V3556" s="54">
        <f t="shared" si="337"/>
        <v>27</v>
      </c>
    </row>
    <row r="3557" spans="1:22" x14ac:dyDescent="0.2">
      <c r="A3557" s="46" t="s">
        <v>202</v>
      </c>
      <c r="B3557" s="46" t="s">
        <v>209</v>
      </c>
      <c r="C3557" s="46" t="s">
        <v>93</v>
      </c>
      <c r="D3557" s="46" t="s">
        <v>178</v>
      </c>
      <c r="E3557" s="46">
        <v>4</v>
      </c>
      <c r="F3557" s="46" t="s">
        <v>60</v>
      </c>
      <c r="G3557" s="46">
        <v>3</v>
      </c>
      <c r="H3557" s="47">
        <v>11</v>
      </c>
      <c r="I3557" s="47" t="s">
        <v>159</v>
      </c>
      <c r="J3557" s="48">
        <v>1</v>
      </c>
      <c r="K3557" s="48">
        <v>0</v>
      </c>
      <c r="R3557" s="46">
        <f t="shared" si="334"/>
        <v>0</v>
      </c>
      <c r="S3557" s="46">
        <f t="shared" si="335"/>
        <v>0</v>
      </c>
      <c r="T3557" s="46">
        <f t="shared" si="339"/>
        <v>20</v>
      </c>
      <c r="U3557" s="46">
        <f t="shared" si="336"/>
        <v>20</v>
      </c>
      <c r="V3557" s="54">
        <f t="shared" si="337"/>
        <v>27</v>
      </c>
    </row>
    <row r="3558" spans="1:22" x14ac:dyDescent="0.2">
      <c r="A3558" s="46" t="s">
        <v>202</v>
      </c>
      <c r="B3558" s="46" t="s">
        <v>209</v>
      </c>
      <c r="C3558" s="46" t="s">
        <v>93</v>
      </c>
      <c r="D3558" s="46" t="s">
        <v>178</v>
      </c>
      <c r="E3558" s="46">
        <v>1</v>
      </c>
      <c r="F3558" s="46" t="s">
        <v>60</v>
      </c>
      <c r="G3558" s="46">
        <v>1</v>
      </c>
      <c r="H3558" s="47">
        <v>21</v>
      </c>
      <c r="I3558" s="47" t="s">
        <v>101</v>
      </c>
      <c r="J3558" s="48">
        <v>1</v>
      </c>
      <c r="K3558" s="48">
        <v>1</v>
      </c>
      <c r="L3558" s="48">
        <v>1</v>
      </c>
      <c r="R3558" s="46">
        <f t="shared" si="334"/>
        <v>0</v>
      </c>
      <c r="S3558" s="46">
        <f t="shared" si="335"/>
        <v>0</v>
      </c>
      <c r="T3558" s="46">
        <f t="shared" si="339"/>
        <v>20</v>
      </c>
      <c r="U3558" s="46">
        <f t="shared" si="336"/>
        <v>15</v>
      </c>
      <c r="V3558" s="54">
        <f t="shared" si="337"/>
        <v>27</v>
      </c>
    </row>
    <row r="3559" spans="1:22" x14ac:dyDescent="0.2">
      <c r="A3559" s="46" t="s">
        <v>202</v>
      </c>
      <c r="B3559" s="46" t="s">
        <v>209</v>
      </c>
      <c r="C3559" s="46" t="s">
        <v>93</v>
      </c>
      <c r="D3559" s="46" t="s">
        <v>178</v>
      </c>
      <c r="E3559" s="46">
        <v>3</v>
      </c>
      <c r="F3559" s="46" t="s">
        <v>60</v>
      </c>
      <c r="G3559" s="46">
        <v>4</v>
      </c>
      <c r="H3559" s="47">
        <v>24</v>
      </c>
      <c r="I3559" s="47" t="s">
        <v>102</v>
      </c>
      <c r="J3559" s="48">
        <v>1</v>
      </c>
      <c r="K3559" s="48">
        <v>1</v>
      </c>
      <c r="R3559" s="46">
        <f t="shared" si="334"/>
        <v>0</v>
      </c>
      <c r="S3559" s="46">
        <f t="shared" si="335"/>
        <v>0</v>
      </c>
      <c r="T3559" s="46">
        <f t="shared" si="339"/>
        <v>20</v>
      </c>
      <c r="U3559" s="46">
        <f t="shared" si="336"/>
        <v>20</v>
      </c>
      <c r="V3559" s="54">
        <f t="shared" si="337"/>
        <v>27</v>
      </c>
    </row>
    <row r="3560" spans="1:22" x14ac:dyDescent="0.2">
      <c r="A3560" s="46" t="s">
        <v>202</v>
      </c>
      <c r="B3560" s="46" t="s">
        <v>209</v>
      </c>
      <c r="C3560" s="46" t="s">
        <v>93</v>
      </c>
      <c r="D3560" s="46" t="s">
        <v>178</v>
      </c>
      <c r="E3560" s="46">
        <v>3</v>
      </c>
      <c r="F3560" s="46" t="s">
        <v>60</v>
      </c>
      <c r="G3560" s="46">
        <v>2</v>
      </c>
      <c r="H3560" s="47">
        <v>30</v>
      </c>
      <c r="I3560" s="47" t="s">
        <v>127</v>
      </c>
      <c r="J3560" s="48">
        <v>1</v>
      </c>
      <c r="K3560" s="48">
        <v>0</v>
      </c>
      <c r="R3560" s="46">
        <f t="shared" si="334"/>
        <v>0</v>
      </c>
      <c r="S3560" s="46">
        <f t="shared" si="335"/>
        <v>0</v>
      </c>
      <c r="T3560" s="46">
        <f t="shared" si="339"/>
        <v>20</v>
      </c>
      <c r="U3560" s="46">
        <f t="shared" si="336"/>
        <v>20</v>
      </c>
      <c r="V3560" s="54">
        <f t="shared" si="337"/>
        <v>27</v>
      </c>
    </row>
    <row r="3561" spans="1:22" x14ac:dyDescent="0.2">
      <c r="A3561" s="46" t="s">
        <v>202</v>
      </c>
      <c r="B3561" s="46" t="s">
        <v>209</v>
      </c>
      <c r="C3561" s="46" t="s">
        <v>93</v>
      </c>
      <c r="D3561" s="46" t="s">
        <v>178</v>
      </c>
      <c r="E3561" s="46">
        <v>4</v>
      </c>
      <c r="F3561" s="46" t="s">
        <v>60</v>
      </c>
      <c r="G3561" s="46">
        <v>1</v>
      </c>
      <c r="H3561" s="47">
        <v>37</v>
      </c>
      <c r="I3561" s="47" t="s">
        <v>101</v>
      </c>
      <c r="J3561" s="48">
        <v>1</v>
      </c>
      <c r="K3561" s="48">
        <v>1</v>
      </c>
      <c r="O3561" s="48">
        <v>1</v>
      </c>
      <c r="R3561" s="46">
        <f t="shared" si="334"/>
        <v>0</v>
      </c>
      <c r="S3561" s="46">
        <f t="shared" si="335"/>
        <v>0</v>
      </c>
      <c r="T3561" s="46">
        <f t="shared" si="339"/>
        <v>20</v>
      </c>
      <c r="U3561" s="46">
        <f t="shared" si="336"/>
        <v>30</v>
      </c>
      <c r="V3561" s="54">
        <f t="shared" si="337"/>
        <v>27</v>
      </c>
    </row>
    <row r="3562" spans="1:22" x14ac:dyDescent="0.2">
      <c r="A3562" s="46" t="s">
        <v>202</v>
      </c>
      <c r="B3562" s="46" t="s">
        <v>209</v>
      </c>
      <c r="C3562" s="46" t="s">
        <v>93</v>
      </c>
      <c r="D3562" s="46" t="s">
        <v>178</v>
      </c>
      <c r="E3562" s="46">
        <v>3</v>
      </c>
      <c r="F3562" s="46" t="s">
        <v>60</v>
      </c>
      <c r="G3562" s="46">
        <v>2</v>
      </c>
      <c r="H3562" s="47">
        <v>42</v>
      </c>
      <c r="I3562" s="47" t="s">
        <v>127</v>
      </c>
      <c r="J3562" s="48">
        <v>1</v>
      </c>
      <c r="K3562" s="48">
        <v>1</v>
      </c>
      <c r="R3562" s="46">
        <f t="shared" si="334"/>
        <v>0</v>
      </c>
      <c r="S3562" s="46">
        <f t="shared" si="335"/>
        <v>0</v>
      </c>
      <c r="T3562" s="46">
        <f t="shared" si="339"/>
        <v>20</v>
      </c>
      <c r="U3562" s="46">
        <f t="shared" si="336"/>
        <v>20</v>
      </c>
      <c r="V3562" s="54">
        <f t="shared" si="337"/>
        <v>27</v>
      </c>
    </row>
    <row r="3563" spans="1:22" x14ac:dyDescent="0.2">
      <c r="A3563" s="46" t="s">
        <v>202</v>
      </c>
      <c r="B3563" s="46" t="s">
        <v>209</v>
      </c>
      <c r="C3563" s="46" t="s">
        <v>93</v>
      </c>
      <c r="D3563" s="46" t="s">
        <v>178</v>
      </c>
      <c r="E3563" s="46">
        <v>1</v>
      </c>
      <c r="F3563" s="46" t="s">
        <v>60</v>
      </c>
      <c r="G3563" s="46">
        <v>2</v>
      </c>
      <c r="H3563" s="47">
        <v>46</v>
      </c>
      <c r="I3563" s="47" t="s">
        <v>127</v>
      </c>
      <c r="J3563" s="48">
        <v>1</v>
      </c>
      <c r="K3563" s="48">
        <v>0</v>
      </c>
      <c r="R3563" s="46">
        <f t="shared" si="334"/>
        <v>0</v>
      </c>
      <c r="S3563" s="46">
        <f t="shared" si="335"/>
        <v>0</v>
      </c>
      <c r="T3563" s="46">
        <f t="shared" si="339"/>
        <v>20</v>
      </c>
      <c r="U3563" s="46">
        <f t="shared" si="336"/>
        <v>20</v>
      </c>
      <c r="V3563" s="54">
        <f t="shared" si="337"/>
        <v>27</v>
      </c>
    </row>
    <row r="3564" spans="1:22" x14ac:dyDescent="0.2">
      <c r="A3564" s="46" t="s">
        <v>202</v>
      </c>
      <c r="B3564" s="46" t="s">
        <v>209</v>
      </c>
      <c r="C3564" s="46" t="s">
        <v>93</v>
      </c>
      <c r="D3564" s="46" t="s">
        <v>178</v>
      </c>
      <c r="E3564" s="46">
        <v>4</v>
      </c>
      <c r="F3564" s="46" t="s">
        <v>60</v>
      </c>
      <c r="G3564" s="46">
        <v>2</v>
      </c>
      <c r="H3564" s="47">
        <v>46</v>
      </c>
      <c r="I3564" s="47" t="s">
        <v>127</v>
      </c>
      <c r="J3564" s="48">
        <v>1</v>
      </c>
      <c r="K3564" s="48">
        <v>1</v>
      </c>
      <c r="O3564" s="48">
        <v>1</v>
      </c>
      <c r="R3564" s="46">
        <f t="shared" si="334"/>
        <v>0</v>
      </c>
      <c r="S3564" s="46">
        <f t="shared" si="335"/>
        <v>0</v>
      </c>
      <c r="T3564" s="46">
        <f t="shared" si="339"/>
        <v>20</v>
      </c>
      <c r="U3564" s="46">
        <f t="shared" si="336"/>
        <v>30</v>
      </c>
      <c r="V3564" s="54">
        <f t="shared" si="337"/>
        <v>27</v>
      </c>
    </row>
    <row r="3565" spans="1:22" x14ac:dyDescent="0.2">
      <c r="A3565" s="46" t="s">
        <v>202</v>
      </c>
      <c r="B3565" s="46" t="s">
        <v>209</v>
      </c>
      <c r="C3565" s="46" t="s">
        <v>93</v>
      </c>
      <c r="D3565" s="46" t="s">
        <v>178</v>
      </c>
      <c r="E3565" s="46">
        <v>4</v>
      </c>
      <c r="F3565" s="46" t="s">
        <v>61</v>
      </c>
      <c r="G3565" s="46">
        <v>2</v>
      </c>
      <c r="H3565" s="47" t="s">
        <v>66</v>
      </c>
      <c r="I3565" s="47" t="s">
        <v>127</v>
      </c>
      <c r="J3565" s="48">
        <v>1</v>
      </c>
      <c r="K3565" s="48">
        <v>0</v>
      </c>
      <c r="R3565" s="46">
        <f t="shared" si="334"/>
        <v>0</v>
      </c>
      <c r="S3565" s="46">
        <f t="shared" si="335"/>
        <v>0</v>
      </c>
      <c r="T3565" s="46">
        <f t="shared" si="339"/>
        <v>20</v>
      </c>
      <c r="U3565" s="46">
        <f t="shared" si="336"/>
        <v>20</v>
      </c>
      <c r="V3565" s="54">
        <f t="shared" si="337"/>
        <v>27</v>
      </c>
    </row>
    <row r="3566" spans="1:22" x14ac:dyDescent="0.2">
      <c r="A3566" s="46" t="s">
        <v>202</v>
      </c>
      <c r="B3566" s="46" t="s">
        <v>209</v>
      </c>
      <c r="C3566" s="46" t="s">
        <v>93</v>
      </c>
      <c r="D3566" s="46" t="s">
        <v>178</v>
      </c>
      <c r="E3566" s="46">
        <v>1</v>
      </c>
      <c r="F3566" s="46" t="s">
        <v>62</v>
      </c>
      <c r="G3566" s="46">
        <v>2</v>
      </c>
      <c r="H3566" s="47" t="s">
        <v>81</v>
      </c>
      <c r="I3566" s="47" t="s">
        <v>127</v>
      </c>
      <c r="J3566" s="48">
        <v>2</v>
      </c>
      <c r="K3566" s="48">
        <v>2</v>
      </c>
      <c r="R3566" s="46">
        <f t="shared" si="334"/>
        <v>0</v>
      </c>
      <c r="S3566" s="46">
        <f t="shared" si="335"/>
        <v>0</v>
      </c>
      <c r="T3566" s="46">
        <f t="shared" si="339"/>
        <v>30</v>
      </c>
      <c r="U3566" s="46">
        <f t="shared" si="336"/>
        <v>30</v>
      </c>
      <c r="V3566" s="54">
        <f t="shared" si="337"/>
        <v>27</v>
      </c>
    </row>
    <row r="3567" spans="1:22" x14ac:dyDescent="0.2">
      <c r="A3567" s="46" t="s">
        <v>202</v>
      </c>
      <c r="B3567" s="46" t="s">
        <v>209</v>
      </c>
      <c r="C3567" s="46" t="s">
        <v>93</v>
      </c>
      <c r="D3567" s="46" t="s">
        <v>178</v>
      </c>
      <c r="E3567" s="46">
        <v>1</v>
      </c>
      <c r="F3567" s="46" t="s">
        <v>60</v>
      </c>
      <c r="G3567" s="46">
        <v>1</v>
      </c>
      <c r="H3567" s="47">
        <v>29</v>
      </c>
      <c r="I3567" s="47" t="s">
        <v>101</v>
      </c>
      <c r="J3567" s="48">
        <v>2</v>
      </c>
      <c r="K3567" s="48">
        <v>1</v>
      </c>
      <c r="R3567" s="46">
        <f t="shared" si="334"/>
        <v>0</v>
      </c>
      <c r="S3567" s="46">
        <f t="shared" si="335"/>
        <v>0</v>
      </c>
      <c r="T3567" s="46">
        <f t="shared" si="339"/>
        <v>40</v>
      </c>
      <c r="U3567" s="46">
        <f t="shared" si="336"/>
        <v>40</v>
      </c>
      <c r="V3567" s="54">
        <f t="shared" si="337"/>
        <v>27</v>
      </c>
    </row>
    <row r="3568" spans="1:22" x14ac:dyDescent="0.2">
      <c r="A3568" s="46" t="s">
        <v>202</v>
      </c>
      <c r="B3568" s="46" t="s">
        <v>209</v>
      </c>
      <c r="C3568" s="46" t="s">
        <v>93</v>
      </c>
      <c r="D3568" s="46" t="s">
        <v>178</v>
      </c>
      <c r="E3568" s="46">
        <v>4</v>
      </c>
      <c r="F3568" s="46" t="s">
        <v>60</v>
      </c>
      <c r="G3568" s="46">
        <v>1</v>
      </c>
      <c r="H3568" s="47">
        <v>33</v>
      </c>
      <c r="I3568" s="47" t="s">
        <v>101</v>
      </c>
      <c r="J3568" s="48">
        <v>2</v>
      </c>
      <c r="K3568" s="48">
        <v>0</v>
      </c>
      <c r="R3568" s="46">
        <f t="shared" si="334"/>
        <v>0</v>
      </c>
      <c r="S3568" s="46">
        <f t="shared" si="335"/>
        <v>0</v>
      </c>
      <c r="T3568" s="46">
        <f t="shared" si="339"/>
        <v>40</v>
      </c>
      <c r="U3568" s="46">
        <f t="shared" si="336"/>
        <v>40</v>
      </c>
      <c r="V3568" s="54">
        <f t="shared" si="337"/>
        <v>27</v>
      </c>
    </row>
    <row r="3569" spans="1:22" x14ac:dyDescent="0.2">
      <c r="A3569" s="46" t="s">
        <v>202</v>
      </c>
      <c r="B3569" s="46" t="s">
        <v>209</v>
      </c>
      <c r="C3569" s="46" t="s">
        <v>93</v>
      </c>
      <c r="D3569" s="46" t="s">
        <v>178</v>
      </c>
      <c r="E3569" s="46">
        <v>1</v>
      </c>
      <c r="F3569" s="46" t="s">
        <v>60</v>
      </c>
      <c r="G3569" s="46">
        <v>4</v>
      </c>
      <c r="H3569" s="47">
        <v>40</v>
      </c>
      <c r="I3569" s="47" t="s">
        <v>102</v>
      </c>
      <c r="J3569" s="48">
        <v>2</v>
      </c>
      <c r="K3569" s="48">
        <v>1</v>
      </c>
      <c r="R3569" s="46">
        <f t="shared" si="334"/>
        <v>0</v>
      </c>
      <c r="S3569" s="46">
        <f t="shared" si="335"/>
        <v>0</v>
      </c>
      <c r="T3569" s="46">
        <f t="shared" si="339"/>
        <v>40</v>
      </c>
      <c r="U3569" s="46">
        <f t="shared" si="336"/>
        <v>40</v>
      </c>
      <c r="V3569" s="54">
        <f t="shared" si="337"/>
        <v>27</v>
      </c>
    </row>
    <row r="3570" spans="1:22" x14ac:dyDescent="0.2">
      <c r="A3570" s="46" t="s">
        <v>202</v>
      </c>
      <c r="B3570" s="46" t="s">
        <v>209</v>
      </c>
      <c r="C3570" s="46" t="s">
        <v>93</v>
      </c>
      <c r="D3570" s="46" t="s">
        <v>178</v>
      </c>
      <c r="E3570" s="46">
        <v>1</v>
      </c>
      <c r="F3570" s="46" t="s">
        <v>62</v>
      </c>
      <c r="G3570" s="46">
        <v>3</v>
      </c>
      <c r="H3570" s="47" t="s">
        <v>84</v>
      </c>
      <c r="I3570" s="47" t="s">
        <v>116</v>
      </c>
      <c r="J3570" s="48">
        <v>2</v>
      </c>
      <c r="K3570" s="48">
        <v>0</v>
      </c>
      <c r="R3570" s="46">
        <f t="shared" si="334"/>
        <v>0</v>
      </c>
      <c r="S3570" s="46">
        <f t="shared" si="335"/>
        <v>0</v>
      </c>
      <c r="T3570" s="46">
        <f t="shared" si="339"/>
        <v>40</v>
      </c>
      <c r="U3570" s="46">
        <f t="shared" si="336"/>
        <v>40</v>
      </c>
      <c r="V3570" s="54">
        <f t="shared" si="337"/>
        <v>27</v>
      </c>
    </row>
    <row r="3571" spans="1:22" x14ac:dyDescent="0.2">
      <c r="A3571" s="46" t="s">
        <v>202</v>
      </c>
      <c r="B3571" s="46" t="s">
        <v>209</v>
      </c>
      <c r="C3571" s="46" t="s">
        <v>93</v>
      </c>
      <c r="D3571" s="46" t="s">
        <v>178</v>
      </c>
      <c r="E3571" s="46">
        <v>1</v>
      </c>
      <c r="F3571" s="46" t="s">
        <v>62</v>
      </c>
      <c r="G3571" s="46">
        <v>2</v>
      </c>
      <c r="H3571" s="47" t="s">
        <v>86</v>
      </c>
      <c r="I3571" s="47" t="s">
        <v>127</v>
      </c>
      <c r="J3571" s="48">
        <v>2</v>
      </c>
      <c r="K3571" s="48">
        <v>1</v>
      </c>
      <c r="R3571" s="46">
        <f t="shared" si="334"/>
        <v>0</v>
      </c>
      <c r="S3571" s="46">
        <f t="shared" si="335"/>
        <v>0</v>
      </c>
      <c r="T3571" s="46">
        <f t="shared" si="339"/>
        <v>40</v>
      </c>
      <c r="U3571" s="46">
        <f t="shared" si="336"/>
        <v>40</v>
      </c>
      <c r="V3571" s="54">
        <f t="shared" si="337"/>
        <v>27</v>
      </c>
    </row>
    <row r="3572" spans="1:22" x14ac:dyDescent="0.2">
      <c r="A3572" s="46" t="s">
        <v>202</v>
      </c>
      <c r="B3572" s="46" t="s">
        <v>209</v>
      </c>
      <c r="C3572" s="46" t="s">
        <v>93</v>
      </c>
      <c r="D3572" s="46" t="s">
        <v>178</v>
      </c>
      <c r="E3572" s="46">
        <v>2</v>
      </c>
      <c r="F3572" s="46" t="s">
        <v>63</v>
      </c>
      <c r="G3572" s="46">
        <v>4</v>
      </c>
      <c r="H3572" s="47" t="s">
        <v>149</v>
      </c>
      <c r="I3572" s="47" t="s">
        <v>102</v>
      </c>
      <c r="J3572" s="48">
        <v>3</v>
      </c>
      <c r="K3572" s="48">
        <v>2</v>
      </c>
      <c r="R3572" s="46">
        <f t="shared" si="334"/>
        <v>0</v>
      </c>
      <c r="S3572" s="46">
        <f t="shared" si="335"/>
        <v>0</v>
      </c>
      <c r="T3572" s="46">
        <f t="shared" si="339"/>
        <v>50</v>
      </c>
      <c r="U3572" s="46">
        <f t="shared" si="336"/>
        <v>50</v>
      </c>
      <c r="V3572" s="54">
        <f t="shared" si="337"/>
        <v>27</v>
      </c>
    </row>
    <row r="3573" spans="1:22" x14ac:dyDescent="0.2">
      <c r="A3573" s="46" t="s">
        <v>202</v>
      </c>
      <c r="B3573" s="46" t="s">
        <v>209</v>
      </c>
      <c r="C3573" s="46" t="s">
        <v>93</v>
      </c>
      <c r="D3573" s="46" t="s">
        <v>178</v>
      </c>
      <c r="E3573" s="46">
        <v>2</v>
      </c>
      <c r="F3573" s="46" t="s">
        <v>60</v>
      </c>
      <c r="G3573" s="46">
        <v>1</v>
      </c>
      <c r="H3573" s="47">
        <v>29</v>
      </c>
      <c r="I3573" s="47" t="s">
        <v>101</v>
      </c>
      <c r="J3573" s="48">
        <v>3</v>
      </c>
      <c r="K3573" s="48">
        <v>0</v>
      </c>
      <c r="R3573" s="46">
        <f t="shared" si="334"/>
        <v>0</v>
      </c>
      <c r="S3573" s="46">
        <f t="shared" si="335"/>
        <v>0</v>
      </c>
      <c r="T3573" s="46">
        <f t="shared" si="339"/>
        <v>60</v>
      </c>
      <c r="U3573" s="46">
        <f t="shared" si="336"/>
        <v>60</v>
      </c>
      <c r="V3573" s="54">
        <f t="shared" si="337"/>
        <v>27</v>
      </c>
    </row>
    <row r="3574" spans="1:22" x14ac:dyDescent="0.2">
      <c r="A3574" s="46" t="s">
        <v>202</v>
      </c>
      <c r="B3574" s="46" t="s">
        <v>209</v>
      </c>
      <c r="C3574" s="46" t="s">
        <v>93</v>
      </c>
      <c r="D3574" s="46" t="s">
        <v>178</v>
      </c>
      <c r="E3574" s="46">
        <v>2</v>
      </c>
      <c r="F3574" s="46" t="s">
        <v>60</v>
      </c>
      <c r="G3574" s="46">
        <v>1</v>
      </c>
      <c r="H3574" s="47">
        <v>41</v>
      </c>
      <c r="I3574" s="47" t="s">
        <v>101</v>
      </c>
      <c r="J3574" s="48">
        <v>3</v>
      </c>
      <c r="K3574" s="48">
        <v>1</v>
      </c>
      <c r="R3574" s="46">
        <f t="shared" si="334"/>
        <v>0</v>
      </c>
      <c r="S3574" s="46">
        <f t="shared" si="335"/>
        <v>0</v>
      </c>
      <c r="T3574" s="46">
        <f t="shared" si="339"/>
        <v>60</v>
      </c>
      <c r="U3574" s="46">
        <f t="shared" si="336"/>
        <v>60</v>
      </c>
      <c r="V3574" s="54">
        <f t="shared" si="337"/>
        <v>27</v>
      </c>
    </row>
    <row r="3575" spans="1:22" x14ac:dyDescent="0.2">
      <c r="A3575" s="46" t="s">
        <v>202</v>
      </c>
      <c r="B3575" s="46" t="s">
        <v>209</v>
      </c>
      <c r="C3575" s="46" t="s">
        <v>93</v>
      </c>
      <c r="D3575" s="46" t="s">
        <v>178</v>
      </c>
      <c r="E3575" s="46">
        <v>2</v>
      </c>
      <c r="F3575" s="46" t="s">
        <v>63</v>
      </c>
      <c r="G3575" s="46">
        <v>4</v>
      </c>
      <c r="H3575" s="47" t="s">
        <v>148</v>
      </c>
      <c r="I3575" s="47" t="s">
        <v>102</v>
      </c>
      <c r="J3575" s="48">
        <v>3</v>
      </c>
      <c r="K3575" s="48">
        <v>0</v>
      </c>
      <c r="L3575" s="48">
        <v>1</v>
      </c>
      <c r="O3575" s="48">
        <v>1</v>
      </c>
      <c r="R3575" s="46">
        <f t="shared" si="334"/>
        <v>0</v>
      </c>
      <c r="S3575" s="46">
        <f t="shared" si="335"/>
        <v>0</v>
      </c>
      <c r="T3575" s="46">
        <f t="shared" ref="T3575:T3606" si="340">quizscore(J3575,K3575)</f>
        <v>60</v>
      </c>
      <c r="U3575" s="46">
        <f t="shared" si="336"/>
        <v>65</v>
      </c>
      <c r="V3575" s="54">
        <f t="shared" si="337"/>
        <v>27</v>
      </c>
    </row>
    <row r="3576" spans="1:22" x14ac:dyDescent="0.2">
      <c r="A3576" s="46" t="s">
        <v>202</v>
      </c>
      <c r="B3576" s="46" t="s">
        <v>209</v>
      </c>
      <c r="C3576" s="46" t="s">
        <v>93</v>
      </c>
      <c r="D3576" s="46" t="s">
        <v>178</v>
      </c>
      <c r="E3576" s="46">
        <v>3</v>
      </c>
      <c r="F3576" s="46" t="s">
        <v>63</v>
      </c>
      <c r="G3576" s="46">
        <v>4</v>
      </c>
      <c r="H3576" s="47" t="s">
        <v>172</v>
      </c>
      <c r="I3576" s="47" t="s">
        <v>102</v>
      </c>
      <c r="J3576" s="48">
        <v>3</v>
      </c>
      <c r="K3576" s="48">
        <v>0</v>
      </c>
      <c r="M3576" s="48">
        <v>1</v>
      </c>
      <c r="O3576" s="48">
        <v>1</v>
      </c>
      <c r="R3576" s="46">
        <f t="shared" si="334"/>
        <v>0</v>
      </c>
      <c r="S3576" s="46">
        <f t="shared" si="335"/>
        <v>0</v>
      </c>
      <c r="T3576" s="46">
        <f t="shared" si="340"/>
        <v>60</v>
      </c>
      <c r="U3576" s="46">
        <f t="shared" si="336"/>
        <v>90</v>
      </c>
      <c r="V3576" s="54">
        <f t="shared" si="337"/>
        <v>27</v>
      </c>
    </row>
    <row r="3577" spans="1:22" x14ac:dyDescent="0.2">
      <c r="A3577" s="46" t="s">
        <v>202</v>
      </c>
      <c r="B3577" s="46" t="s">
        <v>209</v>
      </c>
      <c r="C3577" s="46" t="s">
        <v>93</v>
      </c>
      <c r="D3577" s="46" t="s">
        <v>178</v>
      </c>
      <c r="E3577" s="46">
        <v>3</v>
      </c>
      <c r="F3577" s="46" t="s">
        <v>63</v>
      </c>
      <c r="G3577" s="46">
        <v>4</v>
      </c>
      <c r="H3577" s="47" t="s">
        <v>148</v>
      </c>
      <c r="I3577" s="47" t="s">
        <v>102</v>
      </c>
      <c r="J3577" s="48">
        <v>4</v>
      </c>
      <c r="K3577" s="48">
        <v>1</v>
      </c>
      <c r="R3577" s="46">
        <f t="shared" si="334"/>
        <v>1</v>
      </c>
      <c r="S3577" s="46">
        <f t="shared" si="335"/>
        <v>0</v>
      </c>
      <c r="T3577" s="46">
        <f t="shared" si="340"/>
        <v>80</v>
      </c>
      <c r="U3577" s="46">
        <f t="shared" si="336"/>
        <v>80</v>
      </c>
      <c r="V3577" s="54">
        <f t="shared" si="337"/>
        <v>27</v>
      </c>
    </row>
    <row r="3578" spans="1:22" x14ac:dyDescent="0.2">
      <c r="A3578" s="46" t="s">
        <v>202</v>
      </c>
      <c r="B3578" s="46" t="s">
        <v>209</v>
      </c>
      <c r="C3578" s="46" t="s">
        <v>93</v>
      </c>
      <c r="D3578" s="46" t="s">
        <v>178</v>
      </c>
      <c r="E3578" s="46">
        <v>2</v>
      </c>
      <c r="F3578" s="46" t="s">
        <v>60</v>
      </c>
      <c r="G3578" s="46">
        <v>3</v>
      </c>
      <c r="H3578" s="47">
        <v>39</v>
      </c>
      <c r="I3578" s="47" t="s">
        <v>116</v>
      </c>
      <c r="J3578" s="48">
        <v>4</v>
      </c>
      <c r="K3578" s="48">
        <v>0</v>
      </c>
      <c r="R3578" s="46">
        <f t="shared" si="334"/>
        <v>1</v>
      </c>
      <c r="S3578" s="46">
        <f t="shared" si="335"/>
        <v>0</v>
      </c>
      <c r="T3578" s="46">
        <f t="shared" si="340"/>
        <v>90</v>
      </c>
      <c r="U3578" s="46">
        <f t="shared" si="336"/>
        <v>90</v>
      </c>
      <c r="V3578" s="54">
        <f t="shared" si="337"/>
        <v>27</v>
      </c>
    </row>
    <row r="3579" spans="1:22" x14ac:dyDescent="0.2">
      <c r="A3579" s="46" t="s">
        <v>202</v>
      </c>
      <c r="B3579" s="46" t="s">
        <v>209</v>
      </c>
      <c r="C3579" s="46" t="s">
        <v>93</v>
      </c>
      <c r="D3579" s="46" t="s">
        <v>178</v>
      </c>
      <c r="E3579" s="46">
        <v>3</v>
      </c>
      <c r="F3579" s="46" t="s">
        <v>63</v>
      </c>
      <c r="G3579" s="46">
        <v>4</v>
      </c>
      <c r="H3579" s="47" t="s">
        <v>150</v>
      </c>
      <c r="I3579" s="47" t="s">
        <v>102</v>
      </c>
      <c r="J3579" s="48">
        <v>4</v>
      </c>
      <c r="K3579" s="48">
        <v>0</v>
      </c>
      <c r="R3579" s="46">
        <f t="shared" si="334"/>
        <v>1</v>
      </c>
      <c r="S3579" s="46">
        <f t="shared" si="335"/>
        <v>0</v>
      </c>
      <c r="T3579" s="46">
        <f t="shared" si="340"/>
        <v>90</v>
      </c>
      <c r="U3579" s="46">
        <f t="shared" si="336"/>
        <v>90</v>
      </c>
      <c r="V3579" s="54">
        <f t="shared" si="337"/>
        <v>27</v>
      </c>
    </row>
    <row r="3580" spans="1:22" x14ac:dyDescent="0.2">
      <c r="A3580" s="46" t="s">
        <v>202</v>
      </c>
      <c r="B3580" s="46" t="s">
        <v>209</v>
      </c>
      <c r="C3580" s="46" t="s">
        <v>93</v>
      </c>
      <c r="D3580" s="46" t="s">
        <v>178</v>
      </c>
      <c r="E3580" s="46">
        <v>3</v>
      </c>
      <c r="F3580" s="46" t="s">
        <v>63</v>
      </c>
      <c r="G3580" s="46">
        <v>4</v>
      </c>
      <c r="H3580" s="47" t="s">
        <v>152</v>
      </c>
      <c r="I3580" s="47" t="s">
        <v>102</v>
      </c>
      <c r="J3580" s="48">
        <v>4</v>
      </c>
      <c r="K3580" s="48">
        <v>0</v>
      </c>
      <c r="R3580" s="46">
        <f t="shared" si="334"/>
        <v>1</v>
      </c>
      <c r="S3580" s="46">
        <f t="shared" si="335"/>
        <v>0</v>
      </c>
      <c r="T3580" s="46">
        <f t="shared" si="340"/>
        <v>90</v>
      </c>
      <c r="U3580" s="46">
        <f t="shared" si="336"/>
        <v>90</v>
      </c>
      <c r="V3580" s="54">
        <f t="shared" si="337"/>
        <v>27</v>
      </c>
    </row>
    <row r="3581" spans="1:22" x14ac:dyDescent="0.2">
      <c r="A3581" s="46" t="s">
        <v>202</v>
      </c>
      <c r="B3581" s="46" t="s">
        <v>209</v>
      </c>
      <c r="C3581" s="46" t="s">
        <v>93</v>
      </c>
      <c r="D3581" s="46" t="s">
        <v>178</v>
      </c>
      <c r="E3581" s="46">
        <v>2</v>
      </c>
      <c r="F3581" s="46" t="s">
        <v>63</v>
      </c>
      <c r="G3581" s="46">
        <v>4</v>
      </c>
      <c r="H3581" s="47" t="s">
        <v>172</v>
      </c>
      <c r="I3581" s="47" t="s">
        <v>102</v>
      </c>
      <c r="J3581" s="48">
        <v>4</v>
      </c>
      <c r="K3581" s="48">
        <v>0</v>
      </c>
      <c r="R3581" s="46">
        <f t="shared" si="334"/>
        <v>1</v>
      </c>
      <c r="S3581" s="46">
        <f t="shared" si="335"/>
        <v>0</v>
      </c>
      <c r="T3581" s="46">
        <f t="shared" si="340"/>
        <v>90</v>
      </c>
      <c r="U3581" s="46">
        <f t="shared" si="336"/>
        <v>90</v>
      </c>
      <c r="V3581" s="54">
        <f t="shared" si="337"/>
        <v>27</v>
      </c>
    </row>
    <row r="3582" spans="1:22" x14ac:dyDescent="0.2">
      <c r="A3582" s="46" t="s">
        <v>202</v>
      </c>
      <c r="B3582" s="46" t="s">
        <v>209</v>
      </c>
      <c r="C3582" s="46" t="s">
        <v>93</v>
      </c>
      <c r="D3582" s="46" t="s">
        <v>178</v>
      </c>
      <c r="E3582" s="46">
        <v>5</v>
      </c>
      <c r="F3582" s="46" t="s">
        <v>60</v>
      </c>
      <c r="G3582" s="46">
        <v>2</v>
      </c>
      <c r="H3582" s="47">
        <v>6</v>
      </c>
      <c r="I3582" s="47" t="s">
        <v>127</v>
      </c>
      <c r="J3582" s="48">
        <v>3</v>
      </c>
      <c r="K3582" s="48">
        <v>0</v>
      </c>
      <c r="R3582" s="46">
        <f t="shared" si="334"/>
        <v>0</v>
      </c>
      <c r="S3582" s="46">
        <f t="shared" si="335"/>
        <v>0</v>
      </c>
      <c r="T3582" s="46">
        <f t="shared" si="340"/>
        <v>60</v>
      </c>
      <c r="U3582" s="46">
        <f t="shared" si="336"/>
        <v>60</v>
      </c>
      <c r="V3582" s="54">
        <f t="shared" si="337"/>
        <v>27</v>
      </c>
    </row>
    <row r="3583" spans="1:22" x14ac:dyDescent="0.2">
      <c r="A3583" s="46" t="s">
        <v>202</v>
      </c>
      <c r="B3583" s="46" t="s">
        <v>209</v>
      </c>
      <c r="C3583" s="46" t="s">
        <v>93</v>
      </c>
      <c r="D3583" s="46" t="s">
        <v>178</v>
      </c>
      <c r="E3583" s="46">
        <v>5</v>
      </c>
      <c r="F3583" s="46" t="s">
        <v>60</v>
      </c>
      <c r="G3583" s="46">
        <v>4</v>
      </c>
      <c r="H3583" s="47">
        <v>16</v>
      </c>
      <c r="I3583" s="47" t="s">
        <v>102</v>
      </c>
      <c r="J3583" s="48">
        <v>4</v>
      </c>
      <c r="K3583" s="48">
        <v>0</v>
      </c>
      <c r="R3583" s="46">
        <f t="shared" si="334"/>
        <v>1</v>
      </c>
      <c r="S3583" s="46">
        <f t="shared" si="335"/>
        <v>0</v>
      </c>
      <c r="T3583" s="46">
        <f t="shared" si="340"/>
        <v>90</v>
      </c>
      <c r="U3583" s="46">
        <f t="shared" si="336"/>
        <v>90</v>
      </c>
      <c r="V3583" s="54">
        <f t="shared" si="337"/>
        <v>27</v>
      </c>
    </row>
    <row r="3584" spans="1:22" x14ac:dyDescent="0.2">
      <c r="A3584" s="46" t="s">
        <v>202</v>
      </c>
      <c r="B3584" s="46" t="s">
        <v>209</v>
      </c>
      <c r="C3584" s="46" t="s">
        <v>93</v>
      </c>
      <c r="D3584" s="46" t="s">
        <v>178</v>
      </c>
      <c r="E3584" s="46">
        <v>5</v>
      </c>
      <c r="F3584" s="46" t="s">
        <v>60</v>
      </c>
      <c r="G3584" s="46">
        <v>3</v>
      </c>
      <c r="H3584" s="47">
        <v>23</v>
      </c>
      <c r="I3584" s="47" t="s">
        <v>159</v>
      </c>
      <c r="J3584" s="48">
        <v>2</v>
      </c>
      <c r="K3584" s="48">
        <v>1</v>
      </c>
      <c r="R3584" s="46">
        <f t="shared" si="334"/>
        <v>0</v>
      </c>
      <c r="S3584" s="46">
        <f t="shared" si="335"/>
        <v>0</v>
      </c>
      <c r="T3584" s="46">
        <f t="shared" si="340"/>
        <v>40</v>
      </c>
      <c r="U3584" s="46">
        <f t="shared" si="336"/>
        <v>40</v>
      </c>
      <c r="V3584" s="54">
        <f t="shared" si="337"/>
        <v>27</v>
      </c>
    </row>
    <row r="3585" spans="1:22" x14ac:dyDescent="0.2">
      <c r="A3585" s="46" t="s">
        <v>202</v>
      </c>
      <c r="B3585" s="46" t="s">
        <v>209</v>
      </c>
      <c r="C3585" s="46" t="s">
        <v>93</v>
      </c>
      <c r="D3585" s="46" t="s">
        <v>178</v>
      </c>
      <c r="E3585" s="46">
        <v>5</v>
      </c>
      <c r="F3585" s="46" t="s">
        <v>60</v>
      </c>
      <c r="G3585" s="46">
        <v>1</v>
      </c>
      <c r="H3585" s="47">
        <v>29</v>
      </c>
      <c r="I3585" s="47" t="s">
        <v>101</v>
      </c>
      <c r="J3585" s="48">
        <v>0</v>
      </c>
      <c r="K3585" s="48">
        <v>0</v>
      </c>
      <c r="R3585" s="46">
        <f t="shared" si="334"/>
        <v>0</v>
      </c>
      <c r="S3585" s="46">
        <f t="shared" si="335"/>
        <v>0</v>
      </c>
      <c r="T3585" s="46">
        <f t="shared" si="340"/>
        <v>0</v>
      </c>
      <c r="U3585" s="46">
        <f t="shared" si="336"/>
        <v>0</v>
      </c>
      <c r="V3585" s="54">
        <f t="shared" si="337"/>
        <v>27</v>
      </c>
    </row>
    <row r="3586" spans="1:22" x14ac:dyDescent="0.2">
      <c r="A3586" s="46" t="s">
        <v>202</v>
      </c>
      <c r="B3586" s="46" t="s">
        <v>209</v>
      </c>
      <c r="C3586" s="46" t="s">
        <v>93</v>
      </c>
      <c r="D3586" s="46" t="s">
        <v>178</v>
      </c>
      <c r="E3586" s="46">
        <v>5</v>
      </c>
      <c r="F3586" s="46" t="s">
        <v>60</v>
      </c>
      <c r="G3586" s="46">
        <v>1</v>
      </c>
      <c r="H3586" s="47">
        <v>41</v>
      </c>
      <c r="I3586" s="47" t="s">
        <v>101</v>
      </c>
      <c r="J3586" s="48">
        <v>1</v>
      </c>
      <c r="K3586" s="48">
        <v>0</v>
      </c>
      <c r="R3586" s="46">
        <f t="shared" ref="R3586:R3649" si="341">IF(J3586=4,1,0)</f>
        <v>0</v>
      </c>
      <c r="S3586" s="46">
        <f t="shared" ref="S3586:S3649" si="342">IF(K3586=3,1,0)</f>
        <v>0</v>
      </c>
      <c r="T3586" s="46">
        <f t="shared" si="340"/>
        <v>20</v>
      </c>
      <c r="U3586" s="46">
        <f t="shared" ref="U3586:U3649" si="343">T3586+M3586*(20) + (SUM(O3586:Q3586)*(10)) - L3586*(5) - N3586*(5)</f>
        <v>20</v>
      </c>
      <c r="V3586" s="54">
        <f t="shared" ref="V3586:V3649" si="344">AVERAGEIFS(U:U,A:A,A3586,F:F,"Pre")</f>
        <v>27</v>
      </c>
    </row>
    <row r="3587" spans="1:22" x14ac:dyDescent="0.2">
      <c r="A3587" s="46" t="s">
        <v>202</v>
      </c>
      <c r="B3587" s="46" t="s">
        <v>209</v>
      </c>
      <c r="C3587" s="46" t="s">
        <v>93</v>
      </c>
      <c r="D3587" s="46" t="s">
        <v>178</v>
      </c>
      <c r="E3587" s="46">
        <v>5</v>
      </c>
      <c r="F3587" s="46" t="s">
        <v>60</v>
      </c>
      <c r="G3587" s="46">
        <v>2</v>
      </c>
      <c r="H3587" s="47">
        <v>46</v>
      </c>
      <c r="I3587" s="47" t="s">
        <v>127</v>
      </c>
      <c r="J3587" s="48">
        <v>2</v>
      </c>
      <c r="K3587" s="48">
        <v>1</v>
      </c>
      <c r="R3587" s="46">
        <f t="shared" si="341"/>
        <v>0</v>
      </c>
      <c r="S3587" s="46">
        <f t="shared" si="342"/>
        <v>0</v>
      </c>
      <c r="T3587" s="46">
        <f t="shared" si="340"/>
        <v>40</v>
      </c>
      <c r="U3587" s="46">
        <f t="shared" si="343"/>
        <v>40</v>
      </c>
      <c r="V3587" s="54">
        <f t="shared" si="344"/>
        <v>27</v>
      </c>
    </row>
    <row r="3588" spans="1:22" x14ac:dyDescent="0.2">
      <c r="A3588" s="46" t="s">
        <v>202</v>
      </c>
      <c r="B3588" s="46" t="s">
        <v>209</v>
      </c>
      <c r="C3588" s="46" t="s">
        <v>93</v>
      </c>
      <c r="D3588" s="46" t="s">
        <v>178</v>
      </c>
      <c r="E3588" s="46">
        <v>5</v>
      </c>
      <c r="F3588" s="46" t="s">
        <v>62</v>
      </c>
      <c r="G3588" s="46">
        <v>2</v>
      </c>
      <c r="H3588" s="47" t="s">
        <v>81</v>
      </c>
      <c r="I3588" s="47" t="s">
        <v>127</v>
      </c>
      <c r="J3588" s="48">
        <v>2</v>
      </c>
      <c r="K3588" s="48">
        <v>1</v>
      </c>
      <c r="R3588" s="46">
        <f t="shared" si="341"/>
        <v>0</v>
      </c>
      <c r="S3588" s="46">
        <f t="shared" si="342"/>
        <v>0</v>
      </c>
      <c r="T3588" s="46">
        <f t="shared" si="340"/>
        <v>40</v>
      </c>
      <c r="U3588" s="46">
        <f t="shared" si="343"/>
        <v>40</v>
      </c>
      <c r="V3588" s="54">
        <f t="shared" si="344"/>
        <v>27</v>
      </c>
    </row>
    <row r="3589" spans="1:22" x14ac:dyDescent="0.2">
      <c r="A3589" s="46" t="s">
        <v>202</v>
      </c>
      <c r="B3589" s="46" t="s">
        <v>209</v>
      </c>
      <c r="C3589" s="46" t="s">
        <v>93</v>
      </c>
      <c r="D3589" s="46" t="s">
        <v>178</v>
      </c>
      <c r="E3589" s="46">
        <v>5</v>
      </c>
      <c r="F3589" s="46" t="s">
        <v>62</v>
      </c>
      <c r="G3589" s="46">
        <v>3</v>
      </c>
      <c r="H3589" s="47" t="s">
        <v>85</v>
      </c>
      <c r="I3589" s="47" t="s">
        <v>219</v>
      </c>
      <c r="J3589" s="48">
        <v>1</v>
      </c>
      <c r="K3589" s="48">
        <v>2</v>
      </c>
      <c r="R3589" s="46">
        <f t="shared" si="341"/>
        <v>0</v>
      </c>
      <c r="S3589" s="46">
        <f t="shared" si="342"/>
        <v>0</v>
      </c>
      <c r="T3589" s="46">
        <f t="shared" si="340"/>
        <v>10</v>
      </c>
      <c r="U3589" s="46">
        <f t="shared" si="343"/>
        <v>10</v>
      </c>
      <c r="V3589" s="54">
        <f t="shared" si="344"/>
        <v>27</v>
      </c>
    </row>
    <row r="3590" spans="1:22" x14ac:dyDescent="0.2">
      <c r="A3590" s="46" t="s">
        <v>179</v>
      </c>
      <c r="B3590" s="46" t="s">
        <v>103</v>
      </c>
      <c r="C3590" s="46" t="s">
        <v>88</v>
      </c>
      <c r="D3590" s="46" t="s">
        <v>178</v>
      </c>
      <c r="E3590" s="46">
        <v>3</v>
      </c>
      <c r="F3590" s="46" t="s">
        <v>63</v>
      </c>
      <c r="G3590" s="46">
        <v>4</v>
      </c>
      <c r="H3590" s="47" t="s">
        <v>147</v>
      </c>
      <c r="I3590" s="47" t="s">
        <v>102</v>
      </c>
      <c r="J3590" s="48">
        <v>0</v>
      </c>
      <c r="K3590" s="48">
        <v>3</v>
      </c>
      <c r="R3590" s="46">
        <f t="shared" si="341"/>
        <v>0</v>
      </c>
      <c r="S3590" s="46">
        <f t="shared" si="342"/>
        <v>1</v>
      </c>
      <c r="T3590" s="46">
        <f t="shared" si="340"/>
        <v>-20</v>
      </c>
      <c r="U3590" s="46">
        <f t="shared" si="343"/>
        <v>-20</v>
      </c>
      <c r="V3590" s="54">
        <f t="shared" si="344"/>
        <v>34.666666666666664</v>
      </c>
    </row>
    <row r="3591" spans="1:22" x14ac:dyDescent="0.2">
      <c r="A3591" s="46" t="s">
        <v>179</v>
      </c>
      <c r="B3591" s="46" t="s">
        <v>103</v>
      </c>
      <c r="C3591" s="46" t="s">
        <v>88</v>
      </c>
      <c r="D3591" s="46" t="s">
        <v>178</v>
      </c>
      <c r="E3591" s="46">
        <v>4</v>
      </c>
      <c r="F3591" s="46" t="s">
        <v>60</v>
      </c>
      <c r="G3591" s="46">
        <v>1</v>
      </c>
      <c r="H3591" s="47">
        <v>9</v>
      </c>
      <c r="I3591" s="47" t="s">
        <v>101</v>
      </c>
      <c r="J3591" s="48">
        <v>0</v>
      </c>
      <c r="K3591" s="48">
        <v>2</v>
      </c>
      <c r="R3591" s="46">
        <f t="shared" si="341"/>
        <v>0</v>
      </c>
      <c r="S3591" s="46">
        <f t="shared" si="342"/>
        <v>0</v>
      </c>
      <c r="T3591" s="46">
        <f t="shared" si="340"/>
        <v>-10</v>
      </c>
      <c r="U3591" s="46">
        <f t="shared" si="343"/>
        <v>-10</v>
      </c>
      <c r="V3591" s="54">
        <f t="shared" si="344"/>
        <v>34.666666666666664</v>
      </c>
    </row>
    <row r="3592" spans="1:22" x14ac:dyDescent="0.2">
      <c r="A3592" s="46" t="s">
        <v>179</v>
      </c>
      <c r="B3592" s="46" t="s">
        <v>103</v>
      </c>
      <c r="C3592" s="46" t="s">
        <v>88</v>
      </c>
      <c r="D3592" s="46" t="s">
        <v>178</v>
      </c>
      <c r="E3592" s="46">
        <v>3</v>
      </c>
      <c r="F3592" s="46" t="s">
        <v>60</v>
      </c>
      <c r="G3592" s="46">
        <v>1</v>
      </c>
      <c r="H3592" s="47">
        <v>21</v>
      </c>
      <c r="I3592" s="47" t="s">
        <v>101</v>
      </c>
      <c r="J3592" s="48">
        <v>0</v>
      </c>
      <c r="K3592" s="48">
        <v>1</v>
      </c>
      <c r="R3592" s="46">
        <f t="shared" si="341"/>
        <v>0</v>
      </c>
      <c r="S3592" s="46">
        <f t="shared" si="342"/>
        <v>0</v>
      </c>
      <c r="T3592" s="46">
        <f t="shared" si="340"/>
        <v>0</v>
      </c>
      <c r="U3592" s="46">
        <f t="shared" si="343"/>
        <v>0</v>
      </c>
      <c r="V3592" s="54">
        <f t="shared" si="344"/>
        <v>34.666666666666664</v>
      </c>
    </row>
    <row r="3593" spans="1:22" x14ac:dyDescent="0.2">
      <c r="A3593" s="46" t="s">
        <v>179</v>
      </c>
      <c r="B3593" s="46" t="s">
        <v>103</v>
      </c>
      <c r="C3593" s="46" t="s">
        <v>88</v>
      </c>
      <c r="D3593" s="46" t="s">
        <v>178</v>
      </c>
      <c r="E3593" s="46">
        <v>2</v>
      </c>
      <c r="F3593" s="46" t="s">
        <v>60</v>
      </c>
      <c r="G3593" s="46">
        <v>4</v>
      </c>
      <c r="H3593" s="47">
        <v>32</v>
      </c>
      <c r="I3593" s="47" t="s">
        <v>102</v>
      </c>
      <c r="J3593" s="48">
        <v>0</v>
      </c>
      <c r="K3593" s="48">
        <v>1</v>
      </c>
      <c r="R3593" s="46">
        <f t="shared" si="341"/>
        <v>0</v>
      </c>
      <c r="S3593" s="46">
        <f t="shared" si="342"/>
        <v>0</v>
      </c>
      <c r="T3593" s="46">
        <f t="shared" si="340"/>
        <v>0</v>
      </c>
      <c r="U3593" s="46">
        <f t="shared" si="343"/>
        <v>0</v>
      </c>
      <c r="V3593" s="54">
        <f t="shared" si="344"/>
        <v>34.666666666666664</v>
      </c>
    </row>
    <row r="3594" spans="1:22" x14ac:dyDescent="0.2">
      <c r="A3594" s="46" t="s">
        <v>179</v>
      </c>
      <c r="B3594" s="46" t="s">
        <v>103</v>
      </c>
      <c r="C3594" s="46" t="s">
        <v>88</v>
      </c>
      <c r="D3594" s="46" t="s">
        <v>178</v>
      </c>
      <c r="E3594" s="46">
        <v>3</v>
      </c>
      <c r="F3594" s="46" t="s">
        <v>60</v>
      </c>
      <c r="G3594" s="46">
        <v>2</v>
      </c>
      <c r="H3594" s="47">
        <v>34</v>
      </c>
      <c r="I3594" s="47" t="s">
        <v>127</v>
      </c>
      <c r="J3594" s="48">
        <v>0</v>
      </c>
      <c r="K3594" s="48">
        <v>1</v>
      </c>
      <c r="M3594" s="48">
        <v>1</v>
      </c>
      <c r="R3594" s="46">
        <f t="shared" si="341"/>
        <v>0</v>
      </c>
      <c r="S3594" s="46">
        <f t="shared" si="342"/>
        <v>0</v>
      </c>
      <c r="T3594" s="46">
        <f t="shared" si="340"/>
        <v>0</v>
      </c>
      <c r="U3594" s="46">
        <f t="shared" si="343"/>
        <v>20</v>
      </c>
      <c r="V3594" s="54">
        <f t="shared" si="344"/>
        <v>34.666666666666664</v>
      </c>
    </row>
    <row r="3595" spans="1:22" x14ac:dyDescent="0.2">
      <c r="A3595" s="46" t="s">
        <v>179</v>
      </c>
      <c r="B3595" s="46" t="s">
        <v>103</v>
      </c>
      <c r="C3595" s="46" t="s">
        <v>88</v>
      </c>
      <c r="D3595" s="46" t="s">
        <v>178</v>
      </c>
      <c r="E3595" s="46">
        <v>4</v>
      </c>
      <c r="F3595" s="46" t="s">
        <v>60</v>
      </c>
      <c r="G3595" s="46">
        <v>4</v>
      </c>
      <c r="H3595" s="47">
        <v>36</v>
      </c>
      <c r="I3595" s="47" t="s">
        <v>102</v>
      </c>
      <c r="J3595" s="48">
        <v>0</v>
      </c>
      <c r="K3595" s="48">
        <v>0</v>
      </c>
      <c r="R3595" s="46">
        <f t="shared" si="341"/>
        <v>0</v>
      </c>
      <c r="S3595" s="46">
        <f t="shared" si="342"/>
        <v>0</v>
      </c>
      <c r="T3595" s="46">
        <f t="shared" si="340"/>
        <v>0</v>
      </c>
      <c r="U3595" s="46">
        <f t="shared" si="343"/>
        <v>0</v>
      </c>
      <c r="V3595" s="54">
        <f t="shared" si="344"/>
        <v>34.666666666666664</v>
      </c>
    </row>
    <row r="3596" spans="1:22" x14ac:dyDescent="0.2">
      <c r="A3596" s="46" t="s">
        <v>179</v>
      </c>
      <c r="B3596" s="46" t="s">
        <v>103</v>
      </c>
      <c r="C3596" s="46" t="s">
        <v>88</v>
      </c>
      <c r="D3596" s="46" t="s">
        <v>178</v>
      </c>
      <c r="E3596" s="46">
        <v>4</v>
      </c>
      <c r="F3596" s="46" t="s">
        <v>60</v>
      </c>
      <c r="G3596" s="46">
        <v>1</v>
      </c>
      <c r="H3596" s="47">
        <v>41</v>
      </c>
      <c r="I3596" s="47" t="s">
        <v>101</v>
      </c>
      <c r="J3596" s="48">
        <v>0</v>
      </c>
      <c r="K3596" s="48">
        <v>0</v>
      </c>
      <c r="M3596" s="48">
        <v>1</v>
      </c>
      <c r="R3596" s="46">
        <f t="shared" si="341"/>
        <v>0</v>
      </c>
      <c r="S3596" s="46">
        <f t="shared" si="342"/>
        <v>0</v>
      </c>
      <c r="T3596" s="46">
        <f t="shared" si="340"/>
        <v>0</v>
      </c>
      <c r="U3596" s="46">
        <f t="shared" si="343"/>
        <v>20</v>
      </c>
      <c r="V3596" s="54">
        <f t="shared" si="344"/>
        <v>34.666666666666664</v>
      </c>
    </row>
    <row r="3597" spans="1:22" x14ac:dyDescent="0.2">
      <c r="A3597" s="46" t="s">
        <v>179</v>
      </c>
      <c r="B3597" s="46" t="s">
        <v>103</v>
      </c>
      <c r="C3597" s="46" t="s">
        <v>88</v>
      </c>
      <c r="D3597" s="46" t="s">
        <v>178</v>
      </c>
      <c r="E3597" s="46">
        <v>4</v>
      </c>
      <c r="F3597" s="46" t="s">
        <v>60</v>
      </c>
      <c r="G3597" s="46">
        <v>2</v>
      </c>
      <c r="H3597" s="47">
        <v>46</v>
      </c>
      <c r="I3597" s="47" t="s">
        <v>127</v>
      </c>
      <c r="J3597" s="48">
        <v>0</v>
      </c>
      <c r="K3597" s="48">
        <v>1</v>
      </c>
      <c r="R3597" s="46">
        <f t="shared" si="341"/>
        <v>0</v>
      </c>
      <c r="S3597" s="46">
        <f t="shared" si="342"/>
        <v>0</v>
      </c>
      <c r="T3597" s="46">
        <f t="shared" si="340"/>
        <v>0</v>
      </c>
      <c r="U3597" s="46">
        <f t="shared" si="343"/>
        <v>0</v>
      </c>
      <c r="V3597" s="54">
        <f t="shared" si="344"/>
        <v>34.666666666666664</v>
      </c>
    </row>
    <row r="3598" spans="1:22" x14ac:dyDescent="0.2">
      <c r="A3598" s="46" t="s">
        <v>179</v>
      </c>
      <c r="B3598" s="46" t="s">
        <v>103</v>
      </c>
      <c r="C3598" s="46" t="s">
        <v>88</v>
      </c>
      <c r="D3598" s="46" t="s">
        <v>178</v>
      </c>
      <c r="E3598" s="46">
        <v>2</v>
      </c>
      <c r="F3598" s="46" t="s">
        <v>62</v>
      </c>
      <c r="G3598" s="46">
        <v>3</v>
      </c>
      <c r="H3598" s="47" t="s">
        <v>80</v>
      </c>
      <c r="I3598" s="47" t="s">
        <v>116</v>
      </c>
      <c r="J3598" s="48">
        <v>0</v>
      </c>
      <c r="K3598" s="48">
        <v>1</v>
      </c>
      <c r="R3598" s="46">
        <f t="shared" si="341"/>
        <v>0</v>
      </c>
      <c r="S3598" s="46">
        <f t="shared" si="342"/>
        <v>0</v>
      </c>
      <c r="T3598" s="46">
        <f t="shared" si="340"/>
        <v>0</v>
      </c>
      <c r="U3598" s="46">
        <f t="shared" si="343"/>
        <v>0</v>
      </c>
      <c r="V3598" s="54">
        <f t="shared" si="344"/>
        <v>34.666666666666664</v>
      </c>
    </row>
    <row r="3599" spans="1:22" x14ac:dyDescent="0.2">
      <c r="A3599" s="46" t="s">
        <v>179</v>
      </c>
      <c r="B3599" s="46" t="s">
        <v>103</v>
      </c>
      <c r="C3599" s="46" t="s">
        <v>88</v>
      </c>
      <c r="D3599" s="46" t="s">
        <v>178</v>
      </c>
      <c r="E3599" s="46">
        <v>4</v>
      </c>
      <c r="F3599" s="46" t="s">
        <v>60</v>
      </c>
      <c r="G3599" s="46">
        <v>3</v>
      </c>
      <c r="H3599" s="47">
        <v>3</v>
      </c>
      <c r="I3599" s="47" t="s">
        <v>159</v>
      </c>
      <c r="J3599" s="48">
        <v>1</v>
      </c>
      <c r="K3599" s="48">
        <v>2</v>
      </c>
      <c r="R3599" s="46">
        <f t="shared" si="341"/>
        <v>0</v>
      </c>
      <c r="S3599" s="46">
        <f t="shared" si="342"/>
        <v>0</v>
      </c>
      <c r="T3599" s="46">
        <f t="shared" si="340"/>
        <v>10</v>
      </c>
      <c r="U3599" s="46">
        <f t="shared" si="343"/>
        <v>10</v>
      </c>
      <c r="V3599" s="54">
        <f t="shared" si="344"/>
        <v>34.666666666666664</v>
      </c>
    </row>
    <row r="3600" spans="1:22" x14ac:dyDescent="0.2">
      <c r="A3600" s="46" t="s">
        <v>179</v>
      </c>
      <c r="B3600" s="46" t="s">
        <v>103</v>
      </c>
      <c r="C3600" s="46" t="s">
        <v>88</v>
      </c>
      <c r="D3600" s="46" t="s">
        <v>178</v>
      </c>
      <c r="E3600" s="46">
        <v>1</v>
      </c>
      <c r="F3600" s="46" t="s">
        <v>60</v>
      </c>
      <c r="G3600" s="46">
        <v>2</v>
      </c>
      <c r="H3600" s="47">
        <v>18</v>
      </c>
      <c r="I3600" s="47" t="s">
        <v>127</v>
      </c>
      <c r="J3600" s="48">
        <v>1</v>
      </c>
      <c r="K3600" s="48">
        <v>2</v>
      </c>
      <c r="M3600" s="48">
        <v>1</v>
      </c>
      <c r="R3600" s="46">
        <f t="shared" si="341"/>
        <v>0</v>
      </c>
      <c r="S3600" s="46">
        <f t="shared" si="342"/>
        <v>0</v>
      </c>
      <c r="T3600" s="46">
        <f t="shared" si="340"/>
        <v>10</v>
      </c>
      <c r="U3600" s="46">
        <f t="shared" si="343"/>
        <v>30</v>
      </c>
      <c r="V3600" s="54">
        <f t="shared" si="344"/>
        <v>34.666666666666664</v>
      </c>
    </row>
    <row r="3601" spans="1:22" x14ac:dyDescent="0.2">
      <c r="A3601" s="46" t="s">
        <v>179</v>
      </c>
      <c r="B3601" s="46" t="s">
        <v>103</v>
      </c>
      <c r="C3601" s="46" t="s">
        <v>88</v>
      </c>
      <c r="D3601" s="46" t="s">
        <v>178</v>
      </c>
      <c r="E3601" s="46">
        <v>3</v>
      </c>
      <c r="F3601" s="46" t="s">
        <v>60</v>
      </c>
      <c r="G3601" s="46">
        <v>1</v>
      </c>
      <c r="H3601" s="47">
        <v>45</v>
      </c>
      <c r="I3601" s="47" t="s">
        <v>101</v>
      </c>
      <c r="J3601" s="48">
        <v>1</v>
      </c>
      <c r="K3601" s="48">
        <v>2</v>
      </c>
      <c r="R3601" s="46">
        <f t="shared" si="341"/>
        <v>0</v>
      </c>
      <c r="S3601" s="46">
        <f t="shared" si="342"/>
        <v>0</v>
      </c>
      <c r="T3601" s="46">
        <f t="shared" si="340"/>
        <v>10</v>
      </c>
      <c r="U3601" s="46">
        <f t="shared" si="343"/>
        <v>10</v>
      </c>
      <c r="V3601" s="54">
        <f t="shared" si="344"/>
        <v>34.666666666666664</v>
      </c>
    </row>
    <row r="3602" spans="1:22" x14ac:dyDescent="0.2">
      <c r="A3602" s="46" t="s">
        <v>179</v>
      </c>
      <c r="B3602" s="46" t="s">
        <v>103</v>
      </c>
      <c r="C3602" s="46" t="s">
        <v>88</v>
      </c>
      <c r="D3602" s="46" t="s">
        <v>178</v>
      </c>
      <c r="E3602" s="46">
        <v>3</v>
      </c>
      <c r="F3602" s="46" t="s">
        <v>60</v>
      </c>
      <c r="G3602" s="46">
        <v>4</v>
      </c>
      <c r="H3602" s="47">
        <v>8</v>
      </c>
      <c r="I3602" s="47" t="s">
        <v>102</v>
      </c>
      <c r="J3602" s="48">
        <v>1</v>
      </c>
      <c r="K3602" s="48">
        <v>0</v>
      </c>
      <c r="R3602" s="46">
        <f t="shared" si="341"/>
        <v>0</v>
      </c>
      <c r="S3602" s="46">
        <f t="shared" si="342"/>
        <v>0</v>
      </c>
      <c r="T3602" s="46">
        <f t="shared" si="340"/>
        <v>20</v>
      </c>
      <c r="U3602" s="46">
        <f t="shared" si="343"/>
        <v>20</v>
      </c>
      <c r="V3602" s="54">
        <f t="shared" si="344"/>
        <v>34.666666666666664</v>
      </c>
    </row>
    <row r="3603" spans="1:22" x14ac:dyDescent="0.2">
      <c r="A3603" s="46" t="s">
        <v>179</v>
      </c>
      <c r="B3603" s="46" t="s">
        <v>103</v>
      </c>
      <c r="C3603" s="46" t="s">
        <v>88</v>
      </c>
      <c r="D3603" s="46" t="s">
        <v>178</v>
      </c>
      <c r="E3603" s="46">
        <v>2</v>
      </c>
      <c r="F3603" s="46" t="s">
        <v>60</v>
      </c>
      <c r="G3603" s="46">
        <v>2</v>
      </c>
      <c r="H3603" s="47">
        <v>14</v>
      </c>
      <c r="I3603" s="47" t="s">
        <v>127</v>
      </c>
      <c r="J3603" s="48">
        <v>1</v>
      </c>
      <c r="K3603" s="48">
        <v>0</v>
      </c>
      <c r="R3603" s="46">
        <f t="shared" si="341"/>
        <v>0</v>
      </c>
      <c r="S3603" s="46">
        <f t="shared" si="342"/>
        <v>0</v>
      </c>
      <c r="T3603" s="46">
        <f t="shared" si="340"/>
        <v>20</v>
      </c>
      <c r="U3603" s="46">
        <f t="shared" si="343"/>
        <v>20</v>
      </c>
      <c r="V3603" s="54">
        <f t="shared" si="344"/>
        <v>34.666666666666664</v>
      </c>
    </row>
    <row r="3604" spans="1:22" x14ac:dyDescent="0.2">
      <c r="A3604" s="46" t="s">
        <v>179</v>
      </c>
      <c r="B3604" s="46" t="s">
        <v>103</v>
      </c>
      <c r="C3604" s="46" t="s">
        <v>88</v>
      </c>
      <c r="D3604" s="46" t="s">
        <v>178</v>
      </c>
      <c r="E3604" s="46">
        <v>3</v>
      </c>
      <c r="F3604" s="46" t="s">
        <v>60</v>
      </c>
      <c r="G3604" s="46">
        <v>2</v>
      </c>
      <c r="H3604" s="47">
        <v>14</v>
      </c>
      <c r="I3604" s="47" t="s">
        <v>127</v>
      </c>
      <c r="J3604" s="48">
        <v>1</v>
      </c>
      <c r="K3604" s="48">
        <v>1</v>
      </c>
      <c r="R3604" s="46">
        <f t="shared" si="341"/>
        <v>0</v>
      </c>
      <c r="S3604" s="46">
        <f t="shared" si="342"/>
        <v>0</v>
      </c>
      <c r="T3604" s="46">
        <f t="shared" si="340"/>
        <v>20</v>
      </c>
      <c r="U3604" s="46">
        <f t="shared" si="343"/>
        <v>20</v>
      </c>
      <c r="V3604" s="54">
        <f t="shared" si="344"/>
        <v>34.666666666666664</v>
      </c>
    </row>
    <row r="3605" spans="1:22" x14ac:dyDescent="0.2">
      <c r="A3605" s="46" t="s">
        <v>179</v>
      </c>
      <c r="B3605" s="46" t="s">
        <v>103</v>
      </c>
      <c r="C3605" s="46" t="s">
        <v>88</v>
      </c>
      <c r="D3605" s="46" t="s">
        <v>178</v>
      </c>
      <c r="E3605" s="46">
        <v>1</v>
      </c>
      <c r="F3605" s="46" t="s">
        <v>60</v>
      </c>
      <c r="G3605" s="46">
        <v>4</v>
      </c>
      <c r="H3605" s="47">
        <v>24</v>
      </c>
      <c r="I3605" s="47" t="s">
        <v>102</v>
      </c>
      <c r="J3605" s="48">
        <v>1</v>
      </c>
      <c r="K3605" s="48">
        <v>1</v>
      </c>
      <c r="R3605" s="46">
        <f t="shared" si="341"/>
        <v>0</v>
      </c>
      <c r="S3605" s="46">
        <f t="shared" si="342"/>
        <v>0</v>
      </c>
      <c r="T3605" s="46">
        <f t="shared" si="340"/>
        <v>20</v>
      </c>
      <c r="U3605" s="46">
        <f t="shared" si="343"/>
        <v>20</v>
      </c>
      <c r="V3605" s="54">
        <f t="shared" si="344"/>
        <v>34.666666666666664</v>
      </c>
    </row>
    <row r="3606" spans="1:22" x14ac:dyDescent="0.2">
      <c r="A3606" s="46" t="s">
        <v>179</v>
      </c>
      <c r="B3606" s="46" t="s">
        <v>103</v>
      </c>
      <c r="C3606" s="46" t="s">
        <v>88</v>
      </c>
      <c r="D3606" s="46" t="s">
        <v>178</v>
      </c>
      <c r="E3606" s="46">
        <v>1</v>
      </c>
      <c r="F3606" s="46" t="s">
        <v>60</v>
      </c>
      <c r="G3606" s="46">
        <v>4</v>
      </c>
      <c r="H3606" s="47">
        <v>36</v>
      </c>
      <c r="I3606" s="47" t="s">
        <v>102</v>
      </c>
      <c r="J3606" s="48">
        <v>1</v>
      </c>
      <c r="K3606" s="48">
        <v>0</v>
      </c>
      <c r="M3606" s="48">
        <v>1</v>
      </c>
      <c r="R3606" s="46">
        <f t="shared" si="341"/>
        <v>0</v>
      </c>
      <c r="S3606" s="46">
        <f t="shared" si="342"/>
        <v>0</v>
      </c>
      <c r="T3606" s="46">
        <f t="shared" si="340"/>
        <v>20</v>
      </c>
      <c r="U3606" s="46">
        <f t="shared" si="343"/>
        <v>40</v>
      </c>
      <c r="V3606" s="54">
        <f t="shared" si="344"/>
        <v>34.666666666666664</v>
      </c>
    </row>
    <row r="3607" spans="1:22" x14ac:dyDescent="0.2">
      <c r="A3607" s="46" t="s">
        <v>179</v>
      </c>
      <c r="B3607" s="46" t="s">
        <v>103</v>
      </c>
      <c r="C3607" s="46" t="s">
        <v>88</v>
      </c>
      <c r="D3607" s="46" t="s">
        <v>178</v>
      </c>
      <c r="E3607" s="46">
        <v>4</v>
      </c>
      <c r="F3607" s="46" t="s">
        <v>63</v>
      </c>
      <c r="G3607" s="46">
        <v>4</v>
      </c>
      <c r="H3607" s="47" t="s">
        <v>147</v>
      </c>
      <c r="I3607" s="47" t="s">
        <v>102</v>
      </c>
      <c r="J3607" s="48">
        <v>1</v>
      </c>
      <c r="K3607" s="48">
        <v>1</v>
      </c>
      <c r="M3607" s="48">
        <v>1</v>
      </c>
      <c r="R3607" s="46">
        <f t="shared" si="341"/>
        <v>0</v>
      </c>
      <c r="S3607" s="46">
        <f t="shared" si="342"/>
        <v>0</v>
      </c>
      <c r="T3607" s="46">
        <f t="shared" ref="T3607:T3638" si="345">quizscore(J3607,K3607)</f>
        <v>20</v>
      </c>
      <c r="U3607" s="46">
        <f t="shared" si="343"/>
        <v>40</v>
      </c>
      <c r="V3607" s="54">
        <f t="shared" si="344"/>
        <v>34.666666666666664</v>
      </c>
    </row>
    <row r="3608" spans="1:22" x14ac:dyDescent="0.2">
      <c r="A3608" s="46" t="s">
        <v>179</v>
      </c>
      <c r="B3608" s="46" t="s">
        <v>103</v>
      </c>
      <c r="C3608" s="46" t="s">
        <v>88</v>
      </c>
      <c r="D3608" s="46" t="s">
        <v>178</v>
      </c>
      <c r="E3608" s="46">
        <v>2</v>
      </c>
      <c r="F3608" s="46" t="s">
        <v>60</v>
      </c>
      <c r="G3608" s="46">
        <v>3</v>
      </c>
      <c r="H3608" s="47">
        <v>43</v>
      </c>
      <c r="I3608" s="47" t="s">
        <v>116</v>
      </c>
      <c r="J3608" s="48">
        <v>2</v>
      </c>
      <c r="K3608" s="48">
        <v>0</v>
      </c>
      <c r="R3608" s="46">
        <f t="shared" si="341"/>
        <v>0</v>
      </c>
      <c r="S3608" s="46">
        <f t="shared" si="342"/>
        <v>0</v>
      </c>
      <c r="T3608" s="46">
        <f t="shared" si="345"/>
        <v>40</v>
      </c>
      <c r="U3608" s="46">
        <f t="shared" si="343"/>
        <v>40</v>
      </c>
      <c r="V3608" s="54">
        <f t="shared" si="344"/>
        <v>34.666666666666664</v>
      </c>
    </row>
    <row r="3609" spans="1:22" x14ac:dyDescent="0.2">
      <c r="A3609" s="46" t="s">
        <v>179</v>
      </c>
      <c r="B3609" s="46" t="s">
        <v>103</v>
      </c>
      <c r="C3609" s="46" t="s">
        <v>88</v>
      </c>
      <c r="D3609" s="46" t="s">
        <v>178</v>
      </c>
      <c r="E3609" s="46">
        <v>1</v>
      </c>
      <c r="F3609" s="46" t="s">
        <v>60</v>
      </c>
      <c r="G3609" s="46">
        <v>1</v>
      </c>
      <c r="H3609" s="47">
        <v>45</v>
      </c>
      <c r="I3609" s="47" t="s">
        <v>101</v>
      </c>
      <c r="J3609" s="48">
        <v>2</v>
      </c>
      <c r="K3609" s="48">
        <v>1</v>
      </c>
      <c r="R3609" s="46">
        <f t="shared" si="341"/>
        <v>0</v>
      </c>
      <c r="S3609" s="46">
        <f t="shared" si="342"/>
        <v>0</v>
      </c>
      <c r="T3609" s="46">
        <f t="shared" si="345"/>
        <v>40</v>
      </c>
      <c r="U3609" s="46">
        <f t="shared" si="343"/>
        <v>40</v>
      </c>
      <c r="V3609" s="54">
        <f t="shared" si="344"/>
        <v>34.666666666666664</v>
      </c>
    </row>
    <row r="3610" spans="1:22" x14ac:dyDescent="0.2">
      <c r="A3610" s="46" t="s">
        <v>179</v>
      </c>
      <c r="B3610" s="46" t="s">
        <v>103</v>
      </c>
      <c r="C3610" s="46" t="s">
        <v>88</v>
      </c>
      <c r="D3610" s="46" t="s">
        <v>178</v>
      </c>
      <c r="E3610" s="46">
        <v>2</v>
      </c>
      <c r="F3610" s="46" t="s">
        <v>60</v>
      </c>
      <c r="G3610" s="46">
        <v>1</v>
      </c>
      <c r="H3610" s="47">
        <v>49</v>
      </c>
      <c r="I3610" s="47" t="s">
        <v>101</v>
      </c>
      <c r="J3610" s="48">
        <v>2</v>
      </c>
      <c r="K3610" s="48">
        <v>1</v>
      </c>
      <c r="R3610" s="46">
        <f t="shared" si="341"/>
        <v>0</v>
      </c>
      <c r="S3610" s="46">
        <f t="shared" si="342"/>
        <v>0</v>
      </c>
      <c r="T3610" s="46">
        <f t="shared" si="345"/>
        <v>40</v>
      </c>
      <c r="U3610" s="46">
        <f t="shared" si="343"/>
        <v>40</v>
      </c>
      <c r="V3610" s="54">
        <f t="shared" si="344"/>
        <v>34.666666666666664</v>
      </c>
    </row>
    <row r="3611" spans="1:22" x14ac:dyDescent="0.2">
      <c r="A3611" s="46" t="s">
        <v>179</v>
      </c>
      <c r="B3611" s="46" t="s">
        <v>103</v>
      </c>
      <c r="C3611" s="46" t="s">
        <v>88</v>
      </c>
      <c r="D3611" s="46" t="s">
        <v>178</v>
      </c>
      <c r="E3611" s="46">
        <v>1</v>
      </c>
      <c r="F3611" s="46" t="s">
        <v>63</v>
      </c>
      <c r="G3611" s="46">
        <v>4</v>
      </c>
      <c r="H3611" s="47" t="s">
        <v>149</v>
      </c>
      <c r="I3611" s="47" t="s">
        <v>102</v>
      </c>
      <c r="J3611" s="48">
        <v>2</v>
      </c>
      <c r="K3611" s="48">
        <v>1</v>
      </c>
      <c r="R3611" s="46">
        <f t="shared" si="341"/>
        <v>0</v>
      </c>
      <c r="S3611" s="46">
        <f t="shared" si="342"/>
        <v>0</v>
      </c>
      <c r="T3611" s="46">
        <f t="shared" si="345"/>
        <v>40</v>
      </c>
      <c r="U3611" s="46">
        <f t="shared" si="343"/>
        <v>40</v>
      </c>
      <c r="V3611" s="54">
        <f t="shared" si="344"/>
        <v>34.666666666666664</v>
      </c>
    </row>
    <row r="3612" spans="1:22" x14ac:dyDescent="0.2">
      <c r="A3612" s="46" t="s">
        <v>179</v>
      </c>
      <c r="B3612" s="46" t="s">
        <v>103</v>
      </c>
      <c r="C3612" s="46" t="s">
        <v>88</v>
      </c>
      <c r="D3612" s="46" t="s">
        <v>178</v>
      </c>
      <c r="E3612" s="46">
        <v>2</v>
      </c>
      <c r="F3612" s="46" t="s">
        <v>60</v>
      </c>
      <c r="G3612" s="46">
        <v>2</v>
      </c>
      <c r="H3612" s="47">
        <v>6</v>
      </c>
      <c r="I3612" s="47" t="s">
        <v>127</v>
      </c>
      <c r="J3612" s="48">
        <v>3</v>
      </c>
      <c r="K3612" s="48">
        <v>1</v>
      </c>
      <c r="M3612" s="48">
        <v>1</v>
      </c>
      <c r="R3612" s="46">
        <f t="shared" si="341"/>
        <v>0</v>
      </c>
      <c r="S3612" s="46">
        <f t="shared" si="342"/>
        <v>0</v>
      </c>
      <c r="T3612" s="46">
        <f t="shared" si="345"/>
        <v>60</v>
      </c>
      <c r="U3612" s="46">
        <f t="shared" si="343"/>
        <v>80</v>
      </c>
      <c r="V3612" s="54">
        <f t="shared" si="344"/>
        <v>34.666666666666664</v>
      </c>
    </row>
    <row r="3613" spans="1:22" x14ac:dyDescent="0.2">
      <c r="A3613" s="46" t="s">
        <v>179</v>
      </c>
      <c r="B3613" s="46" t="s">
        <v>103</v>
      </c>
      <c r="C3613" s="46" t="s">
        <v>88</v>
      </c>
      <c r="D3613" s="46" t="s">
        <v>178</v>
      </c>
      <c r="E3613" s="46">
        <v>4</v>
      </c>
      <c r="F3613" s="46" t="s">
        <v>60</v>
      </c>
      <c r="G3613" s="46">
        <v>3</v>
      </c>
      <c r="H3613" s="47">
        <v>23</v>
      </c>
      <c r="I3613" s="47" t="s">
        <v>159</v>
      </c>
      <c r="J3613" s="48">
        <v>3</v>
      </c>
      <c r="K3613" s="48">
        <v>0</v>
      </c>
      <c r="R3613" s="46">
        <f t="shared" si="341"/>
        <v>0</v>
      </c>
      <c r="S3613" s="46">
        <f t="shared" si="342"/>
        <v>0</v>
      </c>
      <c r="T3613" s="46">
        <f t="shared" si="345"/>
        <v>60</v>
      </c>
      <c r="U3613" s="46">
        <f t="shared" si="343"/>
        <v>60</v>
      </c>
      <c r="V3613" s="54">
        <f t="shared" si="344"/>
        <v>34.666666666666664</v>
      </c>
    </row>
    <row r="3614" spans="1:22" x14ac:dyDescent="0.2">
      <c r="A3614" s="46" t="s">
        <v>179</v>
      </c>
      <c r="B3614" s="46" t="s">
        <v>103</v>
      </c>
      <c r="C3614" s="46" t="s">
        <v>88</v>
      </c>
      <c r="D3614" s="46" t="s">
        <v>178</v>
      </c>
      <c r="E3614" s="46">
        <v>3</v>
      </c>
      <c r="F3614" s="46" t="s">
        <v>60</v>
      </c>
      <c r="G3614" s="46">
        <v>3</v>
      </c>
      <c r="H3614" s="47">
        <v>27</v>
      </c>
      <c r="I3614" s="47" t="s">
        <v>116</v>
      </c>
      <c r="J3614" s="48">
        <v>3</v>
      </c>
      <c r="K3614" s="48">
        <v>1</v>
      </c>
      <c r="R3614" s="46">
        <f t="shared" si="341"/>
        <v>0</v>
      </c>
      <c r="S3614" s="46">
        <f t="shared" si="342"/>
        <v>0</v>
      </c>
      <c r="T3614" s="46">
        <f t="shared" si="345"/>
        <v>60</v>
      </c>
      <c r="U3614" s="46">
        <f t="shared" si="343"/>
        <v>60</v>
      </c>
      <c r="V3614" s="54">
        <f t="shared" si="344"/>
        <v>34.666666666666664</v>
      </c>
    </row>
    <row r="3615" spans="1:22" x14ac:dyDescent="0.2">
      <c r="A3615" s="46" t="s">
        <v>179</v>
      </c>
      <c r="B3615" s="46" t="s">
        <v>103</v>
      </c>
      <c r="C3615" s="46" t="s">
        <v>88</v>
      </c>
      <c r="D3615" s="46" t="s">
        <v>178</v>
      </c>
      <c r="E3615" s="46">
        <v>1</v>
      </c>
      <c r="F3615" s="46" t="s">
        <v>60</v>
      </c>
      <c r="G3615" s="46">
        <v>2</v>
      </c>
      <c r="H3615" s="47">
        <v>38</v>
      </c>
      <c r="I3615" s="47" t="s">
        <v>127</v>
      </c>
      <c r="J3615" s="48">
        <v>3</v>
      </c>
      <c r="K3615" s="48">
        <v>1</v>
      </c>
      <c r="R3615" s="46">
        <f t="shared" si="341"/>
        <v>0</v>
      </c>
      <c r="S3615" s="46">
        <f t="shared" si="342"/>
        <v>0</v>
      </c>
      <c r="T3615" s="46">
        <f t="shared" si="345"/>
        <v>60</v>
      </c>
      <c r="U3615" s="46">
        <f t="shared" si="343"/>
        <v>60</v>
      </c>
      <c r="V3615" s="54">
        <f t="shared" si="344"/>
        <v>34.666666666666664</v>
      </c>
    </row>
    <row r="3616" spans="1:22" x14ac:dyDescent="0.2">
      <c r="A3616" s="46" t="s">
        <v>179</v>
      </c>
      <c r="B3616" s="46" t="s">
        <v>103</v>
      </c>
      <c r="C3616" s="46" t="s">
        <v>88</v>
      </c>
      <c r="D3616" s="46" t="s">
        <v>178</v>
      </c>
      <c r="E3616" s="46">
        <v>2</v>
      </c>
      <c r="F3616" s="46" t="s">
        <v>62</v>
      </c>
      <c r="G3616" s="46">
        <v>3</v>
      </c>
      <c r="H3616" s="47" t="s">
        <v>85</v>
      </c>
      <c r="I3616" s="47" t="s">
        <v>116</v>
      </c>
      <c r="J3616" s="48">
        <v>3</v>
      </c>
      <c r="K3616" s="48">
        <v>0</v>
      </c>
      <c r="M3616" s="48">
        <v>1</v>
      </c>
      <c r="R3616" s="46">
        <f t="shared" si="341"/>
        <v>0</v>
      </c>
      <c r="S3616" s="46">
        <f t="shared" si="342"/>
        <v>0</v>
      </c>
      <c r="T3616" s="46">
        <f t="shared" si="345"/>
        <v>60</v>
      </c>
      <c r="U3616" s="46">
        <f t="shared" si="343"/>
        <v>80</v>
      </c>
      <c r="V3616" s="54">
        <f t="shared" si="344"/>
        <v>34.666666666666664</v>
      </c>
    </row>
    <row r="3617" spans="1:22" x14ac:dyDescent="0.2">
      <c r="A3617" s="46" t="s">
        <v>179</v>
      </c>
      <c r="B3617" s="46" t="s">
        <v>103</v>
      </c>
      <c r="C3617" s="46" t="s">
        <v>88</v>
      </c>
      <c r="D3617" s="46" t="s">
        <v>178</v>
      </c>
      <c r="E3617" s="46">
        <v>3</v>
      </c>
      <c r="F3617" s="46" t="s">
        <v>63</v>
      </c>
      <c r="G3617" s="46">
        <v>4</v>
      </c>
      <c r="H3617" s="47" t="s">
        <v>146</v>
      </c>
      <c r="I3617" s="47" t="s">
        <v>102</v>
      </c>
      <c r="J3617" s="48">
        <v>3</v>
      </c>
      <c r="K3617" s="48">
        <v>0</v>
      </c>
      <c r="R3617" s="46">
        <f t="shared" si="341"/>
        <v>0</v>
      </c>
      <c r="S3617" s="46">
        <f t="shared" si="342"/>
        <v>0</v>
      </c>
      <c r="T3617" s="46">
        <f t="shared" si="345"/>
        <v>60</v>
      </c>
      <c r="U3617" s="46">
        <f t="shared" si="343"/>
        <v>60</v>
      </c>
      <c r="V3617" s="54">
        <f t="shared" si="344"/>
        <v>34.666666666666664</v>
      </c>
    </row>
    <row r="3618" spans="1:22" x14ac:dyDescent="0.2">
      <c r="A3618" s="46" t="s">
        <v>179</v>
      </c>
      <c r="B3618" s="46" t="s">
        <v>103</v>
      </c>
      <c r="C3618" s="46" t="s">
        <v>88</v>
      </c>
      <c r="D3618" s="46" t="s">
        <v>178</v>
      </c>
      <c r="E3618" s="46">
        <v>1</v>
      </c>
      <c r="F3618" s="46" t="s">
        <v>63</v>
      </c>
      <c r="G3618" s="46">
        <v>4</v>
      </c>
      <c r="H3618" s="47" t="s">
        <v>150</v>
      </c>
      <c r="I3618" s="47" t="s">
        <v>102</v>
      </c>
      <c r="J3618" s="48">
        <v>3</v>
      </c>
      <c r="K3618" s="48">
        <v>1</v>
      </c>
      <c r="R3618" s="46">
        <f t="shared" si="341"/>
        <v>0</v>
      </c>
      <c r="S3618" s="46">
        <f t="shared" si="342"/>
        <v>0</v>
      </c>
      <c r="T3618" s="46">
        <f t="shared" si="345"/>
        <v>60</v>
      </c>
      <c r="U3618" s="46">
        <f t="shared" si="343"/>
        <v>60</v>
      </c>
      <c r="V3618" s="54">
        <f t="shared" si="344"/>
        <v>34.666666666666664</v>
      </c>
    </row>
    <row r="3619" spans="1:22" x14ac:dyDescent="0.2">
      <c r="A3619" s="46" t="s">
        <v>179</v>
      </c>
      <c r="B3619" s="46" t="s">
        <v>103</v>
      </c>
      <c r="C3619" s="46" t="s">
        <v>88</v>
      </c>
      <c r="D3619" s="46" t="s">
        <v>178</v>
      </c>
      <c r="E3619" s="46">
        <v>3</v>
      </c>
      <c r="F3619" s="46" t="s">
        <v>63</v>
      </c>
      <c r="G3619" s="46">
        <v>4</v>
      </c>
      <c r="H3619" s="47" t="s">
        <v>150</v>
      </c>
      <c r="I3619" s="47" t="s">
        <v>102</v>
      </c>
      <c r="J3619" s="48">
        <v>3</v>
      </c>
      <c r="K3619" s="48">
        <v>0</v>
      </c>
      <c r="R3619" s="46">
        <f t="shared" si="341"/>
        <v>0</v>
      </c>
      <c r="S3619" s="46">
        <f t="shared" si="342"/>
        <v>0</v>
      </c>
      <c r="T3619" s="46">
        <f t="shared" si="345"/>
        <v>60</v>
      </c>
      <c r="U3619" s="46">
        <f t="shared" si="343"/>
        <v>60</v>
      </c>
      <c r="V3619" s="54">
        <f t="shared" si="344"/>
        <v>34.666666666666664</v>
      </c>
    </row>
    <row r="3620" spans="1:22" x14ac:dyDescent="0.2">
      <c r="A3620" s="46" t="s">
        <v>179</v>
      </c>
      <c r="B3620" s="46" t="s">
        <v>103</v>
      </c>
      <c r="C3620" s="46" t="s">
        <v>88</v>
      </c>
      <c r="D3620" s="46" t="s">
        <v>178</v>
      </c>
      <c r="E3620" s="46">
        <v>4</v>
      </c>
      <c r="F3620" s="46" t="s">
        <v>63</v>
      </c>
      <c r="G3620" s="46">
        <v>4</v>
      </c>
      <c r="H3620" s="47" t="s">
        <v>152</v>
      </c>
      <c r="I3620" s="47" t="s">
        <v>102</v>
      </c>
      <c r="J3620" s="48">
        <v>3</v>
      </c>
      <c r="K3620" s="48">
        <v>0</v>
      </c>
      <c r="N3620" s="48">
        <v>1</v>
      </c>
      <c r="R3620" s="46">
        <f t="shared" si="341"/>
        <v>0</v>
      </c>
      <c r="S3620" s="46">
        <f t="shared" si="342"/>
        <v>0</v>
      </c>
      <c r="T3620" s="46">
        <f t="shared" si="345"/>
        <v>60</v>
      </c>
      <c r="U3620" s="46">
        <f t="shared" si="343"/>
        <v>55</v>
      </c>
      <c r="V3620" s="54">
        <f t="shared" si="344"/>
        <v>34.666666666666664</v>
      </c>
    </row>
    <row r="3621" spans="1:22" x14ac:dyDescent="0.2">
      <c r="A3621" s="46" t="s">
        <v>179</v>
      </c>
      <c r="B3621" s="46" t="s">
        <v>103</v>
      </c>
      <c r="C3621" s="46" t="s">
        <v>88</v>
      </c>
      <c r="D3621" s="46" t="s">
        <v>178</v>
      </c>
      <c r="E3621" s="46">
        <v>2</v>
      </c>
      <c r="F3621" s="46" t="s">
        <v>60</v>
      </c>
      <c r="G3621" s="46">
        <v>4</v>
      </c>
      <c r="H3621" s="47">
        <v>24</v>
      </c>
      <c r="I3621" s="47" t="s">
        <v>102</v>
      </c>
      <c r="J3621" s="48">
        <v>4</v>
      </c>
      <c r="K3621" s="48">
        <v>2</v>
      </c>
      <c r="R3621" s="46">
        <f t="shared" si="341"/>
        <v>1</v>
      </c>
      <c r="S3621" s="46">
        <f t="shared" si="342"/>
        <v>0</v>
      </c>
      <c r="T3621" s="46">
        <f t="shared" si="345"/>
        <v>70</v>
      </c>
      <c r="U3621" s="46">
        <f t="shared" si="343"/>
        <v>70</v>
      </c>
      <c r="V3621" s="54">
        <f t="shared" si="344"/>
        <v>34.666666666666664</v>
      </c>
    </row>
    <row r="3622" spans="1:22" x14ac:dyDescent="0.2">
      <c r="A3622" s="46" t="s">
        <v>179</v>
      </c>
      <c r="B3622" s="46" t="s">
        <v>103</v>
      </c>
      <c r="C3622" s="46" t="s">
        <v>88</v>
      </c>
      <c r="D3622" s="46" t="s">
        <v>178</v>
      </c>
      <c r="E3622" s="46">
        <v>4</v>
      </c>
      <c r="F3622" s="46" t="s">
        <v>63</v>
      </c>
      <c r="G3622" s="46">
        <v>4</v>
      </c>
      <c r="H3622" s="47" t="s">
        <v>151</v>
      </c>
      <c r="I3622" s="47" t="s">
        <v>102</v>
      </c>
      <c r="J3622" s="48">
        <v>4</v>
      </c>
      <c r="K3622" s="48">
        <v>1</v>
      </c>
      <c r="N3622" s="48">
        <v>1</v>
      </c>
      <c r="R3622" s="46">
        <f t="shared" si="341"/>
        <v>1</v>
      </c>
      <c r="S3622" s="46">
        <f t="shared" si="342"/>
        <v>0</v>
      </c>
      <c r="T3622" s="46">
        <f t="shared" si="345"/>
        <v>80</v>
      </c>
      <c r="U3622" s="46">
        <f t="shared" si="343"/>
        <v>75</v>
      </c>
      <c r="V3622" s="54">
        <f t="shared" si="344"/>
        <v>34.666666666666664</v>
      </c>
    </row>
    <row r="3623" spans="1:22" x14ac:dyDescent="0.2">
      <c r="A3623" s="46" t="s">
        <v>179</v>
      </c>
      <c r="B3623" s="46" t="s">
        <v>103</v>
      </c>
      <c r="C3623" s="46" t="s">
        <v>88</v>
      </c>
      <c r="D3623" s="46" t="s">
        <v>178</v>
      </c>
      <c r="E3623" s="46">
        <v>1</v>
      </c>
      <c r="F3623" s="46" t="s">
        <v>60</v>
      </c>
      <c r="G3623" s="46">
        <v>3</v>
      </c>
      <c r="H3623" s="47">
        <v>7</v>
      </c>
      <c r="I3623" s="47" t="s">
        <v>116</v>
      </c>
      <c r="J3623" s="48">
        <v>4</v>
      </c>
      <c r="K3623" s="48">
        <v>0</v>
      </c>
      <c r="R3623" s="46">
        <f t="shared" si="341"/>
        <v>1</v>
      </c>
      <c r="S3623" s="46">
        <f t="shared" si="342"/>
        <v>0</v>
      </c>
      <c r="T3623" s="46">
        <f t="shared" si="345"/>
        <v>90</v>
      </c>
      <c r="U3623" s="46">
        <f t="shared" si="343"/>
        <v>90</v>
      </c>
      <c r="V3623" s="54">
        <f t="shared" si="344"/>
        <v>34.666666666666664</v>
      </c>
    </row>
    <row r="3624" spans="1:22" x14ac:dyDescent="0.2">
      <c r="A3624" s="46" t="s">
        <v>179</v>
      </c>
      <c r="B3624" s="46" t="s">
        <v>103</v>
      </c>
      <c r="C3624" s="46" t="s">
        <v>88</v>
      </c>
      <c r="D3624" s="46" t="s">
        <v>178</v>
      </c>
      <c r="E3624" s="46">
        <v>1</v>
      </c>
      <c r="F3624" s="46" t="s">
        <v>63</v>
      </c>
      <c r="G3624" s="46">
        <v>4</v>
      </c>
      <c r="H3624" s="47" t="s">
        <v>151</v>
      </c>
      <c r="I3624" s="47" t="s">
        <v>102</v>
      </c>
      <c r="J3624" s="48">
        <v>4</v>
      </c>
      <c r="K3624" s="48">
        <v>0</v>
      </c>
      <c r="M3624" s="48">
        <v>1</v>
      </c>
      <c r="R3624" s="46">
        <f t="shared" si="341"/>
        <v>1</v>
      </c>
      <c r="S3624" s="46">
        <f t="shared" si="342"/>
        <v>0</v>
      </c>
      <c r="T3624" s="46">
        <f t="shared" si="345"/>
        <v>90</v>
      </c>
      <c r="U3624" s="46">
        <f t="shared" si="343"/>
        <v>110</v>
      </c>
      <c r="V3624" s="54">
        <f t="shared" si="344"/>
        <v>34.666666666666664</v>
      </c>
    </row>
    <row r="3625" spans="1:22" x14ac:dyDescent="0.2">
      <c r="A3625" s="46" t="s">
        <v>179</v>
      </c>
      <c r="B3625" s="46" t="s">
        <v>103</v>
      </c>
      <c r="C3625" s="46" t="s">
        <v>88</v>
      </c>
      <c r="D3625" s="46" t="s">
        <v>178</v>
      </c>
      <c r="E3625" s="46">
        <v>4</v>
      </c>
      <c r="F3625" s="46" t="s">
        <v>63</v>
      </c>
      <c r="G3625" s="46">
        <v>4</v>
      </c>
      <c r="H3625" s="47" t="s">
        <v>172</v>
      </c>
      <c r="I3625" s="47" t="s">
        <v>102</v>
      </c>
      <c r="J3625" s="48">
        <v>3</v>
      </c>
      <c r="K3625" s="48">
        <v>0</v>
      </c>
      <c r="R3625" s="46">
        <f t="shared" si="341"/>
        <v>0</v>
      </c>
      <c r="S3625" s="46">
        <f t="shared" si="342"/>
        <v>0</v>
      </c>
      <c r="T3625" s="46">
        <f t="shared" si="345"/>
        <v>60</v>
      </c>
      <c r="U3625" s="46">
        <f t="shared" si="343"/>
        <v>60</v>
      </c>
      <c r="V3625" s="54">
        <f t="shared" si="344"/>
        <v>34.666666666666664</v>
      </c>
    </row>
    <row r="3626" spans="1:22" x14ac:dyDescent="0.2">
      <c r="A3626" s="46" t="s">
        <v>179</v>
      </c>
      <c r="B3626" s="46" t="s">
        <v>103</v>
      </c>
      <c r="C3626" s="46" t="s">
        <v>88</v>
      </c>
      <c r="D3626" s="46" t="s">
        <v>178</v>
      </c>
      <c r="E3626" s="46">
        <v>5</v>
      </c>
      <c r="F3626" s="46" t="s">
        <v>60</v>
      </c>
      <c r="G3626" s="46">
        <v>4</v>
      </c>
      <c r="H3626" s="47">
        <v>4</v>
      </c>
      <c r="I3626" s="47" t="s">
        <v>102</v>
      </c>
      <c r="J3626" s="48">
        <v>3</v>
      </c>
      <c r="K3626" s="48">
        <v>0</v>
      </c>
      <c r="R3626" s="46">
        <f t="shared" si="341"/>
        <v>0</v>
      </c>
      <c r="S3626" s="46">
        <f t="shared" si="342"/>
        <v>0</v>
      </c>
      <c r="T3626" s="46">
        <f t="shared" si="345"/>
        <v>60</v>
      </c>
      <c r="U3626" s="46">
        <f t="shared" si="343"/>
        <v>60</v>
      </c>
      <c r="V3626" s="54">
        <f t="shared" si="344"/>
        <v>34.666666666666664</v>
      </c>
    </row>
    <row r="3627" spans="1:22" x14ac:dyDescent="0.2">
      <c r="A3627" s="46" t="s">
        <v>179</v>
      </c>
      <c r="B3627" s="46" t="s">
        <v>103</v>
      </c>
      <c r="C3627" s="46" t="s">
        <v>88</v>
      </c>
      <c r="D3627" s="46" t="s">
        <v>178</v>
      </c>
      <c r="E3627" s="46">
        <v>5</v>
      </c>
      <c r="F3627" s="46" t="s">
        <v>60</v>
      </c>
      <c r="G3627" s="46">
        <v>4</v>
      </c>
      <c r="H3627" s="47">
        <v>12</v>
      </c>
      <c r="I3627" s="47" t="s">
        <v>102</v>
      </c>
      <c r="J3627" s="48">
        <v>3</v>
      </c>
      <c r="K3627" s="48">
        <v>0</v>
      </c>
      <c r="R3627" s="46">
        <f t="shared" si="341"/>
        <v>0</v>
      </c>
      <c r="S3627" s="46">
        <f t="shared" si="342"/>
        <v>0</v>
      </c>
      <c r="T3627" s="46">
        <f t="shared" si="345"/>
        <v>60</v>
      </c>
      <c r="U3627" s="46">
        <f t="shared" si="343"/>
        <v>60</v>
      </c>
      <c r="V3627" s="54">
        <f t="shared" si="344"/>
        <v>34.666666666666664</v>
      </c>
    </row>
    <row r="3628" spans="1:22" x14ac:dyDescent="0.2">
      <c r="A3628" s="46" t="s">
        <v>179</v>
      </c>
      <c r="B3628" s="46" t="s">
        <v>103</v>
      </c>
      <c r="C3628" s="46" t="s">
        <v>88</v>
      </c>
      <c r="D3628" s="46" t="s">
        <v>178</v>
      </c>
      <c r="E3628" s="46">
        <v>5</v>
      </c>
      <c r="F3628" s="46" t="s">
        <v>60</v>
      </c>
      <c r="G3628" s="46">
        <v>1</v>
      </c>
      <c r="H3628" s="47">
        <v>17</v>
      </c>
      <c r="I3628" s="47" t="s">
        <v>101</v>
      </c>
      <c r="J3628" s="48">
        <v>2</v>
      </c>
      <c r="K3628" s="48">
        <v>1</v>
      </c>
      <c r="R3628" s="46">
        <f t="shared" si="341"/>
        <v>0</v>
      </c>
      <c r="S3628" s="46">
        <f t="shared" si="342"/>
        <v>0</v>
      </c>
      <c r="T3628" s="46">
        <f t="shared" si="345"/>
        <v>40</v>
      </c>
      <c r="U3628" s="46">
        <f t="shared" si="343"/>
        <v>40</v>
      </c>
      <c r="V3628" s="54">
        <f t="shared" si="344"/>
        <v>34.666666666666664</v>
      </c>
    </row>
    <row r="3629" spans="1:22" x14ac:dyDescent="0.2">
      <c r="A3629" s="46" t="s">
        <v>179</v>
      </c>
      <c r="B3629" s="46" t="s">
        <v>103</v>
      </c>
      <c r="C3629" s="46" t="s">
        <v>88</v>
      </c>
      <c r="D3629" s="46" t="s">
        <v>178</v>
      </c>
      <c r="E3629" s="46">
        <v>5</v>
      </c>
      <c r="F3629" s="46" t="s">
        <v>60</v>
      </c>
      <c r="G3629" s="46">
        <v>3</v>
      </c>
      <c r="H3629" s="47">
        <v>27</v>
      </c>
      <c r="I3629" s="47" t="s">
        <v>159</v>
      </c>
      <c r="J3629" s="48">
        <v>2</v>
      </c>
      <c r="K3629" s="48">
        <v>1</v>
      </c>
      <c r="R3629" s="46">
        <f t="shared" si="341"/>
        <v>0</v>
      </c>
      <c r="S3629" s="46">
        <f t="shared" si="342"/>
        <v>0</v>
      </c>
      <c r="T3629" s="46">
        <f t="shared" si="345"/>
        <v>40</v>
      </c>
      <c r="U3629" s="46">
        <f t="shared" si="343"/>
        <v>40</v>
      </c>
      <c r="V3629" s="54">
        <f t="shared" si="344"/>
        <v>34.666666666666664</v>
      </c>
    </row>
    <row r="3630" spans="1:22" x14ac:dyDescent="0.2">
      <c r="A3630" s="46" t="s">
        <v>179</v>
      </c>
      <c r="B3630" s="46" t="s">
        <v>103</v>
      </c>
      <c r="C3630" s="46" t="s">
        <v>88</v>
      </c>
      <c r="D3630" s="46" t="s">
        <v>178</v>
      </c>
      <c r="E3630" s="46">
        <v>5</v>
      </c>
      <c r="F3630" s="46" t="s">
        <v>60</v>
      </c>
      <c r="G3630" s="46">
        <v>2</v>
      </c>
      <c r="H3630" s="47">
        <v>38</v>
      </c>
      <c r="I3630" s="47" t="s">
        <v>127</v>
      </c>
      <c r="J3630" s="48">
        <v>1</v>
      </c>
      <c r="K3630" s="48">
        <v>1</v>
      </c>
      <c r="M3630" s="48">
        <v>1</v>
      </c>
      <c r="R3630" s="46">
        <f t="shared" si="341"/>
        <v>0</v>
      </c>
      <c r="S3630" s="46">
        <f t="shared" si="342"/>
        <v>0</v>
      </c>
      <c r="T3630" s="46">
        <f t="shared" si="345"/>
        <v>20</v>
      </c>
      <c r="U3630" s="46">
        <f t="shared" si="343"/>
        <v>40</v>
      </c>
      <c r="V3630" s="54">
        <f t="shared" si="344"/>
        <v>34.666666666666664</v>
      </c>
    </row>
    <row r="3631" spans="1:22" x14ac:dyDescent="0.2">
      <c r="A3631" s="46" t="s">
        <v>179</v>
      </c>
      <c r="B3631" s="46" t="s">
        <v>103</v>
      </c>
      <c r="C3631" s="46" t="s">
        <v>88</v>
      </c>
      <c r="D3631" s="46" t="s">
        <v>178</v>
      </c>
      <c r="E3631" s="46">
        <v>5</v>
      </c>
      <c r="F3631" s="46" t="s">
        <v>60</v>
      </c>
      <c r="G3631" s="46">
        <v>1</v>
      </c>
      <c r="H3631" s="47">
        <v>49</v>
      </c>
      <c r="I3631" s="47" t="s">
        <v>101</v>
      </c>
      <c r="J3631" s="48">
        <v>3</v>
      </c>
      <c r="K3631" s="48">
        <v>1</v>
      </c>
      <c r="R3631" s="46">
        <f t="shared" si="341"/>
        <v>0</v>
      </c>
      <c r="S3631" s="46">
        <f t="shared" si="342"/>
        <v>0</v>
      </c>
      <c r="T3631" s="46">
        <f t="shared" si="345"/>
        <v>60</v>
      </c>
      <c r="U3631" s="46">
        <f t="shared" si="343"/>
        <v>60</v>
      </c>
      <c r="V3631" s="54">
        <f t="shared" si="344"/>
        <v>34.666666666666664</v>
      </c>
    </row>
    <row r="3632" spans="1:22" x14ac:dyDescent="0.2">
      <c r="A3632" s="46" t="s">
        <v>179</v>
      </c>
      <c r="B3632" s="46" t="s">
        <v>103</v>
      </c>
      <c r="C3632" s="46" t="s">
        <v>88</v>
      </c>
      <c r="D3632" s="46" t="s">
        <v>178</v>
      </c>
      <c r="E3632" s="46">
        <v>5</v>
      </c>
      <c r="F3632" s="46" t="s">
        <v>62</v>
      </c>
      <c r="G3632" s="46">
        <v>2</v>
      </c>
      <c r="H3632" s="47" t="s">
        <v>79</v>
      </c>
      <c r="I3632" s="47" t="s">
        <v>127</v>
      </c>
      <c r="J3632" s="48">
        <v>4</v>
      </c>
      <c r="K3632" s="48">
        <v>1</v>
      </c>
      <c r="R3632" s="46">
        <f t="shared" si="341"/>
        <v>1</v>
      </c>
      <c r="S3632" s="46">
        <f t="shared" si="342"/>
        <v>0</v>
      </c>
      <c r="T3632" s="46">
        <f t="shared" si="345"/>
        <v>80</v>
      </c>
      <c r="U3632" s="46">
        <f t="shared" si="343"/>
        <v>80</v>
      </c>
      <c r="V3632" s="54">
        <f t="shared" si="344"/>
        <v>34.666666666666664</v>
      </c>
    </row>
    <row r="3633" spans="1:22" x14ac:dyDescent="0.2">
      <c r="A3633" s="46" t="s">
        <v>179</v>
      </c>
      <c r="B3633" s="46" t="s">
        <v>103</v>
      </c>
      <c r="C3633" s="46" t="s">
        <v>88</v>
      </c>
      <c r="D3633" s="46" t="s">
        <v>178</v>
      </c>
      <c r="E3633" s="46">
        <v>5</v>
      </c>
      <c r="F3633" s="46" t="s">
        <v>62</v>
      </c>
      <c r="G3633" s="46">
        <v>3</v>
      </c>
      <c r="H3633" s="47" t="s">
        <v>84</v>
      </c>
      <c r="I3633" s="47" t="s">
        <v>219</v>
      </c>
      <c r="J3633" s="48">
        <v>1</v>
      </c>
      <c r="K3633" s="48">
        <v>3</v>
      </c>
      <c r="R3633" s="46">
        <f t="shared" si="341"/>
        <v>0</v>
      </c>
      <c r="S3633" s="46">
        <f t="shared" si="342"/>
        <v>1</v>
      </c>
      <c r="T3633" s="46">
        <f t="shared" si="345"/>
        <v>0</v>
      </c>
      <c r="U3633" s="46">
        <f t="shared" si="343"/>
        <v>0</v>
      </c>
      <c r="V3633" s="54">
        <f t="shared" si="344"/>
        <v>34.666666666666664</v>
      </c>
    </row>
    <row r="3634" spans="1:22" x14ac:dyDescent="0.2">
      <c r="A3634" s="46" t="s">
        <v>179</v>
      </c>
      <c r="B3634" s="46" t="s">
        <v>103</v>
      </c>
      <c r="C3634" s="46" t="s">
        <v>88</v>
      </c>
      <c r="D3634" s="46" t="s">
        <v>178</v>
      </c>
      <c r="E3634" s="46">
        <v>5</v>
      </c>
      <c r="F3634" s="46" t="s">
        <v>62</v>
      </c>
      <c r="G3634" s="46">
        <v>3</v>
      </c>
      <c r="H3634" s="47" t="s">
        <v>87</v>
      </c>
      <c r="I3634" s="47" t="s">
        <v>219</v>
      </c>
      <c r="J3634" s="48">
        <v>3</v>
      </c>
      <c r="K3634" s="48">
        <v>1</v>
      </c>
      <c r="R3634" s="46">
        <f t="shared" si="341"/>
        <v>0</v>
      </c>
      <c r="S3634" s="46">
        <f t="shared" si="342"/>
        <v>0</v>
      </c>
      <c r="T3634" s="46">
        <f t="shared" si="345"/>
        <v>60</v>
      </c>
      <c r="U3634" s="46">
        <f t="shared" si="343"/>
        <v>60</v>
      </c>
      <c r="V3634" s="54">
        <f t="shared" si="344"/>
        <v>34.666666666666664</v>
      </c>
    </row>
    <row r="3635" spans="1:22" x14ac:dyDescent="0.2">
      <c r="A3635" s="46" t="s">
        <v>35</v>
      </c>
      <c r="B3635" s="46" t="s">
        <v>208</v>
      </c>
      <c r="C3635" s="46" t="s">
        <v>88</v>
      </c>
      <c r="D3635" s="46" t="s">
        <v>178</v>
      </c>
      <c r="E3635" s="46">
        <v>2</v>
      </c>
      <c r="F3635" s="46" t="s">
        <v>60</v>
      </c>
      <c r="G3635" s="46">
        <v>1</v>
      </c>
      <c r="H3635" s="47">
        <v>13</v>
      </c>
      <c r="I3635" s="47" t="s">
        <v>101</v>
      </c>
      <c r="J3635" s="48">
        <v>0</v>
      </c>
      <c r="K3635" s="48">
        <v>3</v>
      </c>
      <c r="R3635" s="46">
        <f t="shared" si="341"/>
        <v>0</v>
      </c>
      <c r="S3635" s="46">
        <f t="shared" si="342"/>
        <v>1</v>
      </c>
      <c r="T3635" s="46">
        <f t="shared" si="345"/>
        <v>-20</v>
      </c>
      <c r="U3635" s="46">
        <f t="shared" si="343"/>
        <v>-20</v>
      </c>
      <c r="V3635" s="54">
        <f t="shared" si="344"/>
        <v>14.5</v>
      </c>
    </row>
    <row r="3636" spans="1:22" x14ac:dyDescent="0.2">
      <c r="A3636" s="46" t="s">
        <v>35</v>
      </c>
      <c r="B3636" s="46" t="s">
        <v>57</v>
      </c>
      <c r="C3636" s="46" t="s">
        <v>88</v>
      </c>
      <c r="D3636" s="46" t="s">
        <v>178</v>
      </c>
      <c r="E3636" s="46">
        <v>1</v>
      </c>
      <c r="F3636" s="46" t="s">
        <v>60</v>
      </c>
      <c r="G3636" s="46">
        <v>3</v>
      </c>
      <c r="H3636" s="47">
        <v>7</v>
      </c>
      <c r="I3636" s="47" t="s">
        <v>116</v>
      </c>
      <c r="J3636" s="48">
        <v>0</v>
      </c>
      <c r="K3636" s="48">
        <v>2</v>
      </c>
      <c r="R3636" s="46">
        <f t="shared" si="341"/>
        <v>0</v>
      </c>
      <c r="S3636" s="46">
        <f t="shared" si="342"/>
        <v>0</v>
      </c>
      <c r="T3636" s="46">
        <f t="shared" si="345"/>
        <v>-10</v>
      </c>
      <c r="U3636" s="46">
        <f t="shared" si="343"/>
        <v>-10</v>
      </c>
      <c r="V3636" s="54">
        <f t="shared" si="344"/>
        <v>14.5</v>
      </c>
    </row>
    <row r="3637" spans="1:22" x14ac:dyDescent="0.2">
      <c r="A3637" s="46" t="s">
        <v>35</v>
      </c>
      <c r="B3637" s="46" t="s">
        <v>57</v>
      </c>
      <c r="C3637" s="46" t="s">
        <v>88</v>
      </c>
      <c r="D3637" s="46" t="s">
        <v>178</v>
      </c>
      <c r="E3637" s="46">
        <v>1</v>
      </c>
      <c r="F3637" s="46" t="s">
        <v>60</v>
      </c>
      <c r="G3637" s="46">
        <v>4</v>
      </c>
      <c r="H3637" s="47">
        <v>4</v>
      </c>
      <c r="I3637" s="47" t="s">
        <v>102</v>
      </c>
      <c r="J3637" s="48">
        <v>0</v>
      </c>
      <c r="K3637" s="48">
        <v>0</v>
      </c>
      <c r="R3637" s="46">
        <f t="shared" si="341"/>
        <v>0</v>
      </c>
      <c r="S3637" s="46">
        <f t="shared" si="342"/>
        <v>0</v>
      </c>
      <c r="T3637" s="46">
        <f t="shared" si="345"/>
        <v>0</v>
      </c>
      <c r="U3637" s="46">
        <f t="shared" si="343"/>
        <v>0</v>
      </c>
      <c r="V3637" s="54">
        <f t="shared" si="344"/>
        <v>14.5</v>
      </c>
    </row>
    <row r="3638" spans="1:22" x14ac:dyDescent="0.2">
      <c r="A3638" s="46" t="s">
        <v>35</v>
      </c>
      <c r="B3638" s="46" t="s">
        <v>208</v>
      </c>
      <c r="C3638" s="46" t="s">
        <v>88</v>
      </c>
      <c r="D3638" s="46" t="s">
        <v>178</v>
      </c>
      <c r="E3638" s="46">
        <v>3</v>
      </c>
      <c r="F3638" s="46" t="s">
        <v>60</v>
      </c>
      <c r="G3638" s="46">
        <v>1</v>
      </c>
      <c r="H3638" s="47">
        <v>5</v>
      </c>
      <c r="I3638" s="47" t="s">
        <v>101</v>
      </c>
      <c r="J3638" s="48">
        <v>0</v>
      </c>
      <c r="K3638" s="48">
        <v>0</v>
      </c>
      <c r="R3638" s="46">
        <f t="shared" si="341"/>
        <v>0</v>
      </c>
      <c r="S3638" s="46">
        <f t="shared" si="342"/>
        <v>0</v>
      </c>
      <c r="T3638" s="46">
        <f t="shared" si="345"/>
        <v>0</v>
      </c>
      <c r="U3638" s="46">
        <f t="shared" si="343"/>
        <v>0</v>
      </c>
      <c r="V3638" s="54">
        <f t="shared" si="344"/>
        <v>14.5</v>
      </c>
    </row>
    <row r="3639" spans="1:22" x14ac:dyDescent="0.2">
      <c r="A3639" s="46" t="s">
        <v>35</v>
      </c>
      <c r="B3639" s="46" t="s">
        <v>57</v>
      </c>
      <c r="C3639" s="46" t="s">
        <v>88</v>
      </c>
      <c r="D3639" s="46" t="s">
        <v>178</v>
      </c>
      <c r="E3639" s="46">
        <v>1</v>
      </c>
      <c r="F3639" s="46" t="s">
        <v>60</v>
      </c>
      <c r="G3639" s="46">
        <v>2</v>
      </c>
      <c r="H3639" s="47">
        <v>14</v>
      </c>
      <c r="I3639" s="47" t="s">
        <v>127</v>
      </c>
      <c r="J3639" s="48">
        <v>0</v>
      </c>
      <c r="K3639" s="48">
        <v>0</v>
      </c>
      <c r="R3639" s="46">
        <f t="shared" si="341"/>
        <v>0</v>
      </c>
      <c r="S3639" s="46">
        <f t="shared" si="342"/>
        <v>0</v>
      </c>
      <c r="T3639" s="46">
        <f t="shared" ref="T3639:T3670" si="346">quizscore(J3639,K3639)</f>
        <v>0</v>
      </c>
      <c r="U3639" s="46">
        <f t="shared" si="343"/>
        <v>0</v>
      </c>
      <c r="V3639" s="54">
        <f t="shared" si="344"/>
        <v>14.5</v>
      </c>
    </row>
    <row r="3640" spans="1:22" x14ac:dyDescent="0.2">
      <c r="A3640" s="46" t="s">
        <v>35</v>
      </c>
      <c r="B3640" s="46" t="s">
        <v>208</v>
      </c>
      <c r="C3640" s="46" t="s">
        <v>88</v>
      </c>
      <c r="D3640" s="46" t="s">
        <v>178</v>
      </c>
      <c r="E3640" s="46">
        <v>3</v>
      </c>
      <c r="F3640" s="46" t="s">
        <v>60</v>
      </c>
      <c r="G3640" s="46">
        <v>2</v>
      </c>
      <c r="H3640" s="47">
        <v>14</v>
      </c>
      <c r="I3640" s="47" t="s">
        <v>127</v>
      </c>
      <c r="J3640" s="48">
        <v>0</v>
      </c>
      <c r="K3640" s="48">
        <v>0</v>
      </c>
      <c r="R3640" s="46">
        <f t="shared" si="341"/>
        <v>0</v>
      </c>
      <c r="S3640" s="46">
        <f t="shared" si="342"/>
        <v>0</v>
      </c>
      <c r="T3640" s="46">
        <f t="shared" si="346"/>
        <v>0</v>
      </c>
      <c r="U3640" s="46">
        <f t="shared" si="343"/>
        <v>0</v>
      </c>
      <c r="V3640" s="54">
        <f t="shared" si="344"/>
        <v>14.5</v>
      </c>
    </row>
    <row r="3641" spans="1:22" x14ac:dyDescent="0.2">
      <c r="A3641" s="46" t="s">
        <v>35</v>
      </c>
      <c r="B3641" s="46" t="s">
        <v>208</v>
      </c>
      <c r="C3641" s="46" t="s">
        <v>88</v>
      </c>
      <c r="D3641" s="46" t="s">
        <v>178</v>
      </c>
      <c r="E3641" s="46">
        <v>3</v>
      </c>
      <c r="F3641" s="46" t="s">
        <v>60</v>
      </c>
      <c r="G3641" s="46">
        <v>4</v>
      </c>
      <c r="H3641" s="47">
        <v>36</v>
      </c>
      <c r="I3641" s="47" t="s">
        <v>102</v>
      </c>
      <c r="J3641" s="48">
        <v>0</v>
      </c>
      <c r="K3641" s="48">
        <v>0</v>
      </c>
      <c r="R3641" s="46">
        <f t="shared" si="341"/>
        <v>0</v>
      </c>
      <c r="S3641" s="46">
        <f t="shared" si="342"/>
        <v>0</v>
      </c>
      <c r="T3641" s="46">
        <f t="shared" si="346"/>
        <v>0</v>
      </c>
      <c r="U3641" s="46">
        <f t="shared" si="343"/>
        <v>0</v>
      </c>
      <c r="V3641" s="54">
        <f t="shared" si="344"/>
        <v>14.5</v>
      </c>
    </row>
    <row r="3642" spans="1:22" x14ac:dyDescent="0.2">
      <c r="A3642" s="46" t="s">
        <v>35</v>
      </c>
      <c r="B3642" s="46" t="s">
        <v>208</v>
      </c>
      <c r="C3642" s="46" t="s">
        <v>88</v>
      </c>
      <c r="D3642" s="46" t="s">
        <v>178</v>
      </c>
      <c r="E3642" s="46">
        <v>4</v>
      </c>
      <c r="F3642" s="46" t="s">
        <v>60</v>
      </c>
      <c r="G3642" s="46">
        <v>1</v>
      </c>
      <c r="H3642" s="47">
        <v>37</v>
      </c>
      <c r="I3642" s="47" t="s">
        <v>101</v>
      </c>
      <c r="J3642" s="48">
        <v>0</v>
      </c>
      <c r="K3642" s="48">
        <v>1</v>
      </c>
      <c r="R3642" s="46">
        <f t="shared" si="341"/>
        <v>0</v>
      </c>
      <c r="S3642" s="46">
        <f t="shared" si="342"/>
        <v>0</v>
      </c>
      <c r="T3642" s="46">
        <f t="shared" si="346"/>
        <v>0</v>
      </c>
      <c r="U3642" s="46">
        <f t="shared" si="343"/>
        <v>0</v>
      </c>
      <c r="V3642" s="54">
        <f t="shared" si="344"/>
        <v>14.5</v>
      </c>
    </row>
    <row r="3643" spans="1:22" x14ac:dyDescent="0.2">
      <c r="A3643" s="46" t="s">
        <v>35</v>
      </c>
      <c r="B3643" s="46" t="s">
        <v>57</v>
      </c>
      <c r="C3643" s="46" t="s">
        <v>88</v>
      </c>
      <c r="D3643" s="46" t="s">
        <v>178</v>
      </c>
      <c r="E3643" s="46">
        <v>1</v>
      </c>
      <c r="F3643" s="46" t="s">
        <v>60</v>
      </c>
      <c r="G3643" s="46">
        <v>1</v>
      </c>
      <c r="H3643" s="47">
        <v>41</v>
      </c>
      <c r="I3643" s="47" t="s">
        <v>101</v>
      </c>
      <c r="J3643" s="48">
        <v>0</v>
      </c>
      <c r="K3643" s="48">
        <v>0</v>
      </c>
      <c r="R3643" s="46">
        <f t="shared" si="341"/>
        <v>0</v>
      </c>
      <c r="S3643" s="46">
        <f t="shared" si="342"/>
        <v>0</v>
      </c>
      <c r="T3643" s="46">
        <f t="shared" si="346"/>
        <v>0</v>
      </c>
      <c r="U3643" s="46">
        <f t="shared" si="343"/>
        <v>0</v>
      </c>
      <c r="V3643" s="54">
        <f t="shared" si="344"/>
        <v>14.5</v>
      </c>
    </row>
    <row r="3644" spans="1:22" x14ac:dyDescent="0.2">
      <c r="A3644" s="46" t="s">
        <v>35</v>
      </c>
      <c r="B3644" s="46" t="s">
        <v>57</v>
      </c>
      <c r="C3644" s="46" t="s">
        <v>88</v>
      </c>
      <c r="D3644" s="46" t="s">
        <v>178</v>
      </c>
      <c r="E3644" s="46">
        <v>1</v>
      </c>
      <c r="F3644" s="46" t="s">
        <v>60</v>
      </c>
      <c r="G3644" s="46">
        <v>2</v>
      </c>
      <c r="H3644" s="47">
        <v>50</v>
      </c>
      <c r="I3644" s="47" t="s">
        <v>127</v>
      </c>
      <c r="J3644" s="48">
        <v>0</v>
      </c>
      <c r="K3644" s="48">
        <v>1</v>
      </c>
      <c r="R3644" s="46">
        <f t="shared" si="341"/>
        <v>0</v>
      </c>
      <c r="S3644" s="46">
        <f t="shared" si="342"/>
        <v>0</v>
      </c>
      <c r="T3644" s="46">
        <f t="shared" si="346"/>
        <v>0</v>
      </c>
      <c r="U3644" s="46">
        <f t="shared" si="343"/>
        <v>0</v>
      </c>
      <c r="V3644" s="54">
        <f t="shared" si="344"/>
        <v>14.5</v>
      </c>
    </row>
    <row r="3645" spans="1:22" x14ac:dyDescent="0.2">
      <c r="A3645" s="46" t="s">
        <v>35</v>
      </c>
      <c r="B3645" s="46" t="s">
        <v>208</v>
      </c>
      <c r="C3645" s="46" t="s">
        <v>88</v>
      </c>
      <c r="D3645" s="46" t="s">
        <v>178</v>
      </c>
      <c r="E3645" s="46">
        <v>4</v>
      </c>
      <c r="F3645" s="46" t="s">
        <v>62</v>
      </c>
      <c r="G3645" s="46">
        <v>2</v>
      </c>
      <c r="H3645" s="47" t="s">
        <v>79</v>
      </c>
      <c r="I3645" s="47" t="s">
        <v>127</v>
      </c>
      <c r="J3645" s="48">
        <v>0</v>
      </c>
      <c r="K3645" s="48">
        <v>0</v>
      </c>
      <c r="R3645" s="46">
        <f t="shared" si="341"/>
        <v>0</v>
      </c>
      <c r="S3645" s="46">
        <f t="shared" si="342"/>
        <v>0</v>
      </c>
      <c r="T3645" s="46">
        <f t="shared" si="346"/>
        <v>0</v>
      </c>
      <c r="U3645" s="46">
        <f t="shared" si="343"/>
        <v>0</v>
      </c>
      <c r="V3645" s="54">
        <f t="shared" si="344"/>
        <v>14.5</v>
      </c>
    </row>
    <row r="3646" spans="1:22" x14ac:dyDescent="0.2">
      <c r="A3646" s="46" t="s">
        <v>35</v>
      </c>
      <c r="B3646" s="46" t="s">
        <v>208</v>
      </c>
      <c r="C3646" s="46" t="s">
        <v>88</v>
      </c>
      <c r="D3646" s="46" t="s">
        <v>178</v>
      </c>
      <c r="E3646" s="46">
        <v>3</v>
      </c>
      <c r="F3646" s="46" t="s">
        <v>62</v>
      </c>
      <c r="G3646" s="46">
        <v>2</v>
      </c>
      <c r="H3646" s="47" t="s">
        <v>82</v>
      </c>
      <c r="I3646" s="47" t="s">
        <v>127</v>
      </c>
      <c r="J3646" s="48">
        <v>0</v>
      </c>
      <c r="K3646" s="48">
        <v>0</v>
      </c>
      <c r="R3646" s="46">
        <f t="shared" si="341"/>
        <v>0</v>
      </c>
      <c r="S3646" s="46">
        <f t="shared" si="342"/>
        <v>0</v>
      </c>
      <c r="T3646" s="46">
        <f t="shared" si="346"/>
        <v>0</v>
      </c>
      <c r="U3646" s="46">
        <f t="shared" si="343"/>
        <v>0</v>
      </c>
      <c r="V3646" s="54">
        <f t="shared" si="344"/>
        <v>14.5</v>
      </c>
    </row>
    <row r="3647" spans="1:22" x14ac:dyDescent="0.2">
      <c r="A3647" s="46" t="s">
        <v>35</v>
      </c>
      <c r="B3647" s="46" t="s">
        <v>57</v>
      </c>
      <c r="C3647" s="46" t="s">
        <v>88</v>
      </c>
      <c r="D3647" s="46" t="s">
        <v>178</v>
      </c>
      <c r="E3647" s="46">
        <v>1</v>
      </c>
      <c r="F3647" s="46" t="s">
        <v>61</v>
      </c>
      <c r="G3647" s="46">
        <v>1</v>
      </c>
      <c r="H3647" s="47" t="s">
        <v>74</v>
      </c>
      <c r="I3647" s="47" t="s">
        <v>101</v>
      </c>
      <c r="J3647" s="48">
        <v>0</v>
      </c>
      <c r="K3647" s="48">
        <v>0</v>
      </c>
      <c r="R3647" s="46">
        <f t="shared" si="341"/>
        <v>0</v>
      </c>
      <c r="S3647" s="46">
        <f t="shared" si="342"/>
        <v>0</v>
      </c>
      <c r="T3647" s="46">
        <f t="shared" si="346"/>
        <v>0</v>
      </c>
      <c r="U3647" s="46">
        <f t="shared" si="343"/>
        <v>0</v>
      </c>
      <c r="V3647" s="54">
        <f t="shared" si="344"/>
        <v>14.5</v>
      </c>
    </row>
    <row r="3648" spans="1:22" x14ac:dyDescent="0.2">
      <c r="A3648" s="46" t="s">
        <v>35</v>
      </c>
      <c r="B3648" s="46" t="s">
        <v>57</v>
      </c>
      <c r="C3648" s="46" t="s">
        <v>88</v>
      </c>
      <c r="D3648" s="46" t="s">
        <v>178</v>
      </c>
      <c r="E3648" s="46">
        <v>1</v>
      </c>
      <c r="F3648" s="46" t="s">
        <v>61</v>
      </c>
      <c r="G3648" s="46">
        <v>2</v>
      </c>
      <c r="H3648" s="47" t="s">
        <v>76</v>
      </c>
      <c r="I3648" s="47" t="s">
        <v>127</v>
      </c>
      <c r="J3648" s="48">
        <v>0</v>
      </c>
      <c r="K3648" s="48">
        <v>0</v>
      </c>
      <c r="M3648" s="48">
        <v>1</v>
      </c>
      <c r="R3648" s="46">
        <f t="shared" si="341"/>
        <v>0</v>
      </c>
      <c r="S3648" s="46">
        <f t="shared" si="342"/>
        <v>0</v>
      </c>
      <c r="T3648" s="46">
        <f t="shared" si="346"/>
        <v>0</v>
      </c>
      <c r="U3648" s="46">
        <f t="shared" si="343"/>
        <v>20</v>
      </c>
      <c r="V3648" s="54">
        <f t="shared" si="344"/>
        <v>14.5</v>
      </c>
    </row>
    <row r="3649" spans="1:22" x14ac:dyDescent="0.2">
      <c r="A3649" s="46" t="s">
        <v>35</v>
      </c>
      <c r="B3649" s="46" t="s">
        <v>57</v>
      </c>
      <c r="C3649" s="46" t="s">
        <v>88</v>
      </c>
      <c r="D3649" s="46" t="s">
        <v>178</v>
      </c>
      <c r="E3649" s="46">
        <v>1</v>
      </c>
      <c r="F3649" s="46" t="s">
        <v>61</v>
      </c>
      <c r="G3649" s="46">
        <v>2</v>
      </c>
      <c r="H3649" s="47" t="s">
        <v>66</v>
      </c>
      <c r="I3649" s="47" t="s">
        <v>127</v>
      </c>
      <c r="J3649" s="48">
        <v>0</v>
      </c>
      <c r="K3649" s="48">
        <v>0</v>
      </c>
      <c r="R3649" s="46">
        <f t="shared" si="341"/>
        <v>0</v>
      </c>
      <c r="S3649" s="46">
        <f t="shared" si="342"/>
        <v>0</v>
      </c>
      <c r="T3649" s="46">
        <f t="shared" si="346"/>
        <v>0</v>
      </c>
      <c r="U3649" s="46">
        <f t="shared" si="343"/>
        <v>0</v>
      </c>
      <c r="V3649" s="54">
        <f t="shared" si="344"/>
        <v>14.5</v>
      </c>
    </row>
    <row r="3650" spans="1:22" x14ac:dyDescent="0.2">
      <c r="A3650" s="46" t="s">
        <v>35</v>
      </c>
      <c r="B3650" s="46" t="s">
        <v>57</v>
      </c>
      <c r="C3650" s="46" t="s">
        <v>88</v>
      </c>
      <c r="D3650" s="46" t="s">
        <v>178</v>
      </c>
      <c r="E3650" s="46">
        <v>1</v>
      </c>
      <c r="F3650" s="46" t="s">
        <v>61</v>
      </c>
      <c r="G3650" s="46">
        <v>1</v>
      </c>
      <c r="H3650" s="47" t="s">
        <v>71</v>
      </c>
      <c r="I3650" s="47" t="s">
        <v>101</v>
      </c>
      <c r="J3650" s="48">
        <v>0</v>
      </c>
      <c r="K3650" s="48">
        <v>0</v>
      </c>
      <c r="R3650" s="46">
        <f t="shared" ref="R3650:R3713" si="347">IF(J3650=4,1,0)</f>
        <v>0</v>
      </c>
      <c r="S3650" s="46">
        <f t="shared" ref="S3650:S3713" si="348">IF(K3650=3,1,0)</f>
        <v>0</v>
      </c>
      <c r="T3650" s="46">
        <f t="shared" si="346"/>
        <v>0</v>
      </c>
      <c r="U3650" s="46">
        <f t="shared" ref="U3650:U3713" si="349">T3650+M3650*(20) + (SUM(O3650:Q3650)*(10)) - L3650*(5) - N3650*(5)</f>
        <v>0</v>
      </c>
      <c r="V3650" s="54">
        <f t="shared" ref="V3650:V3713" si="350">AVERAGEIFS(U:U,A:A,A3650,F:F,"Pre")</f>
        <v>14.5</v>
      </c>
    </row>
    <row r="3651" spans="1:22" x14ac:dyDescent="0.2">
      <c r="A3651" s="46" t="s">
        <v>35</v>
      </c>
      <c r="B3651" s="46" t="s">
        <v>208</v>
      </c>
      <c r="C3651" s="46" t="s">
        <v>88</v>
      </c>
      <c r="D3651" s="46" t="s">
        <v>178</v>
      </c>
      <c r="E3651" s="46">
        <v>4</v>
      </c>
      <c r="F3651" s="46" t="s">
        <v>60</v>
      </c>
      <c r="G3651" s="46">
        <v>2</v>
      </c>
      <c r="H3651" s="47">
        <v>22</v>
      </c>
      <c r="I3651" s="47" t="s">
        <v>127</v>
      </c>
      <c r="J3651" s="48">
        <v>1</v>
      </c>
      <c r="K3651" s="48">
        <v>2</v>
      </c>
      <c r="N3651" s="48">
        <v>1</v>
      </c>
      <c r="R3651" s="46">
        <f t="shared" si="347"/>
        <v>0</v>
      </c>
      <c r="S3651" s="46">
        <f t="shared" si="348"/>
        <v>0</v>
      </c>
      <c r="T3651" s="46">
        <f t="shared" si="346"/>
        <v>10</v>
      </c>
      <c r="U3651" s="46">
        <f t="shared" si="349"/>
        <v>5</v>
      </c>
      <c r="V3651" s="54">
        <f t="shared" si="350"/>
        <v>14.5</v>
      </c>
    </row>
    <row r="3652" spans="1:22" x14ac:dyDescent="0.2">
      <c r="A3652" s="46" t="s">
        <v>35</v>
      </c>
      <c r="B3652" s="46" t="s">
        <v>208</v>
      </c>
      <c r="C3652" s="46" t="s">
        <v>88</v>
      </c>
      <c r="D3652" s="46" t="s">
        <v>178</v>
      </c>
      <c r="E3652" s="46">
        <v>4</v>
      </c>
      <c r="F3652" s="46" t="s">
        <v>62</v>
      </c>
      <c r="G3652" s="46">
        <v>3</v>
      </c>
      <c r="H3652" s="47" t="s">
        <v>84</v>
      </c>
      <c r="I3652" s="47" t="s">
        <v>219</v>
      </c>
      <c r="J3652" s="48">
        <v>1</v>
      </c>
      <c r="K3652" s="48">
        <v>2</v>
      </c>
      <c r="R3652" s="46">
        <f t="shared" si="347"/>
        <v>0</v>
      </c>
      <c r="S3652" s="46">
        <f t="shared" si="348"/>
        <v>0</v>
      </c>
      <c r="T3652" s="46">
        <f t="shared" si="346"/>
        <v>10</v>
      </c>
      <c r="U3652" s="46">
        <f t="shared" si="349"/>
        <v>10</v>
      </c>
      <c r="V3652" s="54">
        <f t="shared" si="350"/>
        <v>14.5</v>
      </c>
    </row>
    <row r="3653" spans="1:22" x14ac:dyDescent="0.2">
      <c r="A3653" s="46" t="s">
        <v>35</v>
      </c>
      <c r="B3653" s="46" t="s">
        <v>208</v>
      </c>
      <c r="C3653" s="46" t="s">
        <v>88</v>
      </c>
      <c r="D3653" s="46" t="s">
        <v>178</v>
      </c>
      <c r="E3653" s="46">
        <v>4</v>
      </c>
      <c r="F3653" s="46" t="s">
        <v>60</v>
      </c>
      <c r="G3653" s="46">
        <v>3</v>
      </c>
      <c r="H3653" s="47">
        <v>3</v>
      </c>
      <c r="I3653" s="47" t="s">
        <v>159</v>
      </c>
      <c r="J3653" s="48">
        <v>1</v>
      </c>
      <c r="K3653" s="48">
        <v>0</v>
      </c>
      <c r="R3653" s="46">
        <f t="shared" si="347"/>
        <v>0</v>
      </c>
      <c r="S3653" s="46">
        <f t="shared" si="348"/>
        <v>0</v>
      </c>
      <c r="T3653" s="46">
        <f t="shared" si="346"/>
        <v>20</v>
      </c>
      <c r="U3653" s="46">
        <f t="shared" si="349"/>
        <v>20</v>
      </c>
      <c r="V3653" s="54">
        <f t="shared" si="350"/>
        <v>14.5</v>
      </c>
    </row>
    <row r="3654" spans="1:22" x14ac:dyDescent="0.2">
      <c r="A3654" s="46" t="s">
        <v>35</v>
      </c>
      <c r="B3654" s="46" t="s">
        <v>208</v>
      </c>
      <c r="C3654" s="46" t="s">
        <v>88</v>
      </c>
      <c r="D3654" s="46" t="s">
        <v>178</v>
      </c>
      <c r="E3654" s="46">
        <v>4</v>
      </c>
      <c r="F3654" s="46" t="s">
        <v>60</v>
      </c>
      <c r="G3654" s="46">
        <v>2</v>
      </c>
      <c r="H3654" s="47">
        <v>14</v>
      </c>
      <c r="I3654" s="47" t="s">
        <v>127</v>
      </c>
      <c r="J3654" s="48">
        <v>1</v>
      </c>
      <c r="K3654" s="48">
        <v>0</v>
      </c>
      <c r="R3654" s="46">
        <f t="shared" si="347"/>
        <v>0</v>
      </c>
      <c r="S3654" s="46">
        <f t="shared" si="348"/>
        <v>0</v>
      </c>
      <c r="T3654" s="46">
        <f t="shared" si="346"/>
        <v>20</v>
      </c>
      <c r="U3654" s="46">
        <f t="shared" si="349"/>
        <v>20</v>
      </c>
      <c r="V3654" s="54">
        <f t="shared" si="350"/>
        <v>14.5</v>
      </c>
    </row>
    <row r="3655" spans="1:22" x14ac:dyDescent="0.2">
      <c r="A3655" s="46" t="s">
        <v>35</v>
      </c>
      <c r="B3655" s="46" t="s">
        <v>208</v>
      </c>
      <c r="C3655" s="46" t="s">
        <v>88</v>
      </c>
      <c r="D3655" s="46" t="s">
        <v>178</v>
      </c>
      <c r="E3655" s="46">
        <v>3</v>
      </c>
      <c r="F3655" s="46" t="s">
        <v>60</v>
      </c>
      <c r="G3655" s="46">
        <v>3</v>
      </c>
      <c r="H3655" s="47">
        <v>23</v>
      </c>
      <c r="I3655" s="47" t="s">
        <v>116</v>
      </c>
      <c r="J3655" s="48">
        <v>1</v>
      </c>
      <c r="K3655" s="48">
        <v>1</v>
      </c>
      <c r="R3655" s="46">
        <f t="shared" si="347"/>
        <v>0</v>
      </c>
      <c r="S3655" s="46">
        <f t="shared" si="348"/>
        <v>0</v>
      </c>
      <c r="T3655" s="46">
        <f t="shared" si="346"/>
        <v>20</v>
      </c>
      <c r="U3655" s="46">
        <f t="shared" si="349"/>
        <v>20</v>
      </c>
      <c r="V3655" s="54">
        <f t="shared" si="350"/>
        <v>14.5</v>
      </c>
    </row>
    <row r="3656" spans="1:22" x14ac:dyDescent="0.2">
      <c r="A3656" s="46" t="s">
        <v>35</v>
      </c>
      <c r="B3656" s="46" t="s">
        <v>57</v>
      </c>
      <c r="C3656" s="46" t="s">
        <v>88</v>
      </c>
      <c r="D3656" s="46" t="s">
        <v>178</v>
      </c>
      <c r="E3656" s="46">
        <v>1</v>
      </c>
      <c r="F3656" s="46" t="s">
        <v>60</v>
      </c>
      <c r="G3656" s="46">
        <v>1</v>
      </c>
      <c r="H3656" s="47">
        <v>25</v>
      </c>
      <c r="I3656" s="47" t="s">
        <v>101</v>
      </c>
      <c r="J3656" s="48">
        <v>1</v>
      </c>
      <c r="K3656" s="48">
        <v>1</v>
      </c>
      <c r="O3656" s="48">
        <v>1</v>
      </c>
      <c r="R3656" s="46">
        <f t="shared" si="347"/>
        <v>0</v>
      </c>
      <c r="S3656" s="46">
        <f t="shared" si="348"/>
        <v>0</v>
      </c>
      <c r="T3656" s="46">
        <f t="shared" si="346"/>
        <v>20</v>
      </c>
      <c r="U3656" s="46">
        <f t="shared" si="349"/>
        <v>30</v>
      </c>
      <c r="V3656" s="54">
        <f t="shared" si="350"/>
        <v>14.5</v>
      </c>
    </row>
    <row r="3657" spans="1:22" x14ac:dyDescent="0.2">
      <c r="A3657" s="46" t="s">
        <v>35</v>
      </c>
      <c r="B3657" s="46" t="s">
        <v>208</v>
      </c>
      <c r="C3657" s="46" t="s">
        <v>88</v>
      </c>
      <c r="D3657" s="46" t="s">
        <v>178</v>
      </c>
      <c r="E3657" s="46">
        <v>4</v>
      </c>
      <c r="F3657" s="46" t="s">
        <v>60</v>
      </c>
      <c r="G3657" s="46">
        <v>4</v>
      </c>
      <c r="H3657" s="47">
        <v>32</v>
      </c>
      <c r="I3657" s="47" t="s">
        <v>102</v>
      </c>
      <c r="J3657" s="48">
        <v>1</v>
      </c>
      <c r="K3657" s="48">
        <v>0</v>
      </c>
      <c r="R3657" s="46">
        <f t="shared" si="347"/>
        <v>0</v>
      </c>
      <c r="S3657" s="46">
        <f t="shared" si="348"/>
        <v>0</v>
      </c>
      <c r="T3657" s="46">
        <f t="shared" si="346"/>
        <v>20</v>
      </c>
      <c r="U3657" s="46">
        <f t="shared" si="349"/>
        <v>20</v>
      </c>
      <c r="V3657" s="54">
        <f t="shared" si="350"/>
        <v>14.5</v>
      </c>
    </row>
    <row r="3658" spans="1:22" x14ac:dyDescent="0.2">
      <c r="A3658" s="46" t="s">
        <v>35</v>
      </c>
      <c r="B3658" s="46" t="s">
        <v>208</v>
      </c>
      <c r="C3658" s="46" t="s">
        <v>88</v>
      </c>
      <c r="D3658" s="46" t="s">
        <v>178</v>
      </c>
      <c r="E3658" s="46">
        <v>2</v>
      </c>
      <c r="F3658" s="46" t="s">
        <v>60</v>
      </c>
      <c r="G3658" s="46">
        <v>3</v>
      </c>
      <c r="H3658" s="47">
        <v>35</v>
      </c>
      <c r="I3658" s="47" t="s">
        <v>116</v>
      </c>
      <c r="J3658" s="48">
        <v>1</v>
      </c>
      <c r="K3658" s="48">
        <v>1</v>
      </c>
      <c r="R3658" s="46">
        <f t="shared" si="347"/>
        <v>0</v>
      </c>
      <c r="S3658" s="46">
        <f t="shared" si="348"/>
        <v>0</v>
      </c>
      <c r="T3658" s="46">
        <f t="shared" si="346"/>
        <v>20</v>
      </c>
      <c r="U3658" s="46">
        <f t="shared" si="349"/>
        <v>20</v>
      </c>
      <c r="V3658" s="54">
        <f t="shared" si="350"/>
        <v>14.5</v>
      </c>
    </row>
    <row r="3659" spans="1:22" x14ac:dyDescent="0.2">
      <c r="A3659" s="46" t="s">
        <v>35</v>
      </c>
      <c r="B3659" s="46" t="s">
        <v>208</v>
      </c>
      <c r="C3659" s="46" t="s">
        <v>88</v>
      </c>
      <c r="D3659" s="46" t="s">
        <v>178</v>
      </c>
      <c r="E3659" s="46">
        <v>2</v>
      </c>
      <c r="F3659" s="46" t="s">
        <v>60</v>
      </c>
      <c r="G3659" s="46">
        <v>3</v>
      </c>
      <c r="H3659" s="47">
        <v>43</v>
      </c>
      <c r="I3659" s="47" t="s">
        <v>116</v>
      </c>
      <c r="J3659" s="48">
        <v>1</v>
      </c>
      <c r="K3659" s="48">
        <v>1</v>
      </c>
      <c r="R3659" s="46">
        <f t="shared" si="347"/>
        <v>0</v>
      </c>
      <c r="S3659" s="46">
        <f t="shared" si="348"/>
        <v>0</v>
      </c>
      <c r="T3659" s="46">
        <f t="shared" si="346"/>
        <v>20</v>
      </c>
      <c r="U3659" s="46">
        <f t="shared" si="349"/>
        <v>20</v>
      </c>
      <c r="V3659" s="54">
        <f t="shared" si="350"/>
        <v>14.5</v>
      </c>
    </row>
    <row r="3660" spans="1:22" x14ac:dyDescent="0.2">
      <c r="A3660" s="46" t="s">
        <v>35</v>
      </c>
      <c r="B3660" s="46" t="s">
        <v>208</v>
      </c>
      <c r="C3660" s="46" t="s">
        <v>88</v>
      </c>
      <c r="D3660" s="46" t="s">
        <v>178</v>
      </c>
      <c r="E3660" s="46">
        <v>3</v>
      </c>
      <c r="F3660" s="46" t="s">
        <v>60</v>
      </c>
      <c r="G3660" s="46">
        <v>3</v>
      </c>
      <c r="H3660" s="47">
        <v>43</v>
      </c>
      <c r="I3660" s="47" t="s">
        <v>116</v>
      </c>
      <c r="J3660" s="48">
        <v>1</v>
      </c>
      <c r="K3660" s="48">
        <v>0</v>
      </c>
      <c r="O3660" s="48">
        <v>1</v>
      </c>
      <c r="R3660" s="46">
        <f t="shared" si="347"/>
        <v>0</v>
      </c>
      <c r="S3660" s="46">
        <f t="shared" si="348"/>
        <v>0</v>
      </c>
      <c r="T3660" s="46">
        <f t="shared" si="346"/>
        <v>20</v>
      </c>
      <c r="U3660" s="46">
        <f t="shared" si="349"/>
        <v>30</v>
      </c>
      <c r="V3660" s="54">
        <f t="shared" si="350"/>
        <v>14.5</v>
      </c>
    </row>
    <row r="3661" spans="1:22" x14ac:dyDescent="0.2">
      <c r="A3661" s="46" t="s">
        <v>35</v>
      </c>
      <c r="B3661" s="46" t="s">
        <v>208</v>
      </c>
      <c r="C3661" s="46" t="s">
        <v>88</v>
      </c>
      <c r="D3661" s="46" t="s">
        <v>178</v>
      </c>
      <c r="E3661" s="46">
        <v>4</v>
      </c>
      <c r="F3661" s="46" t="s">
        <v>60</v>
      </c>
      <c r="G3661" s="46">
        <v>3</v>
      </c>
      <c r="H3661" s="47">
        <v>47</v>
      </c>
      <c r="I3661" s="47" t="s">
        <v>159</v>
      </c>
      <c r="J3661" s="48">
        <v>1</v>
      </c>
      <c r="K3661" s="48">
        <v>0</v>
      </c>
      <c r="R3661" s="46">
        <f t="shared" si="347"/>
        <v>0</v>
      </c>
      <c r="S3661" s="46">
        <f t="shared" si="348"/>
        <v>0</v>
      </c>
      <c r="T3661" s="46">
        <f t="shared" si="346"/>
        <v>20</v>
      </c>
      <c r="U3661" s="46">
        <f t="shared" si="349"/>
        <v>20</v>
      </c>
      <c r="V3661" s="54">
        <f t="shared" si="350"/>
        <v>14.5</v>
      </c>
    </row>
    <row r="3662" spans="1:22" x14ac:dyDescent="0.2">
      <c r="A3662" s="46" t="s">
        <v>35</v>
      </c>
      <c r="B3662" s="46" t="s">
        <v>208</v>
      </c>
      <c r="C3662" s="46" t="s">
        <v>88</v>
      </c>
      <c r="D3662" s="46" t="s">
        <v>178</v>
      </c>
      <c r="E3662" s="46">
        <v>3</v>
      </c>
      <c r="F3662" s="46" t="s">
        <v>62</v>
      </c>
      <c r="G3662" s="46">
        <v>2</v>
      </c>
      <c r="H3662" s="47" t="s">
        <v>86</v>
      </c>
      <c r="I3662" s="47" t="s">
        <v>127</v>
      </c>
      <c r="J3662" s="48">
        <v>1</v>
      </c>
      <c r="K3662" s="48">
        <v>0</v>
      </c>
      <c r="R3662" s="46">
        <f t="shared" si="347"/>
        <v>0</v>
      </c>
      <c r="S3662" s="46">
        <f t="shared" si="348"/>
        <v>0</v>
      </c>
      <c r="T3662" s="46">
        <f t="shared" si="346"/>
        <v>20</v>
      </c>
      <c r="U3662" s="46">
        <f t="shared" si="349"/>
        <v>20</v>
      </c>
      <c r="V3662" s="54">
        <f t="shared" si="350"/>
        <v>14.5</v>
      </c>
    </row>
    <row r="3663" spans="1:22" x14ac:dyDescent="0.2">
      <c r="A3663" s="46" t="s">
        <v>35</v>
      </c>
      <c r="B3663" s="46" t="s">
        <v>208</v>
      </c>
      <c r="C3663" s="46" t="s">
        <v>88</v>
      </c>
      <c r="D3663" s="46" t="s">
        <v>178</v>
      </c>
      <c r="E3663" s="46">
        <v>4</v>
      </c>
      <c r="F3663" s="46" t="s">
        <v>62</v>
      </c>
      <c r="G3663" s="46">
        <v>3</v>
      </c>
      <c r="H3663" s="47" t="s">
        <v>87</v>
      </c>
      <c r="I3663" s="47" t="s">
        <v>219</v>
      </c>
      <c r="J3663" s="48">
        <v>1</v>
      </c>
      <c r="K3663" s="48">
        <v>1</v>
      </c>
      <c r="O3663" s="48">
        <v>1</v>
      </c>
      <c r="R3663" s="46">
        <f t="shared" si="347"/>
        <v>0</v>
      </c>
      <c r="S3663" s="46">
        <f t="shared" si="348"/>
        <v>0</v>
      </c>
      <c r="T3663" s="46">
        <f t="shared" si="346"/>
        <v>20</v>
      </c>
      <c r="U3663" s="46">
        <f t="shared" si="349"/>
        <v>30</v>
      </c>
      <c r="V3663" s="54">
        <f t="shared" si="350"/>
        <v>14.5</v>
      </c>
    </row>
    <row r="3664" spans="1:22" x14ac:dyDescent="0.2">
      <c r="A3664" s="46" t="s">
        <v>35</v>
      </c>
      <c r="B3664" s="46" t="s">
        <v>208</v>
      </c>
      <c r="C3664" s="46" t="s">
        <v>88</v>
      </c>
      <c r="D3664" s="46" t="s">
        <v>178</v>
      </c>
      <c r="E3664" s="46">
        <v>2</v>
      </c>
      <c r="F3664" s="46" t="s">
        <v>63</v>
      </c>
      <c r="G3664" s="46">
        <v>4</v>
      </c>
      <c r="H3664" s="47" t="s">
        <v>172</v>
      </c>
      <c r="I3664" s="47" t="s">
        <v>102</v>
      </c>
      <c r="J3664" s="48">
        <v>2</v>
      </c>
      <c r="K3664" s="48">
        <v>2</v>
      </c>
      <c r="R3664" s="46">
        <f t="shared" si="347"/>
        <v>0</v>
      </c>
      <c r="S3664" s="46">
        <f t="shared" si="348"/>
        <v>0</v>
      </c>
      <c r="T3664" s="46">
        <f t="shared" si="346"/>
        <v>30</v>
      </c>
      <c r="U3664" s="46">
        <f t="shared" si="349"/>
        <v>30</v>
      </c>
      <c r="V3664" s="54">
        <f t="shared" si="350"/>
        <v>14.5</v>
      </c>
    </row>
    <row r="3665" spans="1:22" x14ac:dyDescent="0.2">
      <c r="A3665" s="46" t="s">
        <v>35</v>
      </c>
      <c r="B3665" s="46" t="s">
        <v>208</v>
      </c>
      <c r="C3665" s="46" t="s">
        <v>88</v>
      </c>
      <c r="D3665" s="46" t="s">
        <v>178</v>
      </c>
      <c r="E3665" s="46">
        <v>2</v>
      </c>
      <c r="F3665" s="46" t="s">
        <v>60</v>
      </c>
      <c r="G3665" s="46">
        <v>2</v>
      </c>
      <c r="H3665" s="47">
        <v>10</v>
      </c>
      <c r="I3665" s="47" t="s">
        <v>127</v>
      </c>
      <c r="J3665" s="48">
        <v>2</v>
      </c>
      <c r="K3665" s="48">
        <v>1</v>
      </c>
      <c r="R3665" s="46">
        <f t="shared" si="347"/>
        <v>0</v>
      </c>
      <c r="S3665" s="46">
        <f t="shared" si="348"/>
        <v>0</v>
      </c>
      <c r="T3665" s="46">
        <f t="shared" si="346"/>
        <v>40</v>
      </c>
      <c r="U3665" s="46">
        <f t="shared" si="349"/>
        <v>40</v>
      </c>
      <c r="V3665" s="54">
        <f t="shared" si="350"/>
        <v>14.5</v>
      </c>
    </row>
    <row r="3666" spans="1:22" x14ac:dyDescent="0.2">
      <c r="A3666" s="46" t="s">
        <v>35</v>
      </c>
      <c r="B3666" s="46" t="s">
        <v>208</v>
      </c>
      <c r="C3666" s="46" t="s">
        <v>88</v>
      </c>
      <c r="D3666" s="46" t="s">
        <v>178</v>
      </c>
      <c r="E3666" s="46">
        <v>2</v>
      </c>
      <c r="F3666" s="46" t="s">
        <v>60</v>
      </c>
      <c r="G3666" s="46">
        <v>2</v>
      </c>
      <c r="H3666" s="47">
        <v>26</v>
      </c>
      <c r="I3666" s="47" t="s">
        <v>127</v>
      </c>
      <c r="J3666" s="48">
        <v>2</v>
      </c>
      <c r="K3666" s="48">
        <v>1</v>
      </c>
      <c r="R3666" s="46">
        <f t="shared" si="347"/>
        <v>0</v>
      </c>
      <c r="S3666" s="46">
        <f t="shared" si="348"/>
        <v>0</v>
      </c>
      <c r="T3666" s="46">
        <f t="shared" si="346"/>
        <v>40</v>
      </c>
      <c r="U3666" s="46">
        <f t="shared" si="349"/>
        <v>40</v>
      </c>
      <c r="V3666" s="54">
        <f t="shared" si="350"/>
        <v>14.5</v>
      </c>
    </row>
    <row r="3667" spans="1:22" x14ac:dyDescent="0.2">
      <c r="A3667" s="46" t="s">
        <v>35</v>
      </c>
      <c r="B3667" s="46" t="s">
        <v>208</v>
      </c>
      <c r="C3667" s="46" t="s">
        <v>88</v>
      </c>
      <c r="D3667" s="46" t="s">
        <v>178</v>
      </c>
      <c r="E3667" s="46">
        <v>3</v>
      </c>
      <c r="F3667" s="46" t="s">
        <v>60</v>
      </c>
      <c r="G3667" s="46">
        <v>4</v>
      </c>
      <c r="H3667" s="47">
        <v>32</v>
      </c>
      <c r="I3667" s="47" t="s">
        <v>102</v>
      </c>
      <c r="J3667" s="48">
        <v>2</v>
      </c>
      <c r="K3667" s="48">
        <v>0</v>
      </c>
      <c r="R3667" s="46">
        <f t="shared" si="347"/>
        <v>0</v>
      </c>
      <c r="S3667" s="46">
        <f t="shared" si="348"/>
        <v>0</v>
      </c>
      <c r="T3667" s="46">
        <f t="shared" si="346"/>
        <v>40</v>
      </c>
      <c r="U3667" s="46">
        <f t="shared" si="349"/>
        <v>40</v>
      </c>
      <c r="V3667" s="54">
        <f t="shared" si="350"/>
        <v>14.5</v>
      </c>
    </row>
    <row r="3668" spans="1:22" x14ac:dyDescent="0.2">
      <c r="A3668" s="46" t="s">
        <v>35</v>
      </c>
      <c r="B3668" s="46" t="s">
        <v>208</v>
      </c>
      <c r="C3668" s="46" t="s">
        <v>88</v>
      </c>
      <c r="D3668" s="46" t="s">
        <v>178</v>
      </c>
      <c r="E3668" s="46">
        <v>3</v>
      </c>
      <c r="F3668" s="46" t="s">
        <v>62</v>
      </c>
      <c r="G3668" s="46">
        <v>3</v>
      </c>
      <c r="H3668" s="47" t="s">
        <v>80</v>
      </c>
      <c r="I3668" s="47" t="s">
        <v>116</v>
      </c>
      <c r="J3668" s="48">
        <v>2</v>
      </c>
      <c r="K3668" s="48">
        <v>1</v>
      </c>
      <c r="N3668" s="48">
        <v>1</v>
      </c>
      <c r="R3668" s="46">
        <f t="shared" si="347"/>
        <v>0</v>
      </c>
      <c r="S3668" s="46">
        <f t="shared" si="348"/>
        <v>0</v>
      </c>
      <c r="T3668" s="46">
        <f t="shared" si="346"/>
        <v>40</v>
      </c>
      <c r="U3668" s="46">
        <f t="shared" si="349"/>
        <v>35</v>
      </c>
      <c r="V3668" s="54">
        <f t="shared" si="350"/>
        <v>14.5</v>
      </c>
    </row>
    <row r="3669" spans="1:22" x14ac:dyDescent="0.2">
      <c r="A3669" s="46" t="s">
        <v>35</v>
      </c>
      <c r="B3669" s="46" t="s">
        <v>208</v>
      </c>
      <c r="C3669" s="46" t="s">
        <v>88</v>
      </c>
      <c r="D3669" s="46" t="s">
        <v>178</v>
      </c>
      <c r="E3669" s="46">
        <v>3</v>
      </c>
      <c r="F3669" s="46" t="s">
        <v>62</v>
      </c>
      <c r="G3669" s="46">
        <v>2</v>
      </c>
      <c r="H3669" s="47" t="s">
        <v>83</v>
      </c>
      <c r="I3669" s="47" t="s">
        <v>127</v>
      </c>
      <c r="J3669" s="48">
        <v>2</v>
      </c>
      <c r="K3669" s="48">
        <v>0</v>
      </c>
      <c r="R3669" s="46">
        <f t="shared" si="347"/>
        <v>0</v>
      </c>
      <c r="S3669" s="46">
        <f t="shared" si="348"/>
        <v>0</v>
      </c>
      <c r="T3669" s="46">
        <f t="shared" si="346"/>
        <v>40</v>
      </c>
      <c r="U3669" s="46">
        <f t="shared" si="349"/>
        <v>40</v>
      </c>
      <c r="V3669" s="54">
        <f t="shared" si="350"/>
        <v>14.5</v>
      </c>
    </row>
    <row r="3670" spans="1:22" x14ac:dyDescent="0.2">
      <c r="A3670" s="46" t="s">
        <v>35</v>
      </c>
      <c r="B3670" s="46" t="s">
        <v>208</v>
      </c>
      <c r="C3670" s="46" t="s">
        <v>88</v>
      </c>
      <c r="D3670" s="46" t="s">
        <v>178</v>
      </c>
      <c r="E3670" s="46">
        <v>2</v>
      </c>
      <c r="F3670" s="46" t="s">
        <v>63</v>
      </c>
      <c r="G3670" s="46">
        <v>4</v>
      </c>
      <c r="H3670" s="47" t="s">
        <v>146</v>
      </c>
      <c r="I3670" s="47" t="s">
        <v>102</v>
      </c>
      <c r="J3670" s="48">
        <v>3</v>
      </c>
      <c r="K3670" s="48">
        <v>2</v>
      </c>
      <c r="R3670" s="46">
        <f t="shared" si="347"/>
        <v>0</v>
      </c>
      <c r="S3670" s="46">
        <f t="shared" si="348"/>
        <v>0</v>
      </c>
      <c r="T3670" s="46">
        <f t="shared" si="346"/>
        <v>50</v>
      </c>
      <c r="U3670" s="46">
        <f t="shared" si="349"/>
        <v>50</v>
      </c>
      <c r="V3670" s="54">
        <f t="shared" si="350"/>
        <v>14.5</v>
      </c>
    </row>
    <row r="3671" spans="1:22" x14ac:dyDescent="0.2">
      <c r="A3671" s="46" t="s">
        <v>35</v>
      </c>
      <c r="B3671" s="46" t="s">
        <v>208</v>
      </c>
      <c r="C3671" s="46" t="s">
        <v>88</v>
      </c>
      <c r="D3671" s="46" t="s">
        <v>178</v>
      </c>
      <c r="E3671" s="46">
        <v>2</v>
      </c>
      <c r="F3671" s="46" t="s">
        <v>63</v>
      </c>
      <c r="G3671" s="46">
        <v>4</v>
      </c>
      <c r="H3671" s="47" t="s">
        <v>151</v>
      </c>
      <c r="I3671" s="47" t="s">
        <v>102</v>
      </c>
      <c r="J3671" s="48">
        <v>3</v>
      </c>
      <c r="K3671" s="48">
        <v>2</v>
      </c>
      <c r="R3671" s="46">
        <f t="shared" si="347"/>
        <v>0</v>
      </c>
      <c r="S3671" s="46">
        <f t="shared" si="348"/>
        <v>0</v>
      </c>
      <c r="T3671" s="46">
        <f t="shared" ref="T3671:T3702" si="351">quizscore(J3671,K3671)</f>
        <v>50</v>
      </c>
      <c r="U3671" s="46">
        <f t="shared" si="349"/>
        <v>50</v>
      </c>
      <c r="V3671" s="54">
        <f t="shared" si="350"/>
        <v>14.5</v>
      </c>
    </row>
    <row r="3672" spans="1:22" x14ac:dyDescent="0.2">
      <c r="A3672" s="46" t="s">
        <v>35</v>
      </c>
      <c r="B3672" s="46" t="s">
        <v>208</v>
      </c>
      <c r="C3672" s="46" t="s">
        <v>88</v>
      </c>
      <c r="D3672" s="46" t="s">
        <v>178</v>
      </c>
      <c r="E3672" s="46">
        <v>2</v>
      </c>
      <c r="F3672" s="46" t="s">
        <v>60</v>
      </c>
      <c r="G3672" s="46">
        <v>4</v>
      </c>
      <c r="H3672" s="47">
        <v>4</v>
      </c>
      <c r="I3672" s="47" t="s">
        <v>102</v>
      </c>
      <c r="J3672" s="48">
        <v>3</v>
      </c>
      <c r="K3672" s="48">
        <v>1</v>
      </c>
      <c r="R3672" s="46">
        <f t="shared" si="347"/>
        <v>0</v>
      </c>
      <c r="S3672" s="46">
        <f t="shared" si="348"/>
        <v>0</v>
      </c>
      <c r="T3672" s="46">
        <f t="shared" si="351"/>
        <v>60</v>
      </c>
      <c r="U3672" s="46">
        <f t="shared" si="349"/>
        <v>60</v>
      </c>
      <c r="V3672" s="54">
        <f t="shared" si="350"/>
        <v>14.5</v>
      </c>
    </row>
    <row r="3673" spans="1:22" x14ac:dyDescent="0.2">
      <c r="A3673" s="46" t="s">
        <v>35</v>
      </c>
      <c r="B3673" s="46" t="s">
        <v>208</v>
      </c>
      <c r="C3673" s="46" t="s">
        <v>88</v>
      </c>
      <c r="D3673" s="46" t="s">
        <v>178</v>
      </c>
      <c r="E3673" s="46">
        <v>3</v>
      </c>
      <c r="F3673" s="46" t="s">
        <v>62</v>
      </c>
      <c r="G3673" s="46">
        <v>3</v>
      </c>
      <c r="H3673" s="47" t="s">
        <v>64</v>
      </c>
      <c r="I3673" s="47" t="s">
        <v>116</v>
      </c>
      <c r="J3673" s="48">
        <v>3</v>
      </c>
      <c r="K3673" s="48">
        <v>1</v>
      </c>
      <c r="N3673" s="48">
        <v>1</v>
      </c>
      <c r="R3673" s="46">
        <f t="shared" si="347"/>
        <v>0</v>
      </c>
      <c r="S3673" s="46">
        <f t="shared" si="348"/>
        <v>0</v>
      </c>
      <c r="T3673" s="46">
        <f t="shared" si="351"/>
        <v>60</v>
      </c>
      <c r="U3673" s="46">
        <f t="shared" si="349"/>
        <v>55</v>
      </c>
      <c r="V3673" s="54">
        <f t="shared" si="350"/>
        <v>14.5</v>
      </c>
    </row>
    <row r="3674" spans="1:22" x14ac:dyDescent="0.2">
      <c r="A3674" s="46" t="s">
        <v>35</v>
      </c>
      <c r="B3674" s="46" t="s">
        <v>208</v>
      </c>
      <c r="C3674" s="46" t="s">
        <v>88</v>
      </c>
      <c r="D3674" s="46" t="s">
        <v>178</v>
      </c>
      <c r="E3674" s="46">
        <v>2</v>
      </c>
      <c r="F3674" s="46" t="s">
        <v>63</v>
      </c>
      <c r="G3674" s="46">
        <v>4</v>
      </c>
      <c r="H3674" s="47" t="s">
        <v>148</v>
      </c>
      <c r="I3674" s="47" t="s">
        <v>102</v>
      </c>
      <c r="J3674" s="48">
        <v>4</v>
      </c>
      <c r="K3674" s="48">
        <v>0</v>
      </c>
      <c r="R3674" s="46">
        <f t="shared" si="347"/>
        <v>1</v>
      </c>
      <c r="S3674" s="46">
        <f t="shared" si="348"/>
        <v>0</v>
      </c>
      <c r="T3674" s="46">
        <f t="shared" si="351"/>
        <v>90</v>
      </c>
      <c r="U3674" s="46">
        <f t="shared" si="349"/>
        <v>90</v>
      </c>
      <c r="V3674" s="54">
        <f t="shared" si="350"/>
        <v>14.5</v>
      </c>
    </row>
    <row r="3675" spans="1:22" x14ac:dyDescent="0.2">
      <c r="A3675" s="46" t="s">
        <v>35</v>
      </c>
      <c r="B3675" s="46" t="s">
        <v>208</v>
      </c>
      <c r="C3675" s="46" t="s">
        <v>88</v>
      </c>
      <c r="D3675" s="46" t="s">
        <v>178</v>
      </c>
      <c r="E3675" s="46">
        <v>5</v>
      </c>
      <c r="F3675" s="46" t="s">
        <v>60</v>
      </c>
      <c r="G3675" s="46">
        <v>2</v>
      </c>
      <c r="H3675" s="47">
        <v>2</v>
      </c>
      <c r="I3675" s="47" t="s">
        <v>127</v>
      </c>
      <c r="J3675" s="48">
        <v>0</v>
      </c>
      <c r="K3675" s="48">
        <v>0</v>
      </c>
      <c r="M3675" s="48">
        <v>1</v>
      </c>
      <c r="R3675" s="46">
        <f t="shared" si="347"/>
        <v>0</v>
      </c>
      <c r="S3675" s="46">
        <f t="shared" si="348"/>
        <v>0</v>
      </c>
      <c r="T3675" s="46">
        <f t="shared" si="351"/>
        <v>0</v>
      </c>
      <c r="U3675" s="46">
        <f t="shared" si="349"/>
        <v>20</v>
      </c>
      <c r="V3675" s="54">
        <f t="shared" si="350"/>
        <v>14.5</v>
      </c>
    </row>
    <row r="3676" spans="1:22" x14ac:dyDescent="0.2">
      <c r="A3676" s="46" t="s">
        <v>35</v>
      </c>
      <c r="B3676" s="46" t="s">
        <v>208</v>
      </c>
      <c r="C3676" s="46" t="s">
        <v>88</v>
      </c>
      <c r="D3676" s="46" t="s">
        <v>178</v>
      </c>
      <c r="E3676" s="46">
        <v>5</v>
      </c>
      <c r="F3676" s="46" t="s">
        <v>60</v>
      </c>
      <c r="G3676" s="46">
        <v>1</v>
      </c>
      <c r="H3676" s="47">
        <v>5</v>
      </c>
      <c r="I3676" s="47" t="s">
        <v>101</v>
      </c>
      <c r="J3676" s="48">
        <v>1</v>
      </c>
      <c r="K3676" s="48">
        <v>1</v>
      </c>
      <c r="R3676" s="46">
        <f t="shared" si="347"/>
        <v>0</v>
      </c>
      <c r="S3676" s="46">
        <f t="shared" si="348"/>
        <v>0</v>
      </c>
      <c r="T3676" s="46">
        <f t="shared" si="351"/>
        <v>20</v>
      </c>
      <c r="U3676" s="46">
        <f t="shared" si="349"/>
        <v>20</v>
      </c>
      <c r="V3676" s="54">
        <f t="shared" si="350"/>
        <v>14.5</v>
      </c>
    </row>
    <row r="3677" spans="1:22" x14ac:dyDescent="0.2">
      <c r="A3677" s="46" t="s">
        <v>35</v>
      </c>
      <c r="B3677" s="46" t="s">
        <v>208</v>
      </c>
      <c r="C3677" s="46" t="s">
        <v>88</v>
      </c>
      <c r="D3677" s="46" t="s">
        <v>178</v>
      </c>
      <c r="E3677" s="46">
        <v>5</v>
      </c>
      <c r="F3677" s="46" t="s">
        <v>60</v>
      </c>
      <c r="G3677" s="46">
        <v>1</v>
      </c>
      <c r="H3677" s="47">
        <v>13</v>
      </c>
      <c r="I3677" s="47" t="s">
        <v>101</v>
      </c>
      <c r="J3677" s="48">
        <v>0</v>
      </c>
      <c r="K3677" s="48">
        <v>0</v>
      </c>
      <c r="R3677" s="46">
        <f t="shared" si="347"/>
        <v>0</v>
      </c>
      <c r="S3677" s="46">
        <f t="shared" si="348"/>
        <v>0</v>
      </c>
      <c r="T3677" s="46">
        <f t="shared" si="351"/>
        <v>0</v>
      </c>
      <c r="U3677" s="46">
        <f t="shared" si="349"/>
        <v>0</v>
      </c>
      <c r="V3677" s="54">
        <f t="shared" si="350"/>
        <v>14.5</v>
      </c>
    </row>
    <row r="3678" spans="1:22" x14ac:dyDescent="0.2">
      <c r="A3678" s="46" t="s">
        <v>35</v>
      </c>
      <c r="B3678" s="46" t="s">
        <v>208</v>
      </c>
      <c r="C3678" s="46" t="s">
        <v>88</v>
      </c>
      <c r="D3678" s="46" t="s">
        <v>178</v>
      </c>
      <c r="E3678" s="46">
        <v>5</v>
      </c>
      <c r="F3678" s="46" t="s">
        <v>60</v>
      </c>
      <c r="G3678" s="46">
        <v>3</v>
      </c>
      <c r="H3678" s="47">
        <v>23</v>
      </c>
      <c r="I3678" s="47" t="s">
        <v>159</v>
      </c>
      <c r="J3678" s="48">
        <v>0</v>
      </c>
      <c r="K3678" s="48">
        <v>0</v>
      </c>
      <c r="R3678" s="46">
        <f t="shared" si="347"/>
        <v>0</v>
      </c>
      <c r="S3678" s="46">
        <f t="shared" si="348"/>
        <v>0</v>
      </c>
      <c r="T3678" s="46">
        <f t="shared" si="351"/>
        <v>0</v>
      </c>
      <c r="U3678" s="46">
        <f t="shared" si="349"/>
        <v>0</v>
      </c>
      <c r="V3678" s="54">
        <f t="shared" si="350"/>
        <v>14.5</v>
      </c>
    </row>
    <row r="3679" spans="1:22" x14ac:dyDescent="0.2">
      <c r="A3679" s="46" t="s">
        <v>35</v>
      </c>
      <c r="B3679" s="46" t="s">
        <v>208</v>
      </c>
      <c r="C3679" s="46" t="s">
        <v>88</v>
      </c>
      <c r="D3679" s="46" t="s">
        <v>178</v>
      </c>
      <c r="E3679" s="46">
        <v>5</v>
      </c>
      <c r="F3679" s="46" t="s">
        <v>60</v>
      </c>
      <c r="G3679" s="46">
        <v>4</v>
      </c>
      <c r="H3679" s="47">
        <v>32</v>
      </c>
      <c r="I3679" s="47" t="s">
        <v>102</v>
      </c>
      <c r="J3679" s="48">
        <v>1</v>
      </c>
      <c r="K3679" s="48">
        <v>1</v>
      </c>
      <c r="R3679" s="46">
        <f t="shared" si="347"/>
        <v>0</v>
      </c>
      <c r="S3679" s="46">
        <f t="shared" si="348"/>
        <v>0</v>
      </c>
      <c r="T3679" s="46">
        <f t="shared" si="351"/>
        <v>20</v>
      </c>
      <c r="U3679" s="46">
        <f t="shared" si="349"/>
        <v>20</v>
      </c>
      <c r="V3679" s="54">
        <f t="shared" si="350"/>
        <v>14.5</v>
      </c>
    </row>
    <row r="3680" spans="1:22" x14ac:dyDescent="0.2">
      <c r="A3680" s="46" t="s">
        <v>35</v>
      </c>
      <c r="B3680" s="46" t="s">
        <v>208</v>
      </c>
      <c r="C3680" s="46" t="s">
        <v>88</v>
      </c>
      <c r="D3680" s="46" t="s">
        <v>178</v>
      </c>
      <c r="E3680" s="46">
        <v>5</v>
      </c>
      <c r="F3680" s="46" t="s">
        <v>60</v>
      </c>
      <c r="G3680" s="46">
        <v>3</v>
      </c>
      <c r="H3680" s="47">
        <v>43</v>
      </c>
      <c r="I3680" s="47" t="s">
        <v>159</v>
      </c>
      <c r="J3680" s="48">
        <v>1</v>
      </c>
      <c r="K3680" s="48">
        <v>0</v>
      </c>
      <c r="R3680" s="46">
        <f t="shared" si="347"/>
        <v>0</v>
      </c>
      <c r="S3680" s="46">
        <f t="shared" si="348"/>
        <v>0</v>
      </c>
      <c r="T3680" s="46">
        <f t="shared" si="351"/>
        <v>20</v>
      </c>
      <c r="U3680" s="46">
        <f t="shared" si="349"/>
        <v>20</v>
      </c>
      <c r="V3680" s="54">
        <f t="shared" si="350"/>
        <v>14.5</v>
      </c>
    </row>
    <row r="3681" spans="1:22" x14ac:dyDescent="0.2">
      <c r="A3681" s="46" t="s">
        <v>35</v>
      </c>
      <c r="B3681" s="46" t="s">
        <v>208</v>
      </c>
      <c r="C3681" s="46" t="str">
        <f>VLOOKUP(B3681,$B$2:$C$3219,2,FALSE)</f>
        <v>ABC</v>
      </c>
      <c r="D3681" s="46" t="s">
        <v>178</v>
      </c>
      <c r="E3681" s="46">
        <v>5</v>
      </c>
      <c r="F3681" s="46" t="s">
        <v>63</v>
      </c>
      <c r="G3681" s="46">
        <v>4</v>
      </c>
      <c r="H3681" s="47" t="s">
        <v>148</v>
      </c>
      <c r="I3681" s="47" t="s">
        <v>102</v>
      </c>
      <c r="J3681" s="48">
        <v>0</v>
      </c>
      <c r="K3681" s="48">
        <v>3</v>
      </c>
      <c r="R3681" s="46">
        <f t="shared" si="347"/>
        <v>0</v>
      </c>
      <c r="S3681" s="46">
        <f t="shared" si="348"/>
        <v>1</v>
      </c>
      <c r="T3681" s="46">
        <f t="shared" si="351"/>
        <v>-20</v>
      </c>
      <c r="U3681" s="46">
        <f t="shared" si="349"/>
        <v>-20</v>
      </c>
      <c r="V3681" s="54">
        <f t="shared" si="350"/>
        <v>14.5</v>
      </c>
    </row>
    <row r="3682" spans="1:22" x14ac:dyDescent="0.2">
      <c r="A3682" s="46" t="s">
        <v>35</v>
      </c>
      <c r="B3682" s="46" t="s">
        <v>208</v>
      </c>
      <c r="C3682" s="46" t="str">
        <f>VLOOKUP(B3682,$B$2:$C$3219,2,FALSE)</f>
        <v>ABC</v>
      </c>
      <c r="D3682" s="46" t="s">
        <v>178</v>
      </c>
      <c r="E3682" s="46">
        <v>5</v>
      </c>
      <c r="F3682" s="46" t="s">
        <v>63</v>
      </c>
      <c r="G3682" s="46">
        <v>4</v>
      </c>
      <c r="H3682" s="47" t="s">
        <v>150</v>
      </c>
      <c r="I3682" s="47" t="s">
        <v>102</v>
      </c>
      <c r="J3682" s="48">
        <v>1</v>
      </c>
      <c r="K3682" s="48">
        <v>2</v>
      </c>
      <c r="R3682" s="46">
        <f t="shared" si="347"/>
        <v>0</v>
      </c>
      <c r="S3682" s="46">
        <f t="shared" si="348"/>
        <v>0</v>
      </c>
      <c r="T3682" s="46">
        <f t="shared" si="351"/>
        <v>10</v>
      </c>
      <c r="U3682" s="46">
        <f t="shared" si="349"/>
        <v>10</v>
      </c>
      <c r="V3682" s="54">
        <f t="shared" si="350"/>
        <v>14.5</v>
      </c>
    </row>
    <row r="3683" spans="1:22" x14ac:dyDescent="0.2">
      <c r="A3683" s="46" t="s">
        <v>35</v>
      </c>
      <c r="B3683" s="46" t="s">
        <v>208</v>
      </c>
      <c r="C3683" s="46" t="str">
        <f>VLOOKUP(B3683,$B$2:$C$3219,2,FALSE)</f>
        <v>ABC</v>
      </c>
      <c r="D3683" s="46" t="s">
        <v>178</v>
      </c>
      <c r="E3683" s="46">
        <v>5</v>
      </c>
      <c r="F3683" s="46" t="s">
        <v>63</v>
      </c>
      <c r="G3683" s="46">
        <v>4</v>
      </c>
      <c r="H3683" s="47" t="s">
        <v>152</v>
      </c>
      <c r="I3683" s="47" t="s">
        <v>102</v>
      </c>
      <c r="J3683" s="48">
        <v>1</v>
      </c>
      <c r="K3683" s="48">
        <v>1</v>
      </c>
      <c r="R3683" s="46">
        <f t="shared" si="347"/>
        <v>0</v>
      </c>
      <c r="S3683" s="46">
        <f t="shared" si="348"/>
        <v>0</v>
      </c>
      <c r="T3683" s="46">
        <f t="shared" si="351"/>
        <v>20</v>
      </c>
      <c r="U3683" s="46">
        <f t="shared" si="349"/>
        <v>20</v>
      </c>
      <c r="V3683" s="54">
        <f t="shared" si="350"/>
        <v>14.5</v>
      </c>
    </row>
    <row r="3684" spans="1:22" x14ac:dyDescent="0.2">
      <c r="A3684" s="46" t="s">
        <v>143</v>
      </c>
      <c r="B3684" s="46" t="s">
        <v>207</v>
      </c>
      <c r="C3684" s="46" t="s">
        <v>90</v>
      </c>
      <c r="D3684" s="46" t="s">
        <v>178</v>
      </c>
      <c r="E3684" s="46">
        <v>3</v>
      </c>
      <c r="F3684" s="46" t="s">
        <v>60</v>
      </c>
      <c r="G3684" s="46">
        <v>3</v>
      </c>
      <c r="H3684" s="47">
        <v>47</v>
      </c>
      <c r="I3684" s="47" t="s">
        <v>116</v>
      </c>
      <c r="J3684" s="48">
        <v>0</v>
      </c>
      <c r="K3684" s="48">
        <v>2</v>
      </c>
      <c r="R3684" s="46">
        <f t="shared" si="347"/>
        <v>0</v>
      </c>
      <c r="S3684" s="46">
        <f t="shared" si="348"/>
        <v>0</v>
      </c>
      <c r="T3684" s="46">
        <f t="shared" si="351"/>
        <v>-10</v>
      </c>
      <c r="U3684" s="46">
        <f t="shared" si="349"/>
        <v>-10</v>
      </c>
      <c r="V3684" s="54">
        <f t="shared" si="350"/>
        <v>52.333333333333336</v>
      </c>
    </row>
    <row r="3685" spans="1:22" x14ac:dyDescent="0.2">
      <c r="A3685" s="46" t="s">
        <v>143</v>
      </c>
      <c r="B3685" s="46" t="s">
        <v>207</v>
      </c>
      <c r="C3685" s="46" t="s">
        <v>90</v>
      </c>
      <c r="D3685" s="46" t="s">
        <v>178</v>
      </c>
      <c r="E3685" s="46">
        <v>3</v>
      </c>
      <c r="F3685" s="46" t="s">
        <v>60</v>
      </c>
      <c r="G3685" s="46">
        <v>2</v>
      </c>
      <c r="H3685" s="47">
        <v>22</v>
      </c>
      <c r="I3685" s="47" t="s">
        <v>127</v>
      </c>
      <c r="J3685" s="48">
        <v>0</v>
      </c>
      <c r="K3685" s="48">
        <v>0</v>
      </c>
      <c r="R3685" s="46">
        <f t="shared" si="347"/>
        <v>0</v>
      </c>
      <c r="S3685" s="46">
        <f t="shared" si="348"/>
        <v>0</v>
      </c>
      <c r="T3685" s="46">
        <f t="shared" si="351"/>
        <v>0</v>
      </c>
      <c r="U3685" s="46">
        <f t="shared" si="349"/>
        <v>0</v>
      </c>
      <c r="V3685" s="54">
        <f t="shared" si="350"/>
        <v>52.333333333333336</v>
      </c>
    </row>
    <row r="3686" spans="1:22" x14ac:dyDescent="0.2">
      <c r="A3686" s="46" t="s">
        <v>143</v>
      </c>
      <c r="B3686" s="46" t="s">
        <v>207</v>
      </c>
      <c r="C3686" s="46" t="s">
        <v>90</v>
      </c>
      <c r="D3686" s="46" t="s">
        <v>178</v>
      </c>
      <c r="E3686" s="46">
        <v>1</v>
      </c>
      <c r="F3686" s="46" t="s">
        <v>60</v>
      </c>
      <c r="G3686" s="46">
        <v>1</v>
      </c>
      <c r="H3686" s="47">
        <v>33</v>
      </c>
      <c r="I3686" s="47" t="s">
        <v>101</v>
      </c>
      <c r="J3686" s="48">
        <v>0</v>
      </c>
      <c r="K3686" s="48">
        <v>1</v>
      </c>
      <c r="M3686" s="48">
        <v>1</v>
      </c>
      <c r="R3686" s="46">
        <f t="shared" si="347"/>
        <v>0</v>
      </c>
      <c r="S3686" s="46">
        <f t="shared" si="348"/>
        <v>0</v>
      </c>
      <c r="T3686" s="46">
        <f t="shared" si="351"/>
        <v>0</v>
      </c>
      <c r="U3686" s="46">
        <f t="shared" si="349"/>
        <v>20</v>
      </c>
      <c r="V3686" s="54">
        <f t="shared" si="350"/>
        <v>52.333333333333336</v>
      </c>
    </row>
    <row r="3687" spans="1:22" x14ac:dyDescent="0.2">
      <c r="A3687" s="46" t="s">
        <v>143</v>
      </c>
      <c r="B3687" s="46" t="s">
        <v>207</v>
      </c>
      <c r="C3687" s="46" t="s">
        <v>90</v>
      </c>
      <c r="D3687" s="46" t="s">
        <v>178</v>
      </c>
      <c r="E3687" s="46">
        <v>4</v>
      </c>
      <c r="F3687" s="46" t="s">
        <v>60</v>
      </c>
      <c r="G3687" s="46">
        <v>3</v>
      </c>
      <c r="H3687" s="47">
        <v>43</v>
      </c>
      <c r="I3687" s="47" t="s">
        <v>159</v>
      </c>
      <c r="J3687" s="48">
        <v>0</v>
      </c>
      <c r="K3687" s="48">
        <v>0</v>
      </c>
      <c r="M3687" s="48">
        <v>1</v>
      </c>
      <c r="R3687" s="46">
        <f t="shared" si="347"/>
        <v>0</v>
      </c>
      <c r="S3687" s="46">
        <f t="shared" si="348"/>
        <v>0</v>
      </c>
      <c r="T3687" s="46">
        <f t="shared" si="351"/>
        <v>0</v>
      </c>
      <c r="U3687" s="46">
        <f t="shared" si="349"/>
        <v>20</v>
      </c>
      <c r="V3687" s="54">
        <f t="shared" si="350"/>
        <v>52.333333333333336</v>
      </c>
    </row>
    <row r="3688" spans="1:22" x14ac:dyDescent="0.2">
      <c r="A3688" s="46" t="s">
        <v>143</v>
      </c>
      <c r="B3688" s="46" t="s">
        <v>207</v>
      </c>
      <c r="C3688" s="46" t="s">
        <v>90</v>
      </c>
      <c r="D3688" s="46" t="s">
        <v>178</v>
      </c>
      <c r="E3688" s="46">
        <v>4</v>
      </c>
      <c r="F3688" s="46" t="s">
        <v>62</v>
      </c>
      <c r="G3688" s="46">
        <v>2</v>
      </c>
      <c r="H3688" s="47" t="s">
        <v>82</v>
      </c>
      <c r="I3688" s="47" t="s">
        <v>127</v>
      </c>
      <c r="J3688" s="48">
        <v>0</v>
      </c>
      <c r="K3688" s="48">
        <v>1</v>
      </c>
      <c r="R3688" s="46">
        <f t="shared" si="347"/>
        <v>0</v>
      </c>
      <c r="S3688" s="46">
        <f t="shared" si="348"/>
        <v>0</v>
      </c>
      <c r="T3688" s="46">
        <f t="shared" si="351"/>
        <v>0</v>
      </c>
      <c r="U3688" s="46">
        <f t="shared" si="349"/>
        <v>0</v>
      </c>
      <c r="V3688" s="54">
        <f t="shared" si="350"/>
        <v>52.333333333333336</v>
      </c>
    </row>
    <row r="3689" spans="1:22" x14ac:dyDescent="0.2">
      <c r="A3689" s="46" t="s">
        <v>143</v>
      </c>
      <c r="B3689" s="46" t="s">
        <v>207</v>
      </c>
      <c r="C3689" s="46" t="s">
        <v>90</v>
      </c>
      <c r="D3689" s="46" t="s">
        <v>178</v>
      </c>
      <c r="E3689" s="46">
        <v>1</v>
      </c>
      <c r="F3689" s="46" t="s">
        <v>61</v>
      </c>
      <c r="G3689" s="46">
        <v>1</v>
      </c>
      <c r="H3689" s="47" t="s">
        <v>70</v>
      </c>
      <c r="I3689" s="47" t="s">
        <v>101</v>
      </c>
      <c r="J3689" s="48">
        <v>0</v>
      </c>
      <c r="K3689" s="48">
        <v>1</v>
      </c>
      <c r="R3689" s="46">
        <f t="shared" si="347"/>
        <v>0</v>
      </c>
      <c r="S3689" s="46">
        <f t="shared" si="348"/>
        <v>0</v>
      </c>
      <c r="T3689" s="46">
        <f t="shared" si="351"/>
        <v>0</v>
      </c>
      <c r="U3689" s="46">
        <f t="shared" si="349"/>
        <v>0</v>
      </c>
      <c r="V3689" s="54">
        <f t="shared" si="350"/>
        <v>52.333333333333336</v>
      </c>
    </row>
    <row r="3690" spans="1:22" x14ac:dyDescent="0.2">
      <c r="A3690" s="46" t="s">
        <v>143</v>
      </c>
      <c r="B3690" s="46" t="s">
        <v>207</v>
      </c>
      <c r="C3690" s="46" t="s">
        <v>90</v>
      </c>
      <c r="D3690" s="46" t="s">
        <v>178</v>
      </c>
      <c r="E3690" s="46">
        <v>1</v>
      </c>
      <c r="F3690" s="46" t="s">
        <v>61</v>
      </c>
      <c r="G3690" s="46">
        <v>2</v>
      </c>
      <c r="H3690" s="47" t="s">
        <v>76</v>
      </c>
      <c r="I3690" s="47" t="s">
        <v>127</v>
      </c>
      <c r="J3690" s="48">
        <v>0</v>
      </c>
      <c r="K3690" s="48">
        <v>0</v>
      </c>
      <c r="R3690" s="46">
        <f t="shared" si="347"/>
        <v>0</v>
      </c>
      <c r="S3690" s="46">
        <f t="shared" si="348"/>
        <v>0</v>
      </c>
      <c r="T3690" s="46">
        <f t="shared" si="351"/>
        <v>0</v>
      </c>
      <c r="U3690" s="46">
        <f t="shared" si="349"/>
        <v>0</v>
      </c>
      <c r="V3690" s="54">
        <f t="shared" si="350"/>
        <v>52.333333333333336</v>
      </c>
    </row>
    <row r="3691" spans="1:22" x14ac:dyDescent="0.2">
      <c r="A3691" s="46" t="s">
        <v>143</v>
      </c>
      <c r="B3691" s="46" t="s">
        <v>207</v>
      </c>
      <c r="C3691" s="46" t="s">
        <v>90</v>
      </c>
      <c r="D3691" s="46" t="s">
        <v>178</v>
      </c>
      <c r="E3691" s="46">
        <v>3</v>
      </c>
      <c r="F3691" s="46" t="s">
        <v>60</v>
      </c>
      <c r="G3691" s="46">
        <v>1</v>
      </c>
      <c r="H3691" s="47">
        <v>1</v>
      </c>
      <c r="I3691" s="47" t="s">
        <v>101</v>
      </c>
      <c r="J3691" s="48">
        <v>1</v>
      </c>
      <c r="K3691" s="48">
        <v>2</v>
      </c>
      <c r="R3691" s="46">
        <f t="shared" si="347"/>
        <v>0</v>
      </c>
      <c r="S3691" s="46">
        <f t="shared" si="348"/>
        <v>0</v>
      </c>
      <c r="T3691" s="46">
        <f t="shared" si="351"/>
        <v>10</v>
      </c>
      <c r="U3691" s="46">
        <f t="shared" si="349"/>
        <v>10</v>
      </c>
      <c r="V3691" s="54">
        <f t="shared" si="350"/>
        <v>52.333333333333336</v>
      </c>
    </row>
    <row r="3692" spans="1:22" x14ac:dyDescent="0.2">
      <c r="A3692" s="46" t="s">
        <v>143</v>
      </c>
      <c r="B3692" s="46" t="s">
        <v>207</v>
      </c>
      <c r="C3692" s="46" t="s">
        <v>90</v>
      </c>
      <c r="D3692" s="46" t="s">
        <v>178</v>
      </c>
      <c r="E3692" s="46">
        <v>4</v>
      </c>
      <c r="F3692" s="46" t="s">
        <v>60</v>
      </c>
      <c r="G3692" s="46">
        <v>2</v>
      </c>
      <c r="H3692" s="47">
        <v>6</v>
      </c>
      <c r="I3692" s="47" t="s">
        <v>127</v>
      </c>
      <c r="J3692" s="48">
        <v>1</v>
      </c>
      <c r="K3692" s="48">
        <v>0</v>
      </c>
      <c r="R3692" s="46">
        <f t="shared" si="347"/>
        <v>0</v>
      </c>
      <c r="S3692" s="46">
        <f t="shared" si="348"/>
        <v>0</v>
      </c>
      <c r="T3692" s="46">
        <f t="shared" si="351"/>
        <v>20</v>
      </c>
      <c r="U3692" s="46">
        <f t="shared" si="349"/>
        <v>20</v>
      </c>
      <c r="V3692" s="54">
        <f t="shared" si="350"/>
        <v>52.333333333333336</v>
      </c>
    </row>
    <row r="3693" spans="1:22" x14ac:dyDescent="0.2">
      <c r="A3693" s="46" t="s">
        <v>143</v>
      </c>
      <c r="B3693" s="46" t="s">
        <v>207</v>
      </c>
      <c r="C3693" s="46" t="s">
        <v>90</v>
      </c>
      <c r="D3693" s="46" t="s">
        <v>178</v>
      </c>
      <c r="E3693" s="46">
        <v>4</v>
      </c>
      <c r="F3693" s="46" t="s">
        <v>60</v>
      </c>
      <c r="G3693" s="46">
        <v>4</v>
      </c>
      <c r="H3693" s="47">
        <v>20</v>
      </c>
      <c r="I3693" s="47" t="s">
        <v>102</v>
      </c>
      <c r="J3693" s="48">
        <v>1</v>
      </c>
      <c r="K3693" s="48">
        <v>0</v>
      </c>
      <c r="R3693" s="46">
        <f t="shared" si="347"/>
        <v>0</v>
      </c>
      <c r="S3693" s="46">
        <f t="shared" si="348"/>
        <v>0</v>
      </c>
      <c r="T3693" s="46">
        <f t="shared" si="351"/>
        <v>20</v>
      </c>
      <c r="U3693" s="46">
        <f t="shared" si="349"/>
        <v>20</v>
      </c>
      <c r="V3693" s="54">
        <f t="shared" si="350"/>
        <v>52.333333333333336</v>
      </c>
    </row>
    <row r="3694" spans="1:22" x14ac:dyDescent="0.2">
      <c r="A3694" s="46" t="s">
        <v>143</v>
      </c>
      <c r="B3694" s="46" t="s">
        <v>207</v>
      </c>
      <c r="C3694" s="46" t="s">
        <v>90</v>
      </c>
      <c r="D3694" s="46" t="s">
        <v>178</v>
      </c>
      <c r="E3694" s="46">
        <v>2</v>
      </c>
      <c r="F3694" s="46" t="s">
        <v>60</v>
      </c>
      <c r="G3694" s="46">
        <v>2</v>
      </c>
      <c r="H3694" s="47">
        <v>42</v>
      </c>
      <c r="I3694" s="47" t="s">
        <v>127</v>
      </c>
      <c r="J3694" s="48">
        <v>1</v>
      </c>
      <c r="K3694" s="48">
        <v>0</v>
      </c>
      <c r="R3694" s="46">
        <f t="shared" si="347"/>
        <v>0</v>
      </c>
      <c r="S3694" s="46">
        <f t="shared" si="348"/>
        <v>0</v>
      </c>
      <c r="T3694" s="46">
        <f t="shared" si="351"/>
        <v>20</v>
      </c>
      <c r="U3694" s="46">
        <f t="shared" si="349"/>
        <v>20</v>
      </c>
      <c r="V3694" s="54">
        <f t="shared" si="350"/>
        <v>52.333333333333336</v>
      </c>
    </row>
    <row r="3695" spans="1:22" x14ac:dyDescent="0.2">
      <c r="A3695" s="46" t="s">
        <v>143</v>
      </c>
      <c r="B3695" s="46" t="s">
        <v>207</v>
      </c>
      <c r="C3695" s="46" t="s">
        <v>90</v>
      </c>
      <c r="D3695" s="46" t="s">
        <v>178</v>
      </c>
      <c r="E3695" s="46">
        <v>2</v>
      </c>
      <c r="F3695" s="46" t="s">
        <v>61</v>
      </c>
      <c r="G3695" s="46">
        <v>1</v>
      </c>
      <c r="H3695" s="47" t="s">
        <v>67</v>
      </c>
      <c r="I3695" s="47" t="s">
        <v>101</v>
      </c>
      <c r="J3695" s="48">
        <v>1</v>
      </c>
      <c r="K3695" s="48">
        <v>1</v>
      </c>
      <c r="R3695" s="46">
        <f t="shared" si="347"/>
        <v>0</v>
      </c>
      <c r="S3695" s="46">
        <f t="shared" si="348"/>
        <v>0</v>
      </c>
      <c r="T3695" s="46">
        <f t="shared" si="351"/>
        <v>20</v>
      </c>
      <c r="U3695" s="46">
        <f t="shared" si="349"/>
        <v>20</v>
      </c>
      <c r="V3695" s="54">
        <f t="shared" si="350"/>
        <v>52.333333333333336</v>
      </c>
    </row>
    <row r="3696" spans="1:22" x14ac:dyDescent="0.2">
      <c r="A3696" s="46" t="s">
        <v>143</v>
      </c>
      <c r="B3696" s="46" t="s">
        <v>207</v>
      </c>
      <c r="C3696" s="46" t="s">
        <v>90</v>
      </c>
      <c r="D3696" s="46" t="s">
        <v>178</v>
      </c>
      <c r="E3696" s="46">
        <v>3</v>
      </c>
      <c r="F3696" s="46" t="s">
        <v>62</v>
      </c>
      <c r="G3696" s="46">
        <v>2</v>
      </c>
      <c r="H3696" s="47" t="s">
        <v>79</v>
      </c>
      <c r="I3696" s="47" t="s">
        <v>127</v>
      </c>
      <c r="J3696" s="48">
        <v>2</v>
      </c>
      <c r="K3696" s="48">
        <v>3</v>
      </c>
      <c r="R3696" s="46">
        <f t="shared" si="347"/>
        <v>0</v>
      </c>
      <c r="S3696" s="46">
        <f t="shared" si="348"/>
        <v>1</v>
      </c>
      <c r="T3696" s="46">
        <f t="shared" si="351"/>
        <v>20</v>
      </c>
      <c r="U3696" s="46">
        <f t="shared" si="349"/>
        <v>20</v>
      </c>
      <c r="V3696" s="54">
        <f t="shared" si="350"/>
        <v>52.333333333333336</v>
      </c>
    </row>
    <row r="3697" spans="1:22" x14ac:dyDescent="0.2">
      <c r="A3697" s="46" t="s">
        <v>143</v>
      </c>
      <c r="B3697" s="46" t="s">
        <v>207</v>
      </c>
      <c r="C3697" s="46" t="s">
        <v>90</v>
      </c>
      <c r="D3697" s="46" t="s">
        <v>178</v>
      </c>
      <c r="E3697" s="46">
        <v>3</v>
      </c>
      <c r="F3697" s="46" t="s">
        <v>60</v>
      </c>
      <c r="G3697" s="46">
        <v>4</v>
      </c>
      <c r="H3697" s="47">
        <v>12</v>
      </c>
      <c r="I3697" s="47" t="s">
        <v>102</v>
      </c>
      <c r="J3697" s="48">
        <v>2</v>
      </c>
      <c r="K3697" s="48">
        <v>2</v>
      </c>
      <c r="R3697" s="46">
        <f t="shared" si="347"/>
        <v>0</v>
      </c>
      <c r="S3697" s="46">
        <f t="shared" si="348"/>
        <v>0</v>
      </c>
      <c r="T3697" s="46">
        <f t="shared" si="351"/>
        <v>30</v>
      </c>
      <c r="U3697" s="46">
        <f t="shared" si="349"/>
        <v>30</v>
      </c>
      <c r="V3697" s="54">
        <f t="shared" si="350"/>
        <v>52.333333333333336</v>
      </c>
    </row>
    <row r="3698" spans="1:22" x14ac:dyDescent="0.2">
      <c r="A3698" s="46" t="s">
        <v>143</v>
      </c>
      <c r="B3698" s="46" t="s">
        <v>207</v>
      </c>
      <c r="C3698" s="46" t="s">
        <v>90</v>
      </c>
      <c r="D3698" s="46" t="s">
        <v>178</v>
      </c>
      <c r="E3698" s="46">
        <v>1</v>
      </c>
      <c r="F3698" s="46" t="s">
        <v>60</v>
      </c>
      <c r="G3698" s="46">
        <v>1</v>
      </c>
      <c r="H3698" s="47">
        <v>29</v>
      </c>
      <c r="I3698" s="47" t="s">
        <v>101</v>
      </c>
      <c r="J3698" s="48">
        <v>2</v>
      </c>
      <c r="K3698" s="48">
        <v>2</v>
      </c>
      <c r="R3698" s="46">
        <f t="shared" si="347"/>
        <v>0</v>
      </c>
      <c r="S3698" s="46">
        <f t="shared" si="348"/>
        <v>0</v>
      </c>
      <c r="T3698" s="46">
        <f t="shared" si="351"/>
        <v>30</v>
      </c>
      <c r="U3698" s="46">
        <f t="shared" si="349"/>
        <v>30</v>
      </c>
      <c r="V3698" s="54">
        <f t="shared" si="350"/>
        <v>52.333333333333336</v>
      </c>
    </row>
    <row r="3699" spans="1:22" x14ac:dyDescent="0.2">
      <c r="A3699" s="46" t="s">
        <v>143</v>
      </c>
      <c r="B3699" s="46" t="s">
        <v>207</v>
      </c>
      <c r="C3699" s="46" t="s">
        <v>90</v>
      </c>
      <c r="D3699" s="46" t="s">
        <v>178</v>
      </c>
      <c r="E3699" s="46">
        <v>1</v>
      </c>
      <c r="F3699" s="46" t="s">
        <v>60</v>
      </c>
      <c r="G3699" s="46">
        <v>2</v>
      </c>
      <c r="H3699" s="47">
        <v>2</v>
      </c>
      <c r="I3699" s="47" t="s">
        <v>127</v>
      </c>
      <c r="J3699" s="48">
        <v>2</v>
      </c>
      <c r="K3699" s="48">
        <v>1</v>
      </c>
      <c r="R3699" s="46">
        <f t="shared" si="347"/>
        <v>0</v>
      </c>
      <c r="S3699" s="46">
        <f t="shared" si="348"/>
        <v>0</v>
      </c>
      <c r="T3699" s="46">
        <f t="shared" si="351"/>
        <v>40</v>
      </c>
      <c r="U3699" s="46">
        <f t="shared" si="349"/>
        <v>40</v>
      </c>
      <c r="V3699" s="54">
        <f t="shared" si="350"/>
        <v>52.333333333333336</v>
      </c>
    </row>
    <row r="3700" spans="1:22" x14ac:dyDescent="0.2">
      <c r="A3700" s="46" t="s">
        <v>143</v>
      </c>
      <c r="B3700" s="46" t="s">
        <v>207</v>
      </c>
      <c r="C3700" s="46" t="s">
        <v>90</v>
      </c>
      <c r="D3700" s="46" t="s">
        <v>178</v>
      </c>
      <c r="E3700" s="46">
        <v>4</v>
      </c>
      <c r="F3700" s="46" t="s">
        <v>60</v>
      </c>
      <c r="G3700" s="46">
        <v>1</v>
      </c>
      <c r="H3700" s="47">
        <v>33</v>
      </c>
      <c r="I3700" s="47" t="s">
        <v>101</v>
      </c>
      <c r="J3700" s="48">
        <v>2</v>
      </c>
      <c r="K3700" s="48">
        <v>0</v>
      </c>
      <c r="R3700" s="46">
        <f t="shared" si="347"/>
        <v>0</v>
      </c>
      <c r="S3700" s="46">
        <f t="shared" si="348"/>
        <v>0</v>
      </c>
      <c r="T3700" s="46">
        <f t="shared" si="351"/>
        <v>40</v>
      </c>
      <c r="U3700" s="46">
        <f t="shared" si="349"/>
        <v>40</v>
      </c>
      <c r="V3700" s="54">
        <f t="shared" si="350"/>
        <v>52.333333333333336</v>
      </c>
    </row>
    <row r="3701" spans="1:22" x14ac:dyDescent="0.2">
      <c r="A3701" s="46" t="s">
        <v>143</v>
      </c>
      <c r="B3701" s="46" t="s">
        <v>207</v>
      </c>
      <c r="C3701" s="46" t="s">
        <v>90</v>
      </c>
      <c r="D3701" s="46" t="s">
        <v>178</v>
      </c>
      <c r="E3701" s="46">
        <v>3</v>
      </c>
      <c r="F3701" s="46" t="s">
        <v>60</v>
      </c>
      <c r="G3701" s="46">
        <v>2</v>
      </c>
      <c r="H3701" s="47">
        <v>38</v>
      </c>
      <c r="I3701" s="47" t="s">
        <v>127</v>
      </c>
      <c r="J3701" s="48">
        <v>2</v>
      </c>
      <c r="K3701" s="48">
        <v>1</v>
      </c>
      <c r="R3701" s="46">
        <f t="shared" si="347"/>
        <v>0</v>
      </c>
      <c r="S3701" s="46">
        <f t="shared" si="348"/>
        <v>0</v>
      </c>
      <c r="T3701" s="46">
        <f t="shared" si="351"/>
        <v>40</v>
      </c>
      <c r="U3701" s="46">
        <f t="shared" si="349"/>
        <v>40</v>
      </c>
      <c r="V3701" s="54">
        <f t="shared" si="350"/>
        <v>52.333333333333336</v>
      </c>
    </row>
    <row r="3702" spans="1:22" x14ac:dyDescent="0.2">
      <c r="A3702" s="46" t="s">
        <v>143</v>
      </c>
      <c r="B3702" s="46" t="s">
        <v>207</v>
      </c>
      <c r="C3702" s="46" t="s">
        <v>90</v>
      </c>
      <c r="D3702" s="46" t="s">
        <v>178</v>
      </c>
      <c r="E3702" s="46">
        <v>2</v>
      </c>
      <c r="F3702" s="46" t="s">
        <v>61</v>
      </c>
      <c r="G3702" s="46">
        <v>2</v>
      </c>
      <c r="H3702" s="47" t="s">
        <v>76</v>
      </c>
      <c r="I3702" s="47" t="s">
        <v>127</v>
      </c>
      <c r="J3702" s="48">
        <v>2</v>
      </c>
      <c r="K3702" s="48">
        <v>0</v>
      </c>
      <c r="R3702" s="46">
        <f t="shared" si="347"/>
        <v>0</v>
      </c>
      <c r="S3702" s="46">
        <f t="shared" si="348"/>
        <v>0</v>
      </c>
      <c r="T3702" s="46">
        <f t="shared" si="351"/>
        <v>40</v>
      </c>
      <c r="U3702" s="46">
        <f t="shared" si="349"/>
        <v>40</v>
      </c>
      <c r="V3702" s="54">
        <f t="shared" si="350"/>
        <v>52.333333333333336</v>
      </c>
    </row>
    <row r="3703" spans="1:22" x14ac:dyDescent="0.2">
      <c r="A3703" s="46" t="s">
        <v>143</v>
      </c>
      <c r="B3703" s="46" t="s">
        <v>207</v>
      </c>
      <c r="C3703" s="46" t="s">
        <v>90</v>
      </c>
      <c r="D3703" s="46" t="s">
        <v>178</v>
      </c>
      <c r="E3703" s="46">
        <v>4</v>
      </c>
      <c r="F3703" s="46" t="s">
        <v>60</v>
      </c>
      <c r="G3703" s="46">
        <v>2</v>
      </c>
      <c r="H3703" s="47">
        <v>30</v>
      </c>
      <c r="I3703" s="47" t="s">
        <v>127</v>
      </c>
      <c r="J3703" s="48">
        <v>3</v>
      </c>
      <c r="K3703" s="48">
        <v>1</v>
      </c>
      <c r="R3703" s="46">
        <f t="shared" si="347"/>
        <v>0</v>
      </c>
      <c r="S3703" s="46">
        <f t="shared" si="348"/>
        <v>0</v>
      </c>
      <c r="T3703" s="46">
        <f t="shared" ref="T3703:T3726" si="352">quizscore(J3703,K3703)</f>
        <v>60</v>
      </c>
      <c r="U3703" s="46">
        <f t="shared" si="349"/>
        <v>60</v>
      </c>
      <c r="V3703" s="54">
        <f t="shared" si="350"/>
        <v>52.333333333333336</v>
      </c>
    </row>
    <row r="3704" spans="1:22" x14ac:dyDescent="0.2">
      <c r="A3704" s="46" t="s">
        <v>143</v>
      </c>
      <c r="B3704" s="46" t="s">
        <v>207</v>
      </c>
      <c r="C3704" s="46" t="s">
        <v>90</v>
      </c>
      <c r="D3704" s="46" t="s">
        <v>178</v>
      </c>
      <c r="E3704" s="46">
        <v>4</v>
      </c>
      <c r="F3704" s="46" t="s">
        <v>62</v>
      </c>
      <c r="G3704" s="46">
        <v>2</v>
      </c>
      <c r="H3704" s="47" t="s">
        <v>79</v>
      </c>
      <c r="I3704" s="47" t="s">
        <v>127</v>
      </c>
      <c r="J3704" s="48">
        <v>3</v>
      </c>
      <c r="K3704" s="48">
        <v>0</v>
      </c>
      <c r="R3704" s="46">
        <f t="shared" si="347"/>
        <v>0</v>
      </c>
      <c r="S3704" s="46">
        <f t="shared" si="348"/>
        <v>0</v>
      </c>
      <c r="T3704" s="46">
        <f t="shared" si="352"/>
        <v>60</v>
      </c>
      <c r="U3704" s="46">
        <f t="shared" si="349"/>
        <v>60</v>
      </c>
      <c r="V3704" s="54">
        <f t="shared" si="350"/>
        <v>52.333333333333336</v>
      </c>
    </row>
    <row r="3705" spans="1:22" x14ac:dyDescent="0.2">
      <c r="A3705" s="46" t="s">
        <v>143</v>
      </c>
      <c r="B3705" s="46" t="s">
        <v>207</v>
      </c>
      <c r="C3705" s="46" t="s">
        <v>90</v>
      </c>
      <c r="D3705" s="46" t="s">
        <v>178</v>
      </c>
      <c r="E3705" s="46">
        <v>3</v>
      </c>
      <c r="F3705" s="46" t="s">
        <v>60</v>
      </c>
      <c r="G3705" s="46">
        <v>3</v>
      </c>
      <c r="H3705" s="47">
        <v>31</v>
      </c>
      <c r="I3705" s="47" t="s">
        <v>116</v>
      </c>
      <c r="J3705" s="48">
        <v>4</v>
      </c>
      <c r="K3705" s="48">
        <v>2</v>
      </c>
      <c r="R3705" s="46">
        <f t="shared" si="347"/>
        <v>1</v>
      </c>
      <c r="S3705" s="46">
        <f t="shared" si="348"/>
        <v>0</v>
      </c>
      <c r="T3705" s="46">
        <f t="shared" si="352"/>
        <v>70</v>
      </c>
      <c r="U3705" s="46">
        <f t="shared" si="349"/>
        <v>70</v>
      </c>
      <c r="V3705" s="54">
        <f t="shared" si="350"/>
        <v>52.333333333333336</v>
      </c>
    </row>
    <row r="3706" spans="1:22" x14ac:dyDescent="0.2">
      <c r="A3706" s="46" t="s">
        <v>143</v>
      </c>
      <c r="B3706" s="46" t="s">
        <v>207</v>
      </c>
      <c r="C3706" s="46" t="s">
        <v>90</v>
      </c>
      <c r="D3706" s="46" t="s">
        <v>178</v>
      </c>
      <c r="E3706" s="46">
        <v>1</v>
      </c>
      <c r="F3706" s="46" t="s">
        <v>60</v>
      </c>
      <c r="G3706" s="46">
        <v>4</v>
      </c>
      <c r="H3706" s="47">
        <v>24</v>
      </c>
      <c r="I3706" s="47" t="s">
        <v>102</v>
      </c>
      <c r="J3706" s="48">
        <v>4</v>
      </c>
      <c r="K3706" s="48">
        <v>1</v>
      </c>
      <c r="R3706" s="46">
        <f t="shared" si="347"/>
        <v>1</v>
      </c>
      <c r="S3706" s="46">
        <f t="shared" si="348"/>
        <v>0</v>
      </c>
      <c r="T3706" s="46">
        <f t="shared" si="352"/>
        <v>80</v>
      </c>
      <c r="U3706" s="46">
        <f t="shared" si="349"/>
        <v>80</v>
      </c>
      <c r="V3706" s="54">
        <f t="shared" si="350"/>
        <v>52.333333333333336</v>
      </c>
    </row>
    <row r="3707" spans="1:22" x14ac:dyDescent="0.2">
      <c r="A3707" s="46" t="s">
        <v>143</v>
      </c>
      <c r="B3707" s="46" t="s">
        <v>207</v>
      </c>
      <c r="C3707" s="46" t="s">
        <v>90</v>
      </c>
      <c r="D3707" s="46" t="s">
        <v>178</v>
      </c>
      <c r="E3707" s="46">
        <v>2</v>
      </c>
      <c r="F3707" s="46" t="s">
        <v>60</v>
      </c>
      <c r="G3707" s="46">
        <v>4</v>
      </c>
      <c r="H3707" s="47">
        <v>8</v>
      </c>
      <c r="I3707" s="47" t="s">
        <v>102</v>
      </c>
      <c r="J3707" s="48">
        <v>4</v>
      </c>
      <c r="K3707" s="48">
        <v>0</v>
      </c>
      <c r="R3707" s="46">
        <f t="shared" si="347"/>
        <v>1</v>
      </c>
      <c r="S3707" s="46">
        <f t="shared" si="348"/>
        <v>0</v>
      </c>
      <c r="T3707" s="46">
        <f t="shared" si="352"/>
        <v>90</v>
      </c>
      <c r="U3707" s="46">
        <f t="shared" si="349"/>
        <v>90</v>
      </c>
      <c r="V3707" s="54">
        <f t="shared" si="350"/>
        <v>52.333333333333336</v>
      </c>
    </row>
    <row r="3708" spans="1:22" x14ac:dyDescent="0.2">
      <c r="A3708" s="46" t="s">
        <v>143</v>
      </c>
      <c r="B3708" s="46" t="s">
        <v>207</v>
      </c>
      <c r="C3708" s="46" t="s">
        <v>90</v>
      </c>
      <c r="D3708" s="46" t="s">
        <v>178</v>
      </c>
      <c r="E3708" s="46">
        <v>1</v>
      </c>
      <c r="F3708" s="46" t="s">
        <v>60</v>
      </c>
      <c r="G3708" s="46">
        <v>3</v>
      </c>
      <c r="H3708" s="47">
        <v>11</v>
      </c>
      <c r="I3708" s="47" t="s">
        <v>116</v>
      </c>
      <c r="J3708" s="48">
        <v>4</v>
      </c>
      <c r="K3708" s="48">
        <v>0</v>
      </c>
      <c r="R3708" s="46">
        <f t="shared" si="347"/>
        <v>1</v>
      </c>
      <c r="S3708" s="46">
        <f t="shared" si="348"/>
        <v>0</v>
      </c>
      <c r="T3708" s="46">
        <f t="shared" si="352"/>
        <v>90</v>
      </c>
      <c r="U3708" s="46">
        <f t="shared" si="349"/>
        <v>90</v>
      </c>
      <c r="V3708" s="54">
        <f t="shared" si="350"/>
        <v>52.333333333333336</v>
      </c>
    </row>
    <row r="3709" spans="1:22" x14ac:dyDescent="0.2">
      <c r="A3709" s="46" t="s">
        <v>143</v>
      </c>
      <c r="B3709" s="46" t="s">
        <v>207</v>
      </c>
      <c r="C3709" s="46" t="s">
        <v>90</v>
      </c>
      <c r="D3709" s="46" t="s">
        <v>178</v>
      </c>
      <c r="E3709" s="46">
        <v>2</v>
      </c>
      <c r="F3709" s="46" t="s">
        <v>60</v>
      </c>
      <c r="G3709" s="46">
        <v>1</v>
      </c>
      <c r="H3709" s="47">
        <v>13</v>
      </c>
      <c r="I3709" s="47" t="s">
        <v>101</v>
      </c>
      <c r="J3709" s="48">
        <v>4</v>
      </c>
      <c r="K3709" s="48">
        <v>0</v>
      </c>
      <c r="R3709" s="46">
        <f t="shared" si="347"/>
        <v>1</v>
      </c>
      <c r="S3709" s="46">
        <f t="shared" si="348"/>
        <v>0</v>
      </c>
      <c r="T3709" s="46">
        <f t="shared" si="352"/>
        <v>90</v>
      </c>
      <c r="U3709" s="46">
        <f t="shared" si="349"/>
        <v>90</v>
      </c>
      <c r="V3709" s="54">
        <f t="shared" si="350"/>
        <v>52.333333333333336</v>
      </c>
    </row>
    <row r="3710" spans="1:22" x14ac:dyDescent="0.2">
      <c r="A3710" s="46" t="s">
        <v>143</v>
      </c>
      <c r="B3710" s="46" t="s">
        <v>207</v>
      </c>
      <c r="C3710" s="46" t="s">
        <v>90</v>
      </c>
      <c r="D3710" s="46" t="s">
        <v>178</v>
      </c>
      <c r="E3710" s="46">
        <v>2</v>
      </c>
      <c r="F3710" s="46" t="s">
        <v>60</v>
      </c>
      <c r="G3710" s="46">
        <v>3</v>
      </c>
      <c r="H3710" s="47">
        <v>23</v>
      </c>
      <c r="I3710" s="47" t="s">
        <v>116</v>
      </c>
      <c r="J3710" s="48">
        <v>4</v>
      </c>
      <c r="K3710" s="48">
        <v>0</v>
      </c>
      <c r="R3710" s="46">
        <f t="shared" si="347"/>
        <v>1</v>
      </c>
      <c r="S3710" s="46">
        <f t="shared" si="348"/>
        <v>0</v>
      </c>
      <c r="T3710" s="46">
        <f t="shared" si="352"/>
        <v>90</v>
      </c>
      <c r="U3710" s="46">
        <f t="shared" si="349"/>
        <v>90</v>
      </c>
      <c r="V3710" s="54">
        <f t="shared" si="350"/>
        <v>52.333333333333336</v>
      </c>
    </row>
    <row r="3711" spans="1:22" x14ac:dyDescent="0.2">
      <c r="A3711" s="46" t="s">
        <v>143</v>
      </c>
      <c r="B3711" s="46" t="s">
        <v>207</v>
      </c>
      <c r="C3711" s="46" t="s">
        <v>90</v>
      </c>
      <c r="D3711" s="46" t="s">
        <v>178</v>
      </c>
      <c r="E3711" s="46">
        <v>4</v>
      </c>
      <c r="F3711" s="46" t="s">
        <v>60</v>
      </c>
      <c r="G3711" s="46">
        <v>4</v>
      </c>
      <c r="H3711" s="47">
        <v>28</v>
      </c>
      <c r="I3711" s="47" t="s">
        <v>102</v>
      </c>
      <c r="J3711" s="48">
        <v>4</v>
      </c>
      <c r="K3711" s="48">
        <v>0</v>
      </c>
      <c r="R3711" s="46">
        <f t="shared" si="347"/>
        <v>1</v>
      </c>
      <c r="S3711" s="46">
        <f t="shared" si="348"/>
        <v>0</v>
      </c>
      <c r="T3711" s="46">
        <f t="shared" si="352"/>
        <v>90</v>
      </c>
      <c r="U3711" s="46">
        <f t="shared" si="349"/>
        <v>90</v>
      </c>
      <c r="V3711" s="54">
        <f t="shared" si="350"/>
        <v>52.333333333333336</v>
      </c>
    </row>
    <row r="3712" spans="1:22" x14ac:dyDescent="0.2">
      <c r="A3712" s="46" t="s">
        <v>143</v>
      </c>
      <c r="B3712" s="46" t="s">
        <v>207</v>
      </c>
      <c r="C3712" s="46" t="s">
        <v>90</v>
      </c>
      <c r="D3712" s="46" t="s">
        <v>178</v>
      </c>
      <c r="E3712" s="46">
        <v>2</v>
      </c>
      <c r="F3712" s="46" t="s">
        <v>60</v>
      </c>
      <c r="G3712" s="46">
        <v>4</v>
      </c>
      <c r="H3712" s="47">
        <v>32</v>
      </c>
      <c r="I3712" s="47" t="s">
        <v>102</v>
      </c>
      <c r="J3712" s="48">
        <v>4</v>
      </c>
      <c r="K3712" s="48">
        <v>0</v>
      </c>
      <c r="R3712" s="46">
        <f t="shared" si="347"/>
        <v>1</v>
      </c>
      <c r="S3712" s="46">
        <f t="shared" si="348"/>
        <v>0</v>
      </c>
      <c r="T3712" s="46">
        <f t="shared" si="352"/>
        <v>90</v>
      </c>
      <c r="U3712" s="46">
        <f t="shared" si="349"/>
        <v>90</v>
      </c>
      <c r="V3712" s="54">
        <f t="shared" si="350"/>
        <v>52.333333333333336</v>
      </c>
    </row>
    <row r="3713" spans="1:22" x14ac:dyDescent="0.2">
      <c r="A3713" s="46" t="s">
        <v>143</v>
      </c>
      <c r="B3713" s="46" t="s">
        <v>207</v>
      </c>
      <c r="C3713" s="46" t="s">
        <v>90</v>
      </c>
      <c r="D3713" s="46" t="s">
        <v>178</v>
      </c>
      <c r="E3713" s="46">
        <v>1</v>
      </c>
      <c r="F3713" s="46" t="s">
        <v>60</v>
      </c>
      <c r="G3713" s="46">
        <v>3</v>
      </c>
      <c r="H3713" s="47">
        <v>47</v>
      </c>
      <c r="I3713" s="47" t="s">
        <v>116</v>
      </c>
      <c r="J3713" s="48">
        <v>4</v>
      </c>
      <c r="K3713" s="48">
        <v>0</v>
      </c>
      <c r="R3713" s="46">
        <f t="shared" si="347"/>
        <v>1</v>
      </c>
      <c r="S3713" s="46">
        <f t="shared" si="348"/>
        <v>0</v>
      </c>
      <c r="T3713" s="46">
        <f t="shared" si="352"/>
        <v>90</v>
      </c>
      <c r="U3713" s="46">
        <f t="shared" si="349"/>
        <v>90</v>
      </c>
      <c r="V3713" s="54">
        <f t="shared" si="350"/>
        <v>52.333333333333336</v>
      </c>
    </row>
    <row r="3714" spans="1:22" x14ac:dyDescent="0.2">
      <c r="A3714" s="46" t="s">
        <v>143</v>
      </c>
      <c r="B3714" s="46" t="s">
        <v>207</v>
      </c>
      <c r="C3714" s="46" t="s">
        <v>90</v>
      </c>
      <c r="D3714" s="46" t="s">
        <v>178</v>
      </c>
      <c r="E3714" s="46">
        <v>2</v>
      </c>
      <c r="F3714" s="46" t="s">
        <v>60</v>
      </c>
      <c r="G3714" s="46">
        <v>3</v>
      </c>
      <c r="H3714" s="47">
        <v>47</v>
      </c>
      <c r="I3714" s="47" t="s">
        <v>116</v>
      </c>
      <c r="J3714" s="48">
        <v>4</v>
      </c>
      <c r="K3714" s="48">
        <v>0</v>
      </c>
      <c r="R3714" s="46">
        <f t="shared" ref="R3714:R3777" si="353">IF(J3714=4,1,0)</f>
        <v>1</v>
      </c>
      <c r="S3714" s="46">
        <f t="shared" ref="S3714:S3777" si="354">IF(K3714=3,1,0)</f>
        <v>0</v>
      </c>
      <c r="T3714" s="46">
        <f t="shared" si="352"/>
        <v>90</v>
      </c>
      <c r="U3714" s="46">
        <f t="shared" ref="U3714:U3777" si="355">T3714+M3714*(20) + (SUM(O3714:Q3714)*(10)) - L3714*(5) - N3714*(5)</f>
        <v>90</v>
      </c>
      <c r="V3714" s="54">
        <f t="shared" ref="V3714:V3777" si="356">AVERAGEIFS(U:U,A:A,A3714,F:F,"Pre")</f>
        <v>52.333333333333336</v>
      </c>
    </row>
    <row r="3715" spans="1:22" x14ac:dyDescent="0.2">
      <c r="A3715" s="46" t="s">
        <v>143</v>
      </c>
      <c r="B3715" s="46" t="s">
        <v>207</v>
      </c>
      <c r="C3715" s="46" t="s">
        <v>90</v>
      </c>
      <c r="D3715" s="46" t="s">
        <v>178</v>
      </c>
      <c r="E3715" s="46">
        <v>3</v>
      </c>
      <c r="F3715" s="46" t="s">
        <v>62</v>
      </c>
      <c r="G3715" s="46">
        <v>2</v>
      </c>
      <c r="H3715" s="47" t="s">
        <v>82</v>
      </c>
      <c r="I3715" s="47" t="s">
        <v>127</v>
      </c>
      <c r="J3715" s="48">
        <v>4</v>
      </c>
      <c r="K3715" s="48">
        <v>0</v>
      </c>
      <c r="R3715" s="46">
        <f t="shared" si="353"/>
        <v>1</v>
      </c>
      <c r="S3715" s="46">
        <f t="shared" si="354"/>
        <v>0</v>
      </c>
      <c r="T3715" s="46">
        <f t="shared" si="352"/>
        <v>90</v>
      </c>
      <c r="U3715" s="46">
        <f t="shared" si="355"/>
        <v>90</v>
      </c>
      <c r="V3715" s="54">
        <f t="shared" si="356"/>
        <v>52.333333333333336</v>
      </c>
    </row>
    <row r="3716" spans="1:22" x14ac:dyDescent="0.2">
      <c r="A3716" s="46" t="s">
        <v>143</v>
      </c>
      <c r="B3716" s="46" t="s">
        <v>207</v>
      </c>
      <c r="C3716" s="46" t="s">
        <v>90</v>
      </c>
      <c r="D3716" s="46" t="s">
        <v>178</v>
      </c>
      <c r="E3716" s="46">
        <v>4</v>
      </c>
      <c r="F3716" s="46" t="s">
        <v>62</v>
      </c>
      <c r="G3716" s="46">
        <v>2</v>
      </c>
      <c r="H3716" s="47" t="s">
        <v>86</v>
      </c>
      <c r="I3716" s="47" t="s">
        <v>127</v>
      </c>
      <c r="J3716" s="48">
        <v>4</v>
      </c>
      <c r="K3716" s="48">
        <v>0</v>
      </c>
      <c r="R3716" s="46">
        <f t="shared" si="353"/>
        <v>1</v>
      </c>
      <c r="S3716" s="46">
        <f t="shared" si="354"/>
        <v>0</v>
      </c>
      <c r="T3716" s="46">
        <f t="shared" si="352"/>
        <v>90</v>
      </c>
      <c r="U3716" s="46">
        <f t="shared" si="355"/>
        <v>90</v>
      </c>
      <c r="V3716" s="54">
        <f t="shared" si="356"/>
        <v>52.333333333333336</v>
      </c>
    </row>
    <row r="3717" spans="1:22" x14ac:dyDescent="0.2">
      <c r="A3717" s="46" t="s">
        <v>143</v>
      </c>
      <c r="B3717" s="46" t="s">
        <v>207</v>
      </c>
      <c r="C3717" s="46" t="s">
        <v>90</v>
      </c>
      <c r="D3717" s="46" t="s">
        <v>178</v>
      </c>
      <c r="E3717" s="46">
        <v>3</v>
      </c>
      <c r="F3717" s="46" t="s">
        <v>62</v>
      </c>
      <c r="G3717" s="46">
        <v>2</v>
      </c>
      <c r="H3717" s="47" t="s">
        <v>83</v>
      </c>
      <c r="I3717" s="47" t="s">
        <v>127</v>
      </c>
      <c r="J3717" s="48">
        <v>4</v>
      </c>
      <c r="K3717" s="48">
        <v>0</v>
      </c>
      <c r="R3717" s="46">
        <f t="shared" si="353"/>
        <v>1</v>
      </c>
      <c r="S3717" s="46">
        <f t="shared" si="354"/>
        <v>0</v>
      </c>
      <c r="T3717" s="46">
        <f t="shared" si="352"/>
        <v>90</v>
      </c>
      <c r="U3717" s="46">
        <f t="shared" si="355"/>
        <v>90</v>
      </c>
      <c r="V3717" s="54">
        <f t="shared" si="356"/>
        <v>52.333333333333336</v>
      </c>
    </row>
    <row r="3718" spans="1:22" x14ac:dyDescent="0.2">
      <c r="A3718" s="46" t="s">
        <v>143</v>
      </c>
      <c r="B3718" s="46" t="s">
        <v>207</v>
      </c>
      <c r="C3718" s="46" t="s">
        <v>90</v>
      </c>
      <c r="D3718" s="46" t="s">
        <v>178</v>
      </c>
      <c r="E3718" s="46">
        <v>4</v>
      </c>
      <c r="F3718" s="46" t="s">
        <v>62</v>
      </c>
      <c r="G3718" s="46">
        <v>2</v>
      </c>
      <c r="H3718" s="47" t="s">
        <v>83</v>
      </c>
      <c r="I3718" s="47" t="s">
        <v>127</v>
      </c>
      <c r="J3718" s="48">
        <v>3</v>
      </c>
      <c r="K3718" s="48">
        <v>1</v>
      </c>
      <c r="R3718" s="46">
        <f t="shared" si="353"/>
        <v>0</v>
      </c>
      <c r="S3718" s="46">
        <f t="shared" si="354"/>
        <v>0</v>
      </c>
      <c r="T3718" s="46">
        <f t="shared" si="352"/>
        <v>60</v>
      </c>
      <c r="U3718" s="46">
        <f t="shared" si="355"/>
        <v>60</v>
      </c>
      <c r="V3718" s="54">
        <f t="shared" si="356"/>
        <v>52.333333333333336</v>
      </c>
    </row>
    <row r="3719" spans="1:22" x14ac:dyDescent="0.2">
      <c r="A3719" s="46" t="s">
        <v>143</v>
      </c>
      <c r="B3719" s="46" t="s">
        <v>207</v>
      </c>
      <c r="C3719" s="46" t="s">
        <v>90</v>
      </c>
      <c r="D3719" s="46" t="s">
        <v>178</v>
      </c>
      <c r="E3719" s="46">
        <v>5</v>
      </c>
      <c r="F3719" s="46" t="s">
        <v>60</v>
      </c>
      <c r="G3719" s="46">
        <v>1</v>
      </c>
      <c r="H3719" s="47">
        <v>1</v>
      </c>
      <c r="I3719" s="47" t="s">
        <v>101</v>
      </c>
      <c r="J3719" s="48">
        <v>0</v>
      </c>
      <c r="K3719" s="48">
        <v>0</v>
      </c>
      <c r="R3719" s="46">
        <f t="shared" si="353"/>
        <v>0</v>
      </c>
      <c r="S3719" s="46">
        <f t="shared" si="354"/>
        <v>0</v>
      </c>
      <c r="T3719" s="46">
        <f t="shared" si="352"/>
        <v>0</v>
      </c>
      <c r="U3719" s="46">
        <f t="shared" si="355"/>
        <v>0</v>
      </c>
      <c r="V3719" s="54">
        <f t="shared" si="356"/>
        <v>52.333333333333336</v>
      </c>
    </row>
    <row r="3720" spans="1:22" x14ac:dyDescent="0.2">
      <c r="A3720" s="46" t="s">
        <v>143</v>
      </c>
      <c r="B3720" s="46" t="s">
        <v>207</v>
      </c>
      <c r="C3720" s="46" t="s">
        <v>90</v>
      </c>
      <c r="D3720" s="46" t="s">
        <v>178</v>
      </c>
      <c r="E3720" s="46">
        <v>5</v>
      </c>
      <c r="F3720" s="46" t="s">
        <v>60</v>
      </c>
      <c r="G3720" s="46">
        <v>3</v>
      </c>
      <c r="H3720" s="47">
        <v>11</v>
      </c>
      <c r="I3720" s="47" t="s">
        <v>159</v>
      </c>
      <c r="J3720" s="48">
        <v>3</v>
      </c>
      <c r="K3720" s="48">
        <v>1</v>
      </c>
      <c r="R3720" s="46">
        <f t="shared" si="353"/>
        <v>0</v>
      </c>
      <c r="S3720" s="46">
        <f t="shared" si="354"/>
        <v>0</v>
      </c>
      <c r="T3720" s="46">
        <f t="shared" si="352"/>
        <v>60</v>
      </c>
      <c r="U3720" s="46">
        <f t="shared" si="355"/>
        <v>60</v>
      </c>
      <c r="V3720" s="54">
        <f t="shared" si="356"/>
        <v>52.333333333333336</v>
      </c>
    </row>
    <row r="3721" spans="1:22" x14ac:dyDescent="0.2">
      <c r="A3721" s="46" t="s">
        <v>143</v>
      </c>
      <c r="B3721" s="46" t="s">
        <v>207</v>
      </c>
      <c r="C3721" s="46" t="s">
        <v>90</v>
      </c>
      <c r="D3721" s="46" t="s">
        <v>178</v>
      </c>
      <c r="E3721" s="46">
        <v>5</v>
      </c>
      <c r="F3721" s="46" t="s">
        <v>60</v>
      </c>
      <c r="G3721" s="46">
        <v>3</v>
      </c>
      <c r="H3721" s="47">
        <v>19</v>
      </c>
      <c r="I3721" s="47" t="s">
        <v>159</v>
      </c>
      <c r="J3721" s="48">
        <v>2</v>
      </c>
      <c r="K3721" s="48">
        <v>1</v>
      </c>
      <c r="R3721" s="46">
        <f t="shared" si="353"/>
        <v>0</v>
      </c>
      <c r="S3721" s="46">
        <f t="shared" si="354"/>
        <v>0</v>
      </c>
      <c r="T3721" s="46">
        <f t="shared" si="352"/>
        <v>40</v>
      </c>
      <c r="U3721" s="46">
        <f t="shared" si="355"/>
        <v>40</v>
      </c>
      <c r="V3721" s="54">
        <f t="shared" si="356"/>
        <v>52.333333333333336</v>
      </c>
    </row>
    <row r="3722" spans="1:22" x14ac:dyDescent="0.2">
      <c r="A3722" s="46" t="s">
        <v>143</v>
      </c>
      <c r="B3722" s="46" t="s">
        <v>207</v>
      </c>
      <c r="C3722" s="46" t="s">
        <v>90</v>
      </c>
      <c r="D3722" s="46" t="s">
        <v>178</v>
      </c>
      <c r="E3722" s="46">
        <v>5</v>
      </c>
      <c r="F3722" s="46" t="s">
        <v>60</v>
      </c>
      <c r="G3722" s="46">
        <v>4</v>
      </c>
      <c r="H3722" s="47">
        <v>32</v>
      </c>
      <c r="I3722" s="47" t="s">
        <v>102</v>
      </c>
      <c r="J3722" s="48">
        <v>4</v>
      </c>
      <c r="K3722" s="48">
        <v>1</v>
      </c>
      <c r="R3722" s="46">
        <f t="shared" si="353"/>
        <v>1</v>
      </c>
      <c r="S3722" s="46">
        <f t="shared" si="354"/>
        <v>0</v>
      </c>
      <c r="T3722" s="46">
        <f t="shared" si="352"/>
        <v>80</v>
      </c>
      <c r="U3722" s="46">
        <f t="shared" si="355"/>
        <v>80</v>
      </c>
      <c r="V3722" s="54">
        <f t="shared" si="356"/>
        <v>52.333333333333336</v>
      </c>
    </row>
    <row r="3723" spans="1:22" x14ac:dyDescent="0.2">
      <c r="A3723" s="46" t="s">
        <v>143</v>
      </c>
      <c r="B3723" s="46" t="s">
        <v>207</v>
      </c>
      <c r="C3723" s="46" t="s">
        <v>90</v>
      </c>
      <c r="D3723" s="46" t="s">
        <v>178</v>
      </c>
      <c r="E3723" s="46">
        <v>5</v>
      </c>
      <c r="F3723" s="46" t="s">
        <v>60</v>
      </c>
      <c r="G3723" s="46">
        <v>2</v>
      </c>
      <c r="H3723" s="47">
        <v>38</v>
      </c>
      <c r="I3723" s="47" t="s">
        <v>127</v>
      </c>
      <c r="J3723" s="48">
        <v>4</v>
      </c>
      <c r="K3723" s="48">
        <v>0</v>
      </c>
      <c r="R3723" s="46">
        <f t="shared" si="353"/>
        <v>1</v>
      </c>
      <c r="S3723" s="46">
        <f t="shared" si="354"/>
        <v>0</v>
      </c>
      <c r="T3723" s="46">
        <f t="shared" si="352"/>
        <v>90</v>
      </c>
      <c r="U3723" s="46">
        <f t="shared" si="355"/>
        <v>90</v>
      </c>
      <c r="V3723" s="54">
        <f t="shared" si="356"/>
        <v>52.333333333333336</v>
      </c>
    </row>
    <row r="3724" spans="1:22" x14ac:dyDescent="0.2">
      <c r="A3724" s="46" t="s">
        <v>143</v>
      </c>
      <c r="B3724" s="46" t="s">
        <v>207</v>
      </c>
      <c r="C3724" s="46" t="s">
        <v>90</v>
      </c>
      <c r="D3724" s="46" t="s">
        <v>178</v>
      </c>
      <c r="E3724" s="46">
        <v>5</v>
      </c>
      <c r="F3724" s="46" t="s">
        <v>60</v>
      </c>
      <c r="G3724" s="46">
        <v>2</v>
      </c>
      <c r="H3724" s="47">
        <v>46</v>
      </c>
      <c r="I3724" s="47" t="s">
        <v>127</v>
      </c>
      <c r="J3724" s="48">
        <v>4</v>
      </c>
      <c r="K3724" s="48">
        <v>0</v>
      </c>
      <c r="R3724" s="46">
        <f t="shared" si="353"/>
        <v>1</v>
      </c>
      <c r="S3724" s="46">
        <f t="shared" si="354"/>
        <v>0</v>
      </c>
      <c r="T3724" s="46">
        <f t="shared" si="352"/>
        <v>90</v>
      </c>
      <c r="U3724" s="46">
        <f t="shared" si="355"/>
        <v>90</v>
      </c>
      <c r="V3724" s="54">
        <f t="shared" si="356"/>
        <v>52.333333333333336</v>
      </c>
    </row>
    <row r="3725" spans="1:22" x14ac:dyDescent="0.2">
      <c r="A3725" s="46" t="s">
        <v>143</v>
      </c>
      <c r="B3725" s="46" t="s">
        <v>207</v>
      </c>
      <c r="C3725" s="46" t="s">
        <v>90</v>
      </c>
      <c r="D3725" s="46" t="s">
        <v>178</v>
      </c>
      <c r="E3725" s="46">
        <v>5</v>
      </c>
      <c r="F3725" s="46" t="s">
        <v>62</v>
      </c>
      <c r="G3725" s="46">
        <v>3</v>
      </c>
      <c r="H3725" s="47" t="s">
        <v>80</v>
      </c>
      <c r="I3725" s="47" t="s">
        <v>219</v>
      </c>
      <c r="J3725" s="48">
        <v>1</v>
      </c>
      <c r="K3725" s="48">
        <v>2</v>
      </c>
      <c r="R3725" s="46">
        <f t="shared" si="353"/>
        <v>0</v>
      </c>
      <c r="S3725" s="46">
        <f t="shared" si="354"/>
        <v>0</v>
      </c>
      <c r="T3725" s="46">
        <f t="shared" si="352"/>
        <v>10</v>
      </c>
      <c r="U3725" s="46">
        <f t="shared" si="355"/>
        <v>10</v>
      </c>
      <c r="V3725" s="54">
        <f t="shared" si="356"/>
        <v>52.333333333333336</v>
      </c>
    </row>
    <row r="3726" spans="1:22" x14ac:dyDescent="0.2">
      <c r="A3726" s="46" t="s">
        <v>143</v>
      </c>
      <c r="B3726" s="46" t="s">
        <v>207</v>
      </c>
      <c r="C3726" s="46" t="s">
        <v>90</v>
      </c>
      <c r="D3726" s="46" t="s">
        <v>178</v>
      </c>
      <c r="E3726" s="46">
        <v>5</v>
      </c>
      <c r="F3726" s="46" t="s">
        <v>62</v>
      </c>
      <c r="G3726" s="46">
        <v>2</v>
      </c>
      <c r="H3726" s="47" t="s">
        <v>82</v>
      </c>
      <c r="I3726" s="47" t="s">
        <v>127</v>
      </c>
      <c r="J3726" s="48">
        <v>2</v>
      </c>
      <c r="K3726" s="48">
        <v>2</v>
      </c>
      <c r="O3726" s="48">
        <v>1</v>
      </c>
      <c r="R3726" s="46">
        <f t="shared" si="353"/>
        <v>0</v>
      </c>
      <c r="S3726" s="46">
        <f t="shared" si="354"/>
        <v>0</v>
      </c>
      <c r="T3726" s="46">
        <f t="shared" si="352"/>
        <v>30</v>
      </c>
      <c r="U3726" s="46">
        <f t="shared" si="355"/>
        <v>40</v>
      </c>
      <c r="V3726" s="54">
        <f t="shared" si="356"/>
        <v>52.333333333333336</v>
      </c>
    </row>
    <row r="3727" spans="1:22" x14ac:dyDescent="0.2">
      <c r="A3727" s="46" t="s">
        <v>143</v>
      </c>
      <c r="B3727" s="46" t="s">
        <v>207</v>
      </c>
      <c r="C3727" s="46" t="str">
        <f>VLOOKUP(B3727,$B$2:$C$3219,2,FALSE)</f>
        <v>Dallas</v>
      </c>
      <c r="D3727" s="46" t="s">
        <v>178</v>
      </c>
      <c r="E3727" s="46">
        <v>5</v>
      </c>
      <c r="F3727" s="46" t="s">
        <v>62</v>
      </c>
      <c r="G3727" s="46">
        <v>3</v>
      </c>
      <c r="H3727" s="47" t="s">
        <v>83</v>
      </c>
      <c r="I3727" s="47" t="s">
        <v>219</v>
      </c>
      <c r="J3727" s="48">
        <v>1</v>
      </c>
      <c r="K3727" s="48">
        <v>2</v>
      </c>
      <c r="R3727" s="46">
        <f t="shared" si="353"/>
        <v>0</v>
      </c>
      <c r="S3727" s="46">
        <f t="shared" si="354"/>
        <v>0</v>
      </c>
      <c r="U3727" s="46">
        <f t="shared" si="355"/>
        <v>0</v>
      </c>
      <c r="V3727" s="54">
        <f t="shared" si="356"/>
        <v>52.333333333333336</v>
      </c>
    </row>
    <row r="3728" spans="1:22" x14ac:dyDescent="0.2">
      <c r="A3728" s="46" t="s">
        <v>25</v>
      </c>
      <c r="B3728" s="46" t="s">
        <v>57</v>
      </c>
      <c r="C3728" s="46" t="s">
        <v>88</v>
      </c>
      <c r="D3728" s="46" t="s">
        <v>178</v>
      </c>
      <c r="E3728" s="46">
        <v>4</v>
      </c>
      <c r="F3728" s="46" t="s">
        <v>60</v>
      </c>
      <c r="G3728" s="46">
        <v>4</v>
      </c>
      <c r="H3728" s="47">
        <v>12</v>
      </c>
      <c r="I3728" s="47" t="s">
        <v>102</v>
      </c>
      <c r="J3728" s="48">
        <v>0</v>
      </c>
      <c r="K3728" s="48">
        <v>3</v>
      </c>
      <c r="M3728" s="48">
        <v>1</v>
      </c>
      <c r="R3728" s="46">
        <f t="shared" si="353"/>
        <v>0</v>
      </c>
      <c r="S3728" s="46">
        <f t="shared" si="354"/>
        <v>1</v>
      </c>
      <c r="T3728" s="46">
        <f t="shared" ref="T3728:T3791" si="357">quizscore(J3728,K3728)</f>
        <v>-20</v>
      </c>
      <c r="U3728" s="46">
        <f t="shared" si="355"/>
        <v>0</v>
      </c>
      <c r="V3728" s="54">
        <f t="shared" si="356"/>
        <v>58.5</v>
      </c>
    </row>
    <row r="3729" spans="1:22" x14ac:dyDescent="0.2">
      <c r="A3729" s="46" t="s">
        <v>25</v>
      </c>
      <c r="B3729" s="46" t="s">
        <v>57</v>
      </c>
      <c r="C3729" s="46" t="s">
        <v>88</v>
      </c>
      <c r="D3729" s="46" t="s">
        <v>178</v>
      </c>
      <c r="E3729" s="46">
        <v>4</v>
      </c>
      <c r="F3729" s="46" t="s">
        <v>61</v>
      </c>
      <c r="G3729" s="46">
        <v>2</v>
      </c>
      <c r="H3729" s="47" t="s">
        <v>66</v>
      </c>
      <c r="I3729" s="47" t="s">
        <v>127</v>
      </c>
      <c r="J3729" s="48">
        <v>0</v>
      </c>
      <c r="K3729" s="48">
        <v>3</v>
      </c>
      <c r="R3729" s="46">
        <f t="shared" si="353"/>
        <v>0</v>
      </c>
      <c r="S3729" s="46">
        <f t="shared" si="354"/>
        <v>1</v>
      </c>
      <c r="T3729" s="46">
        <f t="shared" si="357"/>
        <v>-20</v>
      </c>
      <c r="U3729" s="46">
        <f t="shared" si="355"/>
        <v>-20</v>
      </c>
      <c r="V3729" s="54">
        <f t="shared" si="356"/>
        <v>58.5</v>
      </c>
    </row>
    <row r="3730" spans="1:22" x14ac:dyDescent="0.2">
      <c r="A3730" s="46" t="s">
        <v>25</v>
      </c>
      <c r="B3730" s="46" t="s">
        <v>57</v>
      </c>
      <c r="C3730" s="46" t="s">
        <v>88</v>
      </c>
      <c r="D3730" s="46" t="s">
        <v>178</v>
      </c>
      <c r="E3730" s="46">
        <v>3</v>
      </c>
      <c r="F3730" s="46" t="s">
        <v>60</v>
      </c>
      <c r="G3730" s="46">
        <v>2</v>
      </c>
      <c r="H3730" s="47">
        <v>34</v>
      </c>
      <c r="I3730" s="47" t="s">
        <v>127</v>
      </c>
      <c r="J3730" s="48">
        <v>1</v>
      </c>
      <c r="K3730" s="48">
        <v>3</v>
      </c>
      <c r="M3730" s="48">
        <v>1</v>
      </c>
      <c r="R3730" s="46">
        <f t="shared" si="353"/>
        <v>0</v>
      </c>
      <c r="S3730" s="46">
        <f t="shared" si="354"/>
        <v>1</v>
      </c>
      <c r="T3730" s="46">
        <f t="shared" si="357"/>
        <v>0</v>
      </c>
      <c r="U3730" s="46">
        <f t="shared" si="355"/>
        <v>20</v>
      </c>
      <c r="V3730" s="54">
        <f t="shared" si="356"/>
        <v>58.5</v>
      </c>
    </row>
    <row r="3731" spans="1:22" x14ac:dyDescent="0.2">
      <c r="A3731" s="46" t="s">
        <v>25</v>
      </c>
      <c r="B3731" s="46" t="s">
        <v>57</v>
      </c>
      <c r="C3731" s="46" t="s">
        <v>88</v>
      </c>
      <c r="D3731" s="46" t="s">
        <v>178</v>
      </c>
      <c r="E3731" s="46">
        <v>3</v>
      </c>
      <c r="F3731" s="46" t="s">
        <v>60</v>
      </c>
      <c r="G3731" s="46">
        <v>2</v>
      </c>
      <c r="H3731" s="47">
        <v>10</v>
      </c>
      <c r="I3731" s="47" t="s">
        <v>127</v>
      </c>
      <c r="J3731" s="48">
        <v>1</v>
      </c>
      <c r="K3731" s="48">
        <v>2</v>
      </c>
      <c r="R3731" s="46">
        <f t="shared" si="353"/>
        <v>0</v>
      </c>
      <c r="S3731" s="46">
        <f t="shared" si="354"/>
        <v>0</v>
      </c>
      <c r="T3731" s="46">
        <f t="shared" si="357"/>
        <v>10</v>
      </c>
      <c r="U3731" s="46">
        <f t="shared" si="355"/>
        <v>10</v>
      </c>
      <c r="V3731" s="54">
        <f t="shared" si="356"/>
        <v>58.5</v>
      </c>
    </row>
    <row r="3732" spans="1:22" x14ac:dyDescent="0.2">
      <c r="A3732" s="46" t="s">
        <v>25</v>
      </c>
      <c r="B3732" s="46" t="s">
        <v>57</v>
      </c>
      <c r="C3732" s="46" t="s">
        <v>88</v>
      </c>
      <c r="D3732" s="46" t="s">
        <v>178</v>
      </c>
      <c r="E3732" s="46">
        <v>2</v>
      </c>
      <c r="F3732" s="46" t="s">
        <v>60</v>
      </c>
      <c r="G3732" s="46">
        <v>3</v>
      </c>
      <c r="H3732" s="47">
        <v>3</v>
      </c>
      <c r="I3732" s="47" t="s">
        <v>116</v>
      </c>
      <c r="J3732" s="48">
        <v>2</v>
      </c>
      <c r="K3732" s="48">
        <v>3</v>
      </c>
      <c r="R3732" s="46">
        <f t="shared" si="353"/>
        <v>0</v>
      </c>
      <c r="S3732" s="46">
        <f t="shared" si="354"/>
        <v>1</v>
      </c>
      <c r="T3732" s="46">
        <f t="shared" si="357"/>
        <v>20</v>
      </c>
      <c r="U3732" s="46">
        <f t="shared" si="355"/>
        <v>20</v>
      </c>
      <c r="V3732" s="54">
        <f t="shared" si="356"/>
        <v>58.5</v>
      </c>
    </row>
    <row r="3733" spans="1:22" x14ac:dyDescent="0.2">
      <c r="A3733" s="46" t="s">
        <v>25</v>
      </c>
      <c r="B3733" s="46" t="s">
        <v>57</v>
      </c>
      <c r="C3733" s="46" t="s">
        <v>88</v>
      </c>
      <c r="D3733" s="46" t="s">
        <v>178</v>
      </c>
      <c r="E3733" s="46">
        <v>4</v>
      </c>
      <c r="F3733" s="46" t="s">
        <v>60</v>
      </c>
      <c r="G3733" s="46">
        <v>3</v>
      </c>
      <c r="H3733" s="47">
        <v>35</v>
      </c>
      <c r="I3733" s="47" t="s">
        <v>159</v>
      </c>
      <c r="J3733" s="48">
        <v>2</v>
      </c>
      <c r="K3733" s="48">
        <v>3</v>
      </c>
      <c r="R3733" s="46">
        <f t="shared" si="353"/>
        <v>0</v>
      </c>
      <c r="S3733" s="46">
        <f t="shared" si="354"/>
        <v>1</v>
      </c>
      <c r="T3733" s="46">
        <f t="shared" si="357"/>
        <v>20</v>
      </c>
      <c r="U3733" s="46">
        <f t="shared" si="355"/>
        <v>20</v>
      </c>
      <c r="V3733" s="54">
        <f t="shared" si="356"/>
        <v>58.5</v>
      </c>
    </row>
    <row r="3734" spans="1:22" x14ac:dyDescent="0.2">
      <c r="A3734" s="46" t="s">
        <v>25</v>
      </c>
      <c r="B3734" s="46" t="s">
        <v>57</v>
      </c>
      <c r="C3734" s="46" t="s">
        <v>88</v>
      </c>
      <c r="D3734" s="46" t="s">
        <v>178</v>
      </c>
      <c r="E3734" s="46">
        <v>2</v>
      </c>
      <c r="F3734" s="46" t="s">
        <v>60</v>
      </c>
      <c r="G3734" s="46">
        <v>1</v>
      </c>
      <c r="H3734" s="47">
        <v>49</v>
      </c>
      <c r="I3734" s="47" t="s">
        <v>101</v>
      </c>
      <c r="J3734" s="48">
        <v>2</v>
      </c>
      <c r="K3734" s="48">
        <v>3</v>
      </c>
      <c r="R3734" s="46">
        <f t="shared" si="353"/>
        <v>0</v>
      </c>
      <c r="S3734" s="46">
        <f t="shared" si="354"/>
        <v>1</v>
      </c>
      <c r="T3734" s="46">
        <f t="shared" si="357"/>
        <v>20</v>
      </c>
      <c r="U3734" s="46">
        <f t="shared" si="355"/>
        <v>20</v>
      </c>
      <c r="V3734" s="54">
        <f t="shared" si="356"/>
        <v>58.5</v>
      </c>
    </row>
    <row r="3735" spans="1:22" x14ac:dyDescent="0.2">
      <c r="A3735" s="46" t="s">
        <v>25</v>
      </c>
      <c r="B3735" s="46" t="s">
        <v>57</v>
      </c>
      <c r="C3735" s="46" t="s">
        <v>88</v>
      </c>
      <c r="D3735" s="46" t="s">
        <v>178</v>
      </c>
      <c r="E3735" s="46">
        <v>2</v>
      </c>
      <c r="F3735" s="46" t="s">
        <v>62</v>
      </c>
      <c r="G3735" s="46">
        <v>2</v>
      </c>
      <c r="H3735" s="47" t="s">
        <v>82</v>
      </c>
      <c r="I3735" s="47" t="s">
        <v>127</v>
      </c>
      <c r="J3735" s="48">
        <v>2</v>
      </c>
      <c r="K3735" s="48">
        <v>3</v>
      </c>
      <c r="M3735" s="48">
        <v>1</v>
      </c>
      <c r="R3735" s="46">
        <f t="shared" si="353"/>
        <v>0</v>
      </c>
      <c r="S3735" s="46">
        <f t="shared" si="354"/>
        <v>1</v>
      </c>
      <c r="T3735" s="46">
        <f t="shared" si="357"/>
        <v>20</v>
      </c>
      <c r="U3735" s="46">
        <f t="shared" si="355"/>
        <v>40</v>
      </c>
      <c r="V3735" s="54">
        <f t="shared" si="356"/>
        <v>58.5</v>
      </c>
    </row>
    <row r="3736" spans="1:22" x14ac:dyDescent="0.2">
      <c r="A3736" s="46" t="s">
        <v>25</v>
      </c>
      <c r="B3736" s="46" t="s">
        <v>57</v>
      </c>
      <c r="C3736" s="46" t="s">
        <v>88</v>
      </c>
      <c r="D3736" s="46" t="s">
        <v>178</v>
      </c>
      <c r="E3736" s="46">
        <v>1</v>
      </c>
      <c r="F3736" s="46" t="s">
        <v>61</v>
      </c>
      <c r="G3736" s="46">
        <v>1</v>
      </c>
      <c r="H3736" s="47" t="s">
        <v>71</v>
      </c>
      <c r="I3736" s="47" t="s">
        <v>101</v>
      </c>
      <c r="J3736" s="48">
        <v>1</v>
      </c>
      <c r="K3736" s="48">
        <v>1</v>
      </c>
      <c r="N3736" s="48">
        <v>1</v>
      </c>
      <c r="R3736" s="46">
        <f t="shared" si="353"/>
        <v>0</v>
      </c>
      <c r="S3736" s="46">
        <f t="shared" si="354"/>
        <v>0</v>
      </c>
      <c r="T3736" s="46">
        <f t="shared" si="357"/>
        <v>20</v>
      </c>
      <c r="U3736" s="46">
        <f t="shared" si="355"/>
        <v>15</v>
      </c>
      <c r="V3736" s="54">
        <f t="shared" si="356"/>
        <v>58.5</v>
      </c>
    </row>
    <row r="3737" spans="1:22" x14ac:dyDescent="0.2">
      <c r="A3737" s="46" t="s">
        <v>25</v>
      </c>
      <c r="B3737" s="46" t="s">
        <v>57</v>
      </c>
      <c r="C3737" s="46" t="s">
        <v>88</v>
      </c>
      <c r="D3737" s="46" t="s">
        <v>178</v>
      </c>
      <c r="E3737" s="46">
        <v>3</v>
      </c>
      <c r="F3737" s="46" t="s">
        <v>60</v>
      </c>
      <c r="G3737" s="46">
        <v>4</v>
      </c>
      <c r="H3737" s="47">
        <v>28</v>
      </c>
      <c r="I3737" s="47" t="s">
        <v>102</v>
      </c>
      <c r="J3737" s="48">
        <v>3</v>
      </c>
      <c r="K3737" s="48">
        <v>3</v>
      </c>
      <c r="R3737" s="46">
        <f t="shared" si="353"/>
        <v>0</v>
      </c>
      <c r="S3737" s="46">
        <f t="shared" si="354"/>
        <v>1</v>
      </c>
      <c r="T3737" s="46">
        <f t="shared" si="357"/>
        <v>40</v>
      </c>
      <c r="U3737" s="46">
        <f t="shared" si="355"/>
        <v>40</v>
      </c>
      <c r="V3737" s="54">
        <f t="shared" si="356"/>
        <v>58.5</v>
      </c>
    </row>
    <row r="3738" spans="1:22" x14ac:dyDescent="0.2">
      <c r="A3738" s="46" t="s">
        <v>25</v>
      </c>
      <c r="B3738" s="46" t="s">
        <v>57</v>
      </c>
      <c r="C3738" s="46" t="s">
        <v>88</v>
      </c>
      <c r="D3738" s="46" t="s">
        <v>178</v>
      </c>
      <c r="E3738" s="46">
        <v>1</v>
      </c>
      <c r="F3738" s="46" t="s">
        <v>60</v>
      </c>
      <c r="G3738" s="46">
        <v>1</v>
      </c>
      <c r="H3738" s="47">
        <v>41</v>
      </c>
      <c r="I3738" s="47" t="s">
        <v>101</v>
      </c>
      <c r="J3738" s="48">
        <v>3</v>
      </c>
      <c r="K3738" s="48">
        <v>3</v>
      </c>
      <c r="R3738" s="46">
        <f t="shared" si="353"/>
        <v>0</v>
      </c>
      <c r="S3738" s="46">
        <f t="shared" si="354"/>
        <v>1</v>
      </c>
      <c r="T3738" s="46">
        <f t="shared" si="357"/>
        <v>40</v>
      </c>
      <c r="U3738" s="46">
        <f t="shared" si="355"/>
        <v>40</v>
      </c>
      <c r="V3738" s="54">
        <f t="shared" si="356"/>
        <v>58.5</v>
      </c>
    </row>
    <row r="3739" spans="1:22" x14ac:dyDescent="0.2">
      <c r="A3739" s="46" t="s">
        <v>25</v>
      </c>
      <c r="B3739" s="46" t="s">
        <v>57</v>
      </c>
      <c r="C3739" s="46" t="s">
        <v>88</v>
      </c>
      <c r="D3739" s="46" t="s">
        <v>178</v>
      </c>
      <c r="E3739" s="46">
        <v>2</v>
      </c>
      <c r="F3739" s="46" t="s">
        <v>60</v>
      </c>
      <c r="G3739" s="46">
        <v>2</v>
      </c>
      <c r="H3739" s="47">
        <v>42</v>
      </c>
      <c r="I3739" s="47" t="s">
        <v>127</v>
      </c>
      <c r="J3739" s="48">
        <v>2</v>
      </c>
      <c r="K3739" s="48">
        <v>1</v>
      </c>
      <c r="M3739" s="48">
        <v>1</v>
      </c>
      <c r="R3739" s="46">
        <f t="shared" si="353"/>
        <v>0</v>
      </c>
      <c r="S3739" s="46">
        <f t="shared" si="354"/>
        <v>0</v>
      </c>
      <c r="T3739" s="46">
        <f t="shared" si="357"/>
        <v>40</v>
      </c>
      <c r="U3739" s="46">
        <f t="shared" si="355"/>
        <v>60</v>
      </c>
      <c r="V3739" s="54">
        <f t="shared" si="356"/>
        <v>58.5</v>
      </c>
    </row>
    <row r="3740" spans="1:22" x14ac:dyDescent="0.2">
      <c r="A3740" s="46" t="s">
        <v>25</v>
      </c>
      <c r="B3740" s="46" t="s">
        <v>57</v>
      </c>
      <c r="C3740" s="46" t="s">
        <v>88</v>
      </c>
      <c r="D3740" s="46" t="s">
        <v>178</v>
      </c>
      <c r="E3740" s="46">
        <v>4</v>
      </c>
      <c r="F3740" s="46" t="s">
        <v>61</v>
      </c>
      <c r="G3740" s="46">
        <v>1</v>
      </c>
      <c r="H3740" s="47" t="s">
        <v>74</v>
      </c>
      <c r="I3740" s="47" t="s">
        <v>101</v>
      </c>
      <c r="J3740" s="48">
        <v>2</v>
      </c>
      <c r="K3740" s="48">
        <v>1</v>
      </c>
      <c r="M3740" s="48">
        <v>1</v>
      </c>
      <c r="R3740" s="46">
        <f t="shared" si="353"/>
        <v>0</v>
      </c>
      <c r="S3740" s="46">
        <f t="shared" si="354"/>
        <v>0</v>
      </c>
      <c r="T3740" s="46">
        <f t="shared" si="357"/>
        <v>40</v>
      </c>
      <c r="U3740" s="46">
        <f t="shared" si="355"/>
        <v>60</v>
      </c>
      <c r="V3740" s="54">
        <f t="shared" si="356"/>
        <v>58.5</v>
      </c>
    </row>
    <row r="3741" spans="1:22" x14ac:dyDescent="0.2">
      <c r="A3741" s="46" t="s">
        <v>25</v>
      </c>
      <c r="B3741" s="46" t="s">
        <v>57</v>
      </c>
      <c r="C3741" s="46" t="s">
        <v>88</v>
      </c>
      <c r="D3741" s="46" t="s">
        <v>178</v>
      </c>
      <c r="E3741" s="46">
        <v>3</v>
      </c>
      <c r="F3741" s="46" t="s">
        <v>61</v>
      </c>
      <c r="G3741" s="46">
        <v>1</v>
      </c>
      <c r="H3741" s="47" t="s">
        <v>75</v>
      </c>
      <c r="I3741" s="47" t="s">
        <v>101</v>
      </c>
      <c r="J3741" s="48">
        <v>2</v>
      </c>
      <c r="K3741" s="48">
        <v>1</v>
      </c>
      <c r="R3741" s="46">
        <f t="shared" si="353"/>
        <v>0</v>
      </c>
      <c r="S3741" s="46">
        <f t="shared" si="354"/>
        <v>0</v>
      </c>
      <c r="T3741" s="46">
        <f t="shared" si="357"/>
        <v>40</v>
      </c>
      <c r="U3741" s="46">
        <f t="shared" si="355"/>
        <v>40</v>
      </c>
      <c r="V3741" s="54">
        <f t="shared" si="356"/>
        <v>58.5</v>
      </c>
    </row>
    <row r="3742" spans="1:22" x14ac:dyDescent="0.2">
      <c r="A3742" s="46" t="s">
        <v>25</v>
      </c>
      <c r="B3742" s="46" t="s">
        <v>57</v>
      </c>
      <c r="C3742" s="46" t="s">
        <v>88</v>
      </c>
      <c r="D3742" s="46" t="s">
        <v>178</v>
      </c>
      <c r="E3742" s="46">
        <v>4</v>
      </c>
      <c r="F3742" s="46" t="s">
        <v>61</v>
      </c>
      <c r="G3742" s="46">
        <v>1</v>
      </c>
      <c r="H3742" s="47" t="s">
        <v>68</v>
      </c>
      <c r="I3742" s="47" t="s">
        <v>101</v>
      </c>
      <c r="J3742" s="48">
        <v>3</v>
      </c>
      <c r="K3742" s="48">
        <v>3</v>
      </c>
      <c r="R3742" s="46">
        <f t="shared" si="353"/>
        <v>0</v>
      </c>
      <c r="S3742" s="46">
        <f t="shared" si="354"/>
        <v>1</v>
      </c>
      <c r="T3742" s="46">
        <f t="shared" si="357"/>
        <v>40</v>
      </c>
      <c r="U3742" s="46">
        <f t="shared" si="355"/>
        <v>40</v>
      </c>
      <c r="V3742" s="54">
        <f t="shared" si="356"/>
        <v>58.5</v>
      </c>
    </row>
    <row r="3743" spans="1:22" x14ac:dyDescent="0.2">
      <c r="A3743" s="46" t="s">
        <v>25</v>
      </c>
      <c r="B3743" s="46" t="s">
        <v>57</v>
      </c>
      <c r="C3743" s="46" t="s">
        <v>88</v>
      </c>
      <c r="D3743" s="46" t="s">
        <v>178</v>
      </c>
      <c r="E3743" s="46">
        <v>3</v>
      </c>
      <c r="F3743" s="46" t="s">
        <v>61</v>
      </c>
      <c r="G3743" s="46">
        <v>1</v>
      </c>
      <c r="H3743" s="47" t="s">
        <v>67</v>
      </c>
      <c r="I3743" s="47" t="s">
        <v>101</v>
      </c>
      <c r="J3743" s="48">
        <v>3</v>
      </c>
      <c r="K3743" s="48">
        <v>2</v>
      </c>
      <c r="N3743" s="48">
        <v>1</v>
      </c>
      <c r="R3743" s="46">
        <f t="shared" si="353"/>
        <v>0</v>
      </c>
      <c r="S3743" s="46">
        <f t="shared" si="354"/>
        <v>0</v>
      </c>
      <c r="T3743" s="46">
        <f t="shared" si="357"/>
        <v>50</v>
      </c>
      <c r="U3743" s="46">
        <f t="shared" si="355"/>
        <v>45</v>
      </c>
      <c r="V3743" s="54">
        <f t="shared" si="356"/>
        <v>58.5</v>
      </c>
    </row>
    <row r="3744" spans="1:22" x14ac:dyDescent="0.2">
      <c r="A3744" s="46" t="s">
        <v>25</v>
      </c>
      <c r="B3744" s="46" t="s">
        <v>57</v>
      </c>
      <c r="C3744" s="46" t="s">
        <v>88</v>
      </c>
      <c r="D3744" s="46" t="s">
        <v>178</v>
      </c>
      <c r="E3744" s="46">
        <v>1</v>
      </c>
      <c r="F3744" s="46" t="s">
        <v>61</v>
      </c>
      <c r="G3744" s="46">
        <v>2</v>
      </c>
      <c r="H3744" s="47" t="s">
        <v>76</v>
      </c>
      <c r="I3744" s="47" t="s">
        <v>127</v>
      </c>
      <c r="J3744" s="48">
        <v>3</v>
      </c>
      <c r="K3744" s="48">
        <v>2</v>
      </c>
      <c r="R3744" s="46">
        <f t="shared" si="353"/>
        <v>0</v>
      </c>
      <c r="S3744" s="46">
        <f t="shared" si="354"/>
        <v>0</v>
      </c>
      <c r="T3744" s="46">
        <f t="shared" si="357"/>
        <v>50</v>
      </c>
      <c r="U3744" s="46">
        <f t="shared" si="355"/>
        <v>50</v>
      </c>
      <c r="V3744" s="54">
        <f t="shared" si="356"/>
        <v>58.5</v>
      </c>
    </row>
    <row r="3745" spans="1:22" x14ac:dyDescent="0.2">
      <c r="A3745" s="46" t="s">
        <v>25</v>
      </c>
      <c r="B3745" s="46" t="s">
        <v>57</v>
      </c>
      <c r="C3745" s="46" t="s">
        <v>88</v>
      </c>
      <c r="D3745" s="46" t="s">
        <v>178</v>
      </c>
      <c r="E3745" s="46">
        <v>3</v>
      </c>
      <c r="F3745" s="46" t="s">
        <v>61</v>
      </c>
      <c r="G3745" s="46">
        <v>1</v>
      </c>
      <c r="H3745" s="47" t="s">
        <v>69</v>
      </c>
      <c r="I3745" s="47" t="s">
        <v>101</v>
      </c>
      <c r="J3745" s="48">
        <v>3</v>
      </c>
      <c r="K3745" s="48">
        <v>2</v>
      </c>
      <c r="R3745" s="46">
        <f t="shared" si="353"/>
        <v>0</v>
      </c>
      <c r="S3745" s="46">
        <f t="shared" si="354"/>
        <v>0</v>
      </c>
      <c r="T3745" s="46">
        <f t="shared" si="357"/>
        <v>50</v>
      </c>
      <c r="U3745" s="46">
        <f t="shared" si="355"/>
        <v>50</v>
      </c>
      <c r="V3745" s="54">
        <f t="shared" si="356"/>
        <v>58.5</v>
      </c>
    </row>
    <row r="3746" spans="1:22" x14ac:dyDescent="0.2">
      <c r="A3746" s="46" t="s">
        <v>25</v>
      </c>
      <c r="B3746" s="46" t="s">
        <v>57</v>
      </c>
      <c r="C3746" s="46" t="s">
        <v>88</v>
      </c>
      <c r="D3746" s="46" t="s">
        <v>178</v>
      </c>
      <c r="E3746" s="46">
        <v>2</v>
      </c>
      <c r="F3746" s="46" t="s">
        <v>60</v>
      </c>
      <c r="G3746" s="46">
        <v>1</v>
      </c>
      <c r="H3746" s="47">
        <v>21</v>
      </c>
      <c r="I3746" s="47" t="s">
        <v>101</v>
      </c>
      <c r="J3746" s="48">
        <v>3</v>
      </c>
      <c r="K3746" s="48">
        <v>1</v>
      </c>
      <c r="R3746" s="46">
        <f t="shared" si="353"/>
        <v>0</v>
      </c>
      <c r="S3746" s="46">
        <f t="shared" si="354"/>
        <v>0</v>
      </c>
      <c r="T3746" s="46">
        <f t="shared" si="357"/>
        <v>60</v>
      </c>
      <c r="U3746" s="46">
        <f t="shared" si="355"/>
        <v>60</v>
      </c>
      <c r="V3746" s="54">
        <f t="shared" si="356"/>
        <v>58.5</v>
      </c>
    </row>
    <row r="3747" spans="1:22" x14ac:dyDescent="0.2">
      <c r="A3747" s="46" t="s">
        <v>25</v>
      </c>
      <c r="B3747" s="46" t="s">
        <v>57</v>
      </c>
      <c r="C3747" s="46" t="s">
        <v>88</v>
      </c>
      <c r="D3747" s="46" t="s">
        <v>178</v>
      </c>
      <c r="E3747" s="46">
        <v>3</v>
      </c>
      <c r="F3747" s="46" t="s">
        <v>61</v>
      </c>
      <c r="G3747" s="46">
        <v>1</v>
      </c>
      <c r="H3747" s="47" t="s">
        <v>71</v>
      </c>
      <c r="I3747" s="47" t="s">
        <v>101</v>
      </c>
      <c r="J3747" s="48">
        <v>3</v>
      </c>
      <c r="K3747" s="48">
        <v>1</v>
      </c>
      <c r="M3747" s="48">
        <v>1</v>
      </c>
      <c r="R3747" s="46">
        <f t="shared" si="353"/>
        <v>0</v>
      </c>
      <c r="S3747" s="46">
        <f t="shared" si="354"/>
        <v>0</v>
      </c>
      <c r="T3747" s="46">
        <f t="shared" si="357"/>
        <v>60</v>
      </c>
      <c r="U3747" s="46">
        <f t="shared" si="355"/>
        <v>80</v>
      </c>
      <c r="V3747" s="54">
        <f t="shared" si="356"/>
        <v>58.5</v>
      </c>
    </row>
    <row r="3748" spans="1:22" x14ac:dyDescent="0.2">
      <c r="A3748" s="46" t="s">
        <v>25</v>
      </c>
      <c r="B3748" s="46" t="s">
        <v>57</v>
      </c>
      <c r="C3748" s="46" t="s">
        <v>88</v>
      </c>
      <c r="D3748" s="46" t="s">
        <v>178</v>
      </c>
      <c r="E3748" s="46">
        <v>2</v>
      </c>
      <c r="F3748" s="46" t="s">
        <v>60</v>
      </c>
      <c r="G3748" s="46">
        <v>3</v>
      </c>
      <c r="H3748" s="47">
        <v>11</v>
      </c>
      <c r="I3748" s="47" t="s">
        <v>116</v>
      </c>
      <c r="J3748" s="48">
        <v>4</v>
      </c>
      <c r="K3748" s="48">
        <v>2</v>
      </c>
      <c r="R3748" s="46">
        <f t="shared" si="353"/>
        <v>1</v>
      </c>
      <c r="S3748" s="46">
        <f t="shared" si="354"/>
        <v>0</v>
      </c>
      <c r="T3748" s="46">
        <f t="shared" si="357"/>
        <v>70</v>
      </c>
      <c r="U3748" s="46">
        <f t="shared" si="355"/>
        <v>70</v>
      </c>
      <c r="V3748" s="54">
        <f t="shared" si="356"/>
        <v>58.5</v>
      </c>
    </row>
    <row r="3749" spans="1:22" x14ac:dyDescent="0.2">
      <c r="A3749" s="46" t="s">
        <v>25</v>
      </c>
      <c r="B3749" s="46" t="s">
        <v>57</v>
      </c>
      <c r="C3749" s="46" t="s">
        <v>88</v>
      </c>
      <c r="D3749" s="46" t="s">
        <v>178</v>
      </c>
      <c r="E3749" s="46">
        <v>1</v>
      </c>
      <c r="F3749" s="46" t="s">
        <v>60</v>
      </c>
      <c r="G3749" s="46">
        <v>2</v>
      </c>
      <c r="H3749" s="47">
        <v>14</v>
      </c>
      <c r="I3749" s="47" t="s">
        <v>127</v>
      </c>
      <c r="J3749" s="48">
        <v>4</v>
      </c>
      <c r="K3749" s="48">
        <v>2</v>
      </c>
      <c r="R3749" s="46">
        <f t="shared" si="353"/>
        <v>1</v>
      </c>
      <c r="S3749" s="46">
        <f t="shared" si="354"/>
        <v>0</v>
      </c>
      <c r="T3749" s="46">
        <f t="shared" si="357"/>
        <v>70</v>
      </c>
      <c r="U3749" s="46">
        <f t="shared" si="355"/>
        <v>70</v>
      </c>
      <c r="V3749" s="54">
        <f t="shared" si="356"/>
        <v>58.5</v>
      </c>
    </row>
    <row r="3750" spans="1:22" x14ac:dyDescent="0.2">
      <c r="A3750" s="46" t="s">
        <v>25</v>
      </c>
      <c r="B3750" s="46" t="s">
        <v>57</v>
      </c>
      <c r="C3750" s="46" t="s">
        <v>88</v>
      </c>
      <c r="D3750" s="46" t="s">
        <v>178</v>
      </c>
      <c r="E3750" s="46">
        <v>3</v>
      </c>
      <c r="F3750" s="46" t="s">
        <v>60</v>
      </c>
      <c r="G3750" s="46">
        <v>3</v>
      </c>
      <c r="H3750" s="47">
        <v>19</v>
      </c>
      <c r="I3750" s="47" t="s">
        <v>116</v>
      </c>
      <c r="J3750" s="48">
        <v>4</v>
      </c>
      <c r="K3750" s="48">
        <v>2</v>
      </c>
      <c r="R3750" s="46">
        <f t="shared" si="353"/>
        <v>1</v>
      </c>
      <c r="S3750" s="46">
        <f t="shared" si="354"/>
        <v>0</v>
      </c>
      <c r="T3750" s="46">
        <f t="shared" si="357"/>
        <v>70</v>
      </c>
      <c r="U3750" s="46">
        <f t="shared" si="355"/>
        <v>70</v>
      </c>
      <c r="V3750" s="54">
        <f t="shared" si="356"/>
        <v>58.5</v>
      </c>
    </row>
    <row r="3751" spans="1:22" x14ac:dyDescent="0.2">
      <c r="A3751" s="46" t="s">
        <v>25</v>
      </c>
      <c r="B3751" s="46" t="s">
        <v>57</v>
      </c>
      <c r="C3751" s="46" t="s">
        <v>88</v>
      </c>
      <c r="D3751" s="46" t="s">
        <v>178</v>
      </c>
      <c r="E3751" s="46">
        <v>4</v>
      </c>
      <c r="F3751" s="46" t="s">
        <v>60</v>
      </c>
      <c r="G3751" s="46">
        <v>1</v>
      </c>
      <c r="H3751" s="47">
        <v>25</v>
      </c>
      <c r="I3751" s="47" t="s">
        <v>101</v>
      </c>
      <c r="J3751" s="48">
        <v>4</v>
      </c>
      <c r="K3751" s="48">
        <v>2</v>
      </c>
      <c r="R3751" s="46">
        <f t="shared" si="353"/>
        <v>1</v>
      </c>
      <c r="S3751" s="46">
        <f t="shared" si="354"/>
        <v>0</v>
      </c>
      <c r="T3751" s="46">
        <f t="shared" si="357"/>
        <v>70</v>
      </c>
      <c r="U3751" s="46">
        <f t="shared" si="355"/>
        <v>70</v>
      </c>
      <c r="V3751" s="54">
        <f t="shared" si="356"/>
        <v>58.5</v>
      </c>
    </row>
    <row r="3752" spans="1:22" x14ac:dyDescent="0.2">
      <c r="A3752" s="46" t="s">
        <v>25</v>
      </c>
      <c r="B3752" s="46" t="s">
        <v>57</v>
      </c>
      <c r="C3752" s="46" t="s">
        <v>88</v>
      </c>
      <c r="D3752" s="46" t="s">
        <v>178</v>
      </c>
      <c r="E3752" s="46">
        <v>1</v>
      </c>
      <c r="F3752" s="46" t="s">
        <v>60</v>
      </c>
      <c r="G3752" s="46">
        <v>2</v>
      </c>
      <c r="H3752" s="47">
        <v>50</v>
      </c>
      <c r="I3752" s="47" t="s">
        <v>127</v>
      </c>
      <c r="J3752" s="48">
        <v>4</v>
      </c>
      <c r="K3752" s="48">
        <v>2</v>
      </c>
      <c r="M3752" s="48">
        <v>1</v>
      </c>
      <c r="R3752" s="46">
        <f t="shared" si="353"/>
        <v>1</v>
      </c>
      <c r="S3752" s="46">
        <f t="shared" si="354"/>
        <v>0</v>
      </c>
      <c r="T3752" s="46">
        <f t="shared" si="357"/>
        <v>70</v>
      </c>
      <c r="U3752" s="46">
        <f t="shared" si="355"/>
        <v>90</v>
      </c>
      <c r="V3752" s="54">
        <f t="shared" si="356"/>
        <v>58.5</v>
      </c>
    </row>
    <row r="3753" spans="1:22" x14ac:dyDescent="0.2">
      <c r="A3753" s="46" t="s">
        <v>25</v>
      </c>
      <c r="B3753" s="46" t="s">
        <v>57</v>
      </c>
      <c r="C3753" s="46" t="s">
        <v>88</v>
      </c>
      <c r="D3753" s="46" t="s">
        <v>178</v>
      </c>
      <c r="E3753" s="46">
        <v>1</v>
      </c>
      <c r="F3753" s="46" t="s">
        <v>61</v>
      </c>
      <c r="G3753" s="46">
        <v>1</v>
      </c>
      <c r="H3753" s="47" t="s">
        <v>74</v>
      </c>
      <c r="I3753" s="47" t="s">
        <v>101</v>
      </c>
      <c r="J3753" s="48">
        <v>4</v>
      </c>
      <c r="K3753" s="48">
        <v>2</v>
      </c>
      <c r="R3753" s="46">
        <f t="shared" si="353"/>
        <v>1</v>
      </c>
      <c r="S3753" s="46">
        <f t="shared" si="354"/>
        <v>0</v>
      </c>
      <c r="T3753" s="46">
        <f t="shared" si="357"/>
        <v>70</v>
      </c>
      <c r="U3753" s="46">
        <f t="shared" si="355"/>
        <v>70</v>
      </c>
      <c r="V3753" s="54">
        <f t="shared" si="356"/>
        <v>58.5</v>
      </c>
    </row>
    <row r="3754" spans="1:22" x14ac:dyDescent="0.2">
      <c r="A3754" s="46" t="s">
        <v>25</v>
      </c>
      <c r="B3754" s="46" t="s">
        <v>57</v>
      </c>
      <c r="C3754" s="46" t="s">
        <v>88</v>
      </c>
      <c r="D3754" s="46" t="s">
        <v>178</v>
      </c>
      <c r="E3754" s="46">
        <v>1</v>
      </c>
      <c r="F3754" s="46" t="s">
        <v>61</v>
      </c>
      <c r="G3754" s="46">
        <v>2</v>
      </c>
      <c r="H3754" s="47" t="s">
        <v>66</v>
      </c>
      <c r="I3754" s="47" t="s">
        <v>127</v>
      </c>
      <c r="J3754" s="48">
        <v>4</v>
      </c>
      <c r="K3754" s="48">
        <v>2</v>
      </c>
      <c r="M3754" s="48">
        <v>1</v>
      </c>
      <c r="R3754" s="46">
        <f t="shared" si="353"/>
        <v>1</v>
      </c>
      <c r="S3754" s="46">
        <f t="shared" si="354"/>
        <v>0</v>
      </c>
      <c r="T3754" s="46">
        <f t="shared" si="357"/>
        <v>70</v>
      </c>
      <c r="U3754" s="46">
        <f t="shared" si="355"/>
        <v>90</v>
      </c>
      <c r="V3754" s="54">
        <f t="shared" si="356"/>
        <v>58.5</v>
      </c>
    </row>
    <row r="3755" spans="1:22" x14ac:dyDescent="0.2">
      <c r="A3755" s="46" t="s">
        <v>25</v>
      </c>
      <c r="B3755" s="46" t="s">
        <v>57</v>
      </c>
      <c r="C3755" s="46" t="s">
        <v>88</v>
      </c>
      <c r="D3755" s="46" t="s">
        <v>178</v>
      </c>
      <c r="E3755" s="46">
        <v>4</v>
      </c>
      <c r="F3755" s="46" t="s">
        <v>60</v>
      </c>
      <c r="G3755" s="46">
        <v>3</v>
      </c>
      <c r="H3755" s="47">
        <v>3</v>
      </c>
      <c r="I3755" s="47" t="s">
        <v>159</v>
      </c>
      <c r="J3755" s="48">
        <v>4</v>
      </c>
      <c r="K3755" s="48">
        <v>1</v>
      </c>
      <c r="R3755" s="46">
        <f t="shared" si="353"/>
        <v>1</v>
      </c>
      <c r="S3755" s="46">
        <f t="shared" si="354"/>
        <v>0</v>
      </c>
      <c r="T3755" s="46">
        <f t="shared" si="357"/>
        <v>80</v>
      </c>
      <c r="U3755" s="46">
        <f t="shared" si="355"/>
        <v>80</v>
      </c>
      <c r="V3755" s="54">
        <f t="shared" si="356"/>
        <v>58.5</v>
      </c>
    </row>
    <row r="3756" spans="1:22" x14ac:dyDescent="0.2">
      <c r="A3756" s="46" t="s">
        <v>25</v>
      </c>
      <c r="B3756" s="46" t="s">
        <v>57</v>
      </c>
      <c r="C3756" s="46" t="s">
        <v>88</v>
      </c>
      <c r="D3756" s="46" t="s">
        <v>178</v>
      </c>
      <c r="E3756" s="46">
        <v>2</v>
      </c>
      <c r="F3756" s="46" t="s">
        <v>60</v>
      </c>
      <c r="G3756" s="46">
        <v>4</v>
      </c>
      <c r="H3756" s="47">
        <v>36</v>
      </c>
      <c r="I3756" s="47" t="s">
        <v>102</v>
      </c>
      <c r="J3756" s="48">
        <v>4</v>
      </c>
      <c r="K3756" s="48">
        <v>1</v>
      </c>
      <c r="N3756" s="48">
        <v>1</v>
      </c>
      <c r="R3756" s="46">
        <f t="shared" si="353"/>
        <v>1</v>
      </c>
      <c r="S3756" s="46">
        <f t="shared" si="354"/>
        <v>0</v>
      </c>
      <c r="T3756" s="46">
        <f t="shared" si="357"/>
        <v>80</v>
      </c>
      <c r="U3756" s="46">
        <f t="shared" si="355"/>
        <v>75</v>
      </c>
      <c r="V3756" s="54">
        <f t="shared" si="356"/>
        <v>58.5</v>
      </c>
    </row>
    <row r="3757" spans="1:22" x14ac:dyDescent="0.2">
      <c r="A3757" s="46" t="s">
        <v>25</v>
      </c>
      <c r="B3757" s="46" t="s">
        <v>57</v>
      </c>
      <c r="C3757" s="46" t="s">
        <v>88</v>
      </c>
      <c r="D3757" s="46" t="s">
        <v>178</v>
      </c>
      <c r="E3757" s="46">
        <v>4</v>
      </c>
      <c r="F3757" s="46" t="s">
        <v>60</v>
      </c>
      <c r="G3757" s="46">
        <v>2</v>
      </c>
      <c r="H3757" s="47">
        <v>42</v>
      </c>
      <c r="I3757" s="47" t="s">
        <v>127</v>
      </c>
      <c r="J3757" s="48">
        <v>4</v>
      </c>
      <c r="K3757" s="48">
        <v>1</v>
      </c>
      <c r="R3757" s="46">
        <f t="shared" si="353"/>
        <v>1</v>
      </c>
      <c r="S3757" s="46">
        <f t="shared" si="354"/>
        <v>0</v>
      </c>
      <c r="T3757" s="46">
        <f t="shared" si="357"/>
        <v>80</v>
      </c>
      <c r="U3757" s="46">
        <f t="shared" si="355"/>
        <v>80</v>
      </c>
      <c r="V3757" s="54">
        <f t="shared" si="356"/>
        <v>58.5</v>
      </c>
    </row>
    <row r="3758" spans="1:22" x14ac:dyDescent="0.2">
      <c r="A3758" s="46" t="s">
        <v>25</v>
      </c>
      <c r="B3758" s="46" t="s">
        <v>57</v>
      </c>
      <c r="C3758" s="46" t="s">
        <v>88</v>
      </c>
      <c r="D3758" s="46" t="s">
        <v>178</v>
      </c>
      <c r="E3758" s="46">
        <v>3</v>
      </c>
      <c r="F3758" s="46" t="s">
        <v>60</v>
      </c>
      <c r="G3758" s="46">
        <v>4</v>
      </c>
      <c r="H3758" s="47">
        <v>48</v>
      </c>
      <c r="I3758" s="47" t="s">
        <v>102</v>
      </c>
      <c r="J3758" s="48">
        <v>4</v>
      </c>
      <c r="K3758" s="48">
        <v>1</v>
      </c>
      <c r="M3758" s="48">
        <v>1</v>
      </c>
      <c r="R3758" s="46">
        <f t="shared" si="353"/>
        <v>1</v>
      </c>
      <c r="S3758" s="46">
        <f t="shared" si="354"/>
        <v>0</v>
      </c>
      <c r="T3758" s="46">
        <f t="shared" si="357"/>
        <v>80</v>
      </c>
      <c r="U3758" s="46">
        <f t="shared" si="355"/>
        <v>100</v>
      </c>
      <c r="V3758" s="54">
        <f t="shared" si="356"/>
        <v>58.5</v>
      </c>
    </row>
    <row r="3759" spans="1:22" x14ac:dyDescent="0.2">
      <c r="A3759" s="46" t="s">
        <v>25</v>
      </c>
      <c r="B3759" s="46" t="s">
        <v>57</v>
      </c>
      <c r="C3759" s="46" t="s">
        <v>88</v>
      </c>
      <c r="D3759" s="46" t="s">
        <v>178</v>
      </c>
      <c r="E3759" s="46">
        <v>2</v>
      </c>
      <c r="F3759" s="46" t="s">
        <v>62</v>
      </c>
      <c r="G3759" s="46">
        <v>2</v>
      </c>
      <c r="H3759" s="47" t="s">
        <v>83</v>
      </c>
      <c r="I3759" s="47" t="s">
        <v>127</v>
      </c>
      <c r="J3759" s="48">
        <v>4</v>
      </c>
      <c r="K3759" s="48">
        <v>1</v>
      </c>
      <c r="R3759" s="46">
        <f t="shared" si="353"/>
        <v>1</v>
      </c>
      <c r="S3759" s="46">
        <f t="shared" si="354"/>
        <v>0</v>
      </c>
      <c r="T3759" s="46">
        <f t="shared" si="357"/>
        <v>80</v>
      </c>
      <c r="U3759" s="46">
        <f t="shared" si="355"/>
        <v>80</v>
      </c>
      <c r="V3759" s="54">
        <f t="shared" si="356"/>
        <v>58.5</v>
      </c>
    </row>
    <row r="3760" spans="1:22" x14ac:dyDescent="0.2">
      <c r="A3760" s="46" t="s">
        <v>25</v>
      </c>
      <c r="B3760" s="46" t="s">
        <v>57</v>
      </c>
      <c r="C3760" s="46" t="s">
        <v>88</v>
      </c>
      <c r="D3760" s="46" t="s">
        <v>178</v>
      </c>
      <c r="E3760" s="46">
        <v>3</v>
      </c>
      <c r="F3760" s="46" t="s">
        <v>60</v>
      </c>
      <c r="G3760" s="46">
        <v>1</v>
      </c>
      <c r="H3760" s="47">
        <v>1</v>
      </c>
      <c r="I3760" s="47" t="s">
        <v>101</v>
      </c>
      <c r="J3760" s="48">
        <v>4</v>
      </c>
      <c r="K3760" s="48">
        <v>0</v>
      </c>
      <c r="R3760" s="46">
        <f t="shared" si="353"/>
        <v>1</v>
      </c>
      <c r="S3760" s="46">
        <f t="shared" si="354"/>
        <v>0</v>
      </c>
      <c r="T3760" s="46">
        <f t="shared" si="357"/>
        <v>90</v>
      </c>
      <c r="U3760" s="46">
        <f t="shared" si="355"/>
        <v>90</v>
      </c>
      <c r="V3760" s="54">
        <f t="shared" si="356"/>
        <v>58.5</v>
      </c>
    </row>
    <row r="3761" spans="1:22" x14ac:dyDescent="0.2">
      <c r="A3761" s="46" t="s">
        <v>25</v>
      </c>
      <c r="B3761" s="46" t="s">
        <v>57</v>
      </c>
      <c r="C3761" s="46" t="s">
        <v>88</v>
      </c>
      <c r="D3761" s="46" t="s">
        <v>178</v>
      </c>
      <c r="E3761" s="46">
        <v>1</v>
      </c>
      <c r="F3761" s="46" t="s">
        <v>60</v>
      </c>
      <c r="G3761" s="46">
        <v>4</v>
      </c>
      <c r="H3761" s="47">
        <v>4</v>
      </c>
      <c r="I3761" s="47" t="s">
        <v>102</v>
      </c>
      <c r="J3761" s="48">
        <v>4</v>
      </c>
      <c r="K3761" s="48">
        <v>0</v>
      </c>
      <c r="R3761" s="46">
        <f t="shared" si="353"/>
        <v>1</v>
      </c>
      <c r="S3761" s="46">
        <f t="shared" si="354"/>
        <v>0</v>
      </c>
      <c r="T3761" s="46">
        <f t="shared" si="357"/>
        <v>90</v>
      </c>
      <c r="U3761" s="46">
        <f t="shared" si="355"/>
        <v>90</v>
      </c>
      <c r="V3761" s="54">
        <f t="shared" si="356"/>
        <v>58.5</v>
      </c>
    </row>
    <row r="3762" spans="1:22" x14ac:dyDescent="0.2">
      <c r="A3762" s="46" t="s">
        <v>25</v>
      </c>
      <c r="B3762" s="46" t="s">
        <v>57</v>
      </c>
      <c r="C3762" s="46" t="s">
        <v>88</v>
      </c>
      <c r="D3762" s="46" t="s">
        <v>178</v>
      </c>
      <c r="E3762" s="46">
        <v>1</v>
      </c>
      <c r="F3762" s="46" t="s">
        <v>60</v>
      </c>
      <c r="G3762" s="46">
        <v>3</v>
      </c>
      <c r="H3762" s="47">
        <v>7</v>
      </c>
      <c r="I3762" s="47" t="s">
        <v>116</v>
      </c>
      <c r="J3762" s="48">
        <v>4</v>
      </c>
      <c r="K3762" s="48">
        <v>0</v>
      </c>
      <c r="R3762" s="46">
        <f t="shared" si="353"/>
        <v>1</v>
      </c>
      <c r="S3762" s="46">
        <f t="shared" si="354"/>
        <v>0</v>
      </c>
      <c r="T3762" s="46">
        <f t="shared" si="357"/>
        <v>90</v>
      </c>
      <c r="U3762" s="46">
        <f t="shared" si="355"/>
        <v>90</v>
      </c>
      <c r="V3762" s="54">
        <f t="shared" si="356"/>
        <v>58.5</v>
      </c>
    </row>
    <row r="3763" spans="1:22" x14ac:dyDescent="0.2">
      <c r="A3763" s="46" t="s">
        <v>25</v>
      </c>
      <c r="B3763" s="46" t="s">
        <v>57</v>
      </c>
      <c r="C3763" s="46" t="s">
        <v>88</v>
      </c>
      <c r="D3763" s="46" t="s">
        <v>178</v>
      </c>
      <c r="E3763" s="46">
        <v>4</v>
      </c>
      <c r="F3763" s="46" t="s">
        <v>60</v>
      </c>
      <c r="G3763" s="46">
        <v>1</v>
      </c>
      <c r="H3763" s="47">
        <v>17</v>
      </c>
      <c r="I3763" s="47" t="s">
        <v>101</v>
      </c>
      <c r="J3763" s="48">
        <v>4</v>
      </c>
      <c r="K3763" s="48">
        <v>0</v>
      </c>
      <c r="R3763" s="46">
        <f t="shared" si="353"/>
        <v>1</v>
      </c>
      <c r="S3763" s="46">
        <f t="shared" si="354"/>
        <v>0</v>
      </c>
      <c r="T3763" s="46">
        <f t="shared" si="357"/>
        <v>90</v>
      </c>
      <c r="U3763" s="46">
        <f t="shared" si="355"/>
        <v>90</v>
      </c>
      <c r="V3763" s="54">
        <f t="shared" si="356"/>
        <v>58.5</v>
      </c>
    </row>
    <row r="3764" spans="1:22" x14ac:dyDescent="0.2">
      <c r="A3764" s="46" t="s">
        <v>25</v>
      </c>
      <c r="B3764" s="46" t="s">
        <v>57</v>
      </c>
      <c r="C3764" s="46" t="s">
        <v>88</v>
      </c>
      <c r="D3764" s="46" t="s">
        <v>178</v>
      </c>
      <c r="E3764" s="46">
        <v>1</v>
      </c>
      <c r="F3764" s="46" t="s">
        <v>60</v>
      </c>
      <c r="G3764" s="46">
        <v>1</v>
      </c>
      <c r="H3764" s="47">
        <v>25</v>
      </c>
      <c r="I3764" s="47" t="s">
        <v>101</v>
      </c>
      <c r="J3764" s="48">
        <v>4</v>
      </c>
      <c r="K3764" s="48">
        <v>0</v>
      </c>
      <c r="R3764" s="46">
        <f t="shared" si="353"/>
        <v>1</v>
      </c>
      <c r="S3764" s="46">
        <f t="shared" si="354"/>
        <v>0</v>
      </c>
      <c r="T3764" s="46">
        <f t="shared" si="357"/>
        <v>90</v>
      </c>
      <c r="U3764" s="46">
        <f t="shared" si="355"/>
        <v>90</v>
      </c>
      <c r="V3764" s="54">
        <f t="shared" si="356"/>
        <v>58.5</v>
      </c>
    </row>
    <row r="3765" spans="1:22" x14ac:dyDescent="0.2">
      <c r="A3765" s="46" t="s">
        <v>25</v>
      </c>
      <c r="B3765" s="46" t="s">
        <v>57</v>
      </c>
      <c r="C3765" s="46" t="s">
        <v>88</v>
      </c>
      <c r="D3765" s="46" t="s">
        <v>178</v>
      </c>
      <c r="E3765" s="46">
        <v>2</v>
      </c>
      <c r="F3765" s="46" t="s">
        <v>62</v>
      </c>
      <c r="G3765" s="46">
        <v>3</v>
      </c>
      <c r="H3765" s="47" t="s">
        <v>80</v>
      </c>
      <c r="I3765" s="47" t="s">
        <v>116</v>
      </c>
      <c r="J3765" s="48">
        <v>4</v>
      </c>
      <c r="K3765" s="48">
        <v>0</v>
      </c>
      <c r="N3765" s="48">
        <v>1</v>
      </c>
      <c r="R3765" s="46">
        <f t="shared" si="353"/>
        <v>1</v>
      </c>
      <c r="S3765" s="46">
        <f t="shared" si="354"/>
        <v>0</v>
      </c>
      <c r="T3765" s="46">
        <f t="shared" si="357"/>
        <v>90</v>
      </c>
      <c r="U3765" s="46">
        <f t="shared" si="355"/>
        <v>85</v>
      </c>
      <c r="V3765" s="54">
        <f t="shared" si="356"/>
        <v>58.5</v>
      </c>
    </row>
    <row r="3766" spans="1:22" x14ac:dyDescent="0.2">
      <c r="A3766" s="46" t="s">
        <v>25</v>
      </c>
      <c r="B3766" s="46" t="s">
        <v>57</v>
      </c>
      <c r="C3766" s="46" t="s">
        <v>88</v>
      </c>
      <c r="D3766" s="46" t="s">
        <v>178</v>
      </c>
      <c r="E3766" s="46">
        <v>2</v>
      </c>
      <c r="F3766" s="46" t="s">
        <v>62</v>
      </c>
      <c r="G3766" s="46">
        <v>2</v>
      </c>
      <c r="H3766" s="47" t="s">
        <v>86</v>
      </c>
      <c r="I3766" s="47" t="s">
        <v>127</v>
      </c>
      <c r="J3766" s="48">
        <v>4</v>
      </c>
      <c r="K3766" s="48">
        <v>0</v>
      </c>
      <c r="R3766" s="46">
        <f t="shared" si="353"/>
        <v>1</v>
      </c>
      <c r="S3766" s="46">
        <f t="shared" si="354"/>
        <v>0</v>
      </c>
      <c r="T3766" s="46">
        <f t="shared" si="357"/>
        <v>90</v>
      </c>
      <c r="U3766" s="46">
        <f t="shared" si="355"/>
        <v>90</v>
      </c>
      <c r="V3766" s="54">
        <f t="shared" si="356"/>
        <v>58.5</v>
      </c>
    </row>
    <row r="3767" spans="1:22" x14ac:dyDescent="0.2">
      <c r="A3767" s="46" t="s">
        <v>25</v>
      </c>
      <c r="B3767" s="46" t="s">
        <v>57</v>
      </c>
      <c r="C3767" s="46" t="s">
        <v>88</v>
      </c>
      <c r="D3767" s="46" t="s">
        <v>178</v>
      </c>
      <c r="E3767" s="46">
        <v>5</v>
      </c>
      <c r="F3767" s="46" t="s">
        <v>60</v>
      </c>
      <c r="G3767" s="46">
        <v>3</v>
      </c>
      <c r="H3767" s="47">
        <v>7</v>
      </c>
      <c r="I3767" s="47" t="s">
        <v>159</v>
      </c>
      <c r="J3767" s="48">
        <v>2</v>
      </c>
      <c r="K3767" s="48">
        <v>3</v>
      </c>
      <c r="M3767" s="48">
        <v>1</v>
      </c>
      <c r="R3767" s="46">
        <f t="shared" si="353"/>
        <v>0</v>
      </c>
      <c r="S3767" s="46">
        <f t="shared" si="354"/>
        <v>1</v>
      </c>
      <c r="T3767" s="46">
        <f t="shared" si="357"/>
        <v>20</v>
      </c>
      <c r="U3767" s="46">
        <f t="shared" si="355"/>
        <v>40</v>
      </c>
      <c r="V3767" s="54">
        <f t="shared" si="356"/>
        <v>58.5</v>
      </c>
    </row>
    <row r="3768" spans="1:22" x14ac:dyDescent="0.2">
      <c r="A3768" s="46" t="s">
        <v>25</v>
      </c>
      <c r="B3768" s="46" t="s">
        <v>57</v>
      </c>
      <c r="C3768" s="46" t="s">
        <v>88</v>
      </c>
      <c r="D3768" s="46" t="s">
        <v>178</v>
      </c>
      <c r="E3768" s="46">
        <v>5</v>
      </c>
      <c r="F3768" s="46" t="s">
        <v>60</v>
      </c>
      <c r="G3768" s="46">
        <v>4</v>
      </c>
      <c r="H3768" s="47">
        <v>16</v>
      </c>
      <c r="I3768" s="47" t="s">
        <v>102</v>
      </c>
      <c r="J3768" s="48">
        <v>4</v>
      </c>
      <c r="K3768" s="48">
        <v>1</v>
      </c>
      <c r="R3768" s="46">
        <f t="shared" si="353"/>
        <v>1</v>
      </c>
      <c r="S3768" s="46">
        <f t="shared" si="354"/>
        <v>0</v>
      </c>
      <c r="T3768" s="46">
        <f t="shared" si="357"/>
        <v>80</v>
      </c>
      <c r="U3768" s="46">
        <f t="shared" si="355"/>
        <v>80</v>
      </c>
      <c r="V3768" s="54">
        <f t="shared" si="356"/>
        <v>58.5</v>
      </c>
    </row>
    <row r="3769" spans="1:22" x14ac:dyDescent="0.2">
      <c r="A3769" s="46" t="s">
        <v>25</v>
      </c>
      <c r="B3769" s="46" t="s">
        <v>57</v>
      </c>
      <c r="C3769" s="46" t="s">
        <v>88</v>
      </c>
      <c r="D3769" s="46" t="s">
        <v>178</v>
      </c>
      <c r="E3769" s="46">
        <v>5</v>
      </c>
      <c r="F3769" s="46" t="s">
        <v>60</v>
      </c>
      <c r="G3769" s="46">
        <v>4</v>
      </c>
      <c r="H3769" s="47">
        <v>24</v>
      </c>
      <c r="I3769" s="47" t="s">
        <v>102</v>
      </c>
      <c r="J3769" s="48">
        <v>2</v>
      </c>
      <c r="K3769" s="48">
        <v>3</v>
      </c>
      <c r="R3769" s="46">
        <f t="shared" si="353"/>
        <v>0</v>
      </c>
      <c r="S3769" s="46">
        <f t="shared" si="354"/>
        <v>1</v>
      </c>
      <c r="T3769" s="46">
        <f t="shared" si="357"/>
        <v>20</v>
      </c>
      <c r="U3769" s="46">
        <f t="shared" si="355"/>
        <v>20</v>
      </c>
      <c r="V3769" s="54">
        <f t="shared" si="356"/>
        <v>58.5</v>
      </c>
    </row>
    <row r="3770" spans="1:22" x14ac:dyDescent="0.2">
      <c r="A3770" s="46" t="s">
        <v>25</v>
      </c>
      <c r="B3770" s="46" t="s">
        <v>57</v>
      </c>
      <c r="C3770" s="46" t="s">
        <v>88</v>
      </c>
      <c r="D3770" s="46" t="s">
        <v>178</v>
      </c>
      <c r="E3770" s="46">
        <v>5</v>
      </c>
      <c r="F3770" s="46" t="s">
        <v>60</v>
      </c>
      <c r="G3770" s="46">
        <v>3</v>
      </c>
      <c r="H3770" s="47">
        <v>31</v>
      </c>
      <c r="I3770" s="47" t="s">
        <v>159</v>
      </c>
      <c r="J3770" s="48">
        <v>1</v>
      </c>
      <c r="K3770" s="48">
        <v>2</v>
      </c>
      <c r="R3770" s="46">
        <f t="shared" si="353"/>
        <v>0</v>
      </c>
      <c r="S3770" s="46">
        <f t="shared" si="354"/>
        <v>0</v>
      </c>
      <c r="T3770" s="46">
        <f t="shared" si="357"/>
        <v>10</v>
      </c>
      <c r="U3770" s="46">
        <f t="shared" si="355"/>
        <v>10</v>
      </c>
      <c r="V3770" s="54">
        <f t="shared" si="356"/>
        <v>58.5</v>
      </c>
    </row>
    <row r="3771" spans="1:22" x14ac:dyDescent="0.2">
      <c r="A3771" s="46" t="s">
        <v>25</v>
      </c>
      <c r="B3771" s="46" t="s">
        <v>57</v>
      </c>
      <c r="C3771" s="46" t="s">
        <v>88</v>
      </c>
      <c r="D3771" s="46" t="s">
        <v>178</v>
      </c>
      <c r="E3771" s="46">
        <v>5</v>
      </c>
      <c r="F3771" s="46" t="s">
        <v>60</v>
      </c>
      <c r="G3771" s="46">
        <v>2</v>
      </c>
      <c r="H3771" s="47">
        <v>38</v>
      </c>
      <c r="I3771" s="47" t="s">
        <v>127</v>
      </c>
      <c r="J3771" s="48">
        <v>3</v>
      </c>
      <c r="K3771" s="48">
        <v>2</v>
      </c>
      <c r="R3771" s="46">
        <f t="shared" si="353"/>
        <v>0</v>
      </c>
      <c r="S3771" s="46">
        <f t="shared" si="354"/>
        <v>0</v>
      </c>
      <c r="T3771" s="46">
        <f t="shared" si="357"/>
        <v>50</v>
      </c>
      <c r="U3771" s="46">
        <f t="shared" si="355"/>
        <v>50</v>
      </c>
      <c r="V3771" s="54">
        <f t="shared" si="356"/>
        <v>58.5</v>
      </c>
    </row>
    <row r="3772" spans="1:22" x14ac:dyDescent="0.2">
      <c r="A3772" s="46" t="s">
        <v>25</v>
      </c>
      <c r="B3772" s="46" t="s">
        <v>57</v>
      </c>
      <c r="C3772" s="46" t="s">
        <v>88</v>
      </c>
      <c r="D3772" s="46" t="s">
        <v>178</v>
      </c>
      <c r="E3772" s="46">
        <v>5</v>
      </c>
      <c r="F3772" s="46" t="s">
        <v>60</v>
      </c>
      <c r="G3772" s="46">
        <v>4</v>
      </c>
      <c r="H3772" s="47">
        <v>48</v>
      </c>
      <c r="I3772" s="47" t="s">
        <v>102</v>
      </c>
      <c r="J3772" s="48">
        <v>4</v>
      </c>
      <c r="K3772" s="48">
        <v>0</v>
      </c>
      <c r="M3772" s="48">
        <v>1</v>
      </c>
      <c r="R3772" s="46">
        <f t="shared" si="353"/>
        <v>1</v>
      </c>
      <c r="S3772" s="46">
        <f t="shared" si="354"/>
        <v>0</v>
      </c>
      <c r="T3772" s="46">
        <f t="shared" si="357"/>
        <v>90</v>
      </c>
      <c r="U3772" s="46">
        <f t="shared" si="355"/>
        <v>110</v>
      </c>
      <c r="V3772" s="54">
        <f t="shared" si="356"/>
        <v>58.5</v>
      </c>
    </row>
    <row r="3773" spans="1:22" x14ac:dyDescent="0.2">
      <c r="A3773" s="46" t="s">
        <v>25</v>
      </c>
      <c r="B3773" s="46" t="s">
        <v>57</v>
      </c>
      <c r="C3773" s="46" t="s">
        <v>88</v>
      </c>
      <c r="D3773" s="46" t="s">
        <v>178</v>
      </c>
      <c r="E3773" s="46">
        <v>5</v>
      </c>
      <c r="F3773" s="46" t="s">
        <v>61</v>
      </c>
      <c r="G3773" s="46">
        <v>1</v>
      </c>
      <c r="H3773" s="47" t="s">
        <v>70</v>
      </c>
      <c r="I3773" s="47" t="s">
        <v>101</v>
      </c>
      <c r="J3773" s="48">
        <v>3</v>
      </c>
      <c r="K3773" s="48">
        <v>0</v>
      </c>
      <c r="M3773" s="48">
        <v>2</v>
      </c>
      <c r="R3773" s="46">
        <f t="shared" si="353"/>
        <v>0</v>
      </c>
      <c r="S3773" s="46">
        <f t="shared" si="354"/>
        <v>0</v>
      </c>
      <c r="T3773" s="46">
        <f t="shared" si="357"/>
        <v>60</v>
      </c>
      <c r="U3773" s="46">
        <f t="shared" si="355"/>
        <v>100</v>
      </c>
      <c r="V3773" s="54">
        <f t="shared" si="356"/>
        <v>58.5</v>
      </c>
    </row>
    <row r="3774" spans="1:22" x14ac:dyDescent="0.2">
      <c r="A3774" s="46" t="s">
        <v>25</v>
      </c>
      <c r="B3774" s="46" t="s">
        <v>57</v>
      </c>
      <c r="C3774" s="46" t="s">
        <v>88</v>
      </c>
      <c r="D3774" s="46" t="s">
        <v>178</v>
      </c>
      <c r="E3774" s="46">
        <v>5</v>
      </c>
      <c r="F3774" s="46" t="s">
        <v>61</v>
      </c>
      <c r="G3774" s="46">
        <v>1</v>
      </c>
      <c r="H3774" s="47" t="s">
        <v>75</v>
      </c>
      <c r="I3774" s="47" t="s">
        <v>101</v>
      </c>
      <c r="J3774" s="48">
        <v>2</v>
      </c>
      <c r="K3774" s="48">
        <v>3</v>
      </c>
      <c r="R3774" s="46">
        <f t="shared" si="353"/>
        <v>0</v>
      </c>
      <c r="S3774" s="46">
        <f t="shared" si="354"/>
        <v>1</v>
      </c>
      <c r="T3774" s="46">
        <f t="shared" si="357"/>
        <v>20</v>
      </c>
      <c r="U3774" s="46">
        <f t="shared" si="355"/>
        <v>20</v>
      </c>
      <c r="V3774" s="54">
        <f t="shared" si="356"/>
        <v>58.5</v>
      </c>
    </row>
    <row r="3775" spans="1:22" x14ac:dyDescent="0.2">
      <c r="A3775" s="46" t="s">
        <v>25</v>
      </c>
      <c r="B3775" s="46" t="s">
        <v>57</v>
      </c>
      <c r="C3775" s="46" t="s">
        <v>88</v>
      </c>
      <c r="D3775" s="46" t="s">
        <v>178</v>
      </c>
      <c r="E3775" s="46">
        <v>5</v>
      </c>
      <c r="F3775" s="46" t="s">
        <v>61</v>
      </c>
      <c r="G3775" s="46">
        <v>1</v>
      </c>
      <c r="H3775" s="47" t="s">
        <v>69</v>
      </c>
      <c r="I3775" s="47" t="s">
        <v>101</v>
      </c>
      <c r="J3775" s="48">
        <v>3</v>
      </c>
      <c r="K3775" s="48">
        <v>1</v>
      </c>
      <c r="M3775" s="48">
        <v>1</v>
      </c>
      <c r="R3775" s="46">
        <f t="shared" si="353"/>
        <v>0</v>
      </c>
      <c r="S3775" s="46">
        <f t="shared" si="354"/>
        <v>0</v>
      </c>
      <c r="T3775" s="46">
        <f t="shared" si="357"/>
        <v>60</v>
      </c>
      <c r="U3775" s="46">
        <f t="shared" si="355"/>
        <v>80</v>
      </c>
      <c r="V3775" s="54">
        <f t="shared" si="356"/>
        <v>58.5</v>
      </c>
    </row>
    <row r="3776" spans="1:22" x14ac:dyDescent="0.2">
      <c r="A3776" s="46" t="s">
        <v>25</v>
      </c>
      <c r="B3776" s="46" t="s">
        <v>57</v>
      </c>
      <c r="C3776" s="46" t="s">
        <v>88</v>
      </c>
      <c r="D3776" s="46" t="s">
        <v>178</v>
      </c>
      <c r="E3776" s="46">
        <v>5</v>
      </c>
      <c r="F3776" s="46" t="s">
        <v>61</v>
      </c>
      <c r="G3776" s="46">
        <v>1</v>
      </c>
      <c r="H3776" s="47" t="s">
        <v>71</v>
      </c>
      <c r="I3776" s="47" t="s">
        <v>101</v>
      </c>
      <c r="J3776" s="48">
        <v>2</v>
      </c>
      <c r="K3776" s="48">
        <v>0</v>
      </c>
      <c r="R3776" s="46">
        <f t="shared" si="353"/>
        <v>0</v>
      </c>
      <c r="S3776" s="46">
        <f t="shared" si="354"/>
        <v>0</v>
      </c>
      <c r="T3776" s="46">
        <f t="shared" si="357"/>
        <v>40</v>
      </c>
      <c r="U3776" s="46">
        <f t="shared" si="355"/>
        <v>40</v>
      </c>
      <c r="V3776" s="54">
        <f t="shared" si="356"/>
        <v>58.5</v>
      </c>
    </row>
    <row r="3777" spans="1:22" x14ac:dyDescent="0.2">
      <c r="A3777" s="46" t="s">
        <v>129</v>
      </c>
      <c r="B3777" s="46" t="s">
        <v>56</v>
      </c>
      <c r="C3777" s="46" t="s">
        <v>89</v>
      </c>
      <c r="D3777" s="46" t="s">
        <v>178</v>
      </c>
      <c r="E3777" s="46">
        <v>1</v>
      </c>
      <c r="F3777" s="46" t="s">
        <v>60</v>
      </c>
      <c r="G3777" s="46">
        <v>4</v>
      </c>
      <c r="H3777" s="47">
        <v>8</v>
      </c>
      <c r="I3777" s="47" t="s">
        <v>102</v>
      </c>
      <c r="J3777" s="48">
        <v>0</v>
      </c>
      <c r="K3777" s="48">
        <v>0</v>
      </c>
      <c r="R3777" s="46">
        <f t="shared" si="353"/>
        <v>0</v>
      </c>
      <c r="S3777" s="46">
        <f t="shared" si="354"/>
        <v>0</v>
      </c>
      <c r="T3777" s="46">
        <f t="shared" si="357"/>
        <v>0</v>
      </c>
      <c r="U3777" s="46">
        <f t="shared" si="355"/>
        <v>0</v>
      </c>
      <c r="V3777" s="54">
        <f t="shared" si="356"/>
        <v>32.5</v>
      </c>
    </row>
    <row r="3778" spans="1:22" x14ac:dyDescent="0.2">
      <c r="A3778" s="46" t="s">
        <v>129</v>
      </c>
      <c r="B3778" s="46" t="s">
        <v>56</v>
      </c>
      <c r="C3778" s="46" t="s">
        <v>89</v>
      </c>
      <c r="D3778" s="46" t="s">
        <v>178</v>
      </c>
      <c r="E3778" s="46">
        <v>3</v>
      </c>
      <c r="F3778" s="46" t="s">
        <v>60</v>
      </c>
      <c r="G3778" s="46">
        <v>2</v>
      </c>
      <c r="H3778" s="47">
        <v>18</v>
      </c>
      <c r="I3778" s="47" t="s">
        <v>127</v>
      </c>
      <c r="J3778" s="48">
        <v>0</v>
      </c>
      <c r="K3778" s="48">
        <v>0</v>
      </c>
      <c r="R3778" s="46">
        <f t="shared" ref="R3778:R3841" si="358">IF(J3778=4,1,0)</f>
        <v>0</v>
      </c>
      <c r="S3778" s="46">
        <f t="shared" ref="S3778:S3841" si="359">IF(K3778=3,1,0)</f>
        <v>0</v>
      </c>
      <c r="T3778" s="46">
        <f t="shared" si="357"/>
        <v>0</v>
      </c>
      <c r="U3778" s="46">
        <f t="shared" ref="U3778:U3841" si="360">T3778+M3778*(20) + (SUM(O3778:Q3778)*(10)) - L3778*(5) - N3778*(5)</f>
        <v>0</v>
      </c>
      <c r="V3778" s="54">
        <f t="shared" ref="V3778:V3841" si="361">AVERAGEIFS(U:U,A:A,A3778,F:F,"Pre")</f>
        <v>32.5</v>
      </c>
    </row>
    <row r="3779" spans="1:22" x14ac:dyDescent="0.2">
      <c r="A3779" s="46" t="s">
        <v>129</v>
      </c>
      <c r="B3779" s="46" t="s">
        <v>56</v>
      </c>
      <c r="C3779" s="46" t="s">
        <v>89</v>
      </c>
      <c r="D3779" s="46" t="s">
        <v>178</v>
      </c>
      <c r="E3779" s="46">
        <v>1</v>
      </c>
      <c r="F3779" s="46" t="s">
        <v>60</v>
      </c>
      <c r="G3779" s="46">
        <v>4</v>
      </c>
      <c r="H3779" s="47">
        <v>36</v>
      </c>
      <c r="I3779" s="47" t="s">
        <v>102</v>
      </c>
      <c r="J3779" s="48">
        <v>0</v>
      </c>
      <c r="K3779" s="48">
        <v>0</v>
      </c>
      <c r="R3779" s="46">
        <f t="shared" si="358"/>
        <v>0</v>
      </c>
      <c r="S3779" s="46">
        <f t="shared" si="359"/>
        <v>0</v>
      </c>
      <c r="T3779" s="46">
        <f t="shared" si="357"/>
        <v>0</v>
      </c>
      <c r="U3779" s="46">
        <f t="shared" si="360"/>
        <v>0</v>
      </c>
      <c r="V3779" s="54">
        <f t="shared" si="361"/>
        <v>32.5</v>
      </c>
    </row>
    <row r="3780" spans="1:22" x14ac:dyDescent="0.2">
      <c r="A3780" s="46" t="s">
        <v>129</v>
      </c>
      <c r="B3780" s="46" t="s">
        <v>56</v>
      </c>
      <c r="C3780" s="46" t="s">
        <v>89</v>
      </c>
      <c r="D3780" s="46" t="s">
        <v>178</v>
      </c>
      <c r="E3780" s="46">
        <v>1</v>
      </c>
      <c r="F3780" s="46" t="s">
        <v>60</v>
      </c>
      <c r="G3780" s="46">
        <v>3</v>
      </c>
      <c r="H3780" s="47">
        <v>43</v>
      </c>
      <c r="I3780" s="47" t="s">
        <v>116</v>
      </c>
      <c r="J3780" s="48">
        <v>0</v>
      </c>
      <c r="K3780" s="48">
        <v>0</v>
      </c>
      <c r="M3780" s="48">
        <v>1</v>
      </c>
      <c r="R3780" s="46">
        <f t="shared" si="358"/>
        <v>0</v>
      </c>
      <c r="S3780" s="46">
        <f t="shared" si="359"/>
        <v>0</v>
      </c>
      <c r="T3780" s="46">
        <f t="shared" si="357"/>
        <v>0</v>
      </c>
      <c r="U3780" s="46">
        <f t="shared" si="360"/>
        <v>20</v>
      </c>
      <c r="V3780" s="54">
        <f t="shared" si="361"/>
        <v>32.5</v>
      </c>
    </row>
    <row r="3781" spans="1:22" x14ac:dyDescent="0.2">
      <c r="A3781" s="46" t="s">
        <v>129</v>
      </c>
      <c r="B3781" s="46" t="s">
        <v>56</v>
      </c>
      <c r="C3781" s="46" t="s">
        <v>89</v>
      </c>
      <c r="D3781" s="46" t="s">
        <v>178</v>
      </c>
      <c r="E3781" s="46">
        <v>2</v>
      </c>
      <c r="F3781" s="46" t="s">
        <v>60</v>
      </c>
      <c r="G3781" s="46">
        <v>2</v>
      </c>
      <c r="H3781" s="47">
        <v>46</v>
      </c>
      <c r="I3781" s="47" t="s">
        <v>127</v>
      </c>
      <c r="J3781" s="48">
        <v>0</v>
      </c>
      <c r="K3781" s="48">
        <v>0</v>
      </c>
      <c r="M3781" s="48">
        <v>1</v>
      </c>
      <c r="R3781" s="46">
        <f t="shared" si="358"/>
        <v>0</v>
      </c>
      <c r="S3781" s="46">
        <f t="shared" si="359"/>
        <v>0</v>
      </c>
      <c r="T3781" s="46">
        <f t="shared" si="357"/>
        <v>0</v>
      </c>
      <c r="U3781" s="46">
        <f t="shared" si="360"/>
        <v>20</v>
      </c>
      <c r="V3781" s="54">
        <f t="shared" si="361"/>
        <v>32.5</v>
      </c>
    </row>
    <row r="3782" spans="1:22" x14ac:dyDescent="0.2">
      <c r="A3782" s="46" t="s">
        <v>129</v>
      </c>
      <c r="B3782" s="46" t="s">
        <v>56</v>
      </c>
      <c r="C3782" s="46" t="s">
        <v>89</v>
      </c>
      <c r="D3782" s="46" t="s">
        <v>178</v>
      </c>
      <c r="E3782" s="46">
        <v>1</v>
      </c>
      <c r="F3782" s="46" t="s">
        <v>60</v>
      </c>
      <c r="G3782" s="46">
        <v>2</v>
      </c>
      <c r="H3782" s="47">
        <v>14</v>
      </c>
      <c r="I3782" s="47" t="s">
        <v>127</v>
      </c>
      <c r="J3782" s="48">
        <v>1</v>
      </c>
      <c r="K3782" s="48">
        <v>2</v>
      </c>
      <c r="R3782" s="46">
        <f t="shared" si="358"/>
        <v>0</v>
      </c>
      <c r="S3782" s="46">
        <f t="shared" si="359"/>
        <v>0</v>
      </c>
      <c r="T3782" s="46">
        <f t="shared" si="357"/>
        <v>10</v>
      </c>
      <c r="U3782" s="46">
        <f t="shared" si="360"/>
        <v>10</v>
      </c>
      <c r="V3782" s="54">
        <f t="shared" si="361"/>
        <v>32.5</v>
      </c>
    </row>
    <row r="3783" spans="1:22" x14ac:dyDescent="0.2">
      <c r="A3783" s="46" t="s">
        <v>129</v>
      </c>
      <c r="B3783" s="46" t="s">
        <v>56</v>
      </c>
      <c r="C3783" s="46" t="s">
        <v>89</v>
      </c>
      <c r="D3783" s="46" t="s">
        <v>178</v>
      </c>
      <c r="E3783" s="46">
        <v>4</v>
      </c>
      <c r="F3783" s="46" t="s">
        <v>60</v>
      </c>
      <c r="G3783" s="46">
        <v>2</v>
      </c>
      <c r="H3783" s="47">
        <v>30</v>
      </c>
      <c r="I3783" s="47" t="s">
        <v>127</v>
      </c>
      <c r="J3783" s="48">
        <v>1</v>
      </c>
      <c r="K3783" s="48">
        <v>2</v>
      </c>
      <c r="N3783" s="48">
        <v>1</v>
      </c>
      <c r="R3783" s="46">
        <f t="shared" si="358"/>
        <v>0</v>
      </c>
      <c r="S3783" s="46">
        <f t="shared" si="359"/>
        <v>0</v>
      </c>
      <c r="T3783" s="46">
        <f t="shared" si="357"/>
        <v>10</v>
      </c>
      <c r="U3783" s="46">
        <f t="shared" si="360"/>
        <v>5</v>
      </c>
      <c r="V3783" s="54">
        <f t="shared" si="361"/>
        <v>32.5</v>
      </c>
    </row>
    <row r="3784" spans="1:22" x14ac:dyDescent="0.2">
      <c r="A3784" s="46" t="s">
        <v>129</v>
      </c>
      <c r="B3784" s="46" t="s">
        <v>56</v>
      </c>
      <c r="C3784" s="46" t="s">
        <v>89</v>
      </c>
      <c r="D3784" s="46" t="s">
        <v>178</v>
      </c>
      <c r="E3784" s="46">
        <v>3</v>
      </c>
      <c r="F3784" s="46" t="s">
        <v>60</v>
      </c>
      <c r="G3784" s="46">
        <v>1</v>
      </c>
      <c r="H3784" s="47">
        <v>41</v>
      </c>
      <c r="I3784" s="47" t="s">
        <v>101</v>
      </c>
      <c r="J3784" s="48">
        <v>1</v>
      </c>
      <c r="K3784" s="48">
        <v>2</v>
      </c>
      <c r="R3784" s="46">
        <f t="shared" si="358"/>
        <v>0</v>
      </c>
      <c r="S3784" s="46">
        <f t="shared" si="359"/>
        <v>0</v>
      </c>
      <c r="T3784" s="46">
        <f t="shared" si="357"/>
        <v>10</v>
      </c>
      <c r="U3784" s="46">
        <f t="shared" si="360"/>
        <v>10</v>
      </c>
      <c r="V3784" s="54">
        <f t="shared" si="361"/>
        <v>32.5</v>
      </c>
    </row>
    <row r="3785" spans="1:22" x14ac:dyDescent="0.2">
      <c r="A3785" s="46" t="s">
        <v>129</v>
      </c>
      <c r="B3785" s="46" t="s">
        <v>56</v>
      </c>
      <c r="C3785" s="46" t="s">
        <v>89</v>
      </c>
      <c r="D3785" s="46" t="s">
        <v>178</v>
      </c>
      <c r="E3785" s="46">
        <v>1</v>
      </c>
      <c r="F3785" s="46" t="s">
        <v>62</v>
      </c>
      <c r="G3785" s="46">
        <v>3</v>
      </c>
      <c r="H3785" s="47" t="s">
        <v>87</v>
      </c>
      <c r="I3785" s="47" t="s">
        <v>116</v>
      </c>
      <c r="J3785" s="48">
        <v>1</v>
      </c>
      <c r="K3785" s="48">
        <v>2</v>
      </c>
      <c r="R3785" s="46">
        <f t="shared" si="358"/>
        <v>0</v>
      </c>
      <c r="S3785" s="46">
        <f t="shared" si="359"/>
        <v>0</v>
      </c>
      <c r="T3785" s="46">
        <f t="shared" si="357"/>
        <v>10</v>
      </c>
      <c r="U3785" s="46">
        <f t="shared" si="360"/>
        <v>10</v>
      </c>
      <c r="V3785" s="54">
        <f t="shared" si="361"/>
        <v>32.5</v>
      </c>
    </row>
    <row r="3786" spans="1:22" x14ac:dyDescent="0.2">
      <c r="A3786" s="46" t="s">
        <v>129</v>
      </c>
      <c r="B3786" s="46" t="s">
        <v>56</v>
      </c>
      <c r="C3786" s="46" t="s">
        <v>89</v>
      </c>
      <c r="D3786" s="46" t="s">
        <v>178</v>
      </c>
      <c r="E3786" s="46">
        <v>2</v>
      </c>
      <c r="F3786" s="46" t="s">
        <v>60</v>
      </c>
      <c r="G3786" s="46">
        <v>4</v>
      </c>
      <c r="H3786" s="47">
        <v>4</v>
      </c>
      <c r="I3786" s="47" t="s">
        <v>102</v>
      </c>
      <c r="J3786" s="48">
        <v>1</v>
      </c>
      <c r="K3786" s="48">
        <v>0</v>
      </c>
      <c r="R3786" s="46">
        <f t="shared" si="358"/>
        <v>0</v>
      </c>
      <c r="S3786" s="46">
        <f t="shared" si="359"/>
        <v>0</v>
      </c>
      <c r="T3786" s="46">
        <f t="shared" si="357"/>
        <v>20</v>
      </c>
      <c r="U3786" s="46">
        <f t="shared" si="360"/>
        <v>20</v>
      </c>
      <c r="V3786" s="54">
        <f t="shared" si="361"/>
        <v>32.5</v>
      </c>
    </row>
    <row r="3787" spans="1:22" x14ac:dyDescent="0.2">
      <c r="A3787" s="46" t="s">
        <v>129</v>
      </c>
      <c r="B3787" s="46" t="s">
        <v>56</v>
      </c>
      <c r="C3787" s="46" t="s">
        <v>89</v>
      </c>
      <c r="D3787" s="46" t="s">
        <v>178</v>
      </c>
      <c r="E3787" s="46">
        <v>3</v>
      </c>
      <c r="F3787" s="46" t="s">
        <v>60</v>
      </c>
      <c r="G3787" s="46">
        <v>4</v>
      </c>
      <c r="H3787" s="47">
        <v>12</v>
      </c>
      <c r="I3787" s="47" t="s">
        <v>102</v>
      </c>
      <c r="J3787" s="48">
        <v>1</v>
      </c>
      <c r="K3787" s="48">
        <v>0</v>
      </c>
      <c r="R3787" s="46">
        <f t="shared" si="358"/>
        <v>0</v>
      </c>
      <c r="S3787" s="46">
        <f t="shared" si="359"/>
        <v>0</v>
      </c>
      <c r="T3787" s="46">
        <f t="shared" si="357"/>
        <v>20</v>
      </c>
      <c r="U3787" s="46">
        <f t="shared" si="360"/>
        <v>20</v>
      </c>
      <c r="V3787" s="54">
        <f t="shared" si="361"/>
        <v>32.5</v>
      </c>
    </row>
    <row r="3788" spans="1:22" x14ac:dyDescent="0.2">
      <c r="A3788" s="46" t="s">
        <v>129</v>
      </c>
      <c r="B3788" s="46" t="s">
        <v>56</v>
      </c>
      <c r="C3788" s="46" t="s">
        <v>89</v>
      </c>
      <c r="D3788" s="46" t="s">
        <v>178</v>
      </c>
      <c r="E3788" s="46">
        <v>2</v>
      </c>
      <c r="F3788" s="46" t="s">
        <v>60</v>
      </c>
      <c r="G3788" s="46">
        <v>3</v>
      </c>
      <c r="H3788" s="47">
        <v>19</v>
      </c>
      <c r="I3788" s="47" t="s">
        <v>116</v>
      </c>
      <c r="J3788" s="48">
        <v>1</v>
      </c>
      <c r="K3788" s="48">
        <v>0</v>
      </c>
      <c r="R3788" s="46">
        <f t="shared" si="358"/>
        <v>0</v>
      </c>
      <c r="S3788" s="46">
        <f t="shared" si="359"/>
        <v>0</v>
      </c>
      <c r="T3788" s="46">
        <f t="shared" si="357"/>
        <v>20</v>
      </c>
      <c r="U3788" s="46">
        <f t="shared" si="360"/>
        <v>20</v>
      </c>
      <c r="V3788" s="54">
        <f t="shared" si="361"/>
        <v>32.5</v>
      </c>
    </row>
    <row r="3789" spans="1:22" x14ac:dyDescent="0.2">
      <c r="A3789" s="46" t="s">
        <v>129</v>
      </c>
      <c r="B3789" s="46" t="s">
        <v>56</v>
      </c>
      <c r="C3789" s="46" t="s">
        <v>89</v>
      </c>
      <c r="D3789" s="46" t="s">
        <v>178</v>
      </c>
      <c r="E3789" s="46">
        <v>1</v>
      </c>
      <c r="F3789" s="46" t="s">
        <v>60</v>
      </c>
      <c r="G3789" s="46">
        <v>3</v>
      </c>
      <c r="H3789" s="47">
        <v>27</v>
      </c>
      <c r="I3789" s="47" t="s">
        <v>116</v>
      </c>
      <c r="J3789" s="48">
        <v>1</v>
      </c>
      <c r="K3789" s="48">
        <v>1</v>
      </c>
      <c r="R3789" s="46">
        <f t="shared" si="358"/>
        <v>0</v>
      </c>
      <c r="S3789" s="46">
        <f t="shared" si="359"/>
        <v>0</v>
      </c>
      <c r="T3789" s="46">
        <f t="shared" si="357"/>
        <v>20</v>
      </c>
      <c r="U3789" s="46">
        <f t="shared" si="360"/>
        <v>20</v>
      </c>
      <c r="V3789" s="54">
        <f t="shared" si="361"/>
        <v>32.5</v>
      </c>
    </row>
    <row r="3790" spans="1:22" x14ac:dyDescent="0.2">
      <c r="A3790" s="46" t="s">
        <v>129</v>
      </c>
      <c r="B3790" s="46" t="s">
        <v>56</v>
      </c>
      <c r="C3790" s="46" t="s">
        <v>89</v>
      </c>
      <c r="D3790" s="46" t="s">
        <v>178</v>
      </c>
      <c r="E3790" s="46">
        <v>2</v>
      </c>
      <c r="F3790" s="46" t="s">
        <v>60</v>
      </c>
      <c r="G3790" s="46">
        <v>1</v>
      </c>
      <c r="H3790" s="47">
        <v>29</v>
      </c>
      <c r="I3790" s="47" t="s">
        <v>101</v>
      </c>
      <c r="J3790" s="48">
        <v>1</v>
      </c>
      <c r="K3790" s="48">
        <v>1</v>
      </c>
      <c r="N3790" s="48">
        <v>1</v>
      </c>
      <c r="R3790" s="46">
        <f t="shared" si="358"/>
        <v>0</v>
      </c>
      <c r="S3790" s="46">
        <f t="shared" si="359"/>
        <v>0</v>
      </c>
      <c r="T3790" s="46">
        <f t="shared" si="357"/>
        <v>20</v>
      </c>
      <c r="U3790" s="46">
        <f t="shared" si="360"/>
        <v>15</v>
      </c>
      <c r="V3790" s="54">
        <f t="shared" si="361"/>
        <v>32.5</v>
      </c>
    </row>
    <row r="3791" spans="1:22" x14ac:dyDescent="0.2">
      <c r="A3791" s="46" t="s">
        <v>129</v>
      </c>
      <c r="B3791" s="46" t="s">
        <v>56</v>
      </c>
      <c r="C3791" s="46" t="s">
        <v>89</v>
      </c>
      <c r="D3791" s="46" t="s">
        <v>178</v>
      </c>
      <c r="E3791" s="46">
        <v>3</v>
      </c>
      <c r="F3791" s="46" t="s">
        <v>60</v>
      </c>
      <c r="G3791" s="46">
        <v>1</v>
      </c>
      <c r="H3791" s="47">
        <v>33</v>
      </c>
      <c r="I3791" s="47" t="s">
        <v>101</v>
      </c>
      <c r="J3791" s="48">
        <v>1</v>
      </c>
      <c r="K3791" s="48">
        <v>1</v>
      </c>
      <c r="R3791" s="46">
        <f t="shared" si="358"/>
        <v>0</v>
      </c>
      <c r="S3791" s="46">
        <f t="shared" si="359"/>
        <v>0</v>
      </c>
      <c r="T3791" s="46">
        <f t="shared" si="357"/>
        <v>20</v>
      </c>
      <c r="U3791" s="46">
        <f t="shared" si="360"/>
        <v>20</v>
      </c>
      <c r="V3791" s="54">
        <f t="shared" si="361"/>
        <v>32.5</v>
      </c>
    </row>
    <row r="3792" spans="1:22" x14ac:dyDescent="0.2">
      <c r="A3792" s="46" t="s">
        <v>129</v>
      </c>
      <c r="B3792" s="46" t="s">
        <v>56</v>
      </c>
      <c r="C3792" s="46" t="s">
        <v>89</v>
      </c>
      <c r="D3792" s="46" t="s">
        <v>178</v>
      </c>
      <c r="E3792" s="46">
        <v>4</v>
      </c>
      <c r="F3792" s="46" t="s">
        <v>62</v>
      </c>
      <c r="G3792" s="46">
        <v>2</v>
      </c>
      <c r="H3792" s="47" t="s">
        <v>81</v>
      </c>
      <c r="I3792" s="47" t="s">
        <v>127</v>
      </c>
      <c r="J3792" s="48">
        <v>1</v>
      </c>
      <c r="K3792" s="48">
        <v>0</v>
      </c>
      <c r="R3792" s="46">
        <f t="shared" si="358"/>
        <v>0</v>
      </c>
      <c r="S3792" s="46">
        <f t="shared" si="359"/>
        <v>0</v>
      </c>
      <c r="T3792" s="46">
        <f t="shared" ref="T3792:T3855" si="362">quizscore(J3792,K3792)</f>
        <v>20</v>
      </c>
      <c r="U3792" s="46">
        <f t="shared" si="360"/>
        <v>20</v>
      </c>
      <c r="V3792" s="54">
        <f t="shared" si="361"/>
        <v>32.5</v>
      </c>
    </row>
    <row r="3793" spans="1:22" x14ac:dyDescent="0.2">
      <c r="A3793" s="46" t="s">
        <v>129</v>
      </c>
      <c r="B3793" s="46" t="s">
        <v>56</v>
      </c>
      <c r="C3793" s="46" t="s">
        <v>89</v>
      </c>
      <c r="D3793" s="46" t="s">
        <v>178</v>
      </c>
      <c r="E3793" s="46">
        <v>2</v>
      </c>
      <c r="F3793" s="46" t="s">
        <v>62</v>
      </c>
      <c r="G3793" s="46">
        <v>2</v>
      </c>
      <c r="H3793" s="47" t="s">
        <v>82</v>
      </c>
      <c r="I3793" s="47" t="s">
        <v>127</v>
      </c>
      <c r="J3793" s="48">
        <v>1</v>
      </c>
      <c r="K3793" s="48">
        <v>0</v>
      </c>
      <c r="M3793" s="48">
        <v>2</v>
      </c>
      <c r="N3793" s="48">
        <v>1</v>
      </c>
      <c r="R3793" s="46">
        <f t="shared" si="358"/>
        <v>0</v>
      </c>
      <c r="S3793" s="46">
        <f t="shared" si="359"/>
        <v>0</v>
      </c>
      <c r="T3793" s="46">
        <f t="shared" si="362"/>
        <v>20</v>
      </c>
      <c r="U3793" s="46">
        <f t="shared" si="360"/>
        <v>55</v>
      </c>
      <c r="V3793" s="54">
        <f t="shared" si="361"/>
        <v>32.5</v>
      </c>
    </row>
    <row r="3794" spans="1:22" x14ac:dyDescent="0.2">
      <c r="A3794" s="46" t="s">
        <v>129</v>
      </c>
      <c r="B3794" s="46" t="s">
        <v>56</v>
      </c>
      <c r="C3794" s="46" t="s">
        <v>89</v>
      </c>
      <c r="D3794" s="46" t="s">
        <v>178</v>
      </c>
      <c r="E3794" s="46">
        <v>2</v>
      </c>
      <c r="F3794" s="46" t="s">
        <v>62</v>
      </c>
      <c r="G3794" s="46">
        <v>2</v>
      </c>
      <c r="H3794" s="47" t="s">
        <v>83</v>
      </c>
      <c r="I3794" s="47" t="s">
        <v>127</v>
      </c>
      <c r="J3794" s="48">
        <v>1</v>
      </c>
      <c r="K3794" s="48">
        <v>0</v>
      </c>
      <c r="M3794" s="48">
        <v>1</v>
      </c>
      <c r="N3794" s="48">
        <v>1</v>
      </c>
      <c r="R3794" s="46">
        <f t="shared" si="358"/>
        <v>0</v>
      </c>
      <c r="S3794" s="46">
        <f t="shared" si="359"/>
        <v>0</v>
      </c>
      <c r="T3794" s="46">
        <f t="shared" si="362"/>
        <v>20</v>
      </c>
      <c r="U3794" s="46">
        <f t="shared" si="360"/>
        <v>35</v>
      </c>
      <c r="V3794" s="54">
        <f t="shared" si="361"/>
        <v>32.5</v>
      </c>
    </row>
    <row r="3795" spans="1:22" x14ac:dyDescent="0.2">
      <c r="A3795" s="46" t="s">
        <v>129</v>
      </c>
      <c r="B3795" s="46" t="s">
        <v>56</v>
      </c>
      <c r="C3795" s="46" t="s">
        <v>89</v>
      </c>
      <c r="D3795" s="46" t="s">
        <v>178</v>
      </c>
      <c r="E3795" s="46">
        <v>3</v>
      </c>
      <c r="F3795" s="46" t="s">
        <v>63</v>
      </c>
      <c r="G3795" s="46">
        <v>4</v>
      </c>
      <c r="H3795" s="47" t="s">
        <v>148</v>
      </c>
      <c r="I3795" s="47" t="s">
        <v>102</v>
      </c>
      <c r="J3795" s="48">
        <v>1</v>
      </c>
      <c r="K3795" s="48">
        <v>1</v>
      </c>
      <c r="M3795" s="48">
        <v>1</v>
      </c>
      <c r="R3795" s="46">
        <f t="shared" si="358"/>
        <v>0</v>
      </c>
      <c r="S3795" s="46">
        <f t="shared" si="359"/>
        <v>0</v>
      </c>
      <c r="T3795" s="46">
        <f t="shared" si="362"/>
        <v>20</v>
      </c>
      <c r="U3795" s="46">
        <f t="shared" si="360"/>
        <v>40</v>
      </c>
      <c r="V3795" s="54">
        <f t="shared" si="361"/>
        <v>32.5</v>
      </c>
    </row>
    <row r="3796" spans="1:22" x14ac:dyDescent="0.2">
      <c r="A3796" s="46" t="s">
        <v>129</v>
      </c>
      <c r="B3796" s="46" t="s">
        <v>56</v>
      </c>
      <c r="C3796" s="46" t="s">
        <v>89</v>
      </c>
      <c r="D3796" s="46" t="s">
        <v>178</v>
      </c>
      <c r="E3796" s="46">
        <v>3</v>
      </c>
      <c r="F3796" s="46" t="s">
        <v>63</v>
      </c>
      <c r="G3796" s="46">
        <v>4</v>
      </c>
      <c r="H3796" s="47" t="s">
        <v>172</v>
      </c>
      <c r="I3796" s="47" t="s">
        <v>102</v>
      </c>
      <c r="J3796" s="48">
        <v>1</v>
      </c>
      <c r="K3796" s="48">
        <v>0</v>
      </c>
      <c r="R3796" s="46">
        <f t="shared" si="358"/>
        <v>0</v>
      </c>
      <c r="S3796" s="46">
        <f t="shared" si="359"/>
        <v>0</v>
      </c>
      <c r="T3796" s="46">
        <f t="shared" si="362"/>
        <v>20</v>
      </c>
      <c r="U3796" s="46">
        <f t="shared" si="360"/>
        <v>20</v>
      </c>
      <c r="V3796" s="54">
        <f t="shared" si="361"/>
        <v>32.5</v>
      </c>
    </row>
    <row r="3797" spans="1:22" x14ac:dyDescent="0.2">
      <c r="A3797" s="46" t="s">
        <v>129</v>
      </c>
      <c r="B3797" s="46" t="s">
        <v>56</v>
      </c>
      <c r="C3797" s="46" t="s">
        <v>89</v>
      </c>
      <c r="D3797" s="46" t="s">
        <v>178</v>
      </c>
      <c r="E3797" s="46">
        <v>3</v>
      </c>
      <c r="F3797" s="46" t="s">
        <v>60</v>
      </c>
      <c r="G3797" s="46">
        <v>4</v>
      </c>
      <c r="H3797" s="47">
        <v>4</v>
      </c>
      <c r="I3797" s="47" t="s">
        <v>102</v>
      </c>
      <c r="J3797" s="48">
        <v>2</v>
      </c>
      <c r="K3797" s="48">
        <v>1</v>
      </c>
      <c r="R3797" s="46">
        <f t="shared" si="358"/>
        <v>0</v>
      </c>
      <c r="S3797" s="46">
        <f t="shared" si="359"/>
        <v>0</v>
      </c>
      <c r="T3797" s="46">
        <f t="shared" si="362"/>
        <v>40</v>
      </c>
      <c r="U3797" s="46">
        <f t="shared" si="360"/>
        <v>40</v>
      </c>
      <c r="V3797" s="54">
        <f t="shared" si="361"/>
        <v>32.5</v>
      </c>
    </row>
    <row r="3798" spans="1:22" x14ac:dyDescent="0.2">
      <c r="A3798" s="46" t="s">
        <v>129</v>
      </c>
      <c r="B3798" s="46" t="s">
        <v>56</v>
      </c>
      <c r="C3798" s="46" t="s">
        <v>89</v>
      </c>
      <c r="D3798" s="46" t="s">
        <v>178</v>
      </c>
      <c r="E3798" s="46">
        <v>4</v>
      </c>
      <c r="F3798" s="46" t="s">
        <v>60</v>
      </c>
      <c r="G3798" s="46">
        <v>2</v>
      </c>
      <c r="H3798" s="47">
        <v>10</v>
      </c>
      <c r="I3798" s="47" t="s">
        <v>127</v>
      </c>
      <c r="J3798" s="48">
        <v>2</v>
      </c>
      <c r="K3798" s="48">
        <v>1</v>
      </c>
      <c r="R3798" s="46">
        <f t="shared" si="358"/>
        <v>0</v>
      </c>
      <c r="S3798" s="46">
        <f t="shared" si="359"/>
        <v>0</v>
      </c>
      <c r="T3798" s="46">
        <f t="shared" si="362"/>
        <v>40</v>
      </c>
      <c r="U3798" s="46">
        <f t="shared" si="360"/>
        <v>40</v>
      </c>
      <c r="V3798" s="54">
        <f t="shared" si="361"/>
        <v>32.5</v>
      </c>
    </row>
    <row r="3799" spans="1:22" x14ac:dyDescent="0.2">
      <c r="A3799" s="46" t="s">
        <v>129</v>
      </c>
      <c r="B3799" s="46" t="s">
        <v>56</v>
      </c>
      <c r="C3799" s="46" t="s">
        <v>89</v>
      </c>
      <c r="D3799" s="46" t="s">
        <v>178</v>
      </c>
      <c r="E3799" s="46">
        <v>2</v>
      </c>
      <c r="F3799" s="46" t="s">
        <v>60</v>
      </c>
      <c r="G3799" s="46">
        <v>3</v>
      </c>
      <c r="H3799" s="47">
        <v>11</v>
      </c>
      <c r="I3799" s="47" t="s">
        <v>116</v>
      </c>
      <c r="J3799" s="48">
        <v>2</v>
      </c>
      <c r="K3799" s="48">
        <v>0</v>
      </c>
      <c r="N3799" s="48">
        <v>1</v>
      </c>
      <c r="R3799" s="46">
        <f t="shared" si="358"/>
        <v>0</v>
      </c>
      <c r="S3799" s="46">
        <f t="shared" si="359"/>
        <v>0</v>
      </c>
      <c r="T3799" s="46">
        <f t="shared" si="362"/>
        <v>40</v>
      </c>
      <c r="U3799" s="46">
        <f t="shared" si="360"/>
        <v>35</v>
      </c>
      <c r="V3799" s="54">
        <f t="shared" si="361"/>
        <v>32.5</v>
      </c>
    </row>
    <row r="3800" spans="1:22" x14ac:dyDescent="0.2">
      <c r="A3800" s="46" t="s">
        <v>129</v>
      </c>
      <c r="B3800" s="46" t="s">
        <v>56</v>
      </c>
      <c r="C3800" s="46" t="s">
        <v>89</v>
      </c>
      <c r="D3800" s="46" t="s">
        <v>178</v>
      </c>
      <c r="E3800" s="46">
        <v>4</v>
      </c>
      <c r="F3800" s="46" t="s">
        <v>60</v>
      </c>
      <c r="G3800" s="46">
        <v>3</v>
      </c>
      <c r="H3800" s="47">
        <v>15</v>
      </c>
      <c r="I3800" s="47" t="s">
        <v>159</v>
      </c>
      <c r="J3800" s="48">
        <v>2</v>
      </c>
      <c r="K3800" s="48">
        <v>1</v>
      </c>
      <c r="R3800" s="46">
        <f t="shared" si="358"/>
        <v>0</v>
      </c>
      <c r="S3800" s="46">
        <f t="shared" si="359"/>
        <v>0</v>
      </c>
      <c r="T3800" s="46">
        <f t="shared" si="362"/>
        <v>40</v>
      </c>
      <c r="U3800" s="46">
        <f t="shared" si="360"/>
        <v>40</v>
      </c>
      <c r="V3800" s="54">
        <f t="shared" si="361"/>
        <v>32.5</v>
      </c>
    </row>
    <row r="3801" spans="1:22" x14ac:dyDescent="0.2">
      <c r="A3801" s="46" t="s">
        <v>129</v>
      </c>
      <c r="B3801" s="46" t="s">
        <v>56</v>
      </c>
      <c r="C3801" s="46" t="s">
        <v>89</v>
      </c>
      <c r="D3801" s="46" t="s">
        <v>178</v>
      </c>
      <c r="E3801" s="46">
        <v>4</v>
      </c>
      <c r="F3801" s="46" t="s">
        <v>60</v>
      </c>
      <c r="G3801" s="46">
        <v>4</v>
      </c>
      <c r="H3801" s="47">
        <v>24</v>
      </c>
      <c r="I3801" s="47" t="s">
        <v>102</v>
      </c>
      <c r="J3801" s="48">
        <v>2</v>
      </c>
      <c r="K3801" s="48">
        <v>0</v>
      </c>
      <c r="N3801" s="48">
        <v>1</v>
      </c>
      <c r="R3801" s="46">
        <f t="shared" si="358"/>
        <v>0</v>
      </c>
      <c r="S3801" s="46">
        <f t="shared" si="359"/>
        <v>0</v>
      </c>
      <c r="T3801" s="46">
        <f t="shared" si="362"/>
        <v>40</v>
      </c>
      <c r="U3801" s="46">
        <f t="shared" si="360"/>
        <v>35</v>
      </c>
      <c r="V3801" s="54">
        <f t="shared" si="361"/>
        <v>32.5</v>
      </c>
    </row>
    <row r="3802" spans="1:22" x14ac:dyDescent="0.2">
      <c r="A3802" s="46" t="s">
        <v>129</v>
      </c>
      <c r="B3802" s="46" t="s">
        <v>56</v>
      </c>
      <c r="C3802" s="46" t="s">
        <v>89</v>
      </c>
      <c r="D3802" s="46" t="s">
        <v>178</v>
      </c>
      <c r="E3802" s="46">
        <v>2</v>
      </c>
      <c r="F3802" s="46" t="s">
        <v>60</v>
      </c>
      <c r="G3802" s="46">
        <v>4</v>
      </c>
      <c r="H3802" s="47">
        <v>40</v>
      </c>
      <c r="I3802" s="47" t="s">
        <v>102</v>
      </c>
      <c r="J3802" s="48">
        <v>2</v>
      </c>
      <c r="K3802" s="48">
        <v>0</v>
      </c>
      <c r="R3802" s="46">
        <f t="shared" si="358"/>
        <v>0</v>
      </c>
      <c r="S3802" s="46">
        <f t="shared" si="359"/>
        <v>0</v>
      </c>
      <c r="T3802" s="46">
        <f t="shared" si="362"/>
        <v>40</v>
      </c>
      <c r="U3802" s="46">
        <f t="shared" si="360"/>
        <v>40</v>
      </c>
      <c r="V3802" s="54">
        <f t="shared" si="361"/>
        <v>32.5</v>
      </c>
    </row>
    <row r="3803" spans="1:22" x14ac:dyDescent="0.2">
      <c r="A3803" s="46" t="s">
        <v>129</v>
      </c>
      <c r="B3803" s="46" t="s">
        <v>56</v>
      </c>
      <c r="C3803" s="46" t="s">
        <v>89</v>
      </c>
      <c r="D3803" s="46" t="s">
        <v>178</v>
      </c>
      <c r="E3803" s="46">
        <v>4</v>
      </c>
      <c r="F3803" s="46" t="s">
        <v>60</v>
      </c>
      <c r="G3803" s="46">
        <v>4</v>
      </c>
      <c r="H3803" s="47">
        <v>48</v>
      </c>
      <c r="I3803" s="47" t="s">
        <v>102</v>
      </c>
      <c r="J3803" s="48">
        <v>2</v>
      </c>
      <c r="K3803" s="48">
        <v>0</v>
      </c>
      <c r="R3803" s="46">
        <f t="shared" si="358"/>
        <v>0</v>
      </c>
      <c r="S3803" s="46">
        <f t="shared" si="359"/>
        <v>0</v>
      </c>
      <c r="T3803" s="46">
        <f t="shared" si="362"/>
        <v>40</v>
      </c>
      <c r="U3803" s="46">
        <f t="shared" si="360"/>
        <v>40</v>
      </c>
      <c r="V3803" s="54">
        <f t="shared" si="361"/>
        <v>32.5</v>
      </c>
    </row>
    <row r="3804" spans="1:22" x14ac:dyDescent="0.2">
      <c r="A3804" s="46" t="s">
        <v>129</v>
      </c>
      <c r="B3804" s="46" t="s">
        <v>56</v>
      </c>
      <c r="C3804" s="46" t="s">
        <v>89</v>
      </c>
      <c r="D3804" s="46" t="s">
        <v>178</v>
      </c>
      <c r="E3804" s="46">
        <v>1</v>
      </c>
      <c r="F3804" s="46" t="s">
        <v>60</v>
      </c>
      <c r="G3804" s="46">
        <v>1</v>
      </c>
      <c r="H3804" s="47">
        <v>49</v>
      </c>
      <c r="I3804" s="47" t="s">
        <v>101</v>
      </c>
      <c r="J3804" s="48">
        <v>2</v>
      </c>
      <c r="K3804" s="48">
        <v>0</v>
      </c>
      <c r="R3804" s="46">
        <f t="shared" si="358"/>
        <v>0</v>
      </c>
      <c r="S3804" s="46">
        <f t="shared" si="359"/>
        <v>0</v>
      </c>
      <c r="T3804" s="46">
        <f t="shared" si="362"/>
        <v>40</v>
      </c>
      <c r="U3804" s="46">
        <f t="shared" si="360"/>
        <v>40</v>
      </c>
      <c r="V3804" s="54">
        <f t="shared" si="361"/>
        <v>32.5</v>
      </c>
    </row>
    <row r="3805" spans="1:22" x14ac:dyDescent="0.2">
      <c r="A3805" s="46" t="s">
        <v>129</v>
      </c>
      <c r="B3805" s="46" t="s">
        <v>56</v>
      </c>
      <c r="C3805" s="46" t="s">
        <v>89</v>
      </c>
      <c r="D3805" s="46" t="s">
        <v>178</v>
      </c>
      <c r="E3805" s="46">
        <v>1</v>
      </c>
      <c r="F3805" s="46" t="s">
        <v>62</v>
      </c>
      <c r="G3805" s="46">
        <v>2</v>
      </c>
      <c r="H3805" s="47" t="s">
        <v>79</v>
      </c>
      <c r="I3805" s="47" t="s">
        <v>127</v>
      </c>
      <c r="J3805" s="48">
        <v>2</v>
      </c>
      <c r="K3805" s="48">
        <v>0</v>
      </c>
      <c r="R3805" s="46">
        <f t="shared" si="358"/>
        <v>0</v>
      </c>
      <c r="S3805" s="46">
        <f t="shared" si="359"/>
        <v>0</v>
      </c>
      <c r="T3805" s="46">
        <f t="shared" si="362"/>
        <v>40</v>
      </c>
      <c r="U3805" s="46">
        <f t="shared" si="360"/>
        <v>40</v>
      </c>
      <c r="V3805" s="54">
        <f t="shared" si="361"/>
        <v>32.5</v>
      </c>
    </row>
    <row r="3806" spans="1:22" x14ac:dyDescent="0.2">
      <c r="A3806" s="46" t="s">
        <v>129</v>
      </c>
      <c r="B3806" s="46" t="s">
        <v>56</v>
      </c>
      <c r="C3806" s="46" t="s">
        <v>89</v>
      </c>
      <c r="D3806" s="46" t="s">
        <v>178</v>
      </c>
      <c r="E3806" s="46">
        <v>1</v>
      </c>
      <c r="F3806" s="46" t="s">
        <v>62</v>
      </c>
      <c r="G3806" s="46">
        <v>3</v>
      </c>
      <c r="H3806" s="47" t="s">
        <v>84</v>
      </c>
      <c r="I3806" s="47" t="s">
        <v>116</v>
      </c>
      <c r="J3806" s="48">
        <v>2</v>
      </c>
      <c r="K3806" s="48">
        <v>1</v>
      </c>
      <c r="N3806" s="48">
        <v>1</v>
      </c>
      <c r="R3806" s="46">
        <f t="shared" si="358"/>
        <v>0</v>
      </c>
      <c r="S3806" s="46">
        <f t="shared" si="359"/>
        <v>0</v>
      </c>
      <c r="T3806" s="46">
        <f t="shared" si="362"/>
        <v>40</v>
      </c>
      <c r="U3806" s="46">
        <f t="shared" si="360"/>
        <v>35</v>
      </c>
      <c r="V3806" s="54">
        <f t="shared" si="361"/>
        <v>32.5</v>
      </c>
    </row>
    <row r="3807" spans="1:22" x14ac:dyDescent="0.2">
      <c r="A3807" s="46" t="s">
        <v>129</v>
      </c>
      <c r="B3807" s="46" t="s">
        <v>56</v>
      </c>
      <c r="C3807" s="46" t="s">
        <v>89</v>
      </c>
      <c r="D3807" s="46" t="s">
        <v>178</v>
      </c>
      <c r="E3807" s="46">
        <v>3</v>
      </c>
      <c r="F3807" s="46" t="s">
        <v>63</v>
      </c>
      <c r="G3807" s="46">
        <v>4</v>
      </c>
      <c r="H3807" s="47" t="s">
        <v>147</v>
      </c>
      <c r="I3807" s="47" t="s">
        <v>102</v>
      </c>
      <c r="J3807" s="48">
        <v>2</v>
      </c>
      <c r="K3807" s="48">
        <v>0</v>
      </c>
      <c r="N3807" s="48">
        <v>1</v>
      </c>
      <c r="R3807" s="46">
        <f t="shared" si="358"/>
        <v>0</v>
      </c>
      <c r="S3807" s="46">
        <f t="shared" si="359"/>
        <v>0</v>
      </c>
      <c r="T3807" s="46">
        <f t="shared" si="362"/>
        <v>40</v>
      </c>
      <c r="U3807" s="46">
        <f t="shared" si="360"/>
        <v>35</v>
      </c>
      <c r="V3807" s="54">
        <f t="shared" si="361"/>
        <v>32.5</v>
      </c>
    </row>
    <row r="3808" spans="1:22" x14ac:dyDescent="0.2">
      <c r="A3808" s="46" t="s">
        <v>129</v>
      </c>
      <c r="B3808" s="46" t="s">
        <v>56</v>
      </c>
      <c r="C3808" s="46" t="s">
        <v>89</v>
      </c>
      <c r="D3808" s="46" t="s">
        <v>178</v>
      </c>
      <c r="E3808" s="46">
        <v>3</v>
      </c>
      <c r="F3808" s="46" t="s">
        <v>63</v>
      </c>
      <c r="G3808" s="46">
        <v>4</v>
      </c>
      <c r="H3808" s="47" t="s">
        <v>149</v>
      </c>
      <c r="I3808" s="47" t="s">
        <v>102</v>
      </c>
      <c r="J3808" s="48">
        <v>2</v>
      </c>
      <c r="K3808" s="48">
        <v>1</v>
      </c>
      <c r="R3808" s="46">
        <f t="shared" si="358"/>
        <v>0</v>
      </c>
      <c r="S3808" s="46">
        <f t="shared" si="359"/>
        <v>0</v>
      </c>
      <c r="T3808" s="46">
        <f t="shared" si="362"/>
        <v>40</v>
      </c>
      <c r="U3808" s="46">
        <f t="shared" si="360"/>
        <v>40</v>
      </c>
      <c r="V3808" s="54">
        <f t="shared" si="361"/>
        <v>32.5</v>
      </c>
    </row>
    <row r="3809" spans="1:22" x14ac:dyDescent="0.2">
      <c r="A3809" s="46" t="s">
        <v>129</v>
      </c>
      <c r="B3809" s="46" t="s">
        <v>56</v>
      </c>
      <c r="C3809" s="46" t="s">
        <v>89</v>
      </c>
      <c r="D3809" s="46" t="s">
        <v>178</v>
      </c>
      <c r="E3809" s="46">
        <v>2</v>
      </c>
      <c r="F3809" s="46" t="s">
        <v>62</v>
      </c>
      <c r="G3809" s="46">
        <v>2</v>
      </c>
      <c r="H3809" s="47" t="s">
        <v>79</v>
      </c>
      <c r="I3809" s="47" t="s">
        <v>127</v>
      </c>
      <c r="J3809" s="48">
        <v>3</v>
      </c>
      <c r="K3809" s="48">
        <v>0</v>
      </c>
      <c r="R3809" s="46">
        <f t="shared" si="358"/>
        <v>0</v>
      </c>
      <c r="S3809" s="46">
        <f t="shared" si="359"/>
        <v>0</v>
      </c>
      <c r="T3809" s="46">
        <f t="shared" si="362"/>
        <v>60</v>
      </c>
      <c r="U3809" s="46">
        <f t="shared" si="360"/>
        <v>60</v>
      </c>
      <c r="V3809" s="54">
        <f t="shared" si="361"/>
        <v>32.5</v>
      </c>
    </row>
    <row r="3810" spans="1:22" x14ac:dyDescent="0.2">
      <c r="A3810" s="46" t="s">
        <v>129</v>
      </c>
      <c r="B3810" s="46" t="s">
        <v>56</v>
      </c>
      <c r="C3810" s="46" t="s">
        <v>89</v>
      </c>
      <c r="D3810" s="46" t="s">
        <v>178</v>
      </c>
      <c r="E3810" s="46">
        <v>3</v>
      </c>
      <c r="F3810" s="46" t="s">
        <v>60</v>
      </c>
      <c r="G3810" s="46">
        <v>3</v>
      </c>
      <c r="H3810" s="47">
        <v>27</v>
      </c>
      <c r="I3810" s="47" t="s">
        <v>116</v>
      </c>
      <c r="J3810" s="48">
        <v>4</v>
      </c>
      <c r="K3810" s="48">
        <v>0</v>
      </c>
      <c r="R3810" s="46">
        <f t="shared" si="358"/>
        <v>1</v>
      </c>
      <c r="S3810" s="46">
        <f t="shared" si="359"/>
        <v>0</v>
      </c>
      <c r="T3810" s="46">
        <f t="shared" si="362"/>
        <v>90</v>
      </c>
      <c r="U3810" s="46">
        <f t="shared" si="360"/>
        <v>90</v>
      </c>
      <c r="V3810" s="54">
        <f t="shared" si="361"/>
        <v>32.5</v>
      </c>
    </row>
    <row r="3811" spans="1:22" x14ac:dyDescent="0.2">
      <c r="A3811" s="46" t="s">
        <v>129</v>
      </c>
      <c r="B3811" s="46" t="s">
        <v>56</v>
      </c>
      <c r="C3811" s="46" t="s">
        <v>89</v>
      </c>
      <c r="D3811" s="46" t="s">
        <v>178</v>
      </c>
      <c r="E3811" s="46">
        <v>4</v>
      </c>
      <c r="F3811" s="46" t="s">
        <v>60</v>
      </c>
      <c r="G3811" s="46">
        <v>1</v>
      </c>
      <c r="H3811" s="47">
        <v>37</v>
      </c>
      <c r="I3811" s="47" t="s">
        <v>101</v>
      </c>
      <c r="J3811" s="48">
        <v>4</v>
      </c>
      <c r="K3811" s="48">
        <v>0</v>
      </c>
      <c r="N3811" s="48">
        <v>1</v>
      </c>
      <c r="R3811" s="46">
        <f t="shared" si="358"/>
        <v>1</v>
      </c>
      <c r="S3811" s="46">
        <f t="shared" si="359"/>
        <v>0</v>
      </c>
      <c r="T3811" s="46">
        <f t="shared" si="362"/>
        <v>90</v>
      </c>
      <c r="U3811" s="46">
        <f t="shared" si="360"/>
        <v>85</v>
      </c>
      <c r="V3811" s="54">
        <f t="shared" si="361"/>
        <v>32.5</v>
      </c>
    </row>
    <row r="3812" spans="1:22" x14ac:dyDescent="0.2">
      <c r="A3812" s="46" t="s">
        <v>129</v>
      </c>
      <c r="B3812" s="46" t="s">
        <v>56</v>
      </c>
      <c r="C3812" s="46" t="s">
        <v>89</v>
      </c>
      <c r="D3812" s="46" t="s">
        <v>178</v>
      </c>
      <c r="E3812" s="46">
        <v>4</v>
      </c>
      <c r="F3812" s="46" t="s">
        <v>62</v>
      </c>
      <c r="G3812" s="46">
        <v>3</v>
      </c>
      <c r="H3812" s="47" t="s">
        <v>84</v>
      </c>
      <c r="I3812" s="47" t="s">
        <v>219</v>
      </c>
      <c r="J3812" s="48">
        <v>4</v>
      </c>
      <c r="K3812" s="48">
        <v>0</v>
      </c>
      <c r="R3812" s="46">
        <f t="shared" si="358"/>
        <v>1</v>
      </c>
      <c r="S3812" s="46">
        <f t="shared" si="359"/>
        <v>0</v>
      </c>
      <c r="T3812" s="46">
        <f t="shared" si="362"/>
        <v>90</v>
      </c>
      <c r="U3812" s="46">
        <f t="shared" si="360"/>
        <v>90</v>
      </c>
      <c r="V3812" s="54">
        <f t="shared" si="361"/>
        <v>32.5</v>
      </c>
    </row>
    <row r="3813" spans="1:22" x14ac:dyDescent="0.2">
      <c r="A3813" s="46" t="s">
        <v>129</v>
      </c>
      <c r="B3813" s="46" t="s">
        <v>56</v>
      </c>
      <c r="C3813" s="46" t="s">
        <v>89</v>
      </c>
      <c r="D3813" s="46" t="s">
        <v>178</v>
      </c>
      <c r="E3813" s="46">
        <v>4</v>
      </c>
      <c r="F3813" s="46" t="s">
        <v>62</v>
      </c>
      <c r="G3813" s="46">
        <v>3</v>
      </c>
      <c r="H3813" s="47" t="s">
        <v>87</v>
      </c>
      <c r="I3813" s="47" t="s">
        <v>219</v>
      </c>
      <c r="J3813" s="48">
        <v>4</v>
      </c>
      <c r="K3813" s="48">
        <v>0</v>
      </c>
      <c r="N3813" s="48">
        <v>1</v>
      </c>
      <c r="R3813" s="46">
        <f t="shared" si="358"/>
        <v>1</v>
      </c>
      <c r="S3813" s="46">
        <f t="shared" si="359"/>
        <v>0</v>
      </c>
      <c r="T3813" s="46">
        <f t="shared" si="362"/>
        <v>90</v>
      </c>
      <c r="U3813" s="46">
        <f t="shared" si="360"/>
        <v>85</v>
      </c>
      <c r="V3813" s="54">
        <f t="shared" si="361"/>
        <v>32.5</v>
      </c>
    </row>
    <row r="3814" spans="1:22" x14ac:dyDescent="0.2">
      <c r="A3814" s="46" t="s">
        <v>129</v>
      </c>
      <c r="B3814" s="46" t="s">
        <v>56</v>
      </c>
      <c r="C3814" s="46" t="s">
        <v>89</v>
      </c>
      <c r="D3814" s="46" t="s">
        <v>178</v>
      </c>
      <c r="E3814" s="46">
        <v>5</v>
      </c>
      <c r="F3814" s="46" t="s">
        <v>60</v>
      </c>
      <c r="G3814" s="46">
        <v>1</v>
      </c>
      <c r="H3814" s="47">
        <v>5</v>
      </c>
      <c r="I3814" s="47" t="s">
        <v>101</v>
      </c>
      <c r="J3814" s="48">
        <v>2</v>
      </c>
      <c r="K3814" s="48">
        <v>0</v>
      </c>
      <c r="M3814" s="48">
        <v>1</v>
      </c>
      <c r="R3814" s="46">
        <f t="shared" si="358"/>
        <v>0</v>
      </c>
      <c r="S3814" s="46">
        <f t="shared" si="359"/>
        <v>0</v>
      </c>
      <c r="T3814" s="46">
        <f t="shared" si="362"/>
        <v>40</v>
      </c>
      <c r="U3814" s="46">
        <f t="shared" si="360"/>
        <v>60</v>
      </c>
      <c r="V3814" s="54">
        <f t="shared" si="361"/>
        <v>32.5</v>
      </c>
    </row>
    <row r="3815" spans="1:22" x14ac:dyDescent="0.2">
      <c r="A3815" s="46" t="s">
        <v>129</v>
      </c>
      <c r="B3815" s="46" t="s">
        <v>56</v>
      </c>
      <c r="C3815" s="46" t="s">
        <v>89</v>
      </c>
      <c r="D3815" s="46" t="s">
        <v>178</v>
      </c>
      <c r="E3815" s="46">
        <v>5</v>
      </c>
      <c r="F3815" s="46" t="s">
        <v>60</v>
      </c>
      <c r="G3815" s="46">
        <v>4</v>
      </c>
      <c r="H3815" s="47">
        <v>20</v>
      </c>
      <c r="I3815" s="47" t="s">
        <v>102</v>
      </c>
      <c r="J3815" s="48">
        <v>0</v>
      </c>
      <c r="K3815" s="48">
        <v>3</v>
      </c>
      <c r="R3815" s="46">
        <f t="shared" si="358"/>
        <v>0</v>
      </c>
      <c r="S3815" s="46">
        <f t="shared" si="359"/>
        <v>1</v>
      </c>
      <c r="T3815" s="46">
        <f t="shared" si="362"/>
        <v>-20</v>
      </c>
      <c r="U3815" s="46">
        <f t="shared" si="360"/>
        <v>-20</v>
      </c>
      <c r="V3815" s="54">
        <f t="shared" si="361"/>
        <v>32.5</v>
      </c>
    </row>
    <row r="3816" spans="1:22" x14ac:dyDescent="0.2">
      <c r="A3816" s="46" t="s">
        <v>129</v>
      </c>
      <c r="B3816" s="46" t="s">
        <v>56</v>
      </c>
      <c r="C3816" s="46" t="s">
        <v>89</v>
      </c>
      <c r="D3816" s="46" t="s">
        <v>178</v>
      </c>
      <c r="E3816" s="46">
        <v>5</v>
      </c>
      <c r="F3816" s="46" t="s">
        <v>60</v>
      </c>
      <c r="G3816" s="46">
        <v>2</v>
      </c>
      <c r="H3816" s="47">
        <v>26</v>
      </c>
      <c r="I3816" s="47" t="s">
        <v>127</v>
      </c>
      <c r="J3816" s="48">
        <v>4</v>
      </c>
      <c r="K3816" s="48">
        <v>1</v>
      </c>
      <c r="R3816" s="46">
        <f t="shared" si="358"/>
        <v>1</v>
      </c>
      <c r="S3816" s="46">
        <f t="shared" si="359"/>
        <v>0</v>
      </c>
      <c r="T3816" s="46">
        <f t="shared" si="362"/>
        <v>80</v>
      </c>
      <c r="U3816" s="46">
        <f t="shared" si="360"/>
        <v>80</v>
      </c>
      <c r="V3816" s="54">
        <f t="shared" si="361"/>
        <v>32.5</v>
      </c>
    </row>
    <row r="3817" spans="1:22" x14ac:dyDescent="0.2">
      <c r="A3817" s="46" t="s">
        <v>129</v>
      </c>
      <c r="B3817" s="46" t="s">
        <v>56</v>
      </c>
      <c r="C3817" s="46" t="s">
        <v>89</v>
      </c>
      <c r="D3817" s="46" t="s">
        <v>178</v>
      </c>
      <c r="E3817" s="46">
        <v>5</v>
      </c>
      <c r="F3817" s="46" t="s">
        <v>60</v>
      </c>
      <c r="G3817" s="46">
        <v>2</v>
      </c>
      <c r="H3817" s="47">
        <v>34</v>
      </c>
      <c r="I3817" s="47" t="s">
        <v>127</v>
      </c>
      <c r="J3817" s="48">
        <v>3</v>
      </c>
      <c r="K3817" s="48">
        <v>1</v>
      </c>
      <c r="R3817" s="46">
        <f t="shared" si="358"/>
        <v>0</v>
      </c>
      <c r="S3817" s="46">
        <f t="shared" si="359"/>
        <v>0</v>
      </c>
      <c r="T3817" s="46">
        <f t="shared" si="362"/>
        <v>60</v>
      </c>
      <c r="U3817" s="46">
        <f t="shared" si="360"/>
        <v>60</v>
      </c>
      <c r="V3817" s="54">
        <f t="shared" si="361"/>
        <v>32.5</v>
      </c>
    </row>
    <row r="3818" spans="1:22" x14ac:dyDescent="0.2">
      <c r="A3818" s="46" t="s">
        <v>129</v>
      </c>
      <c r="B3818" s="46" t="s">
        <v>56</v>
      </c>
      <c r="C3818" s="46" t="s">
        <v>89</v>
      </c>
      <c r="D3818" s="46" t="s">
        <v>178</v>
      </c>
      <c r="E3818" s="46">
        <v>5</v>
      </c>
      <c r="F3818" s="46" t="s">
        <v>60</v>
      </c>
      <c r="G3818" s="46">
        <v>3</v>
      </c>
      <c r="H3818" s="47">
        <v>39</v>
      </c>
      <c r="I3818" s="47" t="s">
        <v>159</v>
      </c>
      <c r="J3818" s="48">
        <v>2</v>
      </c>
      <c r="K3818" s="48">
        <v>1</v>
      </c>
      <c r="R3818" s="46">
        <f t="shared" si="358"/>
        <v>0</v>
      </c>
      <c r="S3818" s="46">
        <f t="shared" si="359"/>
        <v>0</v>
      </c>
      <c r="T3818" s="46">
        <f t="shared" si="362"/>
        <v>40</v>
      </c>
      <c r="U3818" s="46">
        <f t="shared" si="360"/>
        <v>40</v>
      </c>
      <c r="V3818" s="54">
        <f t="shared" si="361"/>
        <v>32.5</v>
      </c>
    </row>
    <row r="3819" spans="1:22" x14ac:dyDescent="0.2">
      <c r="A3819" s="46" t="s">
        <v>129</v>
      </c>
      <c r="B3819" s="46" t="s">
        <v>56</v>
      </c>
      <c r="C3819" s="46" t="s">
        <v>89</v>
      </c>
      <c r="D3819" s="46" t="s">
        <v>178</v>
      </c>
      <c r="E3819" s="46">
        <v>5</v>
      </c>
      <c r="F3819" s="46" t="s">
        <v>60</v>
      </c>
      <c r="G3819" s="46">
        <v>4</v>
      </c>
      <c r="H3819" s="47">
        <v>48</v>
      </c>
      <c r="I3819" s="47" t="s">
        <v>102</v>
      </c>
      <c r="J3819" s="48">
        <v>4</v>
      </c>
      <c r="K3819" s="48">
        <v>0</v>
      </c>
      <c r="R3819" s="46">
        <f t="shared" si="358"/>
        <v>1</v>
      </c>
      <c r="S3819" s="46">
        <f t="shared" si="359"/>
        <v>0</v>
      </c>
      <c r="T3819" s="46">
        <f t="shared" si="362"/>
        <v>90</v>
      </c>
      <c r="U3819" s="46">
        <f t="shared" si="360"/>
        <v>90</v>
      </c>
      <c r="V3819" s="54">
        <f t="shared" si="361"/>
        <v>32.5</v>
      </c>
    </row>
    <row r="3820" spans="1:22" x14ac:dyDescent="0.2">
      <c r="A3820" s="46" t="s">
        <v>129</v>
      </c>
      <c r="B3820" s="46" t="s">
        <v>56</v>
      </c>
      <c r="C3820" s="46" t="s">
        <v>89</v>
      </c>
      <c r="D3820" s="46" t="s">
        <v>178</v>
      </c>
      <c r="E3820" s="46">
        <v>5</v>
      </c>
      <c r="F3820" s="46" t="s">
        <v>62</v>
      </c>
      <c r="G3820" s="46">
        <v>2</v>
      </c>
      <c r="H3820" s="47" t="s">
        <v>81</v>
      </c>
      <c r="I3820" s="47" t="s">
        <v>127</v>
      </c>
      <c r="J3820" s="48">
        <v>1</v>
      </c>
      <c r="K3820" s="48">
        <v>1</v>
      </c>
      <c r="M3820" s="48">
        <v>1</v>
      </c>
      <c r="N3820" s="48">
        <v>1</v>
      </c>
      <c r="R3820" s="46">
        <f t="shared" si="358"/>
        <v>0</v>
      </c>
      <c r="S3820" s="46">
        <f t="shared" si="359"/>
        <v>0</v>
      </c>
      <c r="T3820" s="46">
        <f t="shared" si="362"/>
        <v>20</v>
      </c>
      <c r="U3820" s="46">
        <f t="shared" si="360"/>
        <v>35</v>
      </c>
      <c r="V3820" s="54">
        <f t="shared" si="361"/>
        <v>32.5</v>
      </c>
    </row>
    <row r="3821" spans="1:22" x14ac:dyDescent="0.2">
      <c r="A3821" s="46" t="s">
        <v>129</v>
      </c>
      <c r="B3821" s="46" t="s">
        <v>56</v>
      </c>
      <c r="C3821" s="46" t="s">
        <v>89</v>
      </c>
      <c r="D3821" s="46" t="s">
        <v>178</v>
      </c>
      <c r="E3821" s="46">
        <v>5</v>
      </c>
      <c r="F3821" s="46" t="s">
        <v>62</v>
      </c>
      <c r="G3821" s="46">
        <v>3</v>
      </c>
      <c r="H3821" s="47" t="s">
        <v>84</v>
      </c>
      <c r="I3821" s="47" t="s">
        <v>219</v>
      </c>
      <c r="J3821" s="48">
        <v>4</v>
      </c>
      <c r="K3821" s="48">
        <v>0</v>
      </c>
      <c r="R3821" s="46">
        <f t="shared" si="358"/>
        <v>1</v>
      </c>
      <c r="S3821" s="46">
        <f t="shared" si="359"/>
        <v>0</v>
      </c>
      <c r="T3821" s="46">
        <f t="shared" si="362"/>
        <v>90</v>
      </c>
      <c r="U3821" s="46">
        <f t="shared" si="360"/>
        <v>90</v>
      </c>
      <c r="V3821" s="54">
        <f t="shared" si="361"/>
        <v>32.5</v>
      </c>
    </row>
    <row r="3822" spans="1:22" x14ac:dyDescent="0.2">
      <c r="A3822" s="46" t="s">
        <v>129</v>
      </c>
      <c r="B3822" s="46" t="s">
        <v>56</v>
      </c>
      <c r="C3822" s="46" t="s">
        <v>89</v>
      </c>
      <c r="D3822" s="46" t="s">
        <v>178</v>
      </c>
      <c r="E3822" s="46">
        <v>5</v>
      </c>
      <c r="F3822" s="46" t="s">
        <v>62</v>
      </c>
      <c r="G3822" s="46">
        <v>3</v>
      </c>
      <c r="H3822" s="47" t="s">
        <v>87</v>
      </c>
      <c r="I3822" s="47" t="s">
        <v>219</v>
      </c>
      <c r="J3822" s="48">
        <v>4</v>
      </c>
      <c r="K3822" s="48">
        <v>0</v>
      </c>
      <c r="R3822" s="46">
        <f t="shared" si="358"/>
        <v>1</v>
      </c>
      <c r="S3822" s="46">
        <f t="shared" si="359"/>
        <v>0</v>
      </c>
      <c r="T3822" s="46">
        <f t="shared" si="362"/>
        <v>90</v>
      </c>
      <c r="U3822" s="46">
        <f t="shared" si="360"/>
        <v>90</v>
      </c>
      <c r="V3822" s="54">
        <f t="shared" si="361"/>
        <v>32.5</v>
      </c>
    </row>
    <row r="3823" spans="1:22" x14ac:dyDescent="0.2">
      <c r="A3823" s="46" t="s">
        <v>129</v>
      </c>
      <c r="B3823" s="46" t="s">
        <v>56</v>
      </c>
      <c r="C3823" s="46" t="str">
        <f>VLOOKUP(B3823,$B$2:$C$3219,2,FALSE)</f>
        <v>Chapel Hill</v>
      </c>
      <c r="D3823" s="46" t="s">
        <v>178</v>
      </c>
      <c r="E3823" s="46">
        <v>5</v>
      </c>
      <c r="F3823" s="46" t="s">
        <v>62</v>
      </c>
      <c r="G3823" s="46">
        <v>3</v>
      </c>
      <c r="H3823" s="47" t="s">
        <v>64</v>
      </c>
      <c r="I3823" s="47" t="s">
        <v>219</v>
      </c>
      <c r="J3823" s="48">
        <v>3</v>
      </c>
      <c r="K3823" s="48">
        <v>0</v>
      </c>
      <c r="M3823" s="48">
        <v>1</v>
      </c>
      <c r="R3823" s="46">
        <f t="shared" si="358"/>
        <v>0</v>
      </c>
      <c r="S3823" s="46">
        <f t="shared" si="359"/>
        <v>0</v>
      </c>
      <c r="T3823" s="46">
        <f t="shared" si="362"/>
        <v>60</v>
      </c>
      <c r="U3823" s="46">
        <f t="shared" si="360"/>
        <v>80</v>
      </c>
      <c r="V3823" s="54">
        <f t="shared" si="361"/>
        <v>32.5</v>
      </c>
    </row>
    <row r="3824" spans="1:22" x14ac:dyDescent="0.2">
      <c r="A3824" s="46" t="s">
        <v>204</v>
      </c>
      <c r="B3824" s="46" t="s">
        <v>53</v>
      </c>
      <c r="C3824" s="46" t="s">
        <v>92</v>
      </c>
      <c r="D3824" s="46" t="s">
        <v>178</v>
      </c>
      <c r="E3824" s="46">
        <v>4</v>
      </c>
      <c r="F3824" s="46" t="s">
        <v>60</v>
      </c>
      <c r="G3824" s="46">
        <v>1</v>
      </c>
      <c r="H3824" s="47">
        <v>1</v>
      </c>
      <c r="I3824" s="47" t="s">
        <v>101</v>
      </c>
      <c r="J3824" s="48">
        <v>0</v>
      </c>
      <c r="K3824" s="48">
        <v>0</v>
      </c>
      <c r="R3824" s="46">
        <f t="shared" si="358"/>
        <v>0</v>
      </c>
      <c r="S3824" s="46">
        <f t="shared" si="359"/>
        <v>0</v>
      </c>
      <c r="T3824" s="46">
        <f t="shared" si="362"/>
        <v>0</v>
      </c>
      <c r="U3824" s="46">
        <f t="shared" si="360"/>
        <v>0</v>
      </c>
      <c r="V3824" s="54">
        <f t="shared" si="361"/>
        <v>11.833333333333334</v>
      </c>
    </row>
    <row r="3825" spans="1:22" x14ac:dyDescent="0.2">
      <c r="A3825" s="46" t="s">
        <v>204</v>
      </c>
      <c r="B3825" s="46" t="s">
        <v>53</v>
      </c>
      <c r="C3825" s="46" t="s">
        <v>92</v>
      </c>
      <c r="D3825" s="46" t="s">
        <v>178</v>
      </c>
      <c r="E3825" s="46">
        <v>2</v>
      </c>
      <c r="F3825" s="46" t="s">
        <v>60</v>
      </c>
      <c r="G3825" s="46">
        <v>3</v>
      </c>
      <c r="H3825" s="47">
        <v>3</v>
      </c>
      <c r="I3825" s="47" t="s">
        <v>116</v>
      </c>
      <c r="J3825" s="48">
        <v>0</v>
      </c>
      <c r="K3825" s="48">
        <v>0</v>
      </c>
      <c r="R3825" s="46">
        <f t="shared" si="358"/>
        <v>0</v>
      </c>
      <c r="S3825" s="46">
        <f t="shared" si="359"/>
        <v>0</v>
      </c>
      <c r="T3825" s="46">
        <f t="shared" si="362"/>
        <v>0</v>
      </c>
      <c r="U3825" s="46">
        <f t="shared" si="360"/>
        <v>0</v>
      </c>
      <c r="V3825" s="54">
        <f t="shared" si="361"/>
        <v>11.833333333333334</v>
      </c>
    </row>
    <row r="3826" spans="1:22" x14ac:dyDescent="0.2">
      <c r="A3826" s="46" t="s">
        <v>204</v>
      </c>
      <c r="B3826" s="46" t="s">
        <v>53</v>
      </c>
      <c r="C3826" s="46" t="s">
        <v>92</v>
      </c>
      <c r="D3826" s="46" t="s">
        <v>178</v>
      </c>
      <c r="E3826" s="46">
        <v>3</v>
      </c>
      <c r="F3826" s="46" t="s">
        <v>60</v>
      </c>
      <c r="G3826" s="46">
        <v>3</v>
      </c>
      <c r="H3826" s="47">
        <v>7</v>
      </c>
      <c r="I3826" s="47" t="s">
        <v>116</v>
      </c>
      <c r="J3826" s="48">
        <v>0</v>
      </c>
      <c r="K3826" s="48">
        <v>0</v>
      </c>
      <c r="R3826" s="46">
        <f t="shared" si="358"/>
        <v>0</v>
      </c>
      <c r="S3826" s="46">
        <f t="shared" si="359"/>
        <v>0</v>
      </c>
      <c r="T3826" s="46">
        <f t="shared" si="362"/>
        <v>0</v>
      </c>
      <c r="U3826" s="46">
        <f t="shared" si="360"/>
        <v>0</v>
      </c>
      <c r="V3826" s="54">
        <f t="shared" si="361"/>
        <v>11.833333333333334</v>
      </c>
    </row>
    <row r="3827" spans="1:22" x14ac:dyDescent="0.2">
      <c r="A3827" s="46" t="s">
        <v>204</v>
      </c>
      <c r="B3827" s="46" t="s">
        <v>53</v>
      </c>
      <c r="C3827" s="46" t="s">
        <v>92</v>
      </c>
      <c r="D3827" s="46" t="s">
        <v>178</v>
      </c>
      <c r="E3827" s="46">
        <v>1</v>
      </c>
      <c r="F3827" s="46" t="s">
        <v>60</v>
      </c>
      <c r="G3827" s="46">
        <v>2</v>
      </c>
      <c r="H3827" s="47">
        <v>10</v>
      </c>
      <c r="I3827" s="47" t="s">
        <v>127</v>
      </c>
      <c r="J3827" s="48">
        <v>0</v>
      </c>
      <c r="K3827" s="48">
        <v>0</v>
      </c>
      <c r="R3827" s="46">
        <f t="shared" si="358"/>
        <v>0</v>
      </c>
      <c r="S3827" s="46">
        <f t="shared" si="359"/>
        <v>0</v>
      </c>
      <c r="T3827" s="46">
        <f t="shared" si="362"/>
        <v>0</v>
      </c>
      <c r="U3827" s="46">
        <f t="shared" si="360"/>
        <v>0</v>
      </c>
      <c r="V3827" s="54">
        <f t="shared" si="361"/>
        <v>11.833333333333334</v>
      </c>
    </row>
    <row r="3828" spans="1:22" x14ac:dyDescent="0.2">
      <c r="A3828" s="46" t="s">
        <v>204</v>
      </c>
      <c r="B3828" s="46" t="s">
        <v>53</v>
      </c>
      <c r="C3828" s="46" t="s">
        <v>92</v>
      </c>
      <c r="D3828" s="46" t="s">
        <v>178</v>
      </c>
      <c r="E3828" s="46">
        <v>4</v>
      </c>
      <c r="F3828" s="46" t="s">
        <v>60</v>
      </c>
      <c r="G3828" s="46">
        <v>4</v>
      </c>
      <c r="H3828" s="47">
        <v>12</v>
      </c>
      <c r="I3828" s="47" t="s">
        <v>102</v>
      </c>
      <c r="J3828" s="48">
        <v>0</v>
      </c>
      <c r="K3828" s="48">
        <v>0</v>
      </c>
      <c r="N3828" s="48">
        <v>1</v>
      </c>
      <c r="R3828" s="46">
        <f t="shared" si="358"/>
        <v>0</v>
      </c>
      <c r="S3828" s="46">
        <f t="shared" si="359"/>
        <v>0</v>
      </c>
      <c r="T3828" s="46">
        <f t="shared" si="362"/>
        <v>0</v>
      </c>
      <c r="U3828" s="46">
        <f t="shared" si="360"/>
        <v>-5</v>
      </c>
      <c r="V3828" s="54">
        <f t="shared" si="361"/>
        <v>11.833333333333334</v>
      </c>
    </row>
    <row r="3829" spans="1:22" x14ac:dyDescent="0.2">
      <c r="A3829" s="46" t="s">
        <v>204</v>
      </c>
      <c r="B3829" s="46" t="s">
        <v>53</v>
      </c>
      <c r="C3829" s="46" t="s">
        <v>92</v>
      </c>
      <c r="D3829" s="46" t="s">
        <v>178</v>
      </c>
      <c r="E3829" s="46">
        <v>2</v>
      </c>
      <c r="F3829" s="46" t="s">
        <v>60</v>
      </c>
      <c r="G3829" s="46">
        <v>3</v>
      </c>
      <c r="H3829" s="47">
        <v>23</v>
      </c>
      <c r="I3829" s="47" t="s">
        <v>116</v>
      </c>
      <c r="J3829" s="48">
        <v>0</v>
      </c>
      <c r="K3829" s="48">
        <v>0</v>
      </c>
      <c r="R3829" s="46">
        <f t="shared" si="358"/>
        <v>0</v>
      </c>
      <c r="S3829" s="46">
        <f t="shared" si="359"/>
        <v>0</v>
      </c>
      <c r="T3829" s="46">
        <f t="shared" si="362"/>
        <v>0</v>
      </c>
      <c r="U3829" s="46">
        <f t="shared" si="360"/>
        <v>0</v>
      </c>
      <c r="V3829" s="54">
        <f t="shared" si="361"/>
        <v>11.833333333333334</v>
      </c>
    </row>
    <row r="3830" spans="1:22" x14ac:dyDescent="0.2">
      <c r="A3830" s="46" t="s">
        <v>204</v>
      </c>
      <c r="B3830" s="46" t="s">
        <v>53</v>
      </c>
      <c r="C3830" s="46" t="s">
        <v>92</v>
      </c>
      <c r="D3830" s="46" t="s">
        <v>178</v>
      </c>
      <c r="E3830" s="46">
        <v>1</v>
      </c>
      <c r="F3830" s="46" t="s">
        <v>60</v>
      </c>
      <c r="G3830" s="46">
        <v>3</v>
      </c>
      <c r="H3830" s="47">
        <v>31</v>
      </c>
      <c r="I3830" s="47" t="s">
        <v>116</v>
      </c>
      <c r="J3830" s="48">
        <v>0</v>
      </c>
      <c r="K3830" s="48">
        <v>1</v>
      </c>
      <c r="R3830" s="46">
        <f t="shared" si="358"/>
        <v>0</v>
      </c>
      <c r="S3830" s="46">
        <f t="shared" si="359"/>
        <v>0</v>
      </c>
      <c r="T3830" s="46">
        <f t="shared" si="362"/>
        <v>0</v>
      </c>
      <c r="U3830" s="46">
        <f t="shared" si="360"/>
        <v>0</v>
      </c>
      <c r="V3830" s="54">
        <f t="shared" si="361"/>
        <v>11.833333333333334</v>
      </c>
    </row>
    <row r="3831" spans="1:22" x14ac:dyDescent="0.2">
      <c r="A3831" s="46" t="s">
        <v>204</v>
      </c>
      <c r="B3831" s="46" t="s">
        <v>53</v>
      </c>
      <c r="C3831" s="46" t="s">
        <v>92</v>
      </c>
      <c r="D3831" s="46" t="s">
        <v>178</v>
      </c>
      <c r="E3831" s="46">
        <v>2</v>
      </c>
      <c r="F3831" s="46" t="s">
        <v>60</v>
      </c>
      <c r="G3831" s="46">
        <v>1</v>
      </c>
      <c r="H3831" s="47">
        <v>33</v>
      </c>
      <c r="I3831" s="47" t="s">
        <v>101</v>
      </c>
      <c r="J3831" s="48">
        <v>0</v>
      </c>
      <c r="K3831" s="48">
        <v>0</v>
      </c>
      <c r="R3831" s="46">
        <f t="shared" si="358"/>
        <v>0</v>
      </c>
      <c r="S3831" s="46">
        <f t="shared" si="359"/>
        <v>0</v>
      </c>
      <c r="T3831" s="46">
        <f t="shared" si="362"/>
        <v>0</v>
      </c>
      <c r="U3831" s="46">
        <f t="shared" si="360"/>
        <v>0</v>
      </c>
      <c r="V3831" s="54">
        <f t="shared" si="361"/>
        <v>11.833333333333334</v>
      </c>
    </row>
    <row r="3832" spans="1:22" x14ac:dyDescent="0.2">
      <c r="A3832" s="46" t="s">
        <v>204</v>
      </c>
      <c r="B3832" s="46" t="s">
        <v>53</v>
      </c>
      <c r="C3832" s="46" t="s">
        <v>92</v>
      </c>
      <c r="D3832" s="46" t="s">
        <v>178</v>
      </c>
      <c r="E3832" s="46">
        <v>1</v>
      </c>
      <c r="F3832" s="46" t="s">
        <v>60</v>
      </c>
      <c r="G3832" s="46">
        <v>3</v>
      </c>
      <c r="H3832" s="47">
        <v>35</v>
      </c>
      <c r="I3832" s="47" t="s">
        <v>116</v>
      </c>
      <c r="J3832" s="48">
        <v>0</v>
      </c>
      <c r="K3832" s="48">
        <v>0</v>
      </c>
      <c r="R3832" s="46">
        <f t="shared" si="358"/>
        <v>0</v>
      </c>
      <c r="S3832" s="46">
        <f t="shared" si="359"/>
        <v>0</v>
      </c>
      <c r="T3832" s="46">
        <f t="shared" si="362"/>
        <v>0</v>
      </c>
      <c r="U3832" s="46">
        <f t="shared" si="360"/>
        <v>0</v>
      </c>
      <c r="V3832" s="54">
        <f t="shared" si="361"/>
        <v>11.833333333333334</v>
      </c>
    </row>
    <row r="3833" spans="1:22" x14ac:dyDescent="0.2">
      <c r="A3833" s="46" t="s">
        <v>204</v>
      </c>
      <c r="B3833" s="46" t="s">
        <v>53</v>
      </c>
      <c r="C3833" s="46" t="s">
        <v>92</v>
      </c>
      <c r="D3833" s="46" t="s">
        <v>178</v>
      </c>
      <c r="E3833" s="46">
        <v>3</v>
      </c>
      <c r="F3833" s="46" t="s">
        <v>60</v>
      </c>
      <c r="G3833" s="46">
        <v>4</v>
      </c>
      <c r="H3833" s="47">
        <v>36</v>
      </c>
      <c r="I3833" s="47" t="s">
        <v>102</v>
      </c>
      <c r="J3833" s="48">
        <v>0</v>
      </c>
      <c r="K3833" s="48">
        <v>0</v>
      </c>
      <c r="R3833" s="46">
        <f t="shared" si="358"/>
        <v>0</v>
      </c>
      <c r="S3833" s="46">
        <f t="shared" si="359"/>
        <v>0</v>
      </c>
      <c r="T3833" s="46">
        <f t="shared" si="362"/>
        <v>0</v>
      </c>
      <c r="U3833" s="46">
        <f t="shared" si="360"/>
        <v>0</v>
      </c>
      <c r="V3833" s="54">
        <f t="shared" si="361"/>
        <v>11.833333333333334</v>
      </c>
    </row>
    <row r="3834" spans="1:22" x14ac:dyDescent="0.2">
      <c r="A3834" s="46" t="s">
        <v>204</v>
      </c>
      <c r="B3834" s="46" t="s">
        <v>53</v>
      </c>
      <c r="C3834" s="46" t="s">
        <v>92</v>
      </c>
      <c r="D3834" s="46" t="s">
        <v>178</v>
      </c>
      <c r="E3834" s="46">
        <v>4</v>
      </c>
      <c r="F3834" s="46" t="s">
        <v>60</v>
      </c>
      <c r="G3834" s="46">
        <v>1</v>
      </c>
      <c r="H3834" s="47">
        <v>41</v>
      </c>
      <c r="I3834" s="47" t="s">
        <v>101</v>
      </c>
      <c r="J3834" s="48">
        <v>0</v>
      </c>
      <c r="K3834" s="48">
        <v>0</v>
      </c>
      <c r="R3834" s="46">
        <f t="shared" si="358"/>
        <v>0</v>
      </c>
      <c r="S3834" s="46">
        <f t="shared" si="359"/>
        <v>0</v>
      </c>
      <c r="T3834" s="46">
        <f t="shared" si="362"/>
        <v>0</v>
      </c>
      <c r="U3834" s="46">
        <f t="shared" si="360"/>
        <v>0</v>
      </c>
      <c r="V3834" s="54">
        <f t="shared" si="361"/>
        <v>11.833333333333334</v>
      </c>
    </row>
    <row r="3835" spans="1:22" x14ac:dyDescent="0.2">
      <c r="A3835" s="46" t="s">
        <v>204</v>
      </c>
      <c r="B3835" s="46" t="s">
        <v>53</v>
      </c>
      <c r="C3835" s="46" t="s">
        <v>92</v>
      </c>
      <c r="D3835" s="46" t="s">
        <v>178</v>
      </c>
      <c r="E3835" s="46">
        <v>1</v>
      </c>
      <c r="F3835" s="46" t="s">
        <v>60</v>
      </c>
      <c r="G3835" s="46">
        <v>2</v>
      </c>
      <c r="H3835" s="47">
        <v>46</v>
      </c>
      <c r="I3835" s="47" t="s">
        <v>127</v>
      </c>
      <c r="J3835" s="48">
        <v>0</v>
      </c>
      <c r="K3835" s="48">
        <v>1</v>
      </c>
      <c r="R3835" s="46">
        <f t="shared" si="358"/>
        <v>0</v>
      </c>
      <c r="S3835" s="46">
        <f t="shared" si="359"/>
        <v>0</v>
      </c>
      <c r="T3835" s="46">
        <f t="shared" si="362"/>
        <v>0</v>
      </c>
      <c r="U3835" s="46">
        <f t="shared" si="360"/>
        <v>0</v>
      </c>
      <c r="V3835" s="54">
        <f t="shared" si="361"/>
        <v>11.833333333333334</v>
      </c>
    </row>
    <row r="3836" spans="1:22" x14ac:dyDescent="0.2">
      <c r="A3836" s="46" t="s">
        <v>204</v>
      </c>
      <c r="B3836" s="46" t="s">
        <v>53</v>
      </c>
      <c r="C3836" s="46" t="s">
        <v>92</v>
      </c>
      <c r="D3836" s="46" t="s">
        <v>178</v>
      </c>
      <c r="E3836" s="46">
        <v>3</v>
      </c>
      <c r="F3836" s="46" t="s">
        <v>60</v>
      </c>
      <c r="G3836" s="46">
        <v>3</v>
      </c>
      <c r="H3836" s="47">
        <v>47</v>
      </c>
      <c r="I3836" s="47" t="s">
        <v>116</v>
      </c>
      <c r="J3836" s="48">
        <v>0</v>
      </c>
      <c r="K3836" s="48">
        <v>0</v>
      </c>
      <c r="R3836" s="46">
        <f t="shared" si="358"/>
        <v>0</v>
      </c>
      <c r="S3836" s="46">
        <f t="shared" si="359"/>
        <v>0</v>
      </c>
      <c r="T3836" s="46">
        <f t="shared" si="362"/>
        <v>0</v>
      </c>
      <c r="U3836" s="46">
        <f t="shared" si="360"/>
        <v>0</v>
      </c>
      <c r="V3836" s="54">
        <f t="shared" si="361"/>
        <v>11.833333333333334</v>
      </c>
    </row>
    <row r="3837" spans="1:22" x14ac:dyDescent="0.2">
      <c r="A3837" s="46" t="s">
        <v>204</v>
      </c>
      <c r="B3837" s="46" t="s">
        <v>53</v>
      </c>
      <c r="C3837" s="46" t="s">
        <v>92</v>
      </c>
      <c r="D3837" s="46" t="s">
        <v>178</v>
      </c>
      <c r="E3837" s="46">
        <v>2</v>
      </c>
      <c r="F3837" s="46" t="s">
        <v>60</v>
      </c>
      <c r="G3837" s="46">
        <v>4</v>
      </c>
      <c r="H3837" s="47">
        <v>48</v>
      </c>
      <c r="I3837" s="47" t="s">
        <v>102</v>
      </c>
      <c r="J3837" s="48">
        <v>0</v>
      </c>
      <c r="K3837" s="48">
        <v>0</v>
      </c>
      <c r="R3837" s="46">
        <f t="shared" si="358"/>
        <v>0</v>
      </c>
      <c r="S3837" s="46">
        <f t="shared" si="359"/>
        <v>0</v>
      </c>
      <c r="T3837" s="46">
        <f t="shared" si="362"/>
        <v>0</v>
      </c>
      <c r="U3837" s="46">
        <f t="shared" si="360"/>
        <v>0</v>
      </c>
      <c r="V3837" s="54">
        <f t="shared" si="361"/>
        <v>11.833333333333334</v>
      </c>
    </row>
    <row r="3838" spans="1:22" x14ac:dyDescent="0.2">
      <c r="A3838" s="46" t="s">
        <v>204</v>
      </c>
      <c r="B3838" s="46" t="s">
        <v>53</v>
      </c>
      <c r="C3838" s="46" t="s">
        <v>92</v>
      </c>
      <c r="D3838" s="46" t="s">
        <v>178</v>
      </c>
      <c r="E3838" s="46">
        <v>4</v>
      </c>
      <c r="F3838" s="46" t="s">
        <v>62</v>
      </c>
      <c r="G3838" s="46">
        <v>3</v>
      </c>
      <c r="H3838" s="47" t="s">
        <v>80</v>
      </c>
      <c r="I3838" s="47" t="s">
        <v>219</v>
      </c>
      <c r="J3838" s="48">
        <v>0</v>
      </c>
      <c r="K3838" s="48">
        <v>1</v>
      </c>
      <c r="R3838" s="46">
        <f t="shared" si="358"/>
        <v>0</v>
      </c>
      <c r="S3838" s="46">
        <f t="shared" si="359"/>
        <v>0</v>
      </c>
      <c r="T3838" s="46">
        <f t="shared" si="362"/>
        <v>0</v>
      </c>
      <c r="U3838" s="46">
        <f t="shared" si="360"/>
        <v>0</v>
      </c>
      <c r="V3838" s="54">
        <f t="shared" si="361"/>
        <v>11.833333333333334</v>
      </c>
    </row>
    <row r="3839" spans="1:22" x14ac:dyDescent="0.2">
      <c r="A3839" s="46" t="s">
        <v>204</v>
      </c>
      <c r="B3839" s="46" t="s">
        <v>53</v>
      </c>
      <c r="C3839" s="46" t="s">
        <v>92</v>
      </c>
      <c r="D3839" s="46" t="s">
        <v>178</v>
      </c>
      <c r="E3839" s="46">
        <v>1</v>
      </c>
      <c r="F3839" s="46" t="s">
        <v>62</v>
      </c>
      <c r="G3839" s="46">
        <v>2</v>
      </c>
      <c r="H3839" s="47" t="s">
        <v>82</v>
      </c>
      <c r="I3839" s="47" t="s">
        <v>127</v>
      </c>
      <c r="J3839" s="48">
        <v>0</v>
      </c>
      <c r="K3839" s="48">
        <v>0</v>
      </c>
      <c r="R3839" s="46">
        <f t="shared" si="358"/>
        <v>0</v>
      </c>
      <c r="S3839" s="46">
        <f t="shared" si="359"/>
        <v>0</v>
      </c>
      <c r="T3839" s="46">
        <f t="shared" si="362"/>
        <v>0</v>
      </c>
      <c r="U3839" s="46">
        <f t="shared" si="360"/>
        <v>0</v>
      </c>
      <c r="V3839" s="54">
        <f t="shared" si="361"/>
        <v>11.833333333333334</v>
      </c>
    </row>
    <row r="3840" spans="1:22" x14ac:dyDescent="0.2">
      <c r="A3840" s="46" t="s">
        <v>204</v>
      </c>
      <c r="B3840" s="46" t="s">
        <v>53</v>
      </c>
      <c r="C3840" s="46" t="s">
        <v>92</v>
      </c>
      <c r="D3840" s="46" t="s">
        <v>178</v>
      </c>
      <c r="E3840" s="46">
        <v>4</v>
      </c>
      <c r="F3840" s="46" t="s">
        <v>62</v>
      </c>
      <c r="G3840" s="46">
        <v>2</v>
      </c>
      <c r="H3840" s="47" t="s">
        <v>82</v>
      </c>
      <c r="I3840" s="47" t="s">
        <v>127</v>
      </c>
      <c r="J3840" s="48">
        <v>0</v>
      </c>
      <c r="K3840" s="48">
        <v>0</v>
      </c>
      <c r="R3840" s="46">
        <f t="shared" si="358"/>
        <v>0</v>
      </c>
      <c r="S3840" s="46">
        <f t="shared" si="359"/>
        <v>0</v>
      </c>
      <c r="T3840" s="46">
        <f t="shared" si="362"/>
        <v>0</v>
      </c>
      <c r="U3840" s="46">
        <f t="shared" si="360"/>
        <v>0</v>
      </c>
      <c r="V3840" s="54">
        <f t="shared" si="361"/>
        <v>11.833333333333334</v>
      </c>
    </row>
    <row r="3841" spans="1:22" x14ac:dyDescent="0.2">
      <c r="A3841" s="46" t="s">
        <v>204</v>
      </c>
      <c r="B3841" s="46" t="s">
        <v>53</v>
      </c>
      <c r="C3841" s="46" t="s">
        <v>92</v>
      </c>
      <c r="D3841" s="46" t="s">
        <v>178</v>
      </c>
      <c r="E3841" s="46">
        <v>1</v>
      </c>
      <c r="F3841" s="46" t="s">
        <v>62</v>
      </c>
      <c r="G3841" s="46">
        <v>2</v>
      </c>
      <c r="H3841" s="47" t="s">
        <v>86</v>
      </c>
      <c r="I3841" s="47" t="s">
        <v>127</v>
      </c>
      <c r="J3841" s="48">
        <v>0</v>
      </c>
      <c r="K3841" s="48">
        <v>0</v>
      </c>
      <c r="N3841" s="48">
        <v>1</v>
      </c>
      <c r="R3841" s="46">
        <f t="shared" si="358"/>
        <v>0</v>
      </c>
      <c r="S3841" s="46">
        <f t="shared" si="359"/>
        <v>0</v>
      </c>
      <c r="T3841" s="46">
        <f t="shared" si="362"/>
        <v>0</v>
      </c>
      <c r="U3841" s="46">
        <f t="shared" si="360"/>
        <v>-5</v>
      </c>
      <c r="V3841" s="54">
        <f t="shared" si="361"/>
        <v>11.833333333333334</v>
      </c>
    </row>
    <row r="3842" spans="1:22" x14ac:dyDescent="0.2">
      <c r="A3842" s="46" t="s">
        <v>204</v>
      </c>
      <c r="B3842" s="46" t="s">
        <v>53</v>
      </c>
      <c r="C3842" s="46" t="s">
        <v>92</v>
      </c>
      <c r="D3842" s="46" t="s">
        <v>178</v>
      </c>
      <c r="E3842" s="46">
        <v>1</v>
      </c>
      <c r="F3842" s="46" t="s">
        <v>62</v>
      </c>
      <c r="G3842" s="46">
        <v>3</v>
      </c>
      <c r="H3842" s="47" t="s">
        <v>64</v>
      </c>
      <c r="I3842" s="47" t="s">
        <v>116</v>
      </c>
      <c r="J3842" s="48">
        <v>0</v>
      </c>
      <c r="K3842" s="48">
        <v>0</v>
      </c>
      <c r="M3842" s="48">
        <v>1</v>
      </c>
      <c r="R3842" s="46">
        <f t="shared" ref="R3842:R3905" si="363">IF(J3842=4,1,0)</f>
        <v>0</v>
      </c>
      <c r="S3842" s="46">
        <f t="shared" ref="S3842:S3905" si="364">IF(K3842=3,1,0)</f>
        <v>0</v>
      </c>
      <c r="T3842" s="46">
        <f t="shared" si="362"/>
        <v>0</v>
      </c>
      <c r="U3842" s="46">
        <f t="shared" ref="U3842:U3905" si="365">T3842+M3842*(20) + (SUM(O3842:Q3842)*(10)) - L3842*(5) - N3842*(5)</f>
        <v>20</v>
      </c>
      <c r="V3842" s="54">
        <f t="shared" ref="V3842:V3905" si="366">AVERAGEIFS(U:U,A:A,A3842,F:F,"Pre")</f>
        <v>11.833333333333334</v>
      </c>
    </row>
    <row r="3843" spans="1:22" x14ac:dyDescent="0.2">
      <c r="A3843" s="46" t="s">
        <v>204</v>
      </c>
      <c r="B3843" s="46" t="s">
        <v>53</v>
      </c>
      <c r="C3843" s="46" t="s">
        <v>92</v>
      </c>
      <c r="D3843" s="46" t="s">
        <v>178</v>
      </c>
      <c r="E3843" s="46">
        <v>1</v>
      </c>
      <c r="F3843" s="46" t="s">
        <v>62</v>
      </c>
      <c r="G3843" s="46">
        <v>2</v>
      </c>
      <c r="H3843" s="47" t="s">
        <v>83</v>
      </c>
      <c r="I3843" s="47" t="s">
        <v>127</v>
      </c>
      <c r="J3843" s="48">
        <v>0</v>
      </c>
      <c r="K3843" s="48">
        <v>0</v>
      </c>
      <c r="R3843" s="46">
        <f t="shared" si="363"/>
        <v>0</v>
      </c>
      <c r="S3843" s="46">
        <f t="shared" si="364"/>
        <v>0</v>
      </c>
      <c r="T3843" s="46">
        <f t="shared" si="362"/>
        <v>0</v>
      </c>
      <c r="U3843" s="46">
        <f t="shared" si="365"/>
        <v>0</v>
      </c>
      <c r="V3843" s="54">
        <f t="shared" si="366"/>
        <v>11.833333333333334</v>
      </c>
    </row>
    <row r="3844" spans="1:22" x14ac:dyDescent="0.2">
      <c r="A3844" s="46" t="s">
        <v>204</v>
      </c>
      <c r="B3844" s="46" t="s">
        <v>53</v>
      </c>
      <c r="C3844" s="46" t="s">
        <v>92</v>
      </c>
      <c r="D3844" s="46" t="s">
        <v>178</v>
      </c>
      <c r="E3844" s="46">
        <v>2</v>
      </c>
      <c r="F3844" s="46" t="s">
        <v>61</v>
      </c>
      <c r="G3844" s="46">
        <v>1</v>
      </c>
      <c r="H3844" s="47" t="s">
        <v>74</v>
      </c>
      <c r="I3844" s="47" t="s">
        <v>101</v>
      </c>
      <c r="J3844" s="48">
        <v>0</v>
      </c>
      <c r="K3844" s="48">
        <v>0</v>
      </c>
      <c r="R3844" s="46">
        <f t="shared" si="363"/>
        <v>0</v>
      </c>
      <c r="S3844" s="46">
        <f t="shared" si="364"/>
        <v>0</v>
      </c>
      <c r="T3844" s="46">
        <f t="shared" si="362"/>
        <v>0</v>
      </c>
      <c r="U3844" s="46">
        <f t="shared" si="365"/>
        <v>0</v>
      </c>
      <c r="V3844" s="54">
        <f t="shared" si="366"/>
        <v>11.833333333333334</v>
      </c>
    </row>
    <row r="3845" spans="1:22" x14ac:dyDescent="0.2">
      <c r="A3845" s="46" t="s">
        <v>204</v>
      </c>
      <c r="B3845" s="46" t="s">
        <v>53</v>
      </c>
      <c r="C3845" s="46" t="s">
        <v>92</v>
      </c>
      <c r="D3845" s="46" t="s">
        <v>178</v>
      </c>
      <c r="E3845" s="46">
        <v>3</v>
      </c>
      <c r="F3845" s="46" t="s">
        <v>61</v>
      </c>
      <c r="G3845" s="46">
        <v>1</v>
      </c>
      <c r="H3845" s="47" t="s">
        <v>74</v>
      </c>
      <c r="I3845" s="47" t="s">
        <v>101</v>
      </c>
      <c r="J3845" s="48">
        <v>0</v>
      </c>
      <c r="K3845" s="48">
        <v>0</v>
      </c>
      <c r="R3845" s="46">
        <f t="shared" si="363"/>
        <v>0</v>
      </c>
      <c r="S3845" s="46">
        <f t="shared" si="364"/>
        <v>0</v>
      </c>
      <c r="T3845" s="46">
        <f t="shared" si="362"/>
        <v>0</v>
      </c>
      <c r="U3845" s="46">
        <f t="shared" si="365"/>
        <v>0</v>
      </c>
      <c r="V3845" s="54">
        <f t="shared" si="366"/>
        <v>11.833333333333334</v>
      </c>
    </row>
    <row r="3846" spans="1:22" x14ac:dyDescent="0.2">
      <c r="A3846" s="46" t="s">
        <v>204</v>
      </c>
      <c r="B3846" s="46" t="s">
        <v>53</v>
      </c>
      <c r="C3846" s="46" t="s">
        <v>92</v>
      </c>
      <c r="D3846" s="46" t="s">
        <v>178</v>
      </c>
      <c r="E3846" s="46">
        <v>2</v>
      </c>
      <c r="F3846" s="46" t="s">
        <v>61</v>
      </c>
      <c r="G3846" s="46">
        <v>2</v>
      </c>
      <c r="H3846" s="47" t="s">
        <v>76</v>
      </c>
      <c r="I3846" s="47" t="s">
        <v>127</v>
      </c>
      <c r="J3846" s="48">
        <v>0</v>
      </c>
      <c r="K3846" s="48">
        <v>0</v>
      </c>
      <c r="M3846" s="48">
        <v>1</v>
      </c>
      <c r="R3846" s="46">
        <f t="shared" si="363"/>
        <v>0</v>
      </c>
      <c r="S3846" s="46">
        <f t="shared" si="364"/>
        <v>0</v>
      </c>
      <c r="T3846" s="46">
        <f t="shared" si="362"/>
        <v>0</v>
      </c>
      <c r="U3846" s="46">
        <f t="shared" si="365"/>
        <v>20</v>
      </c>
      <c r="V3846" s="54">
        <f t="shared" si="366"/>
        <v>11.833333333333334</v>
      </c>
    </row>
    <row r="3847" spans="1:22" x14ac:dyDescent="0.2">
      <c r="A3847" s="46" t="s">
        <v>204</v>
      </c>
      <c r="B3847" s="46" t="s">
        <v>53</v>
      </c>
      <c r="C3847" s="46" t="s">
        <v>92</v>
      </c>
      <c r="D3847" s="46" t="s">
        <v>178</v>
      </c>
      <c r="E3847" s="46">
        <v>3</v>
      </c>
      <c r="F3847" s="46" t="s">
        <v>61</v>
      </c>
      <c r="G3847" s="46">
        <v>2</v>
      </c>
      <c r="H3847" s="47" t="s">
        <v>76</v>
      </c>
      <c r="I3847" s="47" t="s">
        <v>127</v>
      </c>
      <c r="J3847" s="48">
        <v>0</v>
      </c>
      <c r="K3847" s="48">
        <v>0</v>
      </c>
      <c r="R3847" s="46">
        <f t="shared" si="363"/>
        <v>0</v>
      </c>
      <c r="S3847" s="46">
        <f t="shared" si="364"/>
        <v>0</v>
      </c>
      <c r="T3847" s="46">
        <f t="shared" si="362"/>
        <v>0</v>
      </c>
      <c r="U3847" s="46">
        <f t="shared" si="365"/>
        <v>0</v>
      </c>
      <c r="V3847" s="54">
        <f t="shared" si="366"/>
        <v>11.833333333333334</v>
      </c>
    </row>
    <row r="3848" spans="1:22" x14ac:dyDescent="0.2">
      <c r="A3848" s="46" t="s">
        <v>204</v>
      </c>
      <c r="B3848" s="46" t="s">
        <v>53</v>
      </c>
      <c r="C3848" s="46" t="s">
        <v>92</v>
      </c>
      <c r="D3848" s="46" t="s">
        <v>178</v>
      </c>
      <c r="E3848" s="46">
        <v>1</v>
      </c>
      <c r="F3848" s="46" t="s">
        <v>60</v>
      </c>
      <c r="G3848" s="46">
        <v>1</v>
      </c>
      <c r="H3848" s="47">
        <v>17</v>
      </c>
      <c r="I3848" s="47" t="s">
        <v>101</v>
      </c>
      <c r="J3848" s="48">
        <v>1</v>
      </c>
      <c r="K3848" s="48">
        <v>0</v>
      </c>
      <c r="O3848" s="48">
        <v>1</v>
      </c>
      <c r="R3848" s="46">
        <f t="shared" si="363"/>
        <v>0</v>
      </c>
      <c r="S3848" s="46">
        <f t="shared" si="364"/>
        <v>0</v>
      </c>
      <c r="T3848" s="46">
        <f t="shared" si="362"/>
        <v>20</v>
      </c>
      <c r="U3848" s="46">
        <f t="shared" si="365"/>
        <v>30</v>
      </c>
      <c r="V3848" s="54">
        <f t="shared" si="366"/>
        <v>11.833333333333334</v>
      </c>
    </row>
    <row r="3849" spans="1:22" x14ac:dyDescent="0.2">
      <c r="A3849" s="46" t="s">
        <v>204</v>
      </c>
      <c r="B3849" s="46" t="s">
        <v>53</v>
      </c>
      <c r="C3849" s="46" t="s">
        <v>92</v>
      </c>
      <c r="D3849" s="46" t="s">
        <v>178</v>
      </c>
      <c r="E3849" s="46">
        <v>3</v>
      </c>
      <c r="F3849" s="46" t="s">
        <v>60</v>
      </c>
      <c r="G3849" s="46">
        <v>2</v>
      </c>
      <c r="H3849" s="47">
        <v>18</v>
      </c>
      <c r="I3849" s="47" t="s">
        <v>127</v>
      </c>
      <c r="J3849" s="48">
        <v>1</v>
      </c>
      <c r="K3849" s="48">
        <v>1</v>
      </c>
      <c r="O3849" s="48">
        <v>1</v>
      </c>
      <c r="R3849" s="46">
        <f t="shared" si="363"/>
        <v>0</v>
      </c>
      <c r="S3849" s="46">
        <f t="shared" si="364"/>
        <v>0</v>
      </c>
      <c r="T3849" s="46">
        <f t="shared" si="362"/>
        <v>20</v>
      </c>
      <c r="U3849" s="46">
        <f t="shared" si="365"/>
        <v>30</v>
      </c>
      <c r="V3849" s="54">
        <f t="shared" si="366"/>
        <v>11.833333333333334</v>
      </c>
    </row>
    <row r="3850" spans="1:22" x14ac:dyDescent="0.2">
      <c r="A3850" s="46" t="s">
        <v>204</v>
      </c>
      <c r="B3850" s="46" t="s">
        <v>53</v>
      </c>
      <c r="C3850" s="46" t="s">
        <v>92</v>
      </c>
      <c r="D3850" s="46" t="s">
        <v>178</v>
      </c>
      <c r="E3850" s="46">
        <v>1</v>
      </c>
      <c r="F3850" s="46" t="s">
        <v>60</v>
      </c>
      <c r="G3850" s="46">
        <v>4</v>
      </c>
      <c r="H3850" s="47">
        <v>24</v>
      </c>
      <c r="I3850" s="47" t="s">
        <v>102</v>
      </c>
      <c r="J3850" s="48">
        <v>1</v>
      </c>
      <c r="K3850" s="48">
        <v>1</v>
      </c>
      <c r="R3850" s="46">
        <f t="shared" si="363"/>
        <v>0</v>
      </c>
      <c r="S3850" s="46">
        <f t="shared" si="364"/>
        <v>0</v>
      </c>
      <c r="T3850" s="46">
        <f t="shared" si="362"/>
        <v>20</v>
      </c>
      <c r="U3850" s="46">
        <f t="shared" si="365"/>
        <v>20</v>
      </c>
      <c r="V3850" s="54">
        <f t="shared" si="366"/>
        <v>11.833333333333334</v>
      </c>
    </row>
    <row r="3851" spans="1:22" x14ac:dyDescent="0.2">
      <c r="A3851" s="46" t="s">
        <v>204</v>
      </c>
      <c r="B3851" s="46" t="s">
        <v>53</v>
      </c>
      <c r="C3851" s="46" t="s">
        <v>92</v>
      </c>
      <c r="D3851" s="46" t="s">
        <v>178</v>
      </c>
      <c r="E3851" s="46">
        <v>3</v>
      </c>
      <c r="F3851" s="46" t="s">
        <v>60</v>
      </c>
      <c r="G3851" s="46">
        <v>4</v>
      </c>
      <c r="H3851" s="47">
        <v>28</v>
      </c>
      <c r="I3851" s="47" t="s">
        <v>102</v>
      </c>
      <c r="J3851" s="48">
        <v>1</v>
      </c>
      <c r="K3851" s="48">
        <v>0</v>
      </c>
      <c r="O3851" s="48">
        <v>1</v>
      </c>
      <c r="R3851" s="46">
        <f t="shared" si="363"/>
        <v>0</v>
      </c>
      <c r="S3851" s="46">
        <f t="shared" si="364"/>
        <v>0</v>
      </c>
      <c r="T3851" s="46">
        <f t="shared" si="362"/>
        <v>20</v>
      </c>
      <c r="U3851" s="46">
        <f t="shared" si="365"/>
        <v>30</v>
      </c>
      <c r="V3851" s="54">
        <f t="shared" si="366"/>
        <v>11.833333333333334</v>
      </c>
    </row>
    <row r="3852" spans="1:22" x14ac:dyDescent="0.2">
      <c r="A3852" s="46" t="s">
        <v>204</v>
      </c>
      <c r="B3852" s="46" t="s">
        <v>53</v>
      </c>
      <c r="C3852" s="46" t="s">
        <v>92</v>
      </c>
      <c r="D3852" s="46" t="s">
        <v>178</v>
      </c>
      <c r="E3852" s="46">
        <v>2</v>
      </c>
      <c r="F3852" s="46" t="s">
        <v>60</v>
      </c>
      <c r="G3852" s="46">
        <v>2</v>
      </c>
      <c r="H3852" s="47">
        <v>30</v>
      </c>
      <c r="I3852" s="47" t="s">
        <v>127</v>
      </c>
      <c r="J3852" s="48">
        <v>1</v>
      </c>
      <c r="K3852" s="48">
        <v>1</v>
      </c>
      <c r="R3852" s="46">
        <f t="shared" si="363"/>
        <v>0</v>
      </c>
      <c r="S3852" s="46">
        <f t="shared" si="364"/>
        <v>0</v>
      </c>
      <c r="T3852" s="46">
        <f t="shared" si="362"/>
        <v>20</v>
      </c>
      <c r="U3852" s="46">
        <f t="shared" si="365"/>
        <v>20</v>
      </c>
      <c r="V3852" s="54">
        <f t="shared" si="366"/>
        <v>11.833333333333334</v>
      </c>
    </row>
    <row r="3853" spans="1:22" x14ac:dyDescent="0.2">
      <c r="A3853" s="46" t="s">
        <v>204</v>
      </c>
      <c r="B3853" s="46" t="s">
        <v>53</v>
      </c>
      <c r="C3853" s="46" t="s">
        <v>92</v>
      </c>
      <c r="D3853" s="46" t="s">
        <v>178</v>
      </c>
      <c r="E3853" s="46">
        <v>4</v>
      </c>
      <c r="F3853" s="46" t="s">
        <v>60</v>
      </c>
      <c r="G3853" s="46">
        <v>3</v>
      </c>
      <c r="H3853" s="47">
        <v>31</v>
      </c>
      <c r="I3853" s="47" t="s">
        <v>159</v>
      </c>
      <c r="J3853" s="48">
        <v>1</v>
      </c>
      <c r="K3853" s="48">
        <v>0</v>
      </c>
      <c r="O3853" s="48">
        <v>1</v>
      </c>
      <c r="R3853" s="46">
        <f t="shared" si="363"/>
        <v>0</v>
      </c>
      <c r="S3853" s="46">
        <f t="shared" si="364"/>
        <v>0</v>
      </c>
      <c r="T3853" s="46">
        <f t="shared" si="362"/>
        <v>20</v>
      </c>
      <c r="U3853" s="46">
        <f t="shared" si="365"/>
        <v>30</v>
      </c>
      <c r="V3853" s="54">
        <f t="shared" si="366"/>
        <v>11.833333333333334</v>
      </c>
    </row>
    <row r="3854" spans="1:22" x14ac:dyDescent="0.2">
      <c r="A3854" s="46" t="s">
        <v>204</v>
      </c>
      <c r="B3854" s="46" t="s">
        <v>53</v>
      </c>
      <c r="C3854" s="46" t="s">
        <v>92</v>
      </c>
      <c r="D3854" s="46" t="s">
        <v>178</v>
      </c>
      <c r="E3854" s="46">
        <v>3</v>
      </c>
      <c r="F3854" s="46" t="s">
        <v>60</v>
      </c>
      <c r="G3854" s="46">
        <v>1</v>
      </c>
      <c r="H3854" s="47">
        <v>37</v>
      </c>
      <c r="I3854" s="47" t="s">
        <v>101</v>
      </c>
      <c r="J3854" s="48">
        <v>1</v>
      </c>
      <c r="K3854" s="48">
        <v>1</v>
      </c>
      <c r="O3854" s="48">
        <v>1</v>
      </c>
      <c r="R3854" s="46">
        <f t="shared" si="363"/>
        <v>0</v>
      </c>
      <c r="S3854" s="46">
        <f t="shared" si="364"/>
        <v>0</v>
      </c>
      <c r="T3854" s="46">
        <f t="shared" si="362"/>
        <v>20</v>
      </c>
      <c r="U3854" s="46">
        <f t="shared" si="365"/>
        <v>30</v>
      </c>
      <c r="V3854" s="54">
        <f t="shared" si="366"/>
        <v>11.833333333333334</v>
      </c>
    </row>
    <row r="3855" spans="1:22" x14ac:dyDescent="0.2">
      <c r="A3855" s="46" t="s">
        <v>204</v>
      </c>
      <c r="B3855" s="46" t="s">
        <v>53</v>
      </c>
      <c r="C3855" s="46" t="s">
        <v>92</v>
      </c>
      <c r="D3855" s="46" t="s">
        <v>178</v>
      </c>
      <c r="E3855" s="46">
        <v>2</v>
      </c>
      <c r="F3855" s="46" t="s">
        <v>60</v>
      </c>
      <c r="G3855" s="46">
        <v>2</v>
      </c>
      <c r="H3855" s="47">
        <v>10</v>
      </c>
      <c r="I3855" s="47" t="s">
        <v>127</v>
      </c>
      <c r="J3855" s="48">
        <v>2</v>
      </c>
      <c r="K3855" s="48">
        <v>0</v>
      </c>
      <c r="O3855" s="48">
        <v>1</v>
      </c>
      <c r="R3855" s="46">
        <f t="shared" si="363"/>
        <v>0</v>
      </c>
      <c r="S3855" s="46">
        <f t="shared" si="364"/>
        <v>0</v>
      </c>
      <c r="T3855" s="46">
        <f t="shared" si="362"/>
        <v>40</v>
      </c>
      <c r="U3855" s="46">
        <f t="shared" si="365"/>
        <v>50</v>
      </c>
      <c r="V3855" s="54">
        <f t="shared" si="366"/>
        <v>11.833333333333334</v>
      </c>
    </row>
    <row r="3856" spans="1:22" x14ac:dyDescent="0.2">
      <c r="A3856" s="46" t="s">
        <v>204</v>
      </c>
      <c r="B3856" s="46" t="s">
        <v>53</v>
      </c>
      <c r="C3856" s="46" t="s">
        <v>92</v>
      </c>
      <c r="D3856" s="46" t="s">
        <v>178</v>
      </c>
      <c r="E3856" s="46">
        <v>4</v>
      </c>
      <c r="F3856" s="46" t="s">
        <v>60</v>
      </c>
      <c r="G3856" s="46">
        <v>4</v>
      </c>
      <c r="H3856" s="47">
        <v>20</v>
      </c>
      <c r="I3856" s="47" t="s">
        <v>102</v>
      </c>
      <c r="J3856" s="48">
        <v>2</v>
      </c>
      <c r="K3856" s="48">
        <v>0</v>
      </c>
      <c r="O3856" s="48">
        <v>1</v>
      </c>
      <c r="R3856" s="46">
        <f t="shared" si="363"/>
        <v>0</v>
      </c>
      <c r="S3856" s="46">
        <f t="shared" si="364"/>
        <v>0</v>
      </c>
      <c r="T3856" s="46">
        <f t="shared" ref="T3856:T3919" si="367">quizscore(J3856,K3856)</f>
        <v>40</v>
      </c>
      <c r="U3856" s="46">
        <f t="shared" si="365"/>
        <v>50</v>
      </c>
      <c r="V3856" s="54">
        <f t="shared" si="366"/>
        <v>11.833333333333334</v>
      </c>
    </row>
    <row r="3857" spans="1:22" x14ac:dyDescent="0.2">
      <c r="A3857" s="46" t="s">
        <v>204</v>
      </c>
      <c r="B3857" s="46" t="s">
        <v>53</v>
      </c>
      <c r="C3857" s="46" t="s">
        <v>92</v>
      </c>
      <c r="D3857" s="46" t="s">
        <v>178</v>
      </c>
      <c r="E3857" s="46">
        <v>4</v>
      </c>
      <c r="F3857" s="46" t="s">
        <v>60</v>
      </c>
      <c r="G3857" s="46">
        <v>2</v>
      </c>
      <c r="H3857" s="47">
        <v>50</v>
      </c>
      <c r="I3857" s="47" t="s">
        <v>127</v>
      </c>
      <c r="J3857" s="48">
        <v>2</v>
      </c>
      <c r="K3857" s="48">
        <v>1</v>
      </c>
      <c r="R3857" s="46">
        <f t="shared" si="363"/>
        <v>0</v>
      </c>
      <c r="S3857" s="46">
        <f t="shared" si="364"/>
        <v>0</v>
      </c>
      <c r="T3857" s="46">
        <f t="shared" si="367"/>
        <v>40</v>
      </c>
      <c r="U3857" s="46">
        <f t="shared" si="365"/>
        <v>40</v>
      </c>
      <c r="V3857" s="54">
        <f t="shared" si="366"/>
        <v>11.833333333333334</v>
      </c>
    </row>
    <row r="3858" spans="1:22" x14ac:dyDescent="0.2">
      <c r="A3858" s="46" t="s">
        <v>204</v>
      </c>
      <c r="B3858" s="46" t="s">
        <v>53</v>
      </c>
      <c r="C3858" s="46" t="s">
        <v>92</v>
      </c>
      <c r="D3858" s="46" t="s">
        <v>178</v>
      </c>
      <c r="E3858" s="46">
        <v>1</v>
      </c>
      <c r="F3858" s="46" t="s">
        <v>62</v>
      </c>
      <c r="G3858" s="46">
        <v>2</v>
      </c>
      <c r="H3858" s="47" t="s">
        <v>81</v>
      </c>
      <c r="I3858" s="47" t="s">
        <v>127</v>
      </c>
      <c r="J3858" s="48">
        <v>2</v>
      </c>
      <c r="K3858" s="48">
        <v>0</v>
      </c>
      <c r="R3858" s="46">
        <f t="shared" si="363"/>
        <v>0</v>
      </c>
      <c r="S3858" s="46">
        <f t="shared" si="364"/>
        <v>0</v>
      </c>
      <c r="T3858" s="46">
        <f t="shared" si="367"/>
        <v>40</v>
      </c>
      <c r="U3858" s="46">
        <f t="shared" si="365"/>
        <v>40</v>
      </c>
      <c r="V3858" s="54">
        <f t="shared" si="366"/>
        <v>11.833333333333334</v>
      </c>
    </row>
    <row r="3859" spans="1:22" x14ac:dyDescent="0.2">
      <c r="A3859" s="46" t="s">
        <v>204</v>
      </c>
      <c r="B3859" s="46" t="s">
        <v>53</v>
      </c>
      <c r="C3859" s="46" t="s">
        <v>92</v>
      </c>
      <c r="D3859" s="46" t="s">
        <v>178</v>
      </c>
      <c r="E3859" s="46">
        <v>4</v>
      </c>
      <c r="F3859" s="46" t="s">
        <v>62</v>
      </c>
      <c r="G3859" s="46">
        <v>2</v>
      </c>
      <c r="H3859" s="47" t="s">
        <v>83</v>
      </c>
      <c r="I3859" s="47" t="s">
        <v>127</v>
      </c>
      <c r="J3859" s="48">
        <v>1</v>
      </c>
      <c r="K3859" s="48">
        <v>0</v>
      </c>
      <c r="R3859" s="46">
        <f t="shared" si="363"/>
        <v>0</v>
      </c>
      <c r="S3859" s="46">
        <f t="shared" si="364"/>
        <v>0</v>
      </c>
      <c r="T3859" s="46">
        <f t="shared" si="367"/>
        <v>20</v>
      </c>
      <c r="U3859" s="46">
        <f t="shared" si="365"/>
        <v>20</v>
      </c>
      <c r="V3859" s="54">
        <f t="shared" si="366"/>
        <v>11.833333333333334</v>
      </c>
    </row>
    <row r="3860" spans="1:22" x14ac:dyDescent="0.2">
      <c r="A3860" s="46" t="s">
        <v>204</v>
      </c>
      <c r="B3860" s="46" t="s">
        <v>53</v>
      </c>
      <c r="C3860" s="46" t="s">
        <v>92</v>
      </c>
      <c r="D3860" s="46" t="s">
        <v>178</v>
      </c>
      <c r="E3860" s="46">
        <v>5</v>
      </c>
      <c r="F3860" s="46" t="s">
        <v>60</v>
      </c>
      <c r="G3860" s="46">
        <v>4</v>
      </c>
      <c r="H3860" s="47">
        <v>4</v>
      </c>
      <c r="I3860" s="47" t="s">
        <v>102</v>
      </c>
      <c r="J3860" s="48">
        <v>0</v>
      </c>
      <c r="K3860" s="48">
        <v>1</v>
      </c>
      <c r="R3860" s="46">
        <f t="shared" si="363"/>
        <v>0</v>
      </c>
      <c r="S3860" s="46">
        <f t="shared" si="364"/>
        <v>0</v>
      </c>
      <c r="T3860" s="46">
        <f t="shared" si="367"/>
        <v>0</v>
      </c>
      <c r="U3860" s="46">
        <f t="shared" si="365"/>
        <v>0</v>
      </c>
      <c r="V3860" s="54">
        <f t="shared" si="366"/>
        <v>11.833333333333334</v>
      </c>
    </row>
    <row r="3861" spans="1:22" x14ac:dyDescent="0.2">
      <c r="A3861" s="46" t="s">
        <v>204</v>
      </c>
      <c r="B3861" s="46" t="s">
        <v>53</v>
      </c>
      <c r="C3861" s="46" t="s">
        <v>92</v>
      </c>
      <c r="D3861" s="46" t="s">
        <v>178</v>
      </c>
      <c r="E3861" s="46">
        <v>5</v>
      </c>
      <c r="F3861" s="46" t="s">
        <v>60</v>
      </c>
      <c r="G3861" s="46">
        <v>3</v>
      </c>
      <c r="H3861" s="47">
        <v>11</v>
      </c>
      <c r="I3861" s="47" t="s">
        <v>159</v>
      </c>
      <c r="J3861" s="48">
        <v>1</v>
      </c>
      <c r="K3861" s="48">
        <v>0</v>
      </c>
      <c r="R3861" s="46">
        <f t="shared" si="363"/>
        <v>0</v>
      </c>
      <c r="S3861" s="46">
        <f t="shared" si="364"/>
        <v>0</v>
      </c>
      <c r="T3861" s="46">
        <f t="shared" si="367"/>
        <v>20</v>
      </c>
      <c r="U3861" s="46">
        <f t="shared" si="365"/>
        <v>20</v>
      </c>
      <c r="V3861" s="54">
        <f t="shared" si="366"/>
        <v>11.833333333333334</v>
      </c>
    </row>
    <row r="3862" spans="1:22" x14ac:dyDescent="0.2">
      <c r="A3862" s="46" t="s">
        <v>204</v>
      </c>
      <c r="B3862" s="46" t="s">
        <v>53</v>
      </c>
      <c r="C3862" s="46" t="s">
        <v>92</v>
      </c>
      <c r="D3862" s="46" t="s">
        <v>178</v>
      </c>
      <c r="E3862" s="46">
        <v>5</v>
      </c>
      <c r="F3862" s="46" t="s">
        <v>60</v>
      </c>
      <c r="G3862" s="46">
        <v>2</v>
      </c>
      <c r="H3862" s="47">
        <v>18</v>
      </c>
      <c r="I3862" s="47" t="s">
        <v>127</v>
      </c>
      <c r="J3862" s="48">
        <v>0</v>
      </c>
      <c r="K3862" s="48">
        <v>2</v>
      </c>
      <c r="R3862" s="46">
        <f t="shared" si="363"/>
        <v>0</v>
      </c>
      <c r="S3862" s="46">
        <f t="shared" si="364"/>
        <v>0</v>
      </c>
      <c r="T3862" s="46">
        <f t="shared" si="367"/>
        <v>-10</v>
      </c>
      <c r="U3862" s="46">
        <f t="shared" si="365"/>
        <v>-10</v>
      </c>
      <c r="V3862" s="54">
        <f t="shared" si="366"/>
        <v>11.833333333333334</v>
      </c>
    </row>
    <row r="3863" spans="1:22" x14ac:dyDescent="0.2">
      <c r="A3863" s="46" t="s">
        <v>204</v>
      </c>
      <c r="B3863" s="46" t="s">
        <v>53</v>
      </c>
      <c r="C3863" s="46" t="s">
        <v>92</v>
      </c>
      <c r="D3863" s="46" t="s">
        <v>178</v>
      </c>
      <c r="E3863" s="46">
        <v>5</v>
      </c>
      <c r="F3863" s="46" t="s">
        <v>60</v>
      </c>
      <c r="G3863" s="46">
        <v>1</v>
      </c>
      <c r="H3863" s="47">
        <v>29</v>
      </c>
      <c r="I3863" s="47" t="s">
        <v>101</v>
      </c>
      <c r="J3863" s="48">
        <v>1</v>
      </c>
      <c r="K3863" s="48">
        <v>0</v>
      </c>
      <c r="O3863" s="48">
        <v>1</v>
      </c>
      <c r="R3863" s="46">
        <f t="shared" si="363"/>
        <v>0</v>
      </c>
      <c r="S3863" s="46">
        <f t="shared" si="364"/>
        <v>0</v>
      </c>
      <c r="T3863" s="46">
        <f t="shared" si="367"/>
        <v>20</v>
      </c>
      <c r="U3863" s="46">
        <f t="shared" si="365"/>
        <v>30</v>
      </c>
      <c r="V3863" s="54">
        <f t="shared" si="366"/>
        <v>11.833333333333334</v>
      </c>
    </row>
    <row r="3864" spans="1:22" x14ac:dyDescent="0.2">
      <c r="A3864" s="46" t="s">
        <v>204</v>
      </c>
      <c r="B3864" s="46" t="s">
        <v>53</v>
      </c>
      <c r="C3864" s="46" t="s">
        <v>92</v>
      </c>
      <c r="D3864" s="46" t="s">
        <v>178</v>
      </c>
      <c r="E3864" s="46">
        <v>5</v>
      </c>
      <c r="F3864" s="46" t="s">
        <v>60</v>
      </c>
      <c r="G3864" s="46">
        <v>3</v>
      </c>
      <c r="H3864" s="47">
        <v>43</v>
      </c>
      <c r="I3864" s="47" t="s">
        <v>159</v>
      </c>
      <c r="J3864" s="48">
        <v>0</v>
      </c>
      <c r="K3864" s="48">
        <v>0</v>
      </c>
      <c r="R3864" s="46">
        <f t="shared" si="363"/>
        <v>0</v>
      </c>
      <c r="S3864" s="46">
        <f t="shared" si="364"/>
        <v>0</v>
      </c>
      <c r="T3864" s="46">
        <f t="shared" si="367"/>
        <v>0</v>
      </c>
      <c r="U3864" s="46">
        <f t="shared" si="365"/>
        <v>0</v>
      </c>
      <c r="V3864" s="54">
        <f t="shared" si="366"/>
        <v>11.833333333333334</v>
      </c>
    </row>
    <row r="3865" spans="1:22" x14ac:dyDescent="0.2">
      <c r="A3865" s="46" t="s">
        <v>204</v>
      </c>
      <c r="B3865" s="46" t="s">
        <v>53</v>
      </c>
      <c r="C3865" s="46" t="s">
        <v>92</v>
      </c>
      <c r="D3865" s="46" t="s">
        <v>178</v>
      </c>
      <c r="E3865" s="46">
        <v>5</v>
      </c>
      <c r="F3865" s="46" t="s">
        <v>60</v>
      </c>
      <c r="G3865" s="46">
        <v>2</v>
      </c>
      <c r="H3865" s="47">
        <v>50</v>
      </c>
      <c r="I3865" s="47" t="s">
        <v>127</v>
      </c>
      <c r="J3865" s="48">
        <v>0</v>
      </c>
      <c r="K3865" s="48">
        <v>2</v>
      </c>
      <c r="R3865" s="46">
        <f t="shared" si="363"/>
        <v>0</v>
      </c>
      <c r="S3865" s="46">
        <f t="shared" si="364"/>
        <v>0</v>
      </c>
      <c r="T3865" s="46">
        <f t="shared" si="367"/>
        <v>-10</v>
      </c>
      <c r="U3865" s="46">
        <f t="shared" si="365"/>
        <v>-10</v>
      </c>
      <c r="V3865" s="54">
        <f t="shared" si="366"/>
        <v>11.833333333333334</v>
      </c>
    </row>
    <row r="3866" spans="1:22" x14ac:dyDescent="0.2">
      <c r="A3866" s="46" t="s">
        <v>204</v>
      </c>
      <c r="B3866" s="46" t="s">
        <v>53</v>
      </c>
      <c r="C3866" s="46" t="s">
        <v>92</v>
      </c>
      <c r="D3866" s="46" t="s">
        <v>178</v>
      </c>
      <c r="E3866" s="46">
        <v>5</v>
      </c>
      <c r="F3866" s="46" t="s">
        <v>61</v>
      </c>
      <c r="G3866" s="46">
        <v>1</v>
      </c>
      <c r="H3866" s="47" t="s">
        <v>74</v>
      </c>
      <c r="I3866" s="47" t="s">
        <v>101</v>
      </c>
      <c r="J3866" s="48">
        <v>0</v>
      </c>
      <c r="K3866" s="48">
        <v>0</v>
      </c>
      <c r="R3866" s="46">
        <f t="shared" si="363"/>
        <v>0</v>
      </c>
      <c r="S3866" s="46">
        <f t="shared" si="364"/>
        <v>0</v>
      </c>
      <c r="T3866" s="46">
        <f t="shared" si="367"/>
        <v>0</v>
      </c>
      <c r="U3866" s="46">
        <f t="shared" si="365"/>
        <v>0</v>
      </c>
      <c r="V3866" s="54">
        <f t="shared" si="366"/>
        <v>11.833333333333334</v>
      </c>
    </row>
    <row r="3867" spans="1:22" x14ac:dyDescent="0.2">
      <c r="A3867" s="46" t="s">
        <v>204</v>
      </c>
      <c r="B3867" s="46" t="s">
        <v>53</v>
      </c>
      <c r="C3867" s="46" t="s">
        <v>92</v>
      </c>
      <c r="D3867" s="46" t="s">
        <v>178</v>
      </c>
      <c r="E3867" s="46">
        <v>5</v>
      </c>
      <c r="F3867" s="46" t="s">
        <v>61</v>
      </c>
      <c r="G3867" s="46">
        <v>1</v>
      </c>
      <c r="H3867" s="47" t="s">
        <v>68</v>
      </c>
      <c r="I3867" s="47" t="s">
        <v>101</v>
      </c>
      <c r="J3867" s="48">
        <v>0</v>
      </c>
      <c r="K3867" s="48">
        <v>0</v>
      </c>
      <c r="R3867" s="46">
        <f t="shared" si="363"/>
        <v>0</v>
      </c>
      <c r="S3867" s="46">
        <f t="shared" si="364"/>
        <v>0</v>
      </c>
      <c r="T3867" s="46">
        <f t="shared" si="367"/>
        <v>0</v>
      </c>
      <c r="U3867" s="46">
        <f t="shared" si="365"/>
        <v>0</v>
      </c>
      <c r="V3867" s="54">
        <f t="shared" si="366"/>
        <v>11.833333333333334</v>
      </c>
    </row>
    <row r="3868" spans="1:22" x14ac:dyDescent="0.2">
      <c r="A3868" s="46" t="s">
        <v>204</v>
      </c>
      <c r="B3868" s="46" t="s">
        <v>53</v>
      </c>
      <c r="C3868" s="46" t="s">
        <v>92</v>
      </c>
      <c r="D3868" s="46" t="s">
        <v>178</v>
      </c>
      <c r="E3868" s="46">
        <v>5</v>
      </c>
      <c r="F3868" s="46" t="s">
        <v>61</v>
      </c>
      <c r="G3868" s="46">
        <v>2</v>
      </c>
      <c r="H3868" s="47" t="s">
        <v>66</v>
      </c>
      <c r="I3868" s="47" t="s">
        <v>127</v>
      </c>
      <c r="J3868" s="48">
        <v>0</v>
      </c>
      <c r="K3868" s="48">
        <v>1</v>
      </c>
      <c r="R3868" s="46">
        <f t="shared" si="363"/>
        <v>0</v>
      </c>
      <c r="S3868" s="46">
        <f t="shared" si="364"/>
        <v>0</v>
      </c>
      <c r="T3868" s="46">
        <f t="shared" si="367"/>
        <v>0</v>
      </c>
      <c r="U3868" s="46">
        <f t="shared" si="365"/>
        <v>0</v>
      </c>
      <c r="V3868" s="54">
        <f t="shared" si="366"/>
        <v>11.833333333333334</v>
      </c>
    </row>
    <row r="3869" spans="1:22" x14ac:dyDescent="0.2">
      <c r="A3869" s="46" t="s">
        <v>44</v>
      </c>
      <c r="B3869" s="46" t="s">
        <v>56</v>
      </c>
      <c r="C3869" s="46" t="s">
        <v>89</v>
      </c>
      <c r="D3869" s="46" t="s">
        <v>178</v>
      </c>
      <c r="E3869" s="46">
        <v>3</v>
      </c>
      <c r="F3869" s="46" t="s">
        <v>60</v>
      </c>
      <c r="G3869" s="46">
        <v>4</v>
      </c>
      <c r="H3869" s="47">
        <v>4</v>
      </c>
      <c r="I3869" s="47" t="s">
        <v>102</v>
      </c>
      <c r="J3869" s="48">
        <v>0</v>
      </c>
      <c r="K3869" s="48">
        <v>2</v>
      </c>
      <c r="R3869" s="46">
        <f t="shared" si="363"/>
        <v>0</v>
      </c>
      <c r="S3869" s="46">
        <f t="shared" si="364"/>
        <v>0</v>
      </c>
      <c r="T3869" s="46">
        <f t="shared" si="367"/>
        <v>-10</v>
      </c>
      <c r="U3869" s="46">
        <f t="shared" si="365"/>
        <v>-10</v>
      </c>
      <c r="V3869" s="54">
        <f t="shared" si="366"/>
        <v>3.3333333333333335</v>
      </c>
    </row>
    <row r="3870" spans="1:22" x14ac:dyDescent="0.2">
      <c r="A3870" s="46" t="s">
        <v>44</v>
      </c>
      <c r="B3870" s="46" t="s">
        <v>56</v>
      </c>
      <c r="C3870" s="46" t="s">
        <v>89</v>
      </c>
      <c r="D3870" s="46" t="s">
        <v>178</v>
      </c>
      <c r="E3870" s="46">
        <v>1</v>
      </c>
      <c r="F3870" s="46" t="s">
        <v>60</v>
      </c>
      <c r="G3870" s="46">
        <v>4</v>
      </c>
      <c r="H3870" s="47">
        <v>8</v>
      </c>
      <c r="I3870" s="47" t="s">
        <v>102</v>
      </c>
      <c r="J3870" s="48">
        <v>0</v>
      </c>
      <c r="K3870" s="48">
        <v>0</v>
      </c>
      <c r="R3870" s="46">
        <f t="shared" si="363"/>
        <v>0</v>
      </c>
      <c r="S3870" s="46">
        <f t="shared" si="364"/>
        <v>0</v>
      </c>
      <c r="T3870" s="46">
        <f t="shared" si="367"/>
        <v>0</v>
      </c>
      <c r="U3870" s="46">
        <f t="shared" si="365"/>
        <v>0</v>
      </c>
      <c r="V3870" s="54">
        <f t="shared" si="366"/>
        <v>3.3333333333333335</v>
      </c>
    </row>
    <row r="3871" spans="1:22" x14ac:dyDescent="0.2">
      <c r="A3871" s="46" t="s">
        <v>44</v>
      </c>
      <c r="B3871" s="46" t="s">
        <v>56</v>
      </c>
      <c r="C3871" s="46" t="s">
        <v>89</v>
      </c>
      <c r="D3871" s="46" t="s">
        <v>178</v>
      </c>
      <c r="E3871" s="46">
        <v>2</v>
      </c>
      <c r="F3871" s="46" t="s">
        <v>60</v>
      </c>
      <c r="G3871" s="46">
        <v>3</v>
      </c>
      <c r="H3871" s="47">
        <v>11</v>
      </c>
      <c r="I3871" s="47" t="s">
        <v>116</v>
      </c>
      <c r="J3871" s="48">
        <v>0</v>
      </c>
      <c r="K3871" s="48">
        <v>0</v>
      </c>
      <c r="R3871" s="46">
        <f t="shared" si="363"/>
        <v>0</v>
      </c>
      <c r="S3871" s="46">
        <f t="shared" si="364"/>
        <v>0</v>
      </c>
      <c r="T3871" s="46">
        <f t="shared" si="367"/>
        <v>0</v>
      </c>
      <c r="U3871" s="46">
        <f t="shared" si="365"/>
        <v>0</v>
      </c>
      <c r="V3871" s="54">
        <f t="shared" si="366"/>
        <v>3.3333333333333335</v>
      </c>
    </row>
    <row r="3872" spans="1:22" x14ac:dyDescent="0.2">
      <c r="A3872" s="46" t="s">
        <v>44</v>
      </c>
      <c r="B3872" s="46" t="s">
        <v>56</v>
      </c>
      <c r="C3872" s="46" t="s">
        <v>89</v>
      </c>
      <c r="D3872" s="46" t="s">
        <v>178</v>
      </c>
      <c r="E3872" s="46">
        <v>3</v>
      </c>
      <c r="F3872" s="46" t="s">
        <v>60</v>
      </c>
      <c r="G3872" s="46">
        <v>4</v>
      </c>
      <c r="H3872" s="47">
        <v>12</v>
      </c>
      <c r="I3872" s="47" t="s">
        <v>102</v>
      </c>
      <c r="J3872" s="48">
        <v>0</v>
      </c>
      <c r="K3872" s="48">
        <v>0</v>
      </c>
      <c r="R3872" s="46">
        <f t="shared" si="363"/>
        <v>0</v>
      </c>
      <c r="S3872" s="46">
        <f t="shared" si="364"/>
        <v>0</v>
      </c>
      <c r="T3872" s="46">
        <f t="shared" si="367"/>
        <v>0</v>
      </c>
      <c r="U3872" s="46">
        <f t="shared" si="365"/>
        <v>0</v>
      </c>
      <c r="V3872" s="54">
        <f t="shared" si="366"/>
        <v>3.3333333333333335</v>
      </c>
    </row>
    <row r="3873" spans="1:22" x14ac:dyDescent="0.2">
      <c r="A3873" s="46" t="s">
        <v>44</v>
      </c>
      <c r="B3873" s="46" t="s">
        <v>56</v>
      </c>
      <c r="C3873" s="46" t="s">
        <v>89</v>
      </c>
      <c r="D3873" s="46" t="s">
        <v>178</v>
      </c>
      <c r="E3873" s="46">
        <v>1</v>
      </c>
      <c r="F3873" s="46" t="s">
        <v>60</v>
      </c>
      <c r="G3873" s="46">
        <v>2</v>
      </c>
      <c r="H3873" s="47">
        <v>14</v>
      </c>
      <c r="I3873" s="47" t="s">
        <v>127</v>
      </c>
      <c r="J3873" s="48">
        <v>0</v>
      </c>
      <c r="K3873" s="48">
        <v>0</v>
      </c>
      <c r="R3873" s="46">
        <f t="shared" si="363"/>
        <v>0</v>
      </c>
      <c r="S3873" s="46">
        <f t="shared" si="364"/>
        <v>0</v>
      </c>
      <c r="T3873" s="46">
        <f t="shared" si="367"/>
        <v>0</v>
      </c>
      <c r="U3873" s="46">
        <f t="shared" si="365"/>
        <v>0</v>
      </c>
      <c r="V3873" s="54">
        <f t="shared" si="366"/>
        <v>3.3333333333333335</v>
      </c>
    </row>
    <row r="3874" spans="1:22" x14ac:dyDescent="0.2">
      <c r="A3874" s="46" t="s">
        <v>44</v>
      </c>
      <c r="B3874" s="46" t="s">
        <v>56</v>
      </c>
      <c r="C3874" s="46" t="s">
        <v>89</v>
      </c>
      <c r="D3874" s="46" t="s">
        <v>178</v>
      </c>
      <c r="E3874" s="46">
        <v>4</v>
      </c>
      <c r="F3874" s="46" t="s">
        <v>60</v>
      </c>
      <c r="G3874" s="46">
        <v>3</v>
      </c>
      <c r="H3874" s="47">
        <v>15</v>
      </c>
      <c r="I3874" s="47" t="s">
        <v>159</v>
      </c>
      <c r="J3874" s="48">
        <v>0</v>
      </c>
      <c r="K3874" s="48">
        <v>0</v>
      </c>
      <c r="L3874" s="48">
        <v>1</v>
      </c>
      <c r="R3874" s="46">
        <f t="shared" si="363"/>
        <v>0</v>
      </c>
      <c r="S3874" s="46">
        <f t="shared" si="364"/>
        <v>0</v>
      </c>
      <c r="T3874" s="46">
        <f t="shared" si="367"/>
        <v>0</v>
      </c>
      <c r="U3874" s="46">
        <f t="shared" si="365"/>
        <v>-5</v>
      </c>
      <c r="V3874" s="54">
        <f t="shared" si="366"/>
        <v>3.3333333333333335</v>
      </c>
    </row>
    <row r="3875" spans="1:22" x14ac:dyDescent="0.2">
      <c r="A3875" s="46" t="s">
        <v>44</v>
      </c>
      <c r="B3875" s="46" t="s">
        <v>56</v>
      </c>
      <c r="C3875" s="46" t="s">
        <v>89</v>
      </c>
      <c r="D3875" s="46" t="s">
        <v>178</v>
      </c>
      <c r="E3875" s="46">
        <v>3</v>
      </c>
      <c r="F3875" s="46" t="s">
        <v>60</v>
      </c>
      <c r="G3875" s="46">
        <v>2</v>
      </c>
      <c r="H3875" s="47">
        <v>18</v>
      </c>
      <c r="I3875" s="47" t="s">
        <v>127</v>
      </c>
      <c r="J3875" s="48">
        <v>0</v>
      </c>
      <c r="K3875" s="48">
        <v>1</v>
      </c>
      <c r="R3875" s="46">
        <f t="shared" si="363"/>
        <v>0</v>
      </c>
      <c r="S3875" s="46">
        <f t="shared" si="364"/>
        <v>0</v>
      </c>
      <c r="T3875" s="46">
        <f t="shared" si="367"/>
        <v>0</v>
      </c>
      <c r="U3875" s="46">
        <f t="shared" si="365"/>
        <v>0</v>
      </c>
      <c r="V3875" s="54">
        <f t="shared" si="366"/>
        <v>3.3333333333333335</v>
      </c>
    </row>
    <row r="3876" spans="1:22" x14ac:dyDescent="0.2">
      <c r="A3876" s="46" t="s">
        <v>44</v>
      </c>
      <c r="B3876" s="46" t="s">
        <v>56</v>
      </c>
      <c r="C3876" s="46" t="s">
        <v>89</v>
      </c>
      <c r="D3876" s="46" t="s">
        <v>178</v>
      </c>
      <c r="E3876" s="46">
        <v>2</v>
      </c>
      <c r="F3876" s="46" t="s">
        <v>60</v>
      </c>
      <c r="G3876" s="46">
        <v>3</v>
      </c>
      <c r="H3876" s="47">
        <v>19</v>
      </c>
      <c r="I3876" s="47" t="s">
        <v>116</v>
      </c>
      <c r="J3876" s="48">
        <v>0</v>
      </c>
      <c r="K3876" s="48">
        <v>1</v>
      </c>
      <c r="R3876" s="46">
        <f t="shared" si="363"/>
        <v>0</v>
      </c>
      <c r="S3876" s="46">
        <f t="shared" si="364"/>
        <v>0</v>
      </c>
      <c r="T3876" s="46">
        <f t="shared" si="367"/>
        <v>0</v>
      </c>
      <c r="U3876" s="46">
        <f t="shared" si="365"/>
        <v>0</v>
      </c>
      <c r="V3876" s="54">
        <f t="shared" si="366"/>
        <v>3.3333333333333335</v>
      </c>
    </row>
    <row r="3877" spans="1:22" x14ac:dyDescent="0.2">
      <c r="A3877" s="46" t="s">
        <v>44</v>
      </c>
      <c r="B3877" s="46" t="s">
        <v>56</v>
      </c>
      <c r="C3877" s="46" t="s">
        <v>89</v>
      </c>
      <c r="D3877" s="46" t="s">
        <v>178</v>
      </c>
      <c r="E3877" s="46">
        <v>4</v>
      </c>
      <c r="F3877" s="46" t="s">
        <v>60</v>
      </c>
      <c r="G3877" s="46">
        <v>4</v>
      </c>
      <c r="H3877" s="47">
        <v>24</v>
      </c>
      <c r="I3877" s="47" t="s">
        <v>102</v>
      </c>
      <c r="J3877" s="48">
        <v>0</v>
      </c>
      <c r="K3877" s="48">
        <v>0</v>
      </c>
      <c r="R3877" s="46">
        <f t="shared" si="363"/>
        <v>0</v>
      </c>
      <c r="S3877" s="46">
        <f t="shared" si="364"/>
        <v>0</v>
      </c>
      <c r="T3877" s="46">
        <f t="shared" si="367"/>
        <v>0</v>
      </c>
      <c r="U3877" s="46">
        <f t="shared" si="365"/>
        <v>0</v>
      </c>
      <c r="V3877" s="54">
        <f t="shared" si="366"/>
        <v>3.3333333333333335</v>
      </c>
    </row>
    <row r="3878" spans="1:22" x14ac:dyDescent="0.2">
      <c r="A3878" s="46" t="s">
        <v>44</v>
      </c>
      <c r="B3878" s="46" t="s">
        <v>56</v>
      </c>
      <c r="C3878" s="46" t="s">
        <v>89</v>
      </c>
      <c r="D3878" s="46" t="s">
        <v>178</v>
      </c>
      <c r="E3878" s="46">
        <v>1</v>
      </c>
      <c r="F3878" s="46" t="s">
        <v>60</v>
      </c>
      <c r="G3878" s="46">
        <v>3</v>
      </c>
      <c r="H3878" s="47">
        <v>27</v>
      </c>
      <c r="I3878" s="47" t="s">
        <v>116</v>
      </c>
      <c r="J3878" s="48">
        <v>0</v>
      </c>
      <c r="K3878" s="48">
        <v>0</v>
      </c>
      <c r="R3878" s="46">
        <f t="shared" si="363"/>
        <v>0</v>
      </c>
      <c r="S3878" s="46">
        <f t="shared" si="364"/>
        <v>0</v>
      </c>
      <c r="T3878" s="46">
        <f t="shared" si="367"/>
        <v>0</v>
      </c>
      <c r="U3878" s="46">
        <f t="shared" si="365"/>
        <v>0</v>
      </c>
      <c r="V3878" s="54">
        <f t="shared" si="366"/>
        <v>3.3333333333333335</v>
      </c>
    </row>
    <row r="3879" spans="1:22" x14ac:dyDescent="0.2">
      <c r="A3879" s="46" t="s">
        <v>44</v>
      </c>
      <c r="B3879" s="46" t="s">
        <v>56</v>
      </c>
      <c r="C3879" s="46" t="s">
        <v>89</v>
      </c>
      <c r="D3879" s="46" t="s">
        <v>178</v>
      </c>
      <c r="E3879" s="46">
        <v>2</v>
      </c>
      <c r="F3879" s="46" t="s">
        <v>60</v>
      </c>
      <c r="G3879" s="46">
        <v>1</v>
      </c>
      <c r="H3879" s="47">
        <v>29</v>
      </c>
      <c r="I3879" s="47" t="s">
        <v>101</v>
      </c>
      <c r="J3879" s="48">
        <v>0</v>
      </c>
      <c r="K3879" s="48">
        <v>0</v>
      </c>
      <c r="L3879" s="48">
        <v>1</v>
      </c>
      <c r="R3879" s="46">
        <f t="shared" si="363"/>
        <v>0</v>
      </c>
      <c r="S3879" s="46">
        <f t="shared" si="364"/>
        <v>0</v>
      </c>
      <c r="T3879" s="46">
        <f t="shared" si="367"/>
        <v>0</v>
      </c>
      <c r="U3879" s="46">
        <f t="shared" si="365"/>
        <v>-5</v>
      </c>
      <c r="V3879" s="54">
        <f t="shared" si="366"/>
        <v>3.3333333333333335</v>
      </c>
    </row>
    <row r="3880" spans="1:22" x14ac:dyDescent="0.2">
      <c r="A3880" s="46" t="s">
        <v>44</v>
      </c>
      <c r="B3880" s="46" t="s">
        <v>56</v>
      </c>
      <c r="C3880" s="46" t="s">
        <v>89</v>
      </c>
      <c r="D3880" s="46" t="s">
        <v>178</v>
      </c>
      <c r="E3880" s="46">
        <v>4</v>
      </c>
      <c r="F3880" s="46" t="s">
        <v>60</v>
      </c>
      <c r="G3880" s="46">
        <v>2</v>
      </c>
      <c r="H3880" s="47">
        <v>30</v>
      </c>
      <c r="I3880" s="47" t="s">
        <v>127</v>
      </c>
      <c r="J3880" s="48">
        <v>0</v>
      </c>
      <c r="K3880" s="48">
        <v>0</v>
      </c>
      <c r="R3880" s="46">
        <f t="shared" si="363"/>
        <v>0</v>
      </c>
      <c r="S3880" s="46">
        <f t="shared" si="364"/>
        <v>0</v>
      </c>
      <c r="T3880" s="46">
        <f t="shared" si="367"/>
        <v>0</v>
      </c>
      <c r="U3880" s="46">
        <f t="shared" si="365"/>
        <v>0</v>
      </c>
      <c r="V3880" s="54">
        <f t="shared" si="366"/>
        <v>3.3333333333333335</v>
      </c>
    </row>
    <row r="3881" spans="1:22" x14ac:dyDescent="0.2">
      <c r="A3881" s="46" t="s">
        <v>44</v>
      </c>
      <c r="B3881" s="46" t="s">
        <v>56</v>
      </c>
      <c r="C3881" s="46" t="s">
        <v>89</v>
      </c>
      <c r="D3881" s="46" t="s">
        <v>178</v>
      </c>
      <c r="E3881" s="46">
        <v>1</v>
      </c>
      <c r="F3881" s="46" t="s">
        <v>60</v>
      </c>
      <c r="G3881" s="46">
        <v>4</v>
      </c>
      <c r="H3881" s="47">
        <v>36</v>
      </c>
      <c r="I3881" s="47" t="s">
        <v>102</v>
      </c>
      <c r="J3881" s="48">
        <v>0</v>
      </c>
      <c r="K3881" s="48">
        <v>0</v>
      </c>
      <c r="R3881" s="46">
        <f t="shared" si="363"/>
        <v>0</v>
      </c>
      <c r="S3881" s="46">
        <f t="shared" si="364"/>
        <v>0</v>
      </c>
      <c r="T3881" s="46">
        <f t="shared" si="367"/>
        <v>0</v>
      </c>
      <c r="U3881" s="46">
        <f t="shared" si="365"/>
        <v>0</v>
      </c>
      <c r="V3881" s="54">
        <f t="shared" si="366"/>
        <v>3.3333333333333335</v>
      </c>
    </row>
    <row r="3882" spans="1:22" x14ac:dyDescent="0.2">
      <c r="A3882" s="46" t="s">
        <v>44</v>
      </c>
      <c r="B3882" s="46" t="s">
        <v>56</v>
      </c>
      <c r="C3882" s="46" t="s">
        <v>89</v>
      </c>
      <c r="D3882" s="46" t="s">
        <v>178</v>
      </c>
      <c r="E3882" s="46">
        <v>2</v>
      </c>
      <c r="F3882" s="46" t="s">
        <v>60</v>
      </c>
      <c r="G3882" s="46">
        <v>4</v>
      </c>
      <c r="H3882" s="47">
        <v>40</v>
      </c>
      <c r="I3882" s="47" t="s">
        <v>102</v>
      </c>
      <c r="J3882" s="48">
        <v>0</v>
      </c>
      <c r="K3882" s="48">
        <v>0</v>
      </c>
      <c r="R3882" s="46">
        <f t="shared" si="363"/>
        <v>0</v>
      </c>
      <c r="S3882" s="46">
        <f t="shared" si="364"/>
        <v>0</v>
      </c>
      <c r="T3882" s="46">
        <f t="shared" si="367"/>
        <v>0</v>
      </c>
      <c r="U3882" s="46">
        <f t="shared" si="365"/>
        <v>0</v>
      </c>
      <c r="V3882" s="54">
        <f t="shared" si="366"/>
        <v>3.3333333333333335</v>
      </c>
    </row>
    <row r="3883" spans="1:22" x14ac:dyDescent="0.2">
      <c r="A3883" s="46" t="s">
        <v>44</v>
      </c>
      <c r="B3883" s="46" t="s">
        <v>56</v>
      </c>
      <c r="C3883" s="46" t="s">
        <v>89</v>
      </c>
      <c r="D3883" s="46" t="s">
        <v>178</v>
      </c>
      <c r="E3883" s="46">
        <v>3</v>
      </c>
      <c r="F3883" s="46" t="s">
        <v>60</v>
      </c>
      <c r="G3883" s="46">
        <v>1</v>
      </c>
      <c r="H3883" s="47">
        <v>41</v>
      </c>
      <c r="I3883" s="47" t="s">
        <v>101</v>
      </c>
      <c r="J3883" s="48">
        <v>0</v>
      </c>
      <c r="K3883" s="48">
        <v>0</v>
      </c>
      <c r="R3883" s="46">
        <f t="shared" si="363"/>
        <v>0</v>
      </c>
      <c r="S3883" s="46">
        <f t="shared" si="364"/>
        <v>0</v>
      </c>
      <c r="T3883" s="46">
        <f t="shared" si="367"/>
        <v>0</v>
      </c>
      <c r="U3883" s="46">
        <f t="shared" si="365"/>
        <v>0</v>
      </c>
      <c r="V3883" s="54">
        <f t="shared" si="366"/>
        <v>3.3333333333333335</v>
      </c>
    </row>
    <row r="3884" spans="1:22" x14ac:dyDescent="0.2">
      <c r="A3884" s="46" t="s">
        <v>44</v>
      </c>
      <c r="B3884" s="46" t="s">
        <v>56</v>
      </c>
      <c r="C3884" s="46" t="s">
        <v>89</v>
      </c>
      <c r="D3884" s="46" t="s">
        <v>178</v>
      </c>
      <c r="E3884" s="46">
        <v>1</v>
      </c>
      <c r="F3884" s="46" t="s">
        <v>60</v>
      </c>
      <c r="G3884" s="46">
        <v>3</v>
      </c>
      <c r="H3884" s="47">
        <v>43</v>
      </c>
      <c r="I3884" s="47" t="s">
        <v>116</v>
      </c>
      <c r="J3884" s="48">
        <v>0</v>
      </c>
      <c r="K3884" s="48">
        <v>0</v>
      </c>
      <c r="R3884" s="46">
        <f t="shared" si="363"/>
        <v>0</v>
      </c>
      <c r="S3884" s="46">
        <f t="shared" si="364"/>
        <v>0</v>
      </c>
      <c r="T3884" s="46">
        <f t="shared" si="367"/>
        <v>0</v>
      </c>
      <c r="U3884" s="46">
        <f t="shared" si="365"/>
        <v>0</v>
      </c>
      <c r="V3884" s="54">
        <f t="shared" si="366"/>
        <v>3.3333333333333335</v>
      </c>
    </row>
    <row r="3885" spans="1:22" x14ac:dyDescent="0.2">
      <c r="A3885" s="46" t="s">
        <v>44</v>
      </c>
      <c r="B3885" s="46" t="s">
        <v>56</v>
      </c>
      <c r="C3885" s="46" t="s">
        <v>89</v>
      </c>
      <c r="D3885" s="46" t="s">
        <v>178</v>
      </c>
      <c r="E3885" s="46">
        <v>2</v>
      </c>
      <c r="F3885" s="46" t="s">
        <v>60</v>
      </c>
      <c r="G3885" s="46">
        <v>2</v>
      </c>
      <c r="H3885" s="47">
        <v>46</v>
      </c>
      <c r="I3885" s="47" t="s">
        <v>127</v>
      </c>
      <c r="J3885" s="48">
        <v>0</v>
      </c>
      <c r="K3885" s="48">
        <v>1</v>
      </c>
      <c r="R3885" s="46">
        <f t="shared" si="363"/>
        <v>0</v>
      </c>
      <c r="S3885" s="46">
        <f t="shared" si="364"/>
        <v>0</v>
      </c>
      <c r="T3885" s="46">
        <f t="shared" si="367"/>
        <v>0</v>
      </c>
      <c r="U3885" s="46">
        <f t="shared" si="365"/>
        <v>0</v>
      </c>
      <c r="V3885" s="54">
        <f t="shared" si="366"/>
        <v>3.3333333333333335</v>
      </c>
    </row>
    <row r="3886" spans="1:22" x14ac:dyDescent="0.2">
      <c r="A3886" s="46" t="s">
        <v>44</v>
      </c>
      <c r="B3886" s="46" t="s">
        <v>56</v>
      </c>
      <c r="C3886" s="46" t="s">
        <v>89</v>
      </c>
      <c r="D3886" s="46" t="s">
        <v>178</v>
      </c>
      <c r="E3886" s="46">
        <v>4</v>
      </c>
      <c r="F3886" s="46" t="s">
        <v>60</v>
      </c>
      <c r="G3886" s="46">
        <v>4</v>
      </c>
      <c r="H3886" s="47">
        <v>48</v>
      </c>
      <c r="I3886" s="47" t="s">
        <v>102</v>
      </c>
      <c r="J3886" s="48">
        <v>0</v>
      </c>
      <c r="K3886" s="48">
        <v>1</v>
      </c>
      <c r="R3886" s="46">
        <f t="shared" si="363"/>
        <v>0</v>
      </c>
      <c r="S3886" s="46">
        <f t="shared" si="364"/>
        <v>0</v>
      </c>
      <c r="T3886" s="46">
        <f t="shared" si="367"/>
        <v>0</v>
      </c>
      <c r="U3886" s="46">
        <f t="shared" si="365"/>
        <v>0</v>
      </c>
      <c r="V3886" s="54">
        <f t="shared" si="366"/>
        <v>3.3333333333333335</v>
      </c>
    </row>
    <row r="3887" spans="1:22" x14ac:dyDescent="0.2">
      <c r="A3887" s="46" t="s">
        <v>44</v>
      </c>
      <c r="B3887" s="46" t="s">
        <v>56</v>
      </c>
      <c r="C3887" s="46" t="s">
        <v>89</v>
      </c>
      <c r="D3887" s="46" t="s">
        <v>178</v>
      </c>
      <c r="E3887" s="46">
        <v>1</v>
      </c>
      <c r="F3887" s="46" t="s">
        <v>60</v>
      </c>
      <c r="G3887" s="46">
        <v>1</v>
      </c>
      <c r="H3887" s="47">
        <v>49</v>
      </c>
      <c r="I3887" s="47" t="s">
        <v>101</v>
      </c>
      <c r="J3887" s="48">
        <v>0</v>
      </c>
      <c r="K3887" s="48">
        <v>0</v>
      </c>
      <c r="R3887" s="46">
        <f t="shared" si="363"/>
        <v>0</v>
      </c>
      <c r="S3887" s="46">
        <f t="shared" si="364"/>
        <v>0</v>
      </c>
      <c r="T3887" s="46">
        <f t="shared" si="367"/>
        <v>0</v>
      </c>
      <c r="U3887" s="46">
        <f t="shared" si="365"/>
        <v>0</v>
      </c>
      <c r="V3887" s="54">
        <f t="shared" si="366"/>
        <v>3.3333333333333335</v>
      </c>
    </row>
    <row r="3888" spans="1:22" x14ac:dyDescent="0.2">
      <c r="A3888" s="46" t="s">
        <v>44</v>
      </c>
      <c r="B3888" s="46" t="s">
        <v>56</v>
      </c>
      <c r="C3888" s="46" t="s">
        <v>89</v>
      </c>
      <c r="D3888" s="46" t="s">
        <v>178</v>
      </c>
      <c r="E3888" s="46">
        <v>1</v>
      </c>
      <c r="F3888" s="46" t="s">
        <v>62</v>
      </c>
      <c r="G3888" s="46">
        <v>2</v>
      </c>
      <c r="H3888" s="47" t="s">
        <v>79</v>
      </c>
      <c r="I3888" s="47" t="s">
        <v>127</v>
      </c>
      <c r="J3888" s="48">
        <v>0</v>
      </c>
      <c r="K3888" s="48">
        <v>1</v>
      </c>
      <c r="R3888" s="46">
        <f t="shared" si="363"/>
        <v>0</v>
      </c>
      <c r="S3888" s="46">
        <f t="shared" si="364"/>
        <v>0</v>
      </c>
      <c r="T3888" s="46">
        <f t="shared" si="367"/>
        <v>0</v>
      </c>
      <c r="U3888" s="46">
        <f t="shared" si="365"/>
        <v>0</v>
      </c>
      <c r="V3888" s="54">
        <f t="shared" si="366"/>
        <v>3.3333333333333335</v>
      </c>
    </row>
    <row r="3889" spans="1:22" x14ac:dyDescent="0.2">
      <c r="A3889" s="46" t="s">
        <v>44</v>
      </c>
      <c r="B3889" s="46" t="s">
        <v>56</v>
      </c>
      <c r="C3889" s="46" t="s">
        <v>89</v>
      </c>
      <c r="D3889" s="46" t="s">
        <v>178</v>
      </c>
      <c r="E3889" s="46">
        <v>2</v>
      </c>
      <c r="F3889" s="46" t="s">
        <v>62</v>
      </c>
      <c r="G3889" s="46">
        <v>2</v>
      </c>
      <c r="H3889" s="47" t="s">
        <v>79</v>
      </c>
      <c r="I3889" s="47" t="s">
        <v>127</v>
      </c>
      <c r="J3889" s="48">
        <v>0</v>
      </c>
      <c r="K3889" s="48">
        <v>0</v>
      </c>
      <c r="R3889" s="46">
        <f t="shared" si="363"/>
        <v>0</v>
      </c>
      <c r="S3889" s="46">
        <f t="shared" si="364"/>
        <v>0</v>
      </c>
      <c r="T3889" s="46">
        <f t="shared" si="367"/>
        <v>0</v>
      </c>
      <c r="U3889" s="46">
        <f t="shared" si="365"/>
        <v>0</v>
      </c>
      <c r="V3889" s="54">
        <f t="shared" si="366"/>
        <v>3.3333333333333335</v>
      </c>
    </row>
    <row r="3890" spans="1:22" x14ac:dyDescent="0.2">
      <c r="A3890" s="46" t="s">
        <v>44</v>
      </c>
      <c r="B3890" s="46" t="s">
        <v>56</v>
      </c>
      <c r="C3890" s="46" t="s">
        <v>89</v>
      </c>
      <c r="D3890" s="46" t="s">
        <v>178</v>
      </c>
      <c r="E3890" s="46">
        <v>2</v>
      </c>
      <c r="F3890" s="46" t="s">
        <v>62</v>
      </c>
      <c r="G3890" s="46">
        <v>2</v>
      </c>
      <c r="H3890" s="47" t="s">
        <v>82</v>
      </c>
      <c r="I3890" s="47" t="s">
        <v>127</v>
      </c>
      <c r="J3890" s="48">
        <v>0</v>
      </c>
      <c r="K3890" s="48">
        <v>0</v>
      </c>
      <c r="R3890" s="46">
        <f t="shared" si="363"/>
        <v>0</v>
      </c>
      <c r="S3890" s="46">
        <f t="shared" si="364"/>
        <v>0</v>
      </c>
      <c r="T3890" s="46">
        <f t="shared" si="367"/>
        <v>0</v>
      </c>
      <c r="U3890" s="46">
        <f t="shared" si="365"/>
        <v>0</v>
      </c>
      <c r="V3890" s="54">
        <f t="shared" si="366"/>
        <v>3.3333333333333335</v>
      </c>
    </row>
    <row r="3891" spans="1:22" x14ac:dyDescent="0.2">
      <c r="A3891" s="46" t="s">
        <v>44</v>
      </c>
      <c r="B3891" s="46" t="s">
        <v>56</v>
      </c>
      <c r="C3891" s="46" t="s">
        <v>89</v>
      </c>
      <c r="D3891" s="46" t="s">
        <v>178</v>
      </c>
      <c r="E3891" s="46">
        <v>1</v>
      </c>
      <c r="F3891" s="46" t="s">
        <v>62</v>
      </c>
      <c r="G3891" s="46">
        <v>3</v>
      </c>
      <c r="H3891" s="47" t="s">
        <v>84</v>
      </c>
      <c r="I3891" s="47" t="s">
        <v>116</v>
      </c>
      <c r="J3891" s="48">
        <v>0</v>
      </c>
      <c r="K3891" s="48">
        <v>0</v>
      </c>
      <c r="R3891" s="46">
        <f t="shared" si="363"/>
        <v>0</v>
      </c>
      <c r="S3891" s="46">
        <f t="shared" si="364"/>
        <v>0</v>
      </c>
      <c r="T3891" s="46">
        <f t="shared" si="367"/>
        <v>0</v>
      </c>
      <c r="U3891" s="46">
        <f t="shared" si="365"/>
        <v>0</v>
      </c>
      <c r="V3891" s="54">
        <f t="shared" si="366"/>
        <v>3.3333333333333335</v>
      </c>
    </row>
    <row r="3892" spans="1:22" x14ac:dyDescent="0.2">
      <c r="A3892" s="46" t="s">
        <v>44</v>
      </c>
      <c r="B3892" s="46" t="s">
        <v>56</v>
      </c>
      <c r="C3892" s="46" t="s">
        <v>89</v>
      </c>
      <c r="D3892" s="46" t="s">
        <v>178</v>
      </c>
      <c r="E3892" s="46">
        <v>4</v>
      </c>
      <c r="F3892" s="46" t="s">
        <v>62</v>
      </c>
      <c r="G3892" s="46">
        <v>3</v>
      </c>
      <c r="H3892" s="47" t="s">
        <v>84</v>
      </c>
      <c r="I3892" s="47" t="s">
        <v>219</v>
      </c>
      <c r="J3892" s="48">
        <v>0</v>
      </c>
      <c r="K3892" s="48">
        <v>0</v>
      </c>
      <c r="R3892" s="46">
        <f t="shared" si="363"/>
        <v>0</v>
      </c>
      <c r="S3892" s="46">
        <f t="shared" si="364"/>
        <v>0</v>
      </c>
      <c r="T3892" s="46">
        <f t="shared" si="367"/>
        <v>0</v>
      </c>
      <c r="U3892" s="46">
        <f t="shared" si="365"/>
        <v>0</v>
      </c>
      <c r="V3892" s="54">
        <f t="shared" si="366"/>
        <v>3.3333333333333335</v>
      </c>
    </row>
    <row r="3893" spans="1:22" x14ac:dyDescent="0.2">
      <c r="A3893" s="46" t="s">
        <v>44</v>
      </c>
      <c r="B3893" s="46" t="s">
        <v>56</v>
      </c>
      <c r="C3893" s="46" t="s">
        <v>89</v>
      </c>
      <c r="D3893" s="46" t="s">
        <v>178</v>
      </c>
      <c r="E3893" s="46">
        <v>1</v>
      </c>
      <c r="F3893" s="46" t="s">
        <v>62</v>
      </c>
      <c r="G3893" s="46">
        <v>3</v>
      </c>
      <c r="H3893" s="47" t="s">
        <v>87</v>
      </c>
      <c r="I3893" s="47" t="s">
        <v>116</v>
      </c>
      <c r="J3893" s="48">
        <v>0</v>
      </c>
      <c r="K3893" s="48">
        <v>1</v>
      </c>
      <c r="R3893" s="46">
        <f t="shared" si="363"/>
        <v>0</v>
      </c>
      <c r="S3893" s="46">
        <f t="shared" si="364"/>
        <v>0</v>
      </c>
      <c r="T3893" s="46">
        <f t="shared" si="367"/>
        <v>0</v>
      </c>
      <c r="U3893" s="46">
        <f t="shared" si="365"/>
        <v>0</v>
      </c>
      <c r="V3893" s="54">
        <f t="shared" si="366"/>
        <v>3.3333333333333335</v>
      </c>
    </row>
    <row r="3894" spans="1:22" x14ac:dyDescent="0.2">
      <c r="A3894" s="46" t="s">
        <v>44</v>
      </c>
      <c r="B3894" s="46" t="s">
        <v>56</v>
      </c>
      <c r="C3894" s="46" t="s">
        <v>89</v>
      </c>
      <c r="D3894" s="46" t="s">
        <v>178</v>
      </c>
      <c r="E3894" s="46">
        <v>4</v>
      </c>
      <c r="F3894" s="46" t="s">
        <v>62</v>
      </c>
      <c r="G3894" s="46">
        <v>3</v>
      </c>
      <c r="H3894" s="47" t="s">
        <v>87</v>
      </c>
      <c r="I3894" s="47" t="s">
        <v>219</v>
      </c>
      <c r="J3894" s="48">
        <v>0</v>
      </c>
      <c r="K3894" s="48">
        <v>1</v>
      </c>
      <c r="R3894" s="46">
        <f t="shared" si="363"/>
        <v>0</v>
      </c>
      <c r="S3894" s="46">
        <f t="shared" si="364"/>
        <v>0</v>
      </c>
      <c r="T3894" s="46">
        <f t="shared" si="367"/>
        <v>0</v>
      </c>
      <c r="U3894" s="46">
        <f t="shared" si="365"/>
        <v>0</v>
      </c>
      <c r="V3894" s="54">
        <f t="shared" si="366"/>
        <v>3.3333333333333335</v>
      </c>
    </row>
    <row r="3895" spans="1:22" x14ac:dyDescent="0.2">
      <c r="A3895" s="46" t="s">
        <v>44</v>
      </c>
      <c r="B3895" s="46" t="s">
        <v>56</v>
      </c>
      <c r="C3895" s="46" t="s">
        <v>89</v>
      </c>
      <c r="D3895" s="46" t="s">
        <v>178</v>
      </c>
      <c r="E3895" s="46">
        <v>2</v>
      </c>
      <c r="F3895" s="46" t="s">
        <v>62</v>
      </c>
      <c r="G3895" s="46">
        <v>2</v>
      </c>
      <c r="H3895" s="47" t="s">
        <v>83</v>
      </c>
      <c r="I3895" s="47" t="s">
        <v>127</v>
      </c>
      <c r="J3895" s="48">
        <v>0</v>
      </c>
      <c r="K3895" s="48">
        <v>0</v>
      </c>
      <c r="R3895" s="46">
        <f t="shared" si="363"/>
        <v>0</v>
      </c>
      <c r="S3895" s="46">
        <f t="shared" si="364"/>
        <v>0</v>
      </c>
      <c r="T3895" s="46">
        <f t="shared" si="367"/>
        <v>0</v>
      </c>
      <c r="U3895" s="46">
        <f t="shared" si="365"/>
        <v>0</v>
      </c>
      <c r="V3895" s="54">
        <f t="shared" si="366"/>
        <v>3.3333333333333335</v>
      </c>
    </row>
    <row r="3896" spans="1:22" x14ac:dyDescent="0.2">
      <c r="A3896" s="46" t="s">
        <v>44</v>
      </c>
      <c r="B3896" s="46" t="s">
        <v>56</v>
      </c>
      <c r="C3896" s="46" t="s">
        <v>89</v>
      </c>
      <c r="D3896" s="46" t="s">
        <v>178</v>
      </c>
      <c r="E3896" s="46">
        <v>3</v>
      </c>
      <c r="F3896" s="46" t="s">
        <v>63</v>
      </c>
      <c r="G3896" s="46">
        <v>4</v>
      </c>
      <c r="H3896" s="47" t="s">
        <v>172</v>
      </c>
      <c r="I3896" s="47" t="s">
        <v>102</v>
      </c>
      <c r="J3896" s="48">
        <v>0</v>
      </c>
      <c r="K3896" s="48">
        <v>1</v>
      </c>
      <c r="R3896" s="46">
        <f t="shared" si="363"/>
        <v>0</v>
      </c>
      <c r="S3896" s="46">
        <f t="shared" si="364"/>
        <v>0</v>
      </c>
      <c r="T3896" s="46">
        <f t="shared" si="367"/>
        <v>0</v>
      </c>
      <c r="U3896" s="46">
        <f t="shared" si="365"/>
        <v>0</v>
      </c>
      <c r="V3896" s="54">
        <f t="shared" si="366"/>
        <v>3.3333333333333335</v>
      </c>
    </row>
    <row r="3897" spans="1:22" x14ac:dyDescent="0.2">
      <c r="A3897" s="46" t="s">
        <v>44</v>
      </c>
      <c r="B3897" s="46" t="s">
        <v>56</v>
      </c>
      <c r="C3897" s="46" t="s">
        <v>89</v>
      </c>
      <c r="D3897" s="46" t="s">
        <v>178</v>
      </c>
      <c r="E3897" s="46">
        <v>2</v>
      </c>
      <c r="F3897" s="46" t="s">
        <v>60</v>
      </c>
      <c r="G3897" s="46">
        <v>4</v>
      </c>
      <c r="H3897" s="47">
        <v>4</v>
      </c>
      <c r="I3897" s="47" t="s">
        <v>102</v>
      </c>
      <c r="J3897" s="48">
        <v>1</v>
      </c>
      <c r="K3897" s="48">
        <v>1</v>
      </c>
      <c r="R3897" s="46">
        <f t="shared" si="363"/>
        <v>0</v>
      </c>
      <c r="S3897" s="46">
        <f t="shared" si="364"/>
        <v>0</v>
      </c>
      <c r="T3897" s="46">
        <f t="shared" si="367"/>
        <v>20</v>
      </c>
      <c r="U3897" s="46">
        <f t="shared" si="365"/>
        <v>20</v>
      </c>
      <c r="V3897" s="54">
        <f t="shared" si="366"/>
        <v>3.3333333333333335</v>
      </c>
    </row>
    <row r="3898" spans="1:22" x14ac:dyDescent="0.2">
      <c r="A3898" s="46" t="s">
        <v>44</v>
      </c>
      <c r="B3898" s="46" t="s">
        <v>56</v>
      </c>
      <c r="C3898" s="46" t="s">
        <v>89</v>
      </c>
      <c r="D3898" s="46" t="s">
        <v>178</v>
      </c>
      <c r="E3898" s="46">
        <v>4</v>
      </c>
      <c r="F3898" s="46" t="s">
        <v>60</v>
      </c>
      <c r="G3898" s="46">
        <v>2</v>
      </c>
      <c r="H3898" s="47">
        <v>10</v>
      </c>
      <c r="I3898" s="47" t="s">
        <v>127</v>
      </c>
      <c r="J3898" s="48">
        <v>1</v>
      </c>
      <c r="K3898" s="48">
        <v>0</v>
      </c>
      <c r="R3898" s="46">
        <f t="shared" si="363"/>
        <v>0</v>
      </c>
      <c r="S3898" s="46">
        <f t="shared" si="364"/>
        <v>0</v>
      </c>
      <c r="T3898" s="46">
        <f t="shared" si="367"/>
        <v>20</v>
      </c>
      <c r="U3898" s="46">
        <f t="shared" si="365"/>
        <v>20</v>
      </c>
      <c r="V3898" s="54">
        <f t="shared" si="366"/>
        <v>3.3333333333333335</v>
      </c>
    </row>
    <row r="3899" spans="1:22" x14ac:dyDescent="0.2">
      <c r="A3899" s="46" t="s">
        <v>44</v>
      </c>
      <c r="B3899" s="46" t="s">
        <v>56</v>
      </c>
      <c r="C3899" s="46" t="s">
        <v>89</v>
      </c>
      <c r="D3899" s="46" t="s">
        <v>178</v>
      </c>
      <c r="E3899" s="46">
        <v>3</v>
      </c>
      <c r="F3899" s="46" t="s">
        <v>60</v>
      </c>
      <c r="G3899" s="46">
        <v>3</v>
      </c>
      <c r="H3899" s="47">
        <v>27</v>
      </c>
      <c r="I3899" s="47" t="s">
        <v>116</v>
      </c>
      <c r="J3899" s="48">
        <v>1</v>
      </c>
      <c r="K3899" s="48">
        <v>1</v>
      </c>
      <c r="R3899" s="46">
        <f t="shared" si="363"/>
        <v>0</v>
      </c>
      <c r="S3899" s="46">
        <f t="shared" si="364"/>
        <v>0</v>
      </c>
      <c r="T3899" s="46">
        <f t="shared" si="367"/>
        <v>20</v>
      </c>
      <c r="U3899" s="46">
        <f t="shared" si="365"/>
        <v>20</v>
      </c>
      <c r="V3899" s="54">
        <f t="shared" si="366"/>
        <v>3.3333333333333335</v>
      </c>
    </row>
    <row r="3900" spans="1:22" x14ac:dyDescent="0.2">
      <c r="A3900" s="46" t="s">
        <v>44</v>
      </c>
      <c r="B3900" s="46" t="s">
        <v>56</v>
      </c>
      <c r="C3900" s="46" t="s">
        <v>89</v>
      </c>
      <c r="D3900" s="46" t="s">
        <v>178</v>
      </c>
      <c r="E3900" s="46">
        <v>3</v>
      </c>
      <c r="F3900" s="46" t="s">
        <v>60</v>
      </c>
      <c r="G3900" s="46">
        <v>1</v>
      </c>
      <c r="H3900" s="47">
        <v>33</v>
      </c>
      <c r="I3900" s="47" t="s">
        <v>101</v>
      </c>
      <c r="J3900" s="48">
        <v>1</v>
      </c>
      <c r="K3900" s="48">
        <v>1</v>
      </c>
      <c r="R3900" s="46">
        <f t="shared" si="363"/>
        <v>0</v>
      </c>
      <c r="S3900" s="46">
        <f t="shared" si="364"/>
        <v>0</v>
      </c>
      <c r="T3900" s="46">
        <f t="shared" si="367"/>
        <v>20</v>
      </c>
      <c r="U3900" s="46">
        <f t="shared" si="365"/>
        <v>20</v>
      </c>
      <c r="V3900" s="54">
        <f t="shared" si="366"/>
        <v>3.3333333333333335</v>
      </c>
    </row>
    <row r="3901" spans="1:22" x14ac:dyDescent="0.2">
      <c r="A3901" s="46" t="s">
        <v>44</v>
      </c>
      <c r="B3901" s="46" t="s">
        <v>56</v>
      </c>
      <c r="C3901" s="46" t="s">
        <v>89</v>
      </c>
      <c r="D3901" s="46" t="s">
        <v>178</v>
      </c>
      <c r="E3901" s="46">
        <v>4</v>
      </c>
      <c r="F3901" s="46" t="s">
        <v>60</v>
      </c>
      <c r="G3901" s="46">
        <v>1</v>
      </c>
      <c r="H3901" s="47">
        <v>37</v>
      </c>
      <c r="I3901" s="47" t="s">
        <v>101</v>
      </c>
      <c r="J3901" s="48">
        <v>1</v>
      </c>
      <c r="K3901" s="48">
        <v>0</v>
      </c>
      <c r="O3901" s="48">
        <v>1</v>
      </c>
      <c r="R3901" s="46">
        <f t="shared" si="363"/>
        <v>0</v>
      </c>
      <c r="S3901" s="46">
        <f t="shared" si="364"/>
        <v>0</v>
      </c>
      <c r="T3901" s="46">
        <f t="shared" si="367"/>
        <v>20</v>
      </c>
      <c r="U3901" s="46">
        <f t="shared" si="365"/>
        <v>30</v>
      </c>
      <c r="V3901" s="54">
        <f t="shared" si="366"/>
        <v>3.3333333333333335</v>
      </c>
    </row>
    <row r="3902" spans="1:22" x14ac:dyDescent="0.2">
      <c r="A3902" s="46" t="s">
        <v>44</v>
      </c>
      <c r="B3902" s="46" t="s">
        <v>56</v>
      </c>
      <c r="C3902" s="46" t="s">
        <v>89</v>
      </c>
      <c r="D3902" s="46" t="s">
        <v>178</v>
      </c>
      <c r="E3902" s="46">
        <v>4</v>
      </c>
      <c r="F3902" s="46" t="s">
        <v>62</v>
      </c>
      <c r="G3902" s="46">
        <v>2</v>
      </c>
      <c r="H3902" s="47" t="s">
        <v>81</v>
      </c>
      <c r="I3902" s="47" t="s">
        <v>127</v>
      </c>
      <c r="J3902" s="48">
        <v>1</v>
      </c>
      <c r="K3902" s="48">
        <v>0</v>
      </c>
      <c r="O3902" s="48">
        <v>1</v>
      </c>
      <c r="R3902" s="46">
        <f t="shared" si="363"/>
        <v>0</v>
      </c>
      <c r="S3902" s="46">
        <f t="shared" si="364"/>
        <v>0</v>
      </c>
      <c r="T3902" s="46">
        <f t="shared" si="367"/>
        <v>20</v>
      </c>
      <c r="U3902" s="46">
        <f t="shared" si="365"/>
        <v>30</v>
      </c>
      <c r="V3902" s="54">
        <f t="shared" si="366"/>
        <v>3.3333333333333335</v>
      </c>
    </row>
    <row r="3903" spans="1:22" x14ac:dyDescent="0.2">
      <c r="A3903" s="46" t="s">
        <v>44</v>
      </c>
      <c r="B3903" s="46" t="s">
        <v>56</v>
      </c>
      <c r="C3903" s="46" t="s">
        <v>89</v>
      </c>
      <c r="D3903" s="46" t="s">
        <v>178</v>
      </c>
      <c r="E3903" s="46">
        <v>3</v>
      </c>
      <c r="F3903" s="46" t="s">
        <v>63</v>
      </c>
      <c r="G3903" s="46">
        <v>4</v>
      </c>
      <c r="H3903" s="47" t="s">
        <v>147</v>
      </c>
      <c r="I3903" s="47" t="s">
        <v>102</v>
      </c>
      <c r="J3903" s="48">
        <v>1</v>
      </c>
      <c r="K3903" s="48">
        <v>0</v>
      </c>
      <c r="O3903" s="48">
        <v>1</v>
      </c>
      <c r="R3903" s="46">
        <f t="shared" si="363"/>
        <v>0</v>
      </c>
      <c r="S3903" s="46">
        <f t="shared" si="364"/>
        <v>0</v>
      </c>
      <c r="T3903" s="46">
        <f t="shared" si="367"/>
        <v>20</v>
      </c>
      <c r="U3903" s="46">
        <f t="shared" si="365"/>
        <v>30</v>
      </c>
      <c r="V3903" s="54">
        <f t="shared" si="366"/>
        <v>3.3333333333333335</v>
      </c>
    </row>
    <row r="3904" spans="1:22" x14ac:dyDescent="0.2">
      <c r="A3904" s="46" t="s">
        <v>44</v>
      </c>
      <c r="B3904" s="46" t="s">
        <v>56</v>
      </c>
      <c r="C3904" s="46" t="s">
        <v>89</v>
      </c>
      <c r="D3904" s="46" t="s">
        <v>178</v>
      </c>
      <c r="E3904" s="46">
        <v>3</v>
      </c>
      <c r="F3904" s="46" t="s">
        <v>63</v>
      </c>
      <c r="G3904" s="46">
        <v>4</v>
      </c>
      <c r="H3904" s="47" t="s">
        <v>148</v>
      </c>
      <c r="I3904" s="47" t="s">
        <v>102</v>
      </c>
      <c r="J3904" s="48">
        <v>1</v>
      </c>
      <c r="K3904" s="48">
        <v>1</v>
      </c>
      <c r="R3904" s="46">
        <f t="shared" si="363"/>
        <v>0</v>
      </c>
      <c r="S3904" s="46">
        <f t="shared" si="364"/>
        <v>0</v>
      </c>
      <c r="T3904" s="46">
        <f t="shared" si="367"/>
        <v>20</v>
      </c>
      <c r="U3904" s="46">
        <f t="shared" si="365"/>
        <v>20</v>
      </c>
      <c r="V3904" s="54">
        <f t="shared" si="366"/>
        <v>3.3333333333333335</v>
      </c>
    </row>
    <row r="3905" spans="1:22" x14ac:dyDescent="0.2">
      <c r="A3905" s="46" t="s">
        <v>44</v>
      </c>
      <c r="B3905" s="46" t="s">
        <v>56</v>
      </c>
      <c r="C3905" s="46" t="s">
        <v>89</v>
      </c>
      <c r="D3905" s="46" t="s">
        <v>178</v>
      </c>
      <c r="E3905" s="46">
        <v>3</v>
      </c>
      <c r="F3905" s="46" t="s">
        <v>63</v>
      </c>
      <c r="G3905" s="46">
        <v>4</v>
      </c>
      <c r="H3905" s="47" t="s">
        <v>149</v>
      </c>
      <c r="I3905" s="47" t="s">
        <v>102</v>
      </c>
      <c r="J3905" s="48">
        <v>1</v>
      </c>
      <c r="K3905" s="48">
        <v>1</v>
      </c>
      <c r="R3905" s="46">
        <f t="shared" si="363"/>
        <v>0</v>
      </c>
      <c r="S3905" s="46">
        <f t="shared" si="364"/>
        <v>0</v>
      </c>
      <c r="T3905" s="46">
        <f t="shared" si="367"/>
        <v>20</v>
      </c>
      <c r="U3905" s="46">
        <f t="shared" si="365"/>
        <v>20</v>
      </c>
      <c r="V3905" s="54">
        <f t="shared" si="366"/>
        <v>3.3333333333333335</v>
      </c>
    </row>
    <row r="3906" spans="1:22" x14ac:dyDescent="0.2">
      <c r="A3906" s="46" t="s">
        <v>44</v>
      </c>
      <c r="B3906" s="46" t="s">
        <v>56</v>
      </c>
      <c r="C3906" s="46" t="s">
        <v>89</v>
      </c>
      <c r="D3906" s="46" t="s">
        <v>178</v>
      </c>
      <c r="E3906" s="46">
        <v>5</v>
      </c>
      <c r="F3906" s="46" t="s">
        <v>60</v>
      </c>
      <c r="G3906" s="46">
        <v>1</v>
      </c>
      <c r="H3906" s="47">
        <v>5</v>
      </c>
      <c r="I3906" s="47" t="s">
        <v>101</v>
      </c>
      <c r="J3906" s="48">
        <v>0</v>
      </c>
      <c r="K3906" s="48">
        <v>0</v>
      </c>
      <c r="R3906" s="46">
        <f t="shared" ref="R3906:R3972" si="368">IF(J3906=4,1,0)</f>
        <v>0</v>
      </c>
      <c r="S3906" s="46">
        <f t="shared" ref="S3906:S3972" si="369">IF(K3906=3,1,0)</f>
        <v>0</v>
      </c>
      <c r="T3906" s="46">
        <f t="shared" si="367"/>
        <v>0</v>
      </c>
      <c r="U3906" s="46">
        <f t="shared" ref="U3906:U3969" si="370">T3906+M3906*(20) + (SUM(O3906:Q3906)*(10)) - L3906*(5) - N3906*(5)</f>
        <v>0</v>
      </c>
      <c r="V3906" s="54">
        <f t="shared" ref="V3906:V3969" si="371">AVERAGEIFS(U:U,A:A,A3906,F:F,"Pre")</f>
        <v>3.3333333333333335</v>
      </c>
    </row>
    <row r="3907" spans="1:22" x14ac:dyDescent="0.2">
      <c r="A3907" s="46" t="s">
        <v>44</v>
      </c>
      <c r="B3907" s="46" t="s">
        <v>56</v>
      </c>
      <c r="C3907" s="46" t="s">
        <v>89</v>
      </c>
      <c r="D3907" s="46" t="s">
        <v>178</v>
      </c>
      <c r="E3907" s="46">
        <v>5</v>
      </c>
      <c r="F3907" s="46" t="s">
        <v>60</v>
      </c>
      <c r="G3907" s="46">
        <v>4</v>
      </c>
      <c r="H3907" s="47">
        <v>20</v>
      </c>
      <c r="I3907" s="47" t="s">
        <v>102</v>
      </c>
      <c r="J3907" s="48">
        <v>0</v>
      </c>
      <c r="K3907" s="48">
        <v>1</v>
      </c>
      <c r="R3907" s="46">
        <f t="shared" si="368"/>
        <v>0</v>
      </c>
      <c r="S3907" s="46">
        <f t="shared" si="369"/>
        <v>0</v>
      </c>
      <c r="T3907" s="46">
        <f t="shared" si="367"/>
        <v>0</v>
      </c>
      <c r="U3907" s="46">
        <f t="shared" si="370"/>
        <v>0</v>
      </c>
      <c r="V3907" s="54">
        <f t="shared" si="371"/>
        <v>3.3333333333333335</v>
      </c>
    </row>
    <row r="3908" spans="1:22" x14ac:dyDescent="0.2">
      <c r="A3908" s="46" t="s">
        <v>44</v>
      </c>
      <c r="B3908" s="46" t="s">
        <v>56</v>
      </c>
      <c r="C3908" s="46" t="s">
        <v>89</v>
      </c>
      <c r="D3908" s="46" t="s">
        <v>178</v>
      </c>
      <c r="E3908" s="46">
        <v>5</v>
      </c>
      <c r="F3908" s="46" t="s">
        <v>60</v>
      </c>
      <c r="G3908" s="46">
        <v>2</v>
      </c>
      <c r="H3908" s="47">
        <v>26</v>
      </c>
      <c r="I3908" s="47" t="s">
        <v>127</v>
      </c>
      <c r="J3908" s="48">
        <v>0</v>
      </c>
      <c r="K3908" s="48">
        <v>0</v>
      </c>
      <c r="R3908" s="46">
        <f t="shared" si="368"/>
        <v>0</v>
      </c>
      <c r="S3908" s="46">
        <f t="shared" si="369"/>
        <v>0</v>
      </c>
      <c r="T3908" s="46">
        <f t="shared" si="367"/>
        <v>0</v>
      </c>
      <c r="U3908" s="46">
        <f t="shared" si="370"/>
        <v>0</v>
      </c>
      <c r="V3908" s="54">
        <f t="shared" si="371"/>
        <v>3.3333333333333335</v>
      </c>
    </row>
    <row r="3909" spans="1:22" x14ac:dyDescent="0.2">
      <c r="A3909" s="46" t="s">
        <v>44</v>
      </c>
      <c r="B3909" s="46" t="s">
        <v>56</v>
      </c>
      <c r="C3909" s="46" t="s">
        <v>89</v>
      </c>
      <c r="D3909" s="46" t="s">
        <v>178</v>
      </c>
      <c r="E3909" s="46">
        <v>5</v>
      </c>
      <c r="F3909" s="46" t="s">
        <v>60</v>
      </c>
      <c r="G3909" s="46">
        <v>2</v>
      </c>
      <c r="H3909" s="47">
        <v>34</v>
      </c>
      <c r="I3909" s="47" t="s">
        <v>127</v>
      </c>
      <c r="J3909" s="48">
        <v>1</v>
      </c>
      <c r="K3909" s="48">
        <v>1</v>
      </c>
      <c r="R3909" s="46">
        <f t="shared" si="368"/>
        <v>0</v>
      </c>
      <c r="S3909" s="46">
        <f t="shared" si="369"/>
        <v>0</v>
      </c>
      <c r="T3909" s="46">
        <f t="shared" si="367"/>
        <v>20</v>
      </c>
      <c r="U3909" s="46">
        <f t="shared" si="370"/>
        <v>20</v>
      </c>
      <c r="V3909" s="54">
        <f t="shared" si="371"/>
        <v>3.3333333333333335</v>
      </c>
    </row>
    <row r="3910" spans="1:22" x14ac:dyDescent="0.2">
      <c r="A3910" s="46" t="s">
        <v>44</v>
      </c>
      <c r="B3910" s="46" t="s">
        <v>56</v>
      </c>
      <c r="C3910" s="46" t="s">
        <v>89</v>
      </c>
      <c r="D3910" s="46" t="s">
        <v>178</v>
      </c>
      <c r="E3910" s="46">
        <v>5</v>
      </c>
      <c r="F3910" s="46" t="s">
        <v>60</v>
      </c>
      <c r="G3910" s="46">
        <v>3</v>
      </c>
      <c r="H3910" s="47">
        <v>39</v>
      </c>
      <c r="I3910" s="47" t="s">
        <v>159</v>
      </c>
      <c r="J3910" s="48">
        <v>0</v>
      </c>
      <c r="K3910" s="48">
        <v>0</v>
      </c>
      <c r="R3910" s="46">
        <f t="shared" si="368"/>
        <v>0</v>
      </c>
      <c r="S3910" s="46">
        <f t="shared" si="369"/>
        <v>0</v>
      </c>
      <c r="T3910" s="46">
        <f t="shared" si="367"/>
        <v>0</v>
      </c>
      <c r="U3910" s="46">
        <f t="shared" si="370"/>
        <v>0</v>
      </c>
      <c r="V3910" s="54">
        <f t="shared" si="371"/>
        <v>3.3333333333333335</v>
      </c>
    </row>
    <row r="3911" spans="1:22" x14ac:dyDescent="0.2">
      <c r="A3911" s="46" t="s">
        <v>44</v>
      </c>
      <c r="B3911" s="46" t="s">
        <v>56</v>
      </c>
      <c r="C3911" s="46" t="s">
        <v>89</v>
      </c>
      <c r="D3911" s="46" t="s">
        <v>178</v>
      </c>
      <c r="E3911" s="46">
        <v>5</v>
      </c>
      <c r="F3911" s="46" t="s">
        <v>60</v>
      </c>
      <c r="G3911" s="46">
        <v>4</v>
      </c>
      <c r="H3911" s="47">
        <v>48</v>
      </c>
      <c r="I3911" s="47" t="s">
        <v>102</v>
      </c>
      <c r="J3911" s="48">
        <v>0</v>
      </c>
      <c r="K3911" s="48">
        <v>2</v>
      </c>
      <c r="R3911" s="46">
        <f t="shared" si="368"/>
        <v>0</v>
      </c>
      <c r="S3911" s="46">
        <f t="shared" si="369"/>
        <v>0</v>
      </c>
      <c r="T3911" s="46">
        <f t="shared" si="367"/>
        <v>-10</v>
      </c>
      <c r="U3911" s="46">
        <f t="shared" si="370"/>
        <v>-10</v>
      </c>
      <c r="V3911" s="54">
        <f t="shared" si="371"/>
        <v>3.3333333333333335</v>
      </c>
    </row>
    <row r="3912" spans="1:22" x14ac:dyDescent="0.2">
      <c r="A3912" s="46" t="s">
        <v>44</v>
      </c>
      <c r="B3912" s="46" t="s">
        <v>56</v>
      </c>
      <c r="C3912" s="46" t="s">
        <v>89</v>
      </c>
      <c r="D3912" s="46" t="s">
        <v>178</v>
      </c>
      <c r="E3912" s="46">
        <v>5</v>
      </c>
      <c r="F3912" s="46" t="s">
        <v>62</v>
      </c>
      <c r="G3912" s="46">
        <v>2</v>
      </c>
      <c r="H3912" s="47" t="s">
        <v>81</v>
      </c>
      <c r="I3912" s="47" t="s">
        <v>127</v>
      </c>
      <c r="J3912" s="48">
        <v>0</v>
      </c>
      <c r="K3912" s="48">
        <v>0</v>
      </c>
      <c r="R3912" s="46">
        <f t="shared" si="368"/>
        <v>0</v>
      </c>
      <c r="S3912" s="46">
        <f t="shared" si="369"/>
        <v>0</v>
      </c>
      <c r="T3912" s="46">
        <f t="shared" si="367"/>
        <v>0</v>
      </c>
      <c r="U3912" s="46">
        <f t="shared" si="370"/>
        <v>0</v>
      </c>
      <c r="V3912" s="54">
        <f t="shared" si="371"/>
        <v>3.3333333333333335</v>
      </c>
    </row>
    <row r="3913" spans="1:22" x14ac:dyDescent="0.2">
      <c r="A3913" s="46" t="s">
        <v>44</v>
      </c>
      <c r="B3913" s="46" t="s">
        <v>56</v>
      </c>
      <c r="C3913" s="46" t="s">
        <v>89</v>
      </c>
      <c r="D3913" s="46" t="s">
        <v>178</v>
      </c>
      <c r="E3913" s="46">
        <v>5</v>
      </c>
      <c r="F3913" s="46" t="s">
        <v>62</v>
      </c>
      <c r="G3913" s="46">
        <v>3</v>
      </c>
      <c r="H3913" s="47" t="s">
        <v>84</v>
      </c>
      <c r="I3913" s="47" t="s">
        <v>219</v>
      </c>
      <c r="J3913" s="48">
        <v>0</v>
      </c>
      <c r="K3913" s="48">
        <v>1</v>
      </c>
      <c r="R3913" s="46">
        <f t="shared" si="368"/>
        <v>0</v>
      </c>
      <c r="S3913" s="46">
        <f t="shared" si="369"/>
        <v>0</v>
      </c>
      <c r="T3913" s="46">
        <f t="shared" si="367"/>
        <v>0</v>
      </c>
      <c r="U3913" s="46">
        <f t="shared" si="370"/>
        <v>0</v>
      </c>
      <c r="V3913" s="54">
        <f t="shared" si="371"/>
        <v>3.3333333333333335</v>
      </c>
    </row>
    <row r="3914" spans="1:22" x14ac:dyDescent="0.2">
      <c r="A3914" s="46" t="s">
        <v>44</v>
      </c>
      <c r="B3914" s="46" t="s">
        <v>56</v>
      </c>
      <c r="C3914" s="46" t="s">
        <v>89</v>
      </c>
      <c r="D3914" s="46" t="s">
        <v>178</v>
      </c>
      <c r="E3914" s="46">
        <v>5</v>
      </c>
      <c r="F3914" s="46" t="s">
        <v>62</v>
      </c>
      <c r="G3914" s="46">
        <v>3</v>
      </c>
      <c r="H3914" s="47" t="s">
        <v>87</v>
      </c>
      <c r="I3914" s="47" t="s">
        <v>219</v>
      </c>
      <c r="J3914" s="48">
        <v>0</v>
      </c>
      <c r="K3914" s="48">
        <v>0</v>
      </c>
      <c r="R3914" s="46">
        <f t="shared" si="368"/>
        <v>0</v>
      </c>
      <c r="S3914" s="46">
        <f t="shared" si="369"/>
        <v>0</v>
      </c>
      <c r="T3914" s="46">
        <f t="shared" si="367"/>
        <v>0</v>
      </c>
      <c r="U3914" s="46">
        <f t="shared" si="370"/>
        <v>0</v>
      </c>
      <c r="V3914" s="54">
        <f t="shared" si="371"/>
        <v>3.3333333333333335</v>
      </c>
    </row>
    <row r="3915" spans="1:22" x14ac:dyDescent="0.2">
      <c r="A3915" s="46" t="s">
        <v>44</v>
      </c>
      <c r="B3915" s="46" t="s">
        <v>56</v>
      </c>
      <c r="C3915" s="46" t="str">
        <f>VLOOKUP(B3915,$B$2:$C$3219,2,FALSE)</f>
        <v>Chapel Hill</v>
      </c>
      <c r="D3915" s="46" t="s">
        <v>178</v>
      </c>
      <c r="E3915" s="46">
        <v>5</v>
      </c>
      <c r="F3915" s="46" t="s">
        <v>62</v>
      </c>
      <c r="G3915" s="46">
        <v>3</v>
      </c>
      <c r="H3915" s="47" t="s">
        <v>64</v>
      </c>
      <c r="I3915" s="47" t="s">
        <v>219</v>
      </c>
      <c r="J3915" s="48">
        <v>0</v>
      </c>
      <c r="K3915" s="48">
        <v>0</v>
      </c>
      <c r="R3915" s="46">
        <f t="shared" si="368"/>
        <v>0</v>
      </c>
      <c r="S3915" s="46">
        <f t="shared" si="369"/>
        <v>0</v>
      </c>
      <c r="T3915" s="46">
        <f t="shared" si="367"/>
        <v>0</v>
      </c>
      <c r="U3915" s="46">
        <f t="shared" si="370"/>
        <v>0</v>
      </c>
      <c r="V3915" s="54">
        <f t="shared" si="371"/>
        <v>3.3333333333333335</v>
      </c>
    </row>
    <row r="3916" spans="1:22" x14ac:dyDescent="0.2">
      <c r="A3916" s="46" t="s">
        <v>186</v>
      </c>
      <c r="B3916" s="46" t="s">
        <v>209</v>
      </c>
      <c r="C3916" s="46" t="s">
        <v>93</v>
      </c>
      <c r="D3916" s="46" t="s">
        <v>178</v>
      </c>
      <c r="E3916" s="46">
        <v>1</v>
      </c>
      <c r="F3916" s="46" t="s">
        <v>60</v>
      </c>
      <c r="G3916" s="46">
        <v>3</v>
      </c>
      <c r="H3916" s="47">
        <v>7</v>
      </c>
      <c r="I3916" s="47" t="s">
        <v>116</v>
      </c>
      <c r="J3916" s="48">
        <v>0</v>
      </c>
      <c r="K3916" s="48">
        <v>1</v>
      </c>
      <c r="R3916" s="46">
        <f t="shared" si="368"/>
        <v>0</v>
      </c>
      <c r="S3916" s="46">
        <f t="shared" si="369"/>
        <v>0</v>
      </c>
      <c r="T3916" s="46">
        <f t="shared" si="367"/>
        <v>0</v>
      </c>
      <c r="U3916" s="46">
        <f t="shared" si="370"/>
        <v>0</v>
      </c>
      <c r="V3916" s="54">
        <f t="shared" si="371"/>
        <v>10.833333333333334</v>
      </c>
    </row>
    <row r="3917" spans="1:22" x14ac:dyDescent="0.2">
      <c r="A3917" s="46" t="s">
        <v>186</v>
      </c>
      <c r="B3917" s="46" t="s">
        <v>209</v>
      </c>
      <c r="C3917" s="46" t="s">
        <v>93</v>
      </c>
      <c r="D3917" s="46" t="s">
        <v>178</v>
      </c>
      <c r="E3917" s="46">
        <v>1</v>
      </c>
      <c r="F3917" s="46" t="s">
        <v>60</v>
      </c>
      <c r="G3917" s="46">
        <v>3</v>
      </c>
      <c r="H3917" s="47">
        <v>15</v>
      </c>
      <c r="I3917" s="47" t="s">
        <v>116</v>
      </c>
      <c r="J3917" s="48">
        <v>0</v>
      </c>
      <c r="K3917" s="48">
        <v>0</v>
      </c>
      <c r="N3917" s="48">
        <v>1</v>
      </c>
      <c r="R3917" s="46">
        <f t="shared" si="368"/>
        <v>0</v>
      </c>
      <c r="S3917" s="46">
        <f t="shared" si="369"/>
        <v>0</v>
      </c>
      <c r="T3917" s="46">
        <f t="shared" si="367"/>
        <v>0</v>
      </c>
      <c r="U3917" s="46">
        <f t="shared" si="370"/>
        <v>-5</v>
      </c>
      <c r="V3917" s="54">
        <f t="shared" si="371"/>
        <v>10.833333333333334</v>
      </c>
    </row>
    <row r="3918" spans="1:22" x14ac:dyDescent="0.2">
      <c r="A3918" s="46" t="s">
        <v>186</v>
      </c>
      <c r="B3918" s="46" t="s">
        <v>209</v>
      </c>
      <c r="C3918" s="46" t="s">
        <v>93</v>
      </c>
      <c r="D3918" s="46" t="s">
        <v>178</v>
      </c>
      <c r="E3918" s="46">
        <v>1</v>
      </c>
      <c r="F3918" s="46" t="s">
        <v>60</v>
      </c>
      <c r="G3918" s="46">
        <v>1</v>
      </c>
      <c r="H3918" s="47">
        <v>21</v>
      </c>
      <c r="I3918" s="47" t="s">
        <v>101</v>
      </c>
      <c r="J3918" s="48">
        <v>0</v>
      </c>
      <c r="K3918" s="48">
        <v>0</v>
      </c>
      <c r="R3918" s="46">
        <f t="shared" si="368"/>
        <v>0</v>
      </c>
      <c r="S3918" s="46">
        <f t="shared" si="369"/>
        <v>0</v>
      </c>
      <c r="T3918" s="46">
        <f t="shared" si="367"/>
        <v>0</v>
      </c>
      <c r="U3918" s="46">
        <f t="shared" si="370"/>
        <v>0</v>
      </c>
      <c r="V3918" s="54">
        <f t="shared" si="371"/>
        <v>10.833333333333334</v>
      </c>
    </row>
    <row r="3919" spans="1:22" x14ac:dyDescent="0.2">
      <c r="A3919" s="46" t="s">
        <v>186</v>
      </c>
      <c r="B3919" s="46" t="s">
        <v>209</v>
      </c>
      <c r="C3919" s="46" t="s">
        <v>93</v>
      </c>
      <c r="D3919" s="46" t="s">
        <v>178</v>
      </c>
      <c r="E3919" s="46">
        <v>1</v>
      </c>
      <c r="F3919" s="46" t="s">
        <v>60</v>
      </c>
      <c r="G3919" s="46">
        <v>1</v>
      </c>
      <c r="H3919" s="47">
        <v>29</v>
      </c>
      <c r="I3919" s="47" t="s">
        <v>101</v>
      </c>
      <c r="J3919" s="48">
        <v>0</v>
      </c>
      <c r="K3919" s="48">
        <v>0</v>
      </c>
      <c r="M3919" s="48">
        <v>1</v>
      </c>
      <c r="R3919" s="46">
        <f t="shared" si="368"/>
        <v>0</v>
      </c>
      <c r="S3919" s="46">
        <f t="shared" si="369"/>
        <v>0</v>
      </c>
      <c r="T3919" s="46">
        <f t="shared" si="367"/>
        <v>0</v>
      </c>
      <c r="U3919" s="46">
        <f t="shared" si="370"/>
        <v>20</v>
      </c>
      <c r="V3919" s="54">
        <f t="shared" si="371"/>
        <v>10.833333333333334</v>
      </c>
    </row>
    <row r="3920" spans="1:22" x14ac:dyDescent="0.2">
      <c r="A3920" s="46" t="s">
        <v>186</v>
      </c>
      <c r="B3920" s="46" t="s">
        <v>209</v>
      </c>
      <c r="C3920" s="46" t="s">
        <v>93</v>
      </c>
      <c r="D3920" s="46" t="s">
        <v>178</v>
      </c>
      <c r="E3920" s="46">
        <v>1</v>
      </c>
      <c r="F3920" s="46" t="s">
        <v>62</v>
      </c>
      <c r="G3920" s="46">
        <v>3</v>
      </c>
      <c r="H3920" s="47" t="s">
        <v>84</v>
      </c>
      <c r="I3920" s="47" t="s">
        <v>116</v>
      </c>
      <c r="J3920" s="48">
        <v>0</v>
      </c>
      <c r="K3920" s="48">
        <v>0</v>
      </c>
      <c r="M3920" s="48">
        <v>2</v>
      </c>
      <c r="R3920" s="46">
        <f t="shared" si="368"/>
        <v>0</v>
      </c>
      <c r="S3920" s="46">
        <f t="shared" si="369"/>
        <v>0</v>
      </c>
      <c r="T3920" s="46">
        <f t="shared" ref="T3920:T3972" si="372">quizscore(J3920,K3920)</f>
        <v>0</v>
      </c>
      <c r="U3920" s="46">
        <f t="shared" si="370"/>
        <v>40</v>
      </c>
      <c r="V3920" s="54">
        <f t="shared" si="371"/>
        <v>10.833333333333334</v>
      </c>
    </row>
    <row r="3921" spans="1:22" x14ac:dyDescent="0.2">
      <c r="A3921" s="46" t="s">
        <v>186</v>
      </c>
      <c r="B3921" s="46" t="s">
        <v>209</v>
      </c>
      <c r="C3921" s="46" t="s">
        <v>93</v>
      </c>
      <c r="D3921" s="46" t="s">
        <v>178</v>
      </c>
      <c r="E3921" s="46">
        <v>1</v>
      </c>
      <c r="F3921" s="46" t="s">
        <v>62</v>
      </c>
      <c r="G3921" s="46">
        <v>2</v>
      </c>
      <c r="H3921" s="47" t="s">
        <v>86</v>
      </c>
      <c r="I3921" s="47" t="s">
        <v>127</v>
      </c>
      <c r="J3921" s="48">
        <v>0</v>
      </c>
      <c r="K3921" s="48">
        <v>0</v>
      </c>
      <c r="R3921" s="46">
        <f t="shared" si="368"/>
        <v>0</v>
      </c>
      <c r="S3921" s="46">
        <f t="shared" si="369"/>
        <v>0</v>
      </c>
      <c r="T3921" s="46">
        <f t="shared" si="372"/>
        <v>0</v>
      </c>
      <c r="U3921" s="46">
        <f t="shared" si="370"/>
        <v>0</v>
      </c>
      <c r="V3921" s="54">
        <f t="shared" si="371"/>
        <v>10.833333333333334</v>
      </c>
    </row>
    <row r="3922" spans="1:22" x14ac:dyDescent="0.2">
      <c r="A3922" s="46" t="s">
        <v>186</v>
      </c>
      <c r="B3922" s="46" t="s">
        <v>209</v>
      </c>
      <c r="C3922" s="46" t="s">
        <v>93</v>
      </c>
      <c r="D3922" s="46" t="s">
        <v>178</v>
      </c>
      <c r="E3922" s="46">
        <v>1</v>
      </c>
      <c r="F3922" s="46" t="s">
        <v>62</v>
      </c>
      <c r="G3922" s="46">
        <v>3</v>
      </c>
      <c r="H3922" s="47" t="s">
        <v>64</v>
      </c>
      <c r="I3922" s="47" t="s">
        <v>116</v>
      </c>
      <c r="J3922" s="48">
        <v>0</v>
      </c>
      <c r="K3922" s="48">
        <v>0</v>
      </c>
      <c r="R3922" s="46">
        <f t="shared" si="368"/>
        <v>0</v>
      </c>
      <c r="S3922" s="46">
        <f t="shared" si="369"/>
        <v>0</v>
      </c>
      <c r="T3922" s="46">
        <f t="shared" si="372"/>
        <v>0</v>
      </c>
      <c r="U3922" s="46">
        <f t="shared" si="370"/>
        <v>0</v>
      </c>
      <c r="V3922" s="54">
        <f t="shared" si="371"/>
        <v>10.833333333333334</v>
      </c>
    </row>
    <row r="3923" spans="1:22" x14ac:dyDescent="0.2">
      <c r="A3923" s="46" t="s">
        <v>186</v>
      </c>
      <c r="B3923" s="46" t="s">
        <v>209</v>
      </c>
      <c r="C3923" s="46" t="s">
        <v>93</v>
      </c>
      <c r="D3923" s="46" t="s">
        <v>178</v>
      </c>
      <c r="E3923" s="46">
        <v>1</v>
      </c>
      <c r="F3923" s="46" t="s">
        <v>60</v>
      </c>
      <c r="G3923" s="46">
        <v>2</v>
      </c>
      <c r="H3923" s="47">
        <v>46</v>
      </c>
      <c r="I3923" s="47" t="s">
        <v>127</v>
      </c>
      <c r="J3923" s="48">
        <v>1</v>
      </c>
      <c r="K3923" s="48">
        <v>2</v>
      </c>
      <c r="O3923" s="48">
        <v>1</v>
      </c>
      <c r="R3923" s="46">
        <f t="shared" si="368"/>
        <v>0</v>
      </c>
      <c r="S3923" s="46">
        <f t="shared" si="369"/>
        <v>0</v>
      </c>
      <c r="T3923" s="46">
        <f t="shared" si="372"/>
        <v>10</v>
      </c>
      <c r="U3923" s="46">
        <f t="shared" si="370"/>
        <v>20</v>
      </c>
      <c r="V3923" s="54">
        <f t="shared" si="371"/>
        <v>10.833333333333334</v>
      </c>
    </row>
    <row r="3924" spans="1:22" x14ac:dyDescent="0.2">
      <c r="A3924" s="46" t="s">
        <v>186</v>
      </c>
      <c r="B3924" s="46" t="s">
        <v>209</v>
      </c>
      <c r="C3924" s="46" t="s">
        <v>93</v>
      </c>
      <c r="D3924" s="46" t="s">
        <v>178</v>
      </c>
      <c r="E3924" s="46">
        <v>1</v>
      </c>
      <c r="F3924" s="46" t="s">
        <v>60</v>
      </c>
      <c r="G3924" s="46">
        <v>4</v>
      </c>
      <c r="H3924" s="47">
        <v>40</v>
      </c>
      <c r="I3924" s="47" t="s">
        <v>102</v>
      </c>
      <c r="J3924" s="48">
        <v>1</v>
      </c>
      <c r="K3924" s="48">
        <v>1</v>
      </c>
      <c r="P3924" s="48">
        <v>1</v>
      </c>
      <c r="R3924" s="46">
        <f t="shared" si="368"/>
        <v>0</v>
      </c>
      <c r="S3924" s="46">
        <f t="shared" si="369"/>
        <v>0</v>
      </c>
      <c r="T3924" s="46">
        <f t="shared" si="372"/>
        <v>20</v>
      </c>
      <c r="U3924" s="46">
        <f t="shared" si="370"/>
        <v>30</v>
      </c>
      <c r="V3924" s="54">
        <f t="shared" si="371"/>
        <v>10.833333333333334</v>
      </c>
    </row>
    <row r="3925" spans="1:22" x14ac:dyDescent="0.2">
      <c r="A3925" s="46" t="s">
        <v>186</v>
      </c>
      <c r="B3925" s="46" t="s">
        <v>209</v>
      </c>
      <c r="C3925" s="46" t="s">
        <v>93</v>
      </c>
      <c r="D3925" s="46" t="s">
        <v>178</v>
      </c>
      <c r="E3925" s="46">
        <v>1</v>
      </c>
      <c r="F3925" s="46" t="s">
        <v>62</v>
      </c>
      <c r="G3925" s="46">
        <v>2</v>
      </c>
      <c r="H3925" s="47" t="s">
        <v>81</v>
      </c>
      <c r="I3925" s="47" t="s">
        <v>127</v>
      </c>
      <c r="J3925" s="48">
        <v>1</v>
      </c>
      <c r="K3925" s="48">
        <v>0</v>
      </c>
      <c r="O3925" s="48">
        <v>1</v>
      </c>
      <c r="R3925" s="46">
        <f t="shared" si="368"/>
        <v>0</v>
      </c>
      <c r="S3925" s="46">
        <f t="shared" si="369"/>
        <v>0</v>
      </c>
      <c r="T3925" s="46">
        <f t="shared" si="372"/>
        <v>20</v>
      </c>
      <c r="U3925" s="46">
        <f t="shared" si="370"/>
        <v>30</v>
      </c>
      <c r="V3925" s="54">
        <f t="shared" si="371"/>
        <v>10.833333333333334</v>
      </c>
    </row>
    <row r="3926" spans="1:22" x14ac:dyDescent="0.2">
      <c r="A3926" s="46" t="s">
        <v>38</v>
      </c>
      <c r="B3926" s="46" t="s">
        <v>58</v>
      </c>
      <c r="C3926" s="46" t="s">
        <v>93</v>
      </c>
      <c r="D3926" s="46" t="s">
        <v>178</v>
      </c>
      <c r="E3926" s="46">
        <v>3</v>
      </c>
      <c r="F3926" s="46" t="s">
        <v>60</v>
      </c>
      <c r="G3926" s="46">
        <v>2</v>
      </c>
      <c r="H3926" s="47">
        <v>2</v>
      </c>
      <c r="I3926" s="47" t="s">
        <v>127</v>
      </c>
      <c r="J3926" s="48">
        <v>0</v>
      </c>
      <c r="K3926" s="48">
        <v>0</v>
      </c>
      <c r="R3926" s="46">
        <f t="shared" si="368"/>
        <v>0</v>
      </c>
      <c r="S3926" s="46">
        <f t="shared" si="369"/>
        <v>0</v>
      </c>
      <c r="T3926" s="46">
        <f t="shared" si="372"/>
        <v>0</v>
      </c>
      <c r="U3926" s="46">
        <f t="shared" si="370"/>
        <v>0</v>
      </c>
      <c r="V3926" s="54">
        <f t="shared" si="371"/>
        <v>17.666666666666668</v>
      </c>
    </row>
    <row r="3927" spans="1:22" x14ac:dyDescent="0.2">
      <c r="A3927" s="46" t="s">
        <v>38</v>
      </c>
      <c r="B3927" s="46" t="s">
        <v>58</v>
      </c>
      <c r="C3927" s="46" t="s">
        <v>93</v>
      </c>
      <c r="D3927" s="46" t="s">
        <v>178</v>
      </c>
      <c r="E3927" s="46">
        <v>4</v>
      </c>
      <c r="F3927" s="46" t="s">
        <v>60</v>
      </c>
      <c r="G3927" s="46">
        <v>4</v>
      </c>
      <c r="H3927" s="47">
        <v>4</v>
      </c>
      <c r="I3927" s="47" t="s">
        <v>102</v>
      </c>
      <c r="J3927" s="48">
        <v>0</v>
      </c>
      <c r="K3927" s="48">
        <v>0</v>
      </c>
      <c r="R3927" s="46">
        <f t="shared" si="368"/>
        <v>0</v>
      </c>
      <c r="S3927" s="46">
        <f t="shared" si="369"/>
        <v>0</v>
      </c>
      <c r="T3927" s="46">
        <f t="shared" si="372"/>
        <v>0</v>
      </c>
      <c r="U3927" s="46">
        <f t="shared" si="370"/>
        <v>0</v>
      </c>
      <c r="V3927" s="54">
        <f t="shared" si="371"/>
        <v>17.666666666666668</v>
      </c>
    </row>
    <row r="3928" spans="1:22" x14ac:dyDescent="0.2">
      <c r="A3928" s="46" t="s">
        <v>38</v>
      </c>
      <c r="B3928" s="46" t="s">
        <v>58</v>
      </c>
      <c r="C3928" s="46" t="s">
        <v>93</v>
      </c>
      <c r="D3928" s="46" t="s">
        <v>178</v>
      </c>
      <c r="E3928" s="46">
        <v>4</v>
      </c>
      <c r="F3928" s="46" t="s">
        <v>60</v>
      </c>
      <c r="G3928" s="46">
        <v>2</v>
      </c>
      <c r="H3928" s="47">
        <v>18</v>
      </c>
      <c r="I3928" s="47" t="s">
        <v>127</v>
      </c>
      <c r="J3928" s="48">
        <v>0</v>
      </c>
      <c r="K3928" s="48">
        <v>1</v>
      </c>
      <c r="N3928" s="48">
        <v>2</v>
      </c>
      <c r="R3928" s="46">
        <f t="shared" si="368"/>
        <v>0</v>
      </c>
      <c r="S3928" s="46">
        <f t="shared" si="369"/>
        <v>0</v>
      </c>
      <c r="T3928" s="46">
        <f t="shared" si="372"/>
        <v>0</v>
      </c>
      <c r="U3928" s="46">
        <f t="shared" si="370"/>
        <v>-10</v>
      </c>
      <c r="V3928" s="54">
        <f t="shared" si="371"/>
        <v>17.666666666666668</v>
      </c>
    </row>
    <row r="3929" spans="1:22" x14ac:dyDescent="0.2">
      <c r="A3929" s="46" t="s">
        <v>38</v>
      </c>
      <c r="B3929" s="46" t="s">
        <v>58</v>
      </c>
      <c r="C3929" s="46" t="s">
        <v>93</v>
      </c>
      <c r="D3929" s="46" t="s">
        <v>178</v>
      </c>
      <c r="E3929" s="46">
        <v>3</v>
      </c>
      <c r="F3929" s="46" t="s">
        <v>60</v>
      </c>
      <c r="G3929" s="46">
        <v>2</v>
      </c>
      <c r="H3929" s="47">
        <v>26</v>
      </c>
      <c r="I3929" s="47" t="s">
        <v>127</v>
      </c>
      <c r="J3929" s="48">
        <v>0</v>
      </c>
      <c r="K3929" s="48">
        <v>0</v>
      </c>
      <c r="N3929" s="48">
        <v>2</v>
      </c>
      <c r="R3929" s="46">
        <f t="shared" si="368"/>
        <v>0</v>
      </c>
      <c r="S3929" s="46">
        <f t="shared" si="369"/>
        <v>0</v>
      </c>
      <c r="T3929" s="46">
        <f t="shared" si="372"/>
        <v>0</v>
      </c>
      <c r="U3929" s="46">
        <f t="shared" si="370"/>
        <v>-10</v>
      </c>
      <c r="V3929" s="54">
        <f t="shared" si="371"/>
        <v>17.666666666666668</v>
      </c>
    </row>
    <row r="3930" spans="1:22" x14ac:dyDescent="0.2">
      <c r="A3930" s="46" t="s">
        <v>38</v>
      </c>
      <c r="B3930" s="46" t="s">
        <v>58</v>
      </c>
      <c r="C3930" s="46" t="s">
        <v>93</v>
      </c>
      <c r="D3930" s="46" t="s">
        <v>178</v>
      </c>
      <c r="E3930" s="46">
        <v>2</v>
      </c>
      <c r="F3930" s="46" t="s">
        <v>60</v>
      </c>
      <c r="G3930" s="46">
        <v>4</v>
      </c>
      <c r="H3930" s="47">
        <v>28</v>
      </c>
      <c r="I3930" s="47" t="s">
        <v>102</v>
      </c>
      <c r="J3930" s="48">
        <v>0</v>
      </c>
      <c r="K3930" s="48">
        <v>0</v>
      </c>
      <c r="M3930" s="48">
        <v>1</v>
      </c>
      <c r="N3930" s="48">
        <v>1</v>
      </c>
      <c r="R3930" s="46">
        <f t="shared" si="368"/>
        <v>0</v>
      </c>
      <c r="S3930" s="46">
        <f t="shared" si="369"/>
        <v>0</v>
      </c>
      <c r="T3930" s="46">
        <f t="shared" si="372"/>
        <v>0</v>
      </c>
      <c r="U3930" s="46">
        <f t="shared" si="370"/>
        <v>15</v>
      </c>
      <c r="V3930" s="54">
        <f t="shared" si="371"/>
        <v>17.666666666666668</v>
      </c>
    </row>
    <row r="3931" spans="1:22" x14ac:dyDescent="0.2">
      <c r="A3931" s="46" t="s">
        <v>38</v>
      </c>
      <c r="B3931" s="46" t="s">
        <v>58</v>
      </c>
      <c r="C3931" s="46" t="s">
        <v>93</v>
      </c>
      <c r="D3931" s="46" t="s">
        <v>178</v>
      </c>
      <c r="E3931" s="46">
        <v>3</v>
      </c>
      <c r="F3931" s="46" t="s">
        <v>60</v>
      </c>
      <c r="G3931" s="46">
        <v>1</v>
      </c>
      <c r="H3931" s="47">
        <v>33</v>
      </c>
      <c r="I3931" s="47" t="s">
        <v>101</v>
      </c>
      <c r="J3931" s="48">
        <v>0</v>
      </c>
      <c r="K3931" s="48">
        <v>0</v>
      </c>
      <c r="N3931" s="48">
        <v>1</v>
      </c>
      <c r="R3931" s="46">
        <f t="shared" si="368"/>
        <v>0</v>
      </c>
      <c r="S3931" s="46">
        <f t="shared" si="369"/>
        <v>0</v>
      </c>
      <c r="T3931" s="46">
        <f t="shared" si="372"/>
        <v>0</v>
      </c>
      <c r="U3931" s="46">
        <f t="shared" si="370"/>
        <v>-5</v>
      </c>
      <c r="V3931" s="54">
        <f t="shared" si="371"/>
        <v>17.666666666666668</v>
      </c>
    </row>
    <row r="3932" spans="1:22" x14ac:dyDescent="0.2">
      <c r="A3932" s="46" t="s">
        <v>38</v>
      </c>
      <c r="B3932" s="46" t="s">
        <v>58</v>
      </c>
      <c r="C3932" s="46" t="s">
        <v>93</v>
      </c>
      <c r="D3932" s="46" t="s">
        <v>178</v>
      </c>
      <c r="E3932" s="46">
        <v>1</v>
      </c>
      <c r="F3932" s="46" t="s">
        <v>60</v>
      </c>
      <c r="G3932" s="46">
        <v>3</v>
      </c>
      <c r="H3932" s="47">
        <v>35</v>
      </c>
      <c r="I3932" s="47" t="s">
        <v>116</v>
      </c>
      <c r="J3932" s="48">
        <v>0</v>
      </c>
      <c r="K3932" s="48">
        <v>0</v>
      </c>
      <c r="R3932" s="46">
        <f t="shared" si="368"/>
        <v>0</v>
      </c>
      <c r="S3932" s="46">
        <f t="shared" si="369"/>
        <v>0</v>
      </c>
      <c r="T3932" s="46">
        <f t="shared" si="372"/>
        <v>0</v>
      </c>
      <c r="U3932" s="46">
        <f t="shared" si="370"/>
        <v>0</v>
      </c>
      <c r="V3932" s="54">
        <f t="shared" si="371"/>
        <v>17.666666666666668</v>
      </c>
    </row>
    <row r="3933" spans="1:22" x14ac:dyDescent="0.2">
      <c r="A3933" s="46" t="s">
        <v>38</v>
      </c>
      <c r="B3933" s="46" t="s">
        <v>58</v>
      </c>
      <c r="C3933" s="46" t="s">
        <v>93</v>
      </c>
      <c r="D3933" s="46" t="s">
        <v>178</v>
      </c>
      <c r="E3933" s="46">
        <v>1</v>
      </c>
      <c r="F3933" s="46" t="s">
        <v>60</v>
      </c>
      <c r="G3933" s="46">
        <v>4</v>
      </c>
      <c r="H3933" s="47">
        <v>40</v>
      </c>
      <c r="I3933" s="47" t="s">
        <v>102</v>
      </c>
      <c r="J3933" s="48">
        <v>0</v>
      </c>
      <c r="K3933" s="48">
        <v>1</v>
      </c>
      <c r="R3933" s="46">
        <f t="shared" si="368"/>
        <v>0</v>
      </c>
      <c r="S3933" s="46">
        <f t="shared" si="369"/>
        <v>0</v>
      </c>
      <c r="T3933" s="46">
        <f t="shared" si="372"/>
        <v>0</v>
      </c>
      <c r="U3933" s="46">
        <f t="shared" si="370"/>
        <v>0</v>
      </c>
      <c r="V3933" s="54">
        <f t="shared" si="371"/>
        <v>17.666666666666668</v>
      </c>
    </row>
    <row r="3934" spans="1:22" x14ac:dyDescent="0.2">
      <c r="A3934" s="46" t="s">
        <v>38</v>
      </c>
      <c r="B3934" s="46" t="s">
        <v>58</v>
      </c>
      <c r="C3934" s="46" t="s">
        <v>93</v>
      </c>
      <c r="D3934" s="46" t="s">
        <v>178</v>
      </c>
      <c r="E3934" s="46">
        <v>4</v>
      </c>
      <c r="F3934" s="46" t="s">
        <v>60</v>
      </c>
      <c r="G3934" s="46">
        <v>1</v>
      </c>
      <c r="H3934" s="47">
        <v>45</v>
      </c>
      <c r="I3934" s="47" t="s">
        <v>101</v>
      </c>
      <c r="J3934" s="48">
        <v>0</v>
      </c>
      <c r="K3934" s="48">
        <v>1</v>
      </c>
      <c r="N3934" s="48">
        <v>1</v>
      </c>
      <c r="R3934" s="46">
        <f t="shared" si="368"/>
        <v>0</v>
      </c>
      <c r="S3934" s="46">
        <f t="shared" si="369"/>
        <v>0</v>
      </c>
      <c r="T3934" s="46">
        <f t="shared" si="372"/>
        <v>0</v>
      </c>
      <c r="U3934" s="46">
        <f t="shared" si="370"/>
        <v>-5</v>
      </c>
      <c r="V3934" s="54">
        <f t="shared" si="371"/>
        <v>17.666666666666668</v>
      </c>
    </row>
    <row r="3935" spans="1:22" x14ac:dyDescent="0.2">
      <c r="A3935" s="46" t="s">
        <v>38</v>
      </c>
      <c r="B3935" s="46" t="s">
        <v>58</v>
      </c>
      <c r="C3935" s="46" t="s">
        <v>93</v>
      </c>
      <c r="D3935" s="46" t="s">
        <v>178</v>
      </c>
      <c r="E3935" s="46">
        <v>1</v>
      </c>
      <c r="F3935" s="46" t="s">
        <v>60</v>
      </c>
      <c r="G3935" s="46">
        <v>4</v>
      </c>
      <c r="H3935" s="47">
        <v>48</v>
      </c>
      <c r="I3935" s="47" t="s">
        <v>102</v>
      </c>
      <c r="J3935" s="48">
        <v>0</v>
      </c>
      <c r="K3935" s="48">
        <v>0</v>
      </c>
      <c r="R3935" s="46">
        <f t="shared" si="368"/>
        <v>0</v>
      </c>
      <c r="S3935" s="46">
        <f t="shared" si="369"/>
        <v>0</v>
      </c>
      <c r="T3935" s="46">
        <f t="shared" si="372"/>
        <v>0</v>
      </c>
      <c r="U3935" s="46">
        <f t="shared" si="370"/>
        <v>0</v>
      </c>
      <c r="V3935" s="54">
        <f t="shared" si="371"/>
        <v>17.666666666666668</v>
      </c>
    </row>
    <row r="3936" spans="1:22" x14ac:dyDescent="0.2">
      <c r="A3936" s="46" t="s">
        <v>38</v>
      </c>
      <c r="B3936" s="46" t="s">
        <v>58</v>
      </c>
      <c r="C3936" s="46" t="s">
        <v>93</v>
      </c>
      <c r="D3936" s="46" t="s">
        <v>178</v>
      </c>
      <c r="E3936" s="46">
        <v>3</v>
      </c>
      <c r="F3936" s="46" t="s">
        <v>60</v>
      </c>
      <c r="G3936" s="46">
        <v>4</v>
      </c>
      <c r="H3936" s="47">
        <v>48</v>
      </c>
      <c r="I3936" s="47" t="s">
        <v>102</v>
      </c>
      <c r="J3936" s="48">
        <v>0</v>
      </c>
      <c r="K3936" s="48">
        <v>0</v>
      </c>
      <c r="R3936" s="46">
        <f t="shared" si="368"/>
        <v>0</v>
      </c>
      <c r="S3936" s="46">
        <f t="shared" si="369"/>
        <v>0</v>
      </c>
      <c r="T3936" s="46">
        <f t="shared" si="372"/>
        <v>0</v>
      </c>
      <c r="U3936" s="46">
        <f t="shared" si="370"/>
        <v>0</v>
      </c>
      <c r="V3936" s="54">
        <f t="shared" si="371"/>
        <v>17.666666666666668</v>
      </c>
    </row>
    <row r="3937" spans="1:22" x14ac:dyDescent="0.2">
      <c r="A3937" s="46" t="s">
        <v>38</v>
      </c>
      <c r="B3937" s="46" t="s">
        <v>58</v>
      </c>
      <c r="C3937" s="46" t="s">
        <v>93</v>
      </c>
      <c r="D3937" s="46" t="s">
        <v>178</v>
      </c>
      <c r="E3937" s="46">
        <v>1</v>
      </c>
      <c r="F3937" s="46" t="s">
        <v>63</v>
      </c>
      <c r="G3937" s="46">
        <v>4</v>
      </c>
      <c r="H3937" s="47" t="s">
        <v>146</v>
      </c>
      <c r="I3937" s="47" t="s">
        <v>102</v>
      </c>
      <c r="J3937" s="48">
        <v>0</v>
      </c>
      <c r="K3937" s="48">
        <v>0</v>
      </c>
      <c r="R3937" s="46">
        <f t="shared" si="368"/>
        <v>0</v>
      </c>
      <c r="S3937" s="46">
        <f t="shared" si="369"/>
        <v>0</v>
      </c>
      <c r="T3937" s="46">
        <f t="shared" si="372"/>
        <v>0</v>
      </c>
      <c r="U3937" s="46">
        <f t="shared" si="370"/>
        <v>0</v>
      </c>
      <c r="V3937" s="54">
        <f t="shared" si="371"/>
        <v>17.666666666666668</v>
      </c>
    </row>
    <row r="3938" spans="1:22" x14ac:dyDescent="0.2">
      <c r="A3938" s="46" t="s">
        <v>38</v>
      </c>
      <c r="B3938" s="46" t="s">
        <v>58</v>
      </c>
      <c r="C3938" s="46" t="s">
        <v>93</v>
      </c>
      <c r="D3938" s="46" t="s">
        <v>178</v>
      </c>
      <c r="E3938" s="46">
        <v>3</v>
      </c>
      <c r="F3938" s="46" t="s">
        <v>63</v>
      </c>
      <c r="G3938" s="46">
        <v>4</v>
      </c>
      <c r="H3938" s="47" t="s">
        <v>148</v>
      </c>
      <c r="I3938" s="47" t="s">
        <v>102</v>
      </c>
      <c r="J3938" s="48">
        <v>0</v>
      </c>
      <c r="K3938" s="48">
        <v>1</v>
      </c>
      <c r="R3938" s="46">
        <f t="shared" si="368"/>
        <v>0</v>
      </c>
      <c r="S3938" s="46">
        <f t="shared" si="369"/>
        <v>0</v>
      </c>
      <c r="T3938" s="46">
        <f t="shared" si="372"/>
        <v>0</v>
      </c>
      <c r="U3938" s="46">
        <f t="shared" si="370"/>
        <v>0</v>
      </c>
      <c r="V3938" s="54">
        <f t="shared" si="371"/>
        <v>17.666666666666668</v>
      </c>
    </row>
    <row r="3939" spans="1:22" x14ac:dyDescent="0.2">
      <c r="A3939" s="46" t="s">
        <v>38</v>
      </c>
      <c r="B3939" s="46" t="s">
        <v>58</v>
      </c>
      <c r="C3939" s="46" t="s">
        <v>93</v>
      </c>
      <c r="D3939" s="46" t="s">
        <v>178</v>
      </c>
      <c r="E3939" s="46">
        <v>3</v>
      </c>
      <c r="F3939" s="46" t="s">
        <v>60</v>
      </c>
      <c r="G3939" s="46">
        <v>3</v>
      </c>
      <c r="H3939" s="47">
        <v>23</v>
      </c>
      <c r="I3939" s="47" t="s">
        <v>116</v>
      </c>
      <c r="J3939" s="48">
        <v>1</v>
      </c>
      <c r="K3939" s="48">
        <v>2</v>
      </c>
      <c r="R3939" s="46">
        <f t="shared" si="368"/>
        <v>0</v>
      </c>
      <c r="S3939" s="46">
        <f t="shared" si="369"/>
        <v>0</v>
      </c>
      <c r="T3939" s="46">
        <f t="shared" si="372"/>
        <v>10</v>
      </c>
      <c r="U3939" s="46">
        <f t="shared" si="370"/>
        <v>10</v>
      </c>
      <c r="V3939" s="54">
        <f t="shared" si="371"/>
        <v>17.666666666666668</v>
      </c>
    </row>
    <row r="3940" spans="1:22" x14ac:dyDescent="0.2">
      <c r="A3940" s="46" t="s">
        <v>38</v>
      </c>
      <c r="B3940" s="46" t="s">
        <v>58</v>
      </c>
      <c r="C3940" s="46" t="s">
        <v>93</v>
      </c>
      <c r="D3940" s="46" t="s">
        <v>178</v>
      </c>
      <c r="E3940" s="46">
        <v>1</v>
      </c>
      <c r="F3940" s="46" t="s">
        <v>60</v>
      </c>
      <c r="G3940" s="46">
        <v>2</v>
      </c>
      <c r="H3940" s="47">
        <v>6</v>
      </c>
      <c r="I3940" s="47" t="s">
        <v>127</v>
      </c>
      <c r="J3940" s="48">
        <v>1</v>
      </c>
      <c r="K3940" s="48">
        <v>0</v>
      </c>
      <c r="R3940" s="46">
        <f t="shared" si="368"/>
        <v>0</v>
      </c>
      <c r="S3940" s="46">
        <f t="shared" si="369"/>
        <v>0</v>
      </c>
      <c r="T3940" s="46">
        <f t="shared" si="372"/>
        <v>20</v>
      </c>
      <c r="U3940" s="46">
        <f t="shared" si="370"/>
        <v>20</v>
      </c>
      <c r="V3940" s="54">
        <f t="shared" si="371"/>
        <v>17.666666666666668</v>
      </c>
    </row>
    <row r="3941" spans="1:22" x14ac:dyDescent="0.2">
      <c r="A3941" s="46" t="s">
        <v>38</v>
      </c>
      <c r="B3941" s="46" t="s">
        <v>58</v>
      </c>
      <c r="C3941" s="46" t="s">
        <v>93</v>
      </c>
      <c r="D3941" s="46" t="s">
        <v>178</v>
      </c>
      <c r="E3941" s="46">
        <v>2</v>
      </c>
      <c r="F3941" s="46" t="s">
        <v>60</v>
      </c>
      <c r="G3941" s="46">
        <v>3</v>
      </c>
      <c r="H3941" s="47">
        <v>7</v>
      </c>
      <c r="I3941" s="47" t="s">
        <v>116</v>
      </c>
      <c r="J3941" s="48">
        <v>1</v>
      </c>
      <c r="K3941" s="48">
        <v>0</v>
      </c>
      <c r="N3941" s="48">
        <v>1</v>
      </c>
      <c r="R3941" s="46">
        <f t="shared" si="368"/>
        <v>0</v>
      </c>
      <c r="S3941" s="46">
        <f t="shared" si="369"/>
        <v>0</v>
      </c>
      <c r="T3941" s="46">
        <f t="shared" si="372"/>
        <v>20</v>
      </c>
      <c r="U3941" s="46">
        <f t="shared" si="370"/>
        <v>15</v>
      </c>
      <c r="V3941" s="54">
        <f t="shared" si="371"/>
        <v>17.666666666666668</v>
      </c>
    </row>
    <row r="3942" spans="1:22" x14ac:dyDescent="0.2">
      <c r="A3942" s="46" t="s">
        <v>38</v>
      </c>
      <c r="B3942" s="46" t="s">
        <v>58</v>
      </c>
      <c r="C3942" s="46" t="s">
        <v>93</v>
      </c>
      <c r="D3942" s="46" t="s">
        <v>178</v>
      </c>
      <c r="E3942" s="46">
        <v>2</v>
      </c>
      <c r="F3942" s="46" t="s">
        <v>60</v>
      </c>
      <c r="G3942" s="46">
        <v>1</v>
      </c>
      <c r="H3942" s="47">
        <v>13</v>
      </c>
      <c r="I3942" s="47" t="s">
        <v>101</v>
      </c>
      <c r="J3942" s="48">
        <v>1</v>
      </c>
      <c r="K3942" s="48">
        <v>0</v>
      </c>
      <c r="R3942" s="46">
        <f t="shared" si="368"/>
        <v>0</v>
      </c>
      <c r="S3942" s="46">
        <f t="shared" si="369"/>
        <v>0</v>
      </c>
      <c r="T3942" s="46">
        <f t="shared" si="372"/>
        <v>20</v>
      </c>
      <c r="U3942" s="46">
        <f t="shared" si="370"/>
        <v>20</v>
      </c>
      <c r="V3942" s="54">
        <f t="shared" si="371"/>
        <v>17.666666666666668</v>
      </c>
    </row>
    <row r="3943" spans="1:22" x14ac:dyDescent="0.2">
      <c r="A3943" s="46" t="s">
        <v>38</v>
      </c>
      <c r="B3943" s="46" t="s">
        <v>58</v>
      </c>
      <c r="C3943" s="46" t="s">
        <v>93</v>
      </c>
      <c r="D3943" s="46" t="s">
        <v>178</v>
      </c>
      <c r="E3943" s="46">
        <v>3</v>
      </c>
      <c r="F3943" s="46" t="s">
        <v>60</v>
      </c>
      <c r="G3943" s="46">
        <v>1</v>
      </c>
      <c r="H3943" s="47">
        <v>13</v>
      </c>
      <c r="I3943" s="47" t="s">
        <v>101</v>
      </c>
      <c r="J3943" s="48">
        <v>1</v>
      </c>
      <c r="K3943" s="48">
        <v>1</v>
      </c>
      <c r="R3943" s="46">
        <f t="shared" si="368"/>
        <v>0</v>
      </c>
      <c r="S3943" s="46">
        <f t="shared" si="369"/>
        <v>0</v>
      </c>
      <c r="T3943" s="46">
        <f t="shared" si="372"/>
        <v>20</v>
      </c>
      <c r="U3943" s="46">
        <f t="shared" si="370"/>
        <v>20</v>
      </c>
      <c r="V3943" s="54">
        <f t="shared" si="371"/>
        <v>17.666666666666668</v>
      </c>
    </row>
    <row r="3944" spans="1:22" x14ac:dyDescent="0.2">
      <c r="A3944" s="46" t="s">
        <v>38</v>
      </c>
      <c r="B3944" s="46" t="s">
        <v>58</v>
      </c>
      <c r="C3944" s="46" t="s">
        <v>93</v>
      </c>
      <c r="D3944" s="46" t="s">
        <v>178</v>
      </c>
      <c r="E3944" s="46">
        <v>1</v>
      </c>
      <c r="F3944" s="46" t="s">
        <v>60</v>
      </c>
      <c r="G3944" s="46">
        <v>2</v>
      </c>
      <c r="H3944" s="47">
        <v>18</v>
      </c>
      <c r="I3944" s="47" t="s">
        <v>127</v>
      </c>
      <c r="J3944" s="48">
        <v>1</v>
      </c>
      <c r="K3944" s="48">
        <v>1</v>
      </c>
      <c r="R3944" s="46">
        <f t="shared" si="368"/>
        <v>0</v>
      </c>
      <c r="S3944" s="46">
        <f t="shared" si="369"/>
        <v>0</v>
      </c>
      <c r="T3944" s="46">
        <f t="shared" si="372"/>
        <v>20</v>
      </c>
      <c r="U3944" s="46">
        <f t="shared" si="370"/>
        <v>20</v>
      </c>
      <c r="V3944" s="54">
        <f t="shared" si="371"/>
        <v>17.666666666666668</v>
      </c>
    </row>
    <row r="3945" spans="1:22" x14ac:dyDescent="0.2">
      <c r="A3945" s="46" t="s">
        <v>38</v>
      </c>
      <c r="B3945" s="46" t="s">
        <v>58</v>
      </c>
      <c r="C3945" s="46" t="s">
        <v>93</v>
      </c>
      <c r="D3945" s="46" t="s">
        <v>178</v>
      </c>
      <c r="E3945" s="46">
        <v>1</v>
      </c>
      <c r="F3945" s="46" t="s">
        <v>60</v>
      </c>
      <c r="G3945" s="46">
        <v>1</v>
      </c>
      <c r="H3945" s="47">
        <v>25</v>
      </c>
      <c r="I3945" s="47" t="s">
        <v>101</v>
      </c>
      <c r="J3945" s="48">
        <v>1</v>
      </c>
      <c r="K3945" s="48">
        <v>1</v>
      </c>
      <c r="R3945" s="46">
        <f t="shared" si="368"/>
        <v>0</v>
      </c>
      <c r="S3945" s="46">
        <f t="shared" si="369"/>
        <v>0</v>
      </c>
      <c r="T3945" s="46">
        <f t="shared" si="372"/>
        <v>20</v>
      </c>
      <c r="U3945" s="46">
        <f t="shared" si="370"/>
        <v>20</v>
      </c>
      <c r="V3945" s="54">
        <f t="shared" si="371"/>
        <v>17.666666666666668</v>
      </c>
    </row>
    <row r="3946" spans="1:22" x14ac:dyDescent="0.2">
      <c r="A3946" s="46" t="s">
        <v>38</v>
      </c>
      <c r="B3946" s="46" t="s">
        <v>58</v>
      </c>
      <c r="C3946" s="46" t="s">
        <v>93</v>
      </c>
      <c r="D3946" s="46" t="s">
        <v>178</v>
      </c>
      <c r="E3946" s="46">
        <v>4</v>
      </c>
      <c r="F3946" s="46" t="s">
        <v>60</v>
      </c>
      <c r="G3946" s="46">
        <v>3</v>
      </c>
      <c r="H3946" s="47">
        <v>39</v>
      </c>
      <c r="I3946" s="47" t="s">
        <v>159</v>
      </c>
      <c r="J3946" s="48">
        <v>1</v>
      </c>
      <c r="K3946" s="48">
        <v>1</v>
      </c>
      <c r="R3946" s="46">
        <f t="shared" si="368"/>
        <v>0</v>
      </c>
      <c r="S3946" s="46">
        <f t="shared" si="369"/>
        <v>0</v>
      </c>
      <c r="T3946" s="46">
        <f t="shared" si="372"/>
        <v>20</v>
      </c>
      <c r="U3946" s="46">
        <f t="shared" si="370"/>
        <v>20</v>
      </c>
      <c r="V3946" s="54">
        <f t="shared" si="371"/>
        <v>17.666666666666668</v>
      </c>
    </row>
    <row r="3947" spans="1:22" x14ac:dyDescent="0.2">
      <c r="A3947" s="46" t="s">
        <v>38</v>
      </c>
      <c r="B3947" s="46" t="s">
        <v>58</v>
      </c>
      <c r="C3947" s="46" t="s">
        <v>93</v>
      </c>
      <c r="D3947" s="46" t="s">
        <v>178</v>
      </c>
      <c r="E3947" s="46">
        <v>2</v>
      </c>
      <c r="F3947" s="46" t="s">
        <v>60</v>
      </c>
      <c r="G3947" s="46">
        <v>1</v>
      </c>
      <c r="H3947" s="47">
        <v>49</v>
      </c>
      <c r="I3947" s="47" t="s">
        <v>101</v>
      </c>
      <c r="J3947" s="48">
        <v>1</v>
      </c>
      <c r="K3947" s="48">
        <v>0</v>
      </c>
      <c r="R3947" s="46">
        <f t="shared" si="368"/>
        <v>0</v>
      </c>
      <c r="S3947" s="46">
        <f t="shared" si="369"/>
        <v>0</v>
      </c>
      <c r="T3947" s="46">
        <f t="shared" si="372"/>
        <v>20</v>
      </c>
      <c r="U3947" s="46">
        <f t="shared" si="370"/>
        <v>20</v>
      </c>
      <c r="V3947" s="54">
        <f t="shared" si="371"/>
        <v>17.666666666666668</v>
      </c>
    </row>
    <row r="3948" spans="1:22" x14ac:dyDescent="0.2">
      <c r="A3948" s="46" t="s">
        <v>38</v>
      </c>
      <c r="B3948" s="46" t="s">
        <v>58</v>
      </c>
      <c r="C3948" s="46" t="s">
        <v>93</v>
      </c>
      <c r="D3948" s="46" t="s">
        <v>178</v>
      </c>
      <c r="E3948" s="46">
        <v>1</v>
      </c>
      <c r="F3948" s="46" t="s">
        <v>63</v>
      </c>
      <c r="G3948" s="46">
        <v>4</v>
      </c>
      <c r="H3948" s="47" t="s">
        <v>147</v>
      </c>
      <c r="I3948" s="47" t="s">
        <v>102</v>
      </c>
      <c r="J3948" s="48">
        <v>1</v>
      </c>
      <c r="K3948" s="48">
        <v>1</v>
      </c>
      <c r="R3948" s="46">
        <f t="shared" si="368"/>
        <v>0</v>
      </c>
      <c r="S3948" s="46">
        <f t="shared" si="369"/>
        <v>0</v>
      </c>
      <c r="T3948" s="46">
        <f t="shared" si="372"/>
        <v>20</v>
      </c>
      <c r="U3948" s="46">
        <f t="shared" si="370"/>
        <v>20</v>
      </c>
      <c r="V3948" s="54">
        <f t="shared" si="371"/>
        <v>17.666666666666668</v>
      </c>
    </row>
    <row r="3949" spans="1:22" x14ac:dyDescent="0.2">
      <c r="A3949" s="46" t="s">
        <v>38</v>
      </c>
      <c r="B3949" s="46" t="s">
        <v>58</v>
      </c>
      <c r="C3949" s="46" t="s">
        <v>93</v>
      </c>
      <c r="D3949" s="46" t="s">
        <v>178</v>
      </c>
      <c r="E3949" s="46">
        <v>1</v>
      </c>
      <c r="F3949" s="46" t="s">
        <v>63</v>
      </c>
      <c r="G3949" s="46">
        <v>4</v>
      </c>
      <c r="H3949" s="47" t="s">
        <v>150</v>
      </c>
      <c r="I3949" s="47" t="s">
        <v>102</v>
      </c>
      <c r="J3949" s="48">
        <v>1</v>
      </c>
      <c r="K3949" s="48">
        <v>0</v>
      </c>
      <c r="O3949" s="48">
        <v>1</v>
      </c>
      <c r="R3949" s="46">
        <f t="shared" si="368"/>
        <v>0</v>
      </c>
      <c r="S3949" s="46">
        <f t="shared" si="369"/>
        <v>0</v>
      </c>
      <c r="T3949" s="46">
        <f t="shared" si="372"/>
        <v>20</v>
      </c>
      <c r="U3949" s="46">
        <f t="shared" si="370"/>
        <v>30</v>
      </c>
      <c r="V3949" s="54">
        <f t="shared" si="371"/>
        <v>17.666666666666668</v>
      </c>
    </row>
    <row r="3950" spans="1:22" x14ac:dyDescent="0.2">
      <c r="A3950" s="46" t="s">
        <v>38</v>
      </c>
      <c r="B3950" s="46" t="s">
        <v>58</v>
      </c>
      <c r="C3950" s="46" t="s">
        <v>93</v>
      </c>
      <c r="D3950" s="46" t="s">
        <v>178</v>
      </c>
      <c r="E3950" s="46">
        <v>2</v>
      </c>
      <c r="F3950" s="46" t="s">
        <v>63</v>
      </c>
      <c r="G3950" s="46">
        <v>4</v>
      </c>
      <c r="H3950" s="47" t="s">
        <v>152</v>
      </c>
      <c r="I3950" s="47" t="s">
        <v>102</v>
      </c>
      <c r="J3950" s="48">
        <v>1</v>
      </c>
      <c r="K3950" s="48">
        <v>1</v>
      </c>
      <c r="O3950" s="48">
        <v>1</v>
      </c>
      <c r="R3950" s="46">
        <f t="shared" si="368"/>
        <v>0</v>
      </c>
      <c r="S3950" s="46">
        <f t="shared" si="369"/>
        <v>0</v>
      </c>
      <c r="T3950" s="46">
        <f t="shared" si="372"/>
        <v>20</v>
      </c>
      <c r="U3950" s="46">
        <f t="shared" si="370"/>
        <v>30</v>
      </c>
      <c r="V3950" s="54">
        <f t="shared" si="371"/>
        <v>17.666666666666668</v>
      </c>
    </row>
    <row r="3951" spans="1:22" x14ac:dyDescent="0.2">
      <c r="A3951" s="46" t="s">
        <v>38</v>
      </c>
      <c r="B3951" s="46" t="s">
        <v>58</v>
      </c>
      <c r="C3951" s="46" t="s">
        <v>93</v>
      </c>
      <c r="D3951" s="46" t="s">
        <v>178</v>
      </c>
      <c r="E3951" s="46">
        <v>1</v>
      </c>
      <c r="F3951" s="46" t="s">
        <v>63</v>
      </c>
      <c r="G3951" s="46">
        <v>4</v>
      </c>
      <c r="H3951" s="47" t="s">
        <v>172</v>
      </c>
      <c r="I3951" s="47" t="s">
        <v>102</v>
      </c>
      <c r="J3951" s="48">
        <v>1</v>
      </c>
      <c r="K3951" s="48">
        <v>0</v>
      </c>
      <c r="R3951" s="46">
        <f t="shared" si="368"/>
        <v>0</v>
      </c>
      <c r="S3951" s="46">
        <f t="shared" si="369"/>
        <v>0</v>
      </c>
      <c r="T3951" s="46">
        <f t="shared" si="372"/>
        <v>20</v>
      </c>
      <c r="U3951" s="46">
        <f t="shared" si="370"/>
        <v>20</v>
      </c>
      <c r="V3951" s="54">
        <f t="shared" si="371"/>
        <v>17.666666666666668</v>
      </c>
    </row>
    <row r="3952" spans="1:22" x14ac:dyDescent="0.2">
      <c r="A3952" s="46" t="s">
        <v>38</v>
      </c>
      <c r="B3952" s="46" t="s">
        <v>58</v>
      </c>
      <c r="C3952" s="46" t="s">
        <v>93</v>
      </c>
      <c r="D3952" s="46" t="s">
        <v>178</v>
      </c>
      <c r="E3952" s="46">
        <v>4</v>
      </c>
      <c r="F3952" s="46" t="s">
        <v>60</v>
      </c>
      <c r="G3952" s="46">
        <v>1</v>
      </c>
      <c r="H3952" s="47">
        <v>9</v>
      </c>
      <c r="I3952" s="47" t="s">
        <v>101</v>
      </c>
      <c r="J3952" s="48">
        <v>2</v>
      </c>
      <c r="K3952" s="48">
        <v>0</v>
      </c>
      <c r="R3952" s="46">
        <f t="shared" si="368"/>
        <v>0</v>
      </c>
      <c r="S3952" s="46">
        <f t="shared" si="369"/>
        <v>0</v>
      </c>
      <c r="T3952" s="46">
        <f t="shared" si="372"/>
        <v>40</v>
      </c>
      <c r="U3952" s="46">
        <f t="shared" si="370"/>
        <v>40</v>
      </c>
      <c r="V3952" s="54">
        <f t="shared" si="371"/>
        <v>17.666666666666668</v>
      </c>
    </row>
    <row r="3953" spans="1:22" x14ac:dyDescent="0.2">
      <c r="A3953" s="46" t="s">
        <v>38</v>
      </c>
      <c r="B3953" s="46" t="s">
        <v>58</v>
      </c>
      <c r="C3953" s="46" t="s">
        <v>93</v>
      </c>
      <c r="D3953" s="46" t="s">
        <v>178</v>
      </c>
      <c r="E3953" s="46">
        <v>2</v>
      </c>
      <c r="F3953" s="46" t="s">
        <v>60</v>
      </c>
      <c r="G3953" s="46">
        <v>2</v>
      </c>
      <c r="H3953" s="47">
        <v>18</v>
      </c>
      <c r="I3953" s="47" t="s">
        <v>127</v>
      </c>
      <c r="J3953" s="48">
        <v>2</v>
      </c>
      <c r="K3953" s="48">
        <v>1</v>
      </c>
      <c r="M3953" s="48">
        <v>2</v>
      </c>
      <c r="R3953" s="46">
        <f t="shared" si="368"/>
        <v>0</v>
      </c>
      <c r="S3953" s="46">
        <f t="shared" si="369"/>
        <v>0</v>
      </c>
      <c r="T3953" s="46">
        <f t="shared" si="372"/>
        <v>40</v>
      </c>
      <c r="U3953" s="46">
        <f t="shared" si="370"/>
        <v>80</v>
      </c>
      <c r="V3953" s="54">
        <f t="shared" si="371"/>
        <v>17.666666666666668</v>
      </c>
    </row>
    <row r="3954" spans="1:22" x14ac:dyDescent="0.2">
      <c r="A3954" s="46" t="s">
        <v>38</v>
      </c>
      <c r="B3954" s="46" t="s">
        <v>58</v>
      </c>
      <c r="C3954" s="46" t="s">
        <v>93</v>
      </c>
      <c r="D3954" s="46" t="s">
        <v>178</v>
      </c>
      <c r="E3954" s="46">
        <v>4</v>
      </c>
      <c r="F3954" s="46" t="s">
        <v>60</v>
      </c>
      <c r="G3954" s="46">
        <v>4</v>
      </c>
      <c r="H3954" s="47">
        <v>28</v>
      </c>
      <c r="I3954" s="47" t="s">
        <v>102</v>
      </c>
      <c r="J3954" s="48">
        <v>2</v>
      </c>
      <c r="K3954" s="48">
        <v>0</v>
      </c>
      <c r="R3954" s="46">
        <f t="shared" si="368"/>
        <v>0</v>
      </c>
      <c r="S3954" s="46">
        <f t="shared" si="369"/>
        <v>0</v>
      </c>
      <c r="T3954" s="46">
        <f t="shared" si="372"/>
        <v>40</v>
      </c>
      <c r="U3954" s="46">
        <f t="shared" si="370"/>
        <v>40</v>
      </c>
      <c r="V3954" s="54">
        <f t="shared" si="371"/>
        <v>17.666666666666668</v>
      </c>
    </row>
    <row r="3955" spans="1:22" x14ac:dyDescent="0.2">
      <c r="A3955" s="46" t="s">
        <v>38</v>
      </c>
      <c r="B3955" s="46" t="s">
        <v>58</v>
      </c>
      <c r="C3955" s="46" t="s">
        <v>93</v>
      </c>
      <c r="D3955" s="46" t="s">
        <v>178</v>
      </c>
      <c r="E3955" s="46">
        <v>3</v>
      </c>
      <c r="F3955" s="46" t="s">
        <v>63</v>
      </c>
      <c r="G3955" s="46">
        <v>4</v>
      </c>
      <c r="H3955" s="47" t="s">
        <v>146</v>
      </c>
      <c r="I3955" s="47" t="s">
        <v>102</v>
      </c>
      <c r="J3955" s="48">
        <v>2</v>
      </c>
      <c r="K3955" s="48">
        <v>0</v>
      </c>
      <c r="R3955" s="46">
        <f t="shared" si="368"/>
        <v>0</v>
      </c>
      <c r="S3955" s="46">
        <f t="shared" si="369"/>
        <v>0</v>
      </c>
      <c r="T3955" s="46">
        <f t="shared" si="372"/>
        <v>40</v>
      </c>
      <c r="U3955" s="46">
        <f t="shared" si="370"/>
        <v>40</v>
      </c>
      <c r="V3955" s="54">
        <f t="shared" si="371"/>
        <v>17.666666666666668</v>
      </c>
    </row>
    <row r="3956" spans="1:22" x14ac:dyDescent="0.2">
      <c r="A3956" s="46" t="s">
        <v>38</v>
      </c>
      <c r="B3956" s="46" t="s">
        <v>58</v>
      </c>
      <c r="C3956" s="46" t="s">
        <v>93</v>
      </c>
      <c r="D3956" s="46" t="s">
        <v>178</v>
      </c>
      <c r="E3956" s="46">
        <v>2</v>
      </c>
      <c r="F3956" s="46" t="s">
        <v>63</v>
      </c>
      <c r="G3956" s="46">
        <v>4</v>
      </c>
      <c r="H3956" s="47" t="s">
        <v>147</v>
      </c>
      <c r="I3956" s="47" t="s">
        <v>102</v>
      </c>
      <c r="J3956" s="48">
        <v>2</v>
      </c>
      <c r="K3956" s="48">
        <v>1</v>
      </c>
      <c r="R3956" s="46">
        <f t="shared" si="368"/>
        <v>0</v>
      </c>
      <c r="S3956" s="46">
        <f t="shared" si="369"/>
        <v>0</v>
      </c>
      <c r="T3956" s="46">
        <f t="shared" si="372"/>
        <v>40</v>
      </c>
      <c r="U3956" s="46">
        <f t="shared" si="370"/>
        <v>40</v>
      </c>
      <c r="V3956" s="54">
        <f t="shared" si="371"/>
        <v>17.666666666666668</v>
      </c>
    </row>
    <row r="3957" spans="1:22" x14ac:dyDescent="0.2">
      <c r="A3957" s="46" t="s">
        <v>38</v>
      </c>
      <c r="B3957" s="46" t="s">
        <v>58</v>
      </c>
      <c r="C3957" s="46" t="s">
        <v>93</v>
      </c>
      <c r="D3957" s="46" t="s">
        <v>178</v>
      </c>
      <c r="E3957" s="46">
        <v>4</v>
      </c>
      <c r="F3957" s="46" t="s">
        <v>63</v>
      </c>
      <c r="G3957" s="46">
        <v>4</v>
      </c>
      <c r="H3957" s="47" t="s">
        <v>149</v>
      </c>
      <c r="I3957" s="47" t="s">
        <v>102</v>
      </c>
      <c r="J3957" s="48">
        <v>2</v>
      </c>
      <c r="K3957" s="48">
        <v>0</v>
      </c>
      <c r="N3957" s="48">
        <v>1</v>
      </c>
      <c r="R3957" s="46">
        <f t="shared" si="368"/>
        <v>0</v>
      </c>
      <c r="S3957" s="46">
        <f t="shared" si="369"/>
        <v>0</v>
      </c>
      <c r="T3957" s="46">
        <f t="shared" si="372"/>
        <v>40</v>
      </c>
      <c r="U3957" s="46">
        <f t="shared" si="370"/>
        <v>35</v>
      </c>
      <c r="V3957" s="54">
        <f t="shared" si="371"/>
        <v>17.666666666666668</v>
      </c>
    </row>
    <row r="3958" spans="1:22" x14ac:dyDescent="0.2">
      <c r="A3958" s="46" t="s">
        <v>38</v>
      </c>
      <c r="B3958" s="46" t="s">
        <v>58</v>
      </c>
      <c r="C3958" s="46" t="s">
        <v>93</v>
      </c>
      <c r="D3958" s="46" t="s">
        <v>178</v>
      </c>
      <c r="E3958" s="46">
        <v>4</v>
      </c>
      <c r="F3958" s="46" t="s">
        <v>63</v>
      </c>
      <c r="G3958" s="46">
        <v>4</v>
      </c>
      <c r="H3958" s="47" t="s">
        <v>150</v>
      </c>
      <c r="I3958" s="47" t="s">
        <v>102</v>
      </c>
      <c r="J3958" s="48">
        <v>2</v>
      </c>
      <c r="K3958" s="48">
        <v>1</v>
      </c>
      <c r="R3958" s="46">
        <f t="shared" si="368"/>
        <v>0</v>
      </c>
      <c r="S3958" s="46">
        <f t="shared" si="369"/>
        <v>0</v>
      </c>
      <c r="T3958" s="46">
        <f t="shared" si="372"/>
        <v>40</v>
      </c>
      <c r="U3958" s="46">
        <f t="shared" si="370"/>
        <v>40</v>
      </c>
      <c r="V3958" s="54">
        <f t="shared" si="371"/>
        <v>17.666666666666668</v>
      </c>
    </row>
    <row r="3959" spans="1:22" x14ac:dyDescent="0.2">
      <c r="A3959" s="46" t="s">
        <v>38</v>
      </c>
      <c r="B3959" s="46" t="s">
        <v>58</v>
      </c>
      <c r="C3959" s="46" t="s">
        <v>93</v>
      </c>
      <c r="D3959" s="46" t="s">
        <v>178</v>
      </c>
      <c r="E3959" s="46">
        <v>2</v>
      </c>
      <c r="F3959" s="46" t="s">
        <v>63</v>
      </c>
      <c r="G3959" s="46">
        <v>4</v>
      </c>
      <c r="H3959" s="47" t="s">
        <v>151</v>
      </c>
      <c r="I3959" s="47" t="s">
        <v>102</v>
      </c>
      <c r="J3959" s="48">
        <v>2</v>
      </c>
      <c r="K3959" s="48">
        <v>0</v>
      </c>
      <c r="R3959" s="46">
        <f t="shared" si="368"/>
        <v>0</v>
      </c>
      <c r="S3959" s="46">
        <f t="shared" si="369"/>
        <v>0</v>
      </c>
      <c r="T3959" s="46">
        <f t="shared" si="372"/>
        <v>40</v>
      </c>
      <c r="U3959" s="46">
        <f t="shared" si="370"/>
        <v>40</v>
      </c>
      <c r="V3959" s="54">
        <f t="shared" si="371"/>
        <v>17.666666666666668</v>
      </c>
    </row>
    <row r="3960" spans="1:22" x14ac:dyDescent="0.2">
      <c r="A3960" s="46" t="s">
        <v>38</v>
      </c>
      <c r="B3960" s="46" t="s">
        <v>58</v>
      </c>
      <c r="C3960" s="46" t="s">
        <v>93</v>
      </c>
      <c r="D3960" s="46" t="s">
        <v>178</v>
      </c>
      <c r="E3960" s="46">
        <v>3</v>
      </c>
      <c r="F3960" s="46" t="s">
        <v>63</v>
      </c>
      <c r="G3960" s="46">
        <v>4</v>
      </c>
      <c r="H3960" s="47" t="s">
        <v>151</v>
      </c>
      <c r="I3960" s="47" t="s">
        <v>102</v>
      </c>
      <c r="J3960" s="48">
        <v>2</v>
      </c>
      <c r="K3960" s="48">
        <v>0</v>
      </c>
      <c r="N3960" s="48">
        <v>1</v>
      </c>
      <c r="R3960" s="46">
        <f t="shared" si="368"/>
        <v>0</v>
      </c>
      <c r="S3960" s="46">
        <f t="shared" si="369"/>
        <v>0</v>
      </c>
      <c r="T3960" s="46">
        <f t="shared" si="372"/>
        <v>40</v>
      </c>
      <c r="U3960" s="46">
        <f t="shared" si="370"/>
        <v>35</v>
      </c>
      <c r="V3960" s="54">
        <f t="shared" si="371"/>
        <v>17.666666666666668</v>
      </c>
    </row>
    <row r="3961" spans="1:22" x14ac:dyDescent="0.2">
      <c r="A3961" s="46" t="s">
        <v>38</v>
      </c>
      <c r="B3961" s="46" t="s">
        <v>58</v>
      </c>
      <c r="C3961" s="46" t="s">
        <v>93</v>
      </c>
      <c r="D3961" s="46" t="s">
        <v>178</v>
      </c>
      <c r="E3961" s="46">
        <v>4</v>
      </c>
      <c r="F3961" s="46" t="s">
        <v>63</v>
      </c>
      <c r="G3961" s="46">
        <v>4</v>
      </c>
      <c r="H3961" s="47" t="s">
        <v>151</v>
      </c>
      <c r="I3961" s="47" t="s">
        <v>102</v>
      </c>
      <c r="J3961" s="48">
        <v>2</v>
      </c>
      <c r="K3961" s="48">
        <v>1</v>
      </c>
      <c r="R3961" s="46">
        <f t="shared" si="368"/>
        <v>0</v>
      </c>
      <c r="S3961" s="46">
        <f t="shared" si="369"/>
        <v>0</v>
      </c>
      <c r="T3961" s="46">
        <f t="shared" si="372"/>
        <v>40</v>
      </c>
      <c r="U3961" s="46">
        <f t="shared" si="370"/>
        <v>40</v>
      </c>
      <c r="V3961" s="54">
        <f t="shared" si="371"/>
        <v>17.666666666666668</v>
      </c>
    </row>
    <row r="3962" spans="1:22" x14ac:dyDescent="0.2">
      <c r="A3962" s="46" t="s">
        <v>38</v>
      </c>
      <c r="B3962" s="46" t="s">
        <v>58</v>
      </c>
      <c r="C3962" s="46" t="s">
        <v>93</v>
      </c>
      <c r="D3962" s="46" t="s">
        <v>178</v>
      </c>
      <c r="E3962" s="46">
        <v>2</v>
      </c>
      <c r="F3962" s="46" t="s">
        <v>60</v>
      </c>
      <c r="G3962" s="46">
        <v>3</v>
      </c>
      <c r="H3962" s="47">
        <v>39</v>
      </c>
      <c r="I3962" s="47" t="s">
        <v>116</v>
      </c>
      <c r="J3962" s="48">
        <v>3</v>
      </c>
      <c r="K3962" s="48">
        <v>1</v>
      </c>
      <c r="R3962" s="46">
        <f t="shared" si="368"/>
        <v>0</v>
      </c>
      <c r="S3962" s="46">
        <f t="shared" si="369"/>
        <v>0</v>
      </c>
      <c r="T3962" s="46">
        <f t="shared" si="372"/>
        <v>60</v>
      </c>
      <c r="U3962" s="46">
        <f t="shared" si="370"/>
        <v>60</v>
      </c>
      <c r="V3962" s="54">
        <f t="shared" si="371"/>
        <v>17.666666666666668</v>
      </c>
    </row>
    <row r="3963" spans="1:22" x14ac:dyDescent="0.2">
      <c r="A3963" s="46" t="s">
        <v>38</v>
      </c>
      <c r="B3963" s="46" t="s">
        <v>58</v>
      </c>
      <c r="C3963" s="46" t="s">
        <v>93</v>
      </c>
      <c r="D3963" s="46" t="s">
        <v>178</v>
      </c>
      <c r="E3963" s="46">
        <v>4</v>
      </c>
      <c r="F3963" s="46" t="s">
        <v>63</v>
      </c>
      <c r="G3963" s="46">
        <v>4</v>
      </c>
      <c r="H3963" s="47" t="s">
        <v>172</v>
      </c>
      <c r="I3963" s="47" t="s">
        <v>102</v>
      </c>
      <c r="J3963" s="48">
        <v>1</v>
      </c>
      <c r="K3963" s="48">
        <v>0</v>
      </c>
      <c r="R3963" s="46">
        <f t="shared" si="368"/>
        <v>0</v>
      </c>
      <c r="S3963" s="46">
        <f t="shared" si="369"/>
        <v>0</v>
      </c>
      <c r="T3963" s="46">
        <f t="shared" si="372"/>
        <v>20</v>
      </c>
      <c r="U3963" s="46">
        <f t="shared" si="370"/>
        <v>20</v>
      </c>
      <c r="V3963" s="54">
        <f t="shared" si="371"/>
        <v>17.666666666666668</v>
      </c>
    </row>
    <row r="3964" spans="1:22" x14ac:dyDescent="0.2">
      <c r="A3964" s="46" t="s">
        <v>38</v>
      </c>
      <c r="B3964" s="46" t="s">
        <v>58</v>
      </c>
      <c r="C3964" s="46" t="s">
        <v>93</v>
      </c>
      <c r="D3964" s="46" t="s">
        <v>178</v>
      </c>
      <c r="E3964" s="46">
        <v>5</v>
      </c>
      <c r="F3964" s="46" t="s">
        <v>60</v>
      </c>
      <c r="G3964" s="46">
        <v>3</v>
      </c>
      <c r="H3964" s="47">
        <v>3</v>
      </c>
      <c r="I3964" s="47" t="s">
        <v>159</v>
      </c>
      <c r="J3964" s="48">
        <v>1</v>
      </c>
      <c r="K3964" s="48">
        <v>1</v>
      </c>
      <c r="R3964" s="46">
        <f t="shared" si="368"/>
        <v>0</v>
      </c>
      <c r="S3964" s="46">
        <f t="shared" si="369"/>
        <v>0</v>
      </c>
      <c r="T3964" s="46">
        <f t="shared" si="372"/>
        <v>20</v>
      </c>
      <c r="U3964" s="46">
        <f t="shared" si="370"/>
        <v>20</v>
      </c>
      <c r="V3964" s="54">
        <f t="shared" si="371"/>
        <v>17.666666666666668</v>
      </c>
    </row>
    <row r="3965" spans="1:22" x14ac:dyDescent="0.2">
      <c r="A3965" s="46" t="s">
        <v>38</v>
      </c>
      <c r="B3965" s="46" t="s">
        <v>58</v>
      </c>
      <c r="C3965" s="46" t="s">
        <v>93</v>
      </c>
      <c r="D3965" s="46" t="s">
        <v>178</v>
      </c>
      <c r="E3965" s="46">
        <v>5</v>
      </c>
      <c r="F3965" s="46" t="s">
        <v>60</v>
      </c>
      <c r="G3965" s="46">
        <v>1</v>
      </c>
      <c r="H3965" s="47">
        <v>9</v>
      </c>
      <c r="I3965" s="47" t="s">
        <v>101</v>
      </c>
      <c r="J3965" s="48">
        <v>2</v>
      </c>
      <c r="K3965" s="48">
        <v>0</v>
      </c>
      <c r="M3965" s="48">
        <v>1</v>
      </c>
      <c r="R3965" s="46">
        <f t="shared" si="368"/>
        <v>0</v>
      </c>
      <c r="S3965" s="46">
        <f t="shared" si="369"/>
        <v>0</v>
      </c>
      <c r="T3965" s="46">
        <f t="shared" si="372"/>
        <v>40</v>
      </c>
      <c r="U3965" s="46">
        <f t="shared" si="370"/>
        <v>60</v>
      </c>
      <c r="V3965" s="54">
        <f t="shared" si="371"/>
        <v>17.666666666666668</v>
      </c>
    </row>
    <row r="3966" spans="1:22" x14ac:dyDescent="0.2">
      <c r="A3966" s="46" t="s">
        <v>38</v>
      </c>
      <c r="B3966" s="46" t="s">
        <v>58</v>
      </c>
      <c r="C3966" s="46" t="s">
        <v>93</v>
      </c>
      <c r="D3966" s="46" t="s">
        <v>178</v>
      </c>
      <c r="E3966" s="46">
        <v>5</v>
      </c>
      <c r="F3966" s="46" t="s">
        <v>60</v>
      </c>
      <c r="G3966" s="46">
        <v>1</v>
      </c>
      <c r="H3966" s="47">
        <v>17</v>
      </c>
      <c r="I3966" s="47" t="s">
        <v>101</v>
      </c>
      <c r="J3966" s="48">
        <v>0</v>
      </c>
      <c r="K3966" s="48">
        <v>0</v>
      </c>
      <c r="R3966" s="46">
        <f t="shared" si="368"/>
        <v>0</v>
      </c>
      <c r="S3966" s="46">
        <f t="shared" si="369"/>
        <v>0</v>
      </c>
      <c r="T3966" s="46">
        <f t="shared" si="372"/>
        <v>0</v>
      </c>
      <c r="U3966" s="46">
        <f t="shared" si="370"/>
        <v>0</v>
      </c>
      <c r="V3966" s="54">
        <f t="shared" si="371"/>
        <v>17.666666666666668</v>
      </c>
    </row>
    <row r="3967" spans="1:22" x14ac:dyDescent="0.2">
      <c r="A3967" s="46" t="s">
        <v>38</v>
      </c>
      <c r="B3967" s="46" t="s">
        <v>58</v>
      </c>
      <c r="C3967" s="46" t="s">
        <v>93</v>
      </c>
      <c r="D3967" s="46" t="s">
        <v>178</v>
      </c>
      <c r="E3967" s="46">
        <v>5</v>
      </c>
      <c r="F3967" s="46" t="s">
        <v>60</v>
      </c>
      <c r="G3967" s="46">
        <v>3</v>
      </c>
      <c r="H3967" s="47">
        <v>31</v>
      </c>
      <c r="I3967" s="47" t="s">
        <v>159</v>
      </c>
      <c r="J3967" s="48">
        <v>1</v>
      </c>
      <c r="K3967" s="48">
        <v>1</v>
      </c>
      <c r="R3967" s="46">
        <f t="shared" si="368"/>
        <v>0</v>
      </c>
      <c r="S3967" s="46">
        <f t="shared" si="369"/>
        <v>0</v>
      </c>
      <c r="T3967" s="46">
        <f t="shared" si="372"/>
        <v>20</v>
      </c>
      <c r="U3967" s="46">
        <f t="shared" si="370"/>
        <v>20</v>
      </c>
      <c r="V3967" s="54">
        <f t="shared" si="371"/>
        <v>17.666666666666668</v>
      </c>
    </row>
    <row r="3968" spans="1:22" x14ac:dyDescent="0.2">
      <c r="A3968" s="46" t="s">
        <v>38</v>
      </c>
      <c r="B3968" s="46" t="s">
        <v>58</v>
      </c>
      <c r="C3968" s="46" t="s">
        <v>93</v>
      </c>
      <c r="D3968" s="46" t="s">
        <v>178</v>
      </c>
      <c r="E3968" s="46">
        <v>5</v>
      </c>
      <c r="F3968" s="46" t="s">
        <v>60</v>
      </c>
      <c r="G3968" s="46">
        <v>4</v>
      </c>
      <c r="H3968" s="47">
        <v>40</v>
      </c>
      <c r="I3968" s="47" t="s">
        <v>102</v>
      </c>
      <c r="J3968" s="48">
        <v>1</v>
      </c>
      <c r="K3968" s="48">
        <v>0</v>
      </c>
      <c r="R3968" s="46">
        <f t="shared" si="368"/>
        <v>0</v>
      </c>
      <c r="S3968" s="46">
        <f t="shared" si="369"/>
        <v>0</v>
      </c>
      <c r="T3968" s="46">
        <f t="shared" si="372"/>
        <v>20</v>
      </c>
      <c r="U3968" s="46">
        <f t="shared" si="370"/>
        <v>20</v>
      </c>
      <c r="V3968" s="54">
        <f t="shared" si="371"/>
        <v>17.666666666666668</v>
      </c>
    </row>
    <row r="3969" spans="1:22" x14ac:dyDescent="0.2">
      <c r="A3969" s="46" t="s">
        <v>38</v>
      </c>
      <c r="B3969" s="46" t="s">
        <v>58</v>
      </c>
      <c r="C3969" s="46" t="s">
        <v>93</v>
      </c>
      <c r="D3969" s="46" t="s">
        <v>178</v>
      </c>
      <c r="E3969" s="46">
        <v>5</v>
      </c>
      <c r="F3969" s="46" t="s">
        <v>60</v>
      </c>
      <c r="G3969" s="46">
        <v>2</v>
      </c>
      <c r="H3969" s="47">
        <v>46</v>
      </c>
      <c r="I3969" s="47" t="s">
        <v>127</v>
      </c>
      <c r="J3969" s="48">
        <v>2</v>
      </c>
      <c r="K3969" s="48">
        <v>0</v>
      </c>
      <c r="R3969" s="46">
        <f t="shared" si="368"/>
        <v>0</v>
      </c>
      <c r="S3969" s="46">
        <f t="shared" si="369"/>
        <v>0</v>
      </c>
      <c r="T3969" s="46">
        <f t="shared" si="372"/>
        <v>40</v>
      </c>
      <c r="U3969" s="46">
        <f t="shared" si="370"/>
        <v>40</v>
      </c>
      <c r="V3969" s="54">
        <f t="shared" si="371"/>
        <v>17.666666666666668</v>
      </c>
    </row>
    <row r="3970" spans="1:22" x14ac:dyDescent="0.2">
      <c r="A3970" s="46" t="s">
        <v>38</v>
      </c>
      <c r="B3970" s="46" t="s">
        <v>58</v>
      </c>
      <c r="C3970" s="46" t="str">
        <f>VLOOKUP(B3970,$B$2:$C$3219,2,FALSE)</f>
        <v>Lighthouse</v>
      </c>
      <c r="D3970" s="46" t="s">
        <v>178</v>
      </c>
      <c r="E3970" s="46">
        <v>5</v>
      </c>
      <c r="F3970" s="46" t="s">
        <v>63</v>
      </c>
      <c r="G3970" s="46">
        <v>4</v>
      </c>
      <c r="H3970" s="47" t="s">
        <v>147</v>
      </c>
      <c r="I3970" s="47" t="s">
        <v>102</v>
      </c>
      <c r="J3970" s="48">
        <v>2</v>
      </c>
      <c r="K3970" s="48">
        <v>0</v>
      </c>
      <c r="L3970" s="48">
        <v>1</v>
      </c>
      <c r="R3970" s="46">
        <f t="shared" si="368"/>
        <v>0</v>
      </c>
      <c r="S3970" s="46">
        <f t="shared" si="369"/>
        <v>0</v>
      </c>
      <c r="T3970" s="46">
        <f t="shared" si="372"/>
        <v>40</v>
      </c>
      <c r="U3970" s="46">
        <f t="shared" ref="U3970:U4033" si="373">T3970+M3970*(20) + (SUM(O3970:Q3970)*(10)) - L3970*(5) - N3970*(5)</f>
        <v>35</v>
      </c>
      <c r="V3970" s="54">
        <f t="shared" ref="V3970:V4033" si="374">AVERAGEIFS(U:U,A:A,A3970,F:F,"Pre")</f>
        <v>17.666666666666668</v>
      </c>
    </row>
    <row r="3971" spans="1:22" x14ac:dyDescent="0.2">
      <c r="A3971" s="46" t="s">
        <v>38</v>
      </c>
      <c r="B3971" s="46" t="s">
        <v>58</v>
      </c>
      <c r="C3971" s="46" t="str">
        <f>VLOOKUP(B3971,$B$2:$C$3219,2,FALSE)</f>
        <v>Lighthouse</v>
      </c>
      <c r="D3971" s="46" t="s">
        <v>178</v>
      </c>
      <c r="E3971" s="46">
        <v>5</v>
      </c>
      <c r="F3971" s="46" t="s">
        <v>63</v>
      </c>
      <c r="G3971" s="46">
        <v>4</v>
      </c>
      <c r="H3971" s="47" t="s">
        <v>151</v>
      </c>
      <c r="I3971" s="47" t="s">
        <v>102</v>
      </c>
      <c r="J3971" s="48">
        <v>3</v>
      </c>
      <c r="K3971" s="48">
        <v>1</v>
      </c>
      <c r="R3971" s="46">
        <f t="shared" si="368"/>
        <v>0</v>
      </c>
      <c r="S3971" s="46">
        <f t="shared" si="369"/>
        <v>0</v>
      </c>
      <c r="T3971" s="46">
        <f t="shared" si="372"/>
        <v>60</v>
      </c>
      <c r="U3971" s="46">
        <f t="shared" si="373"/>
        <v>60</v>
      </c>
      <c r="V3971" s="54">
        <f t="shared" si="374"/>
        <v>17.666666666666668</v>
      </c>
    </row>
    <row r="3972" spans="1:22" x14ac:dyDescent="0.2">
      <c r="A3972" s="46" t="s">
        <v>38</v>
      </c>
      <c r="B3972" s="46" t="s">
        <v>58</v>
      </c>
      <c r="C3972" s="46" t="str">
        <f>VLOOKUP(B3972,$B$2:$C$3219,2,FALSE)</f>
        <v>Lighthouse</v>
      </c>
      <c r="D3972" s="46" t="s">
        <v>178</v>
      </c>
      <c r="E3972" s="46">
        <v>5</v>
      </c>
      <c r="F3972" s="46" t="s">
        <v>63</v>
      </c>
      <c r="G3972" s="46">
        <v>4</v>
      </c>
      <c r="H3972" s="47" t="s">
        <v>152</v>
      </c>
      <c r="I3972" s="47" t="s">
        <v>102</v>
      </c>
      <c r="J3972" s="48">
        <v>2</v>
      </c>
      <c r="K3972" s="48">
        <v>0</v>
      </c>
      <c r="R3972" s="46">
        <f t="shared" si="368"/>
        <v>0</v>
      </c>
      <c r="S3972" s="46">
        <f t="shared" si="369"/>
        <v>0</v>
      </c>
      <c r="T3972" s="46">
        <f t="shared" si="372"/>
        <v>40</v>
      </c>
      <c r="U3972" s="46">
        <f t="shared" si="373"/>
        <v>40</v>
      </c>
      <c r="V3972" s="54">
        <f t="shared" si="374"/>
        <v>17.666666666666668</v>
      </c>
    </row>
  </sheetData>
  <autoFilter ref="A1:V3219">
    <sortState ref="A2:V3972">
      <sortCondition ref="A1:A3219"/>
    </sortState>
  </autoFilter>
  <sortState ref="AE2:AU20">
    <sortCondition descending="1" ref="AU2"/>
  </sortState>
  <pageMargins left="0.7" right="0.7" top="0.75" bottom="0.75" header="0.3" footer="0.3"/>
  <pageSetup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F92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9" sqref="C9"/>
    </sheetView>
  </sheetViews>
  <sheetFormatPr defaultColWidth="8.85546875" defaultRowHeight="11.25" x14ac:dyDescent="0.2"/>
  <cols>
    <col min="1" max="1" width="6.42578125" style="38" bestFit="1" customWidth="1"/>
    <col min="2" max="2" width="17.28515625" style="38" bestFit="1" customWidth="1"/>
    <col min="3" max="3" width="9.85546875" style="38" bestFit="1" customWidth="1"/>
    <col min="4" max="4" width="7.28515625" style="38" customWidth="1"/>
    <col min="5" max="5" width="8.28515625" style="38" customWidth="1"/>
    <col min="6" max="6" width="6.42578125" style="38" customWidth="1"/>
    <col min="7" max="7" width="7.42578125" style="38" customWidth="1"/>
    <col min="8" max="8" width="9.28515625" style="39" customWidth="1"/>
    <col min="9" max="9" width="9.28515625" style="49" customWidth="1"/>
    <col min="10" max="10" width="11.140625" style="49" customWidth="1"/>
    <col min="11" max="11" width="6.140625" style="38" customWidth="1"/>
    <col min="12" max="12" width="8.7109375" style="38" customWidth="1"/>
    <col min="13" max="13" width="7.7109375" style="38" customWidth="1"/>
    <col min="14" max="16" width="5.42578125" style="38" customWidth="1"/>
    <col min="17" max="17" width="8.7109375" style="38" customWidth="1"/>
    <col min="18" max="18" width="7" style="40" customWidth="1"/>
    <col min="19" max="19" width="7.42578125" style="38" customWidth="1"/>
    <col min="20" max="20" width="6" style="40" customWidth="1"/>
    <col min="21" max="21" width="6.42578125" style="38" customWidth="1"/>
    <col min="22" max="22" width="6.28515625" style="38" customWidth="1"/>
    <col min="23" max="23" width="8" style="39" customWidth="1"/>
    <col min="24" max="24" width="7.42578125" style="38" bestFit="1" customWidth="1"/>
    <col min="25" max="25" width="7.28515625" style="38" bestFit="1" customWidth="1"/>
    <col min="26" max="26" width="9" style="38" bestFit="1" customWidth="1"/>
    <col min="27" max="27" width="7.7109375" style="38" bestFit="1" customWidth="1"/>
    <col min="28" max="28" width="7.42578125" style="38" bestFit="1" customWidth="1"/>
    <col min="29" max="29" width="9.28515625" style="38" bestFit="1" customWidth="1"/>
    <col min="30" max="31" width="7.42578125" style="38" bestFit="1" customWidth="1"/>
    <col min="32" max="32" width="9.140625" style="38" bestFit="1" customWidth="1"/>
    <col min="33" max="16384" width="8.85546875" style="38"/>
  </cols>
  <sheetData>
    <row r="1" spans="1:32" x14ac:dyDescent="0.2">
      <c r="A1" s="38" t="s">
        <v>0</v>
      </c>
      <c r="B1" s="38" t="s">
        <v>1</v>
      </c>
      <c r="C1" s="38" t="s">
        <v>13</v>
      </c>
      <c r="D1" s="38" t="s">
        <v>212</v>
      </c>
      <c r="E1" s="38" t="s">
        <v>6</v>
      </c>
      <c r="F1" s="38" t="s">
        <v>7</v>
      </c>
      <c r="G1" s="38" t="s">
        <v>73</v>
      </c>
      <c r="H1" s="39" t="s">
        <v>15</v>
      </c>
      <c r="I1" s="49" t="s">
        <v>213</v>
      </c>
      <c r="J1" s="49" t="s">
        <v>211</v>
      </c>
      <c r="K1" s="38" t="s">
        <v>65</v>
      </c>
      <c r="L1" s="38" t="s">
        <v>77</v>
      </c>
      <c r="M1" s="38" t="s">
        <v>109</v>
      </c>
      <c r="N1" s="38" t="s">
        <v>10</v>
      </c>
      <c r="O1" s="38" t="s">
        <v>11</v>
      </c>
      <c r="P1" s="38" t="s">
        <v>12</v>
      </c>
      <c r="Q1" s="38" t="s">
        <v>123</v>
      </c>
      <c r="R1" s="40" t="s">
        <v>125</v>
      </c>
      <c r="S1" s="38" t="s">
        <v>124</v>
      </c>
      <c r="T1" s="40" t="s">
        <v>126</v>
      </c>
      <c r="U1" s="38" t="s">
        <v>160</v>
      </c>
      <c r="V1" s="38" t="s">
        <v>161</v>
      </c>
      <c r="W1" s="39" t="s">
        <v>162</v>
      </c>
      <c r="X1" s="38" t="s">
        <v>163</v>
      </c>
      <c r="Y1" s="38" t="s">
        <v>164</v>
      </c>
      <c r="Z1" s="38" t="s">
        <v>165</v>
      </c>
      <c r="AA1" s="38" t="s">
        <v>166</v>
      </c>
      <c r="AB1" s="38" t="s">
        <v>167</v>
      </c>
      <c r="AC1" s="38" t="s">
        <v>168</v>
      </c>
      <c r="AD1" s="38" t="s">
        <v>169</v>
      </c>
      <c r="AE1" s="38" t="s">
        <v>170</v>
      </c>
      <c r="AF1" s="38" t="s">
        <v>171</v>
      </c>
    </row>
    <row r="2" spans="1:32" x14ac:dyDescent="0.2">
      <c r="A2" s="42">
        <v>1</v>
      </c>
      <c r="B2" s="42" t="s">
        <v>26</v>
      </c>
      <c r="C2" s="42" t="s">
        <v>95</v>
      </c>
      <c r="D2" s="43">
        <f>COUNTIF(DATA!$A$2:$A$9731,B2)</f>
        <v>41</v>
      </c>
      <c r="E2" s="43">
        <f>SUMIF(DATA!$A$2:$A$9077,B2,DATA!$J$2:$J$9077)</f>
        <v>146</v>
      </c>
      <c r="F2" s="43">
        <f>SUMIF(DATA!$A$2:$A$9077,B2,DATA!$K$2:$K$9077)</f>
        <v>27</v>
      </c>
      <c r="G2" s="38">
        <f t="shared" ref="G2:G33" si="0">E2+F2</f>
        <v>173</v>
      </c>
      <c r="H2" s="39">
        <f t="shared" ref="H2:H33" si="1">E2/(E2+F2)</f>
        <v>0.84393063583815031</v>
      </c>
      <c r="I2" s="49">
        <f t="shared" ref="I2:I33" si="2">(E2+L2-F2-K2-M2)/D2</f>
        <v>3.0487804878048781</v>
      </c>
      <c r="J2" s="50">
        <f>Table1[[#This Row],[Correct]]/Table1[[#This Row],['#Quizzes]]</f>
        <v>3.5609756097560976</v>
      </c>
      <c r="K2" s="43">
        <f>SUMIF(DATA!$A$2:$A$9077,B2,DATA!$L$2:$L$9077)</f>
        <v>0</v>
      </c>
      <c r="L2" s="43">
        <f>SUMIF(DATA!$A$2:$A$9077,B2,DATA!$M$2:$M$79077)</f>
        <v>9</v>
      </c>
      <c r="M2" s="43">
        <f>SUMIF(DATA!$A$2:$A$9077,B2,DATA!$N$2:$N$9077)</f>
        <v>3</v>
      </c>
      <c r="N2" s="43">
        <f>SUMIF(DATA!$A$2:$A$9101,B2,DATA!$O$2:$O$9101)</f>
        <v>0</v>
      </c>
      <c r="O2" s="43">
        <f>SUMIF(DATA!$A$2:$A$9101,B2,DATA!$P$2:$P$9101)</f>
        <v>0</v>
      </c>
      <c r="P2" s="43">
        <f>SUMIF(DATA!$A$2:$A$9101,B2,DATA!$Q$2:$Q$9101)</f>
        <v>0</v>
      </c>
      <c r="Q2" s="43">
        <f>SUMIF(DATA!$A$2:$A$9078,B2,DATA!$R$2:$R$9078)</f>
        <v>32</v>
      </c>
      <c r="R2" s="45">
        <f t="shared" ref="R2:R33" si="3">Q2/D2</f>
        <v>0.78048780487804881</v>
      </c>
      <c r="S2" s="43">
        <f>SUMIF(DATA!$A$2:$A$9078,B2,DATA!$S$2:$S$9078)</f>
        <v>2</v>
      </c>
      <c r="T2" s="45">
        <f t="shared" ref="T2:T33" si="4">S2/D2</f>
        <v>4.878048780487805E-2</v>
      </c>
      <c r="U2" s="43">
        <f>SUMIFS(DATA!J:J,DATA!A:A,Table1[[#This Row],[Name]],DATA!F:F,"Pre")</f>
        <v>97</v>
      </c>
      <c r="V2" s="43">
        <f>SUMIFS(DATA!K:K,DATA!A:A,Table1[[#This Row],[Name]],DATA!F:F,"Pre")</f>
        <v>18</v>
      </c>
      <c r="W2" s="44">
        <f t="shared" ref="W2:W33" si="5">U2/(U2+V2)</f>
        <v>0.84347826086956523</v>
      </c>
      <c r="X2" s="43">
        <f>SUMIFS(DATA!J:J,DATA!A:A,Table1[[#This Row],[Name]],DATA!F:F,"Semi")</f>
        <v>0</v>
      </c>
      <c r="Y2" s="43">
        <f>SUMIFS(DATA!K:K,DATA!A:A,Table1[[#This Row],[Name]],DATA!F:F,"Semi")</f>
        <v>0</v>
      </c>
      <c r="Z2" s="44" t="e">
        <f t="shared" ref="Z2:Z33" si="6">X2/(X2+Y2)</f>
        <v>#DIV/0!</v>
      </c>
      <c r="AA2" s="43">
        <f>SUMIFS(DATA!J:J,DATA!A:A,Table1[[#This Row],[Name]],DATA!F:F,"COnA")</f>
        <v>49</v>
      </c>
      <c r="AB2" s="43">
        <f>SUMIFS(DATA!K:K,DATA!A:A,Table1[[#This Row],[Name]],DATA!F:F,"ConA")</f>
        <v>9</v>
      </c>
      <c r="AC2" s="44">
        <f t="shared" ref="AC2:AC33" si="7">AA2/(AA2+AB2)</f>
        <v>0.84482758620689657</v>
      </c>
      <c r="AD2" s="43">
        <f>SUMIFS(DATA!J:J,DATA!A:A,Table1[[#This Row],[Name]],DATA!F:F,"ConB")</f>
        <v>0</v>
      </c>
      <c r="AE2" s="43">
        <f>SUMIFS(DATA!K:K,DATA!A:A,Table1[[#This Row],[Name]],DATA!F:F,"ConB")</f>
        <v>0</v>
      </c>
      <c r="AF2" s="44" t="e">
        <f t="shared" ref="AF2:AF33" si="8">AD2/(AD2+AE2)</f>
        <v>#DIV/0!</v>
      </c>
    </row>
    <row r="3" spans="1:32" x14ac:dyDescent="0.2">
      <c r="A3" s="42">
        <v>2</v>
      </c>
      <c r="B3" s="42" t="s">
        <v>16</v>
      </c>
      <c r="C3" s="42" t="s">
        <v>96</v>
      </c>
      <c r="D3" s="43">
        <f>COUNTIF(DATA!$A$2:$A$9731,B3)</f>
        <v>57</v>
      </c>
      <c r="E3" s="43">
        <f>SUMIF(DATA!$A$2:$A$9077,B3,DATA!$J$2:$J$9077)</f>
        <v>200</v>
      </c>
      <c r="F3" s="43">
        <f>SUMIF(DATA!$A$2:$A$9077,B3,DATA!$K$2:$K$9077)</f>
        <v>54</v>
      </c>
      <c r="G3" s="38">
        <f t="shared" si="0"/>
        <v>254</v>
      </c>
      <c r="H3" s="39">
        <f t="shared" si="1"/>
        <v>0.78740157480314965</v>
      </c>
      <c r="I3" s="49">
        <f t="shared" si="2"/>
        <v>2.807017543859649</v>
      </c>
      <c r="J3" s="50">
        <f>Table1[[#This Row],[Correct]]/Table1[[#This Row],['#Quizzes]]</f>
        <v>3.5087719298245612</v>
      </c>
      <c r="K3" s="43">
        <f>SUMIF(DATA!$A$2:$A$9077,B3,DATA!$L$2:$L$9077)</f>
        <v>0</v>
      </c>
      <c r="L3" s="43">
        <f>SUMIF(DATA!$A$2:$A$9077,B3,DATA!$M$2:$M$79077)</f>
        <v>17</v>
      </c>
      <c r="M3" s="43">
        <f>SUMIF(DATA!$A$2:$A$9077,B3,DATA!$N$2:$N$9077)</f>
        <v>3</v>
      </c>
      <c r="N3" s="43">
        <f>SUMIF(DATA!$A$2:$A$9101,B3,DATA!$O$2:$O$9101)</f>
        <v>0</v>
      </c>
      <c r="O3" s="43">
        <f>SUMIF(DATA!$A$2:$A$9101,B3,DATA!$P$2:$P$9101)</f>
        <v>0</v>
      </c>
      <c r="P3" s="43">
        <f>SUMIF(DATA!$A$2:$A$9101,B3,DATA!$Q$2:$Q$9101)</f>
        <v>0</v>
      </c>
      <c r="Q3" s="43">
        <f>SUMIF(DATA!$A$2:$A$9078,B3,DATA!$R$2:$R$9078)</f>
        <v>45</v>
      </c>
      <c r="R3" s="45">
        <f t="shared" si="3"/>
        <v>0.78947368421052633</v>
      </c>
      <c r="S3" s="43">
        <f>SUMIF(DATA!$A$2:$A$9078,B3,DATA!$S$2:$S$9078)</f>
        <v>8</v>
      </c>
      <c r="T3" s="45">
        <f t="shared" si="4"/>
        <v>0.14035087719298245</v>
      </c>
      <c r="U3" s="43">
        <f>SUMIFS(DATA!J:J,DATA!A:A,Table1[[#This Row],[Name]],DATA!F:F,"Pre")</f>
        <v>109</v>
      </c>
      <c r="V3" s="43">
        <f>SUMIFS(DATA!K:K,DATA!A:A,Table1[[#This Row],[Name]],DATA!F:F,"Pre")</f>
        <v>19</v>
      </c>
      <c r="W3" s="44">
        <f t="shared" si="5"/>
        <v>0.8515625</v>
      </c>
      <c r="X3" s="43">
        <f>SUMIFS(DATA!J:J,DATA!A:A,Table1[[#This Row],[Name]],DATA!F:F,"Semi")</f>
        <v>91</v>
      </c>
      <c r="Y3" s="43">
        <f>SUMIFS(DATA!K:K,DATA!A:A,Table1[[#This Row],[Name]],DATA!F:F,"Semi")</f>
        <v>35</v>
      </c>
      <c r="Z3" s="44">
        <f t="shared" si="6"/>
        <v>0.72222222222222221</v>
      </c>
      <c r="AA3" s="43">
        <f>SUMIFS(DATA!J:J,DATA!A:A,Table1[[#This Row],[Name]],DATA!F:F,"COnA")</f>
        <v>0</v>
      </c>
      <c r="AB3" s="43">
        <f>SUMIFS(DATA!K:K,DATA!A:A,Table1[[#This Row],[Name]],DATA!F:F,"ConA")</f>
        <v>0</v>
      </c>
      <c r="AC3" s="44" t="e">
        <f t="shared" si="7"/>
        <v>#DIV/0!</v>
      </c>
      <c r="AD3" s="43">
        <f>SUMIFS(DATA!J:J,DATA!A:A,Table1[[#This Row],[Name]],DATA!F:F,"ConB")</f>
        <v>0</v>
      </c>
      <c r="AE3" s="43">
        <f>SUMIFS(DATA!K:K,DATA!A:A,Table1[[#This Row],[Name]],DATA!F:F,"ConB")</f>
        <v>0</v>
      </c>
      <c r="AF3" s="44" t="e">
        <f t="shared" si="8"/>
        <v>#DIV/0!</v>
      </c>
    </row>
    <row r="4" spans="1:32" x14ac:dyDescent="0.2">
      <c r="A4" s="42">
        <v>3</v>
      </c>
      <c r="B4" s="42" t="s">
        <v>201</v>
      </c>
      <c r="C4" s="42" t="s">
        <v>88</v>
      </c>
      <c r="D4" s="43">
        <f>COUNTIF(DATA!$A$2:$A$9731,B4)</f>
        <v>56</v>
      </c>
      <c r="E4" s="43">
        <f>SUMIF(DATA!$A$2:$A$9077,B4,DATA!$J$2:$J$9077)</f>
        <v>180</v>
      </c>
      <c r="F4" s="43">
        <f>SUMIF(DATA!$A$2:$A$9077,B4,DATA!$K$2:$K$9077)</f>
        <v>38</v>
      </c>
      <c r="G4" s="38">
        <f t="shared" si="0"/>
        <v>218</v>
      </c>
      <c r="H4" s="39">
        <f t="shared" si="1"/>
        <v>0.82568807339449546</v>
      </c>
      <c r="I4" s="49">
        <f t="shared" si="2"/>
        <v>2.6071428571428572</v>
      </c>
      <c r="J4" s="50">
        <f>Table1[[#This Row],[Correct]]/Table1[[#This Row],['#Quizzes]]</f>
        <v>3.2142857142857144</v>
      </c>
      <c r="K4" s="43">
        <f>SUMIF(DATA!$A$2:$A$9077,B4,DATA!$L$2:$L$9077)</f>
        <v>7</v>
      </c>
      <c r="L4" s="43">
        <f>SUMIF(DATA!$A$2:$A$9077,B4,DATA!$M$2:$M$79077)</f>
        <v>11</v>
      </c>
      <c r="M4" s="43">
        <f>SUMIF(DATA!$A$2:$A$9077,B4,DATA!$N$2:$N$9077)</f>
        <v>0</v>
      </c>
      <c r="N4" s="43">
        <f>SUMIF(DATA!$A$2:$A$9101,B4,DATA!$O$2:$O$9101)</f>
        <v>4</v>
      </c>
      <c r="O4" s="43">
        <f>SUMIF(DATA!$A$2:$A$9101,B4,DATA!$P$2:$P$9101)</f>
        <v>0</v>
      </c>
      <c r="P4" s="43">
        <f>SUMIF(DATA!$A$2:$A$9101,B4,DATA!$Q$2:$Q$9101)</f>
        <v>0</v>
      </c>
      <c r="Q4" s="43">
        <f>SUMIF(DATA!$A$2:$A$9078,B4,DATA!$R$2:$R$9078)</f>
        <v>31</v>
      </c>
      <c r="R4" s="45">
        <f t="shared" si="3"/>
        <v>0.5535714285714286</v>
      </c>
      <c r="S4" s="43">
        <f>SUMIF(DATA!$A$2:$A$9078,B4,DATA!$S$2:$S$9078)</f>
        <v>2</v>
      </c>
      <c r="T4" s="45">
        <f t="shared" si="4"/>
        <v>3.5714285714285712E-2</v>
      </c>
      <c r="U4" s="43">
        <f>SUMIFS(DATA!J:J,DATA!A:A,Table1[[#This Row],[Name]],DATA!F:F,"Pre")</f>
        <v>108</v>
      </c>
      <c r="V4" s="43">
        <f>SUMIFS(DATA!K:K,DATA!A:A,Table1[[#This Row],[Name]],DATA!F:F,"Pre")</f>
        <v>18</v>
      </c>
      <c r="W4" s="44">
        <f t="shared" si="5"/>
        <v>0.8571428571428571</v>
      </c>
      <c r="X4" s="43">
        <f>SUMIFS(DATA!J:J,DATA!A:A,Table1[[#This Row],[Name]],DATA!F:F,"Semi")</f>
        <v>72</v>
      </c>
      <c r="Y4" s="43">
        <f>SUMIFS(DATA!K:K,DATA!A:A,Table1[[#This Row],[Name]],DATA!F:F,"Semi")</f>
        <v>20</v>
      </c>
      <c r="Z4" s="44">
        <f t="shared" si="6"/>
        <v>0.78260869565217395</v>
      </c>
      <c r="AA4" s="43">
        <f>SUMIFS(DATA!J:J,DATA!A:A,Table1[[#This Row],[Name]],DATA!F:F,"COnA")</f>
        <v>0</v>
      </c>
      <c r="AB4" s="43">
        <f>SUMIFS(DATA!K:K,DATA!A:A,Table1[[#This Row],[Name]],DATA!F:F,"ConA")</f>
        <v>0</v>
      </c>
      <c r="AC4" s="44" t="e">
        <f t="shared" si="7"/>
        <v>#DIV/0!</v>
      </c>
      <c r="AD4" s="43">
        <f>SUMIFS(DATA!J:J,DATA!A:A,Table1[[#This Row],[Name]],DATA!F:F,"ConB")</f>
        <v>0</v>
      </c>
      <c r="AE4" s="43">
        <f>SUMIFS(DATA!K:K,DATA!A:A,Table1[[#This Row],[Name]],DATA!F:F,"ConB")</f>
        <v>0</v>
      </c>
      <c r="AF4" s="44" t="e">
        <f t="shared" si="8"/>
        <v>#DIV/0!</v>
      </c>
    </row>
    <row r="5" spans="1:32" x14ac:dyDescent="0.2">
      <c r="A5" s="42">
        <v>5</v>
      </c>
      <c r="B5" s="42" t="s">
        <v>158</v>
      </c>
      <c r="C5" s="42" t="s">
        <v>92</v>
      </c>
      <c r="D5" s="43">
        <f>COUNTIF(DATA!$A$2:$A$9731,B5)</f>
        <v>53</v>
      </c>
      <c r="E5" s="43">
        <f>SUMIF(DATA!$A$2:$A$9077,B5,DATA!$J$2:$J$9077)</f>
        <v>168</v>
      </c>
      <c r="F5" s="43">
        <f>SUMIF(DATA!$A$2:$A$9077,B5,DATA!$K$2:$K$9077)</f>
        <v>49</v>
      </c>
      <c r="G5" s="38">
        <f t="shared" si="0"/>
        <v>217</v>
      </c>
      <c r="H5" s="39">
        <f t="shared" si="1"/>
        <v>0.77419354838709675</v>
      </c>
      <c r="I5" s="49">
        <f t="shared" si="2"/>
        <v>2.3962264150943398</v>
      </c>
      <c r="J5" s="50">
        <f>Table1[[#This Row],[Correct]]/Table1[[#This Row],['#Quizzes]]</f>
        <v>3.1698113207547172</v>
      </c>
      <c r="K5" s="43">
        <f>SUMIF(DATA!$A$2:$A$9077,B5,DATA!$L$2:$L$9077)</f>
        <v>0</v>
      </c>
      <c r="L5" s="43">
        <f>SUMIF(DATA!$A$2:$A$9077,B5,DATA!$M$2:$M$79077)</f>
        <v>8</v>
      </c>
      <c r="M5" s="43">
        <f>SUMIF(DATA!$A$2:$A$9077,B5,DATA!$N$2:$N$9077)</f>
        <v>0</v>
      </c>
      <c r="N5" s="43">
        <f>SUMIF(DATA!$A$2:$A$9101,B5,DATA!$O$2:$O$9101)</f>
        <v>0</v>
      </c>
      <c r="O5" s="43">
        <f>SUMIF(DATA!$A$2:$A$9101,B5,DATA!$P$2:$P$9101)</f>
        <v>0</v>
      </c>
      <c r="P5" s="43">
        <f>SUMIF(DATA!$A$2:$A$9101,B5,DATA!$Q$2:$Q$9101)</f>
        <v>0</v>
      </c>
      <c r="Q5" s="43">
        <f>SUMIF(DATA!$A$2:$A$9078,B5,DATA!$R$2:$R$9078)</f>
        <v>33</v>
      </c>
      <c r="R5" s="45">
        <f t="shared" si="3"/>
        <v>0.62264150943396224</v>
      </c>
      <c r="S5" s="43">
        <f>SUMIF(DATA!$A$2:$A$9078,B5,DATA!$S$2:$S$9078)</f>
        <v>4</v>
      </c>
      <c r="T5" s="45">
        <f t="shared" si="4"/>
        <v>7.5471698113207544E-2</v>
      </c>
      <c r="U5" s="43">
        <f>SUMIFS(DATA!J:J,DATA!A:A,Table1[[#This Row],[Name]],DATA!F:F,"Pre")</f>
        <v>109</v>
      </c>
      <c r="V5" s="43">
        <f>SUMIFS(DATA!K:K,DATA!A:A,Table1[[#This Row],[Name]],DATA!F:F,"Pre")</f>
        <v>23</v>
      </c>
      <c r="W5" s="44">
        <f t="shared" si="5"/>
        <v>0.8257575757575758</v>
      </c>
      <c r="X5" s="43">
        <f>SUMIFS(DATA!J:J,DATA!A:A,Table1[[#This Row],[Name]],DATA!F:F,"Semi")</f>
        <v>39</v>
      </c>
      <c r="Y5" s="43">
        <f>SUMIFS(DATA!K:K,DATA!A:A,Table1[[#This Row],[Name]],DATA!F:F,"Semi")</f>
        <v>23</v>
      </c>
      <c r="Z5" s="44">
        <f t="shared" si="6"/>
        <v>0.62903225806451613</v>
      </c>
      <c r="AA5" s="43">
        <f>SUMIFS(DATA!J:J,DATA!A:A,Table1[[#This Row],[Name]],DATA!F:F,"COnA")</f>
        <v>20</v>
      </c>
      <c r="AB5" s="43">
        <f>SUMIFS(DATA!K:K,DATA!A:A,Table1[[#This Row],[Name]],DATA!F:F,"ConA")</f>
        <v>3</v>
      </c>
      <c r="AC5" s="44">
        <f t="shared" si="7"/>
        <v>0.86956521739130432</v>
      </c>
      <c r="AD5" s="43">
        <f>SUMIFS(DATA!J:J,DATA!A:A,Table1[[#This Row],[Name]],DATA!F:F,"ConB")</f>
        <v>0</v>
      </c>
      <c r="AE5" s="43">
        <f>SUMIFS(DATA!K:K,DATA!A:A,Table1[[#This Row],[Name]],DATA!F:F,"ConB")</f>
        <v>0</v>
      </c>
      <c r="AF5" s="44" t="e">
        <f t="shared" si="8"/>
        <v>#DIV/0!</v>
      </c>
    </row>
    <row r="6" spans="1:32" x14ac:dyDescent="0.2">
      <c r="A6" s="42">
        <v>4</v>
      </c>
      <c r="B6" s="42" t="s">
        <v>139</v>
      </c>
      <c r="C6" s="42" t="s">
        <v>90</v>
      </c>
      <c r="D6" s="43">
        <f>COUNTIF(DATA!$A$2:$A$9731,B6)</f>
        <v>55</v>
      </c>
      <c r="E6" s="43">
        <f>SUMIF(DATA!$A$2:$A$9077,B6,DATA!$J$2:$J$9077)</f>
        <v>189</v>
      </c>
      <c r="F6" s="43">
        <f>SUMIF(DATA!$A$2:$A$9077,B6,DATA!$K$2:$K$9077)</f>
        <v>79</v>
      </c>
      <c r="G6" s="38">
        <f t="shared" si="0"/>
        <v>268</v>
      </c>
      <c r="H6" s="39">
        <f t="shared" si="1"/>
        <v>0.70522388059701491</v>
      </c>
      <c r="I6" s="49">
        <f t="shared" si="2"/>
        <v>2.2363636363636363</v>
      </c>
      <c r="J6" s="50">
        <f>Table1[[#This Row],[Correct]]/Table1[[#This Row],['#Quizzes]]</f>
        <v>3.4363636363636365</v>
      </c>
      <c r="K6" s="43">
        <f>SUMIF(DATA!$A$2:$A$9077,B6,DATA!$L$2:$L$9077)</f>
        <v>0</v>
      </c>
      <c r="L6" s="43">
        <f>SUMIF(DATA!$A$2:$A$9077,B6,DATA!$M$2:$M$79077)</f>
        <v>14</v>
      </c>
      <c r="M6" s="43">
        <f>SUMIF(DATA!$A$2:$A$9077,B6,DATA!$N$2:$N$9077)</f>
        <v>1</v>
      </c>
      <c r="N6" s="43">
        <f>SUMIF(DATA!$A$2:$A$9101,B6,DATA!$O$2:$O$9101)</f>
        <v>0</v>
      </c>
      <c r="O6" s="43">
        <f>SUMIF(DATA!$A$2:$A$9101,B6,DATA!$P$2:$P$9101)</f>
        <v>0</v>
      </c>
      <c r="P6" s="43">
        <f>SUMIF(DATA!$A$2:$A$9101,B6,DATA!$Q$2:$Q$9101)</f>
        <v>0</v>
      </c>
      <c r="Q6" s="43">
        <f>SUMIF(DATA!$A$2:$A$9078,B6,DATA!$R$2:$R$9078)</f>
        <v>35</v>
      </c>
      <c r="R6" s="45">
        <f t="shared" si="3"/>
        <v>0.63636363636363635</v>
      </c>
      <c r="S6" s="43">
        <f>SUMIF(DATA!$A$2:$A$9078,B6,DATA!$S$2:$S$9078)</f>
        <v>10</v>
      </c>
      <c r="T6" s="45">
        <f t="shared" si="4"/>
        <v>0.18181818181818182</v>
      </c>
      <c r="U6" s="43">
        <f>SUMIFS(DATA!J:J,DATA!A:A,Table1[[#This Row],[Name]],DATA!F:F,"Pre")</f>
        <v>113</v>
      </c>
      <c r="V6" s="43">
        <f>SUMIFS(DATA!K:K,DATA!A:A,Table1[[#This Row],[Name]],DATA!F:F,"Pre")</f>
        <v>35</v>
      </c>
      <c r="W6" s="44">
        <f t="shared" si="5"/>
        <v>0.76351351351351349</v>
      </c>
      <c r="X6" s="43">
        <f>SUMIFS(DATA!J:J,DATA!A:A,Table1[[#This Row],[Name]],DATA!F:F,"Semi")</f>
        <v>62</v>
      </c>
      <c r="Y6" s="43">
        <f>SUMIFS(DATA!K:K,DATA!A:A,Table1[[#This Row],[Name]],DATA!F:F,"Semi")</f>
        <v>38</v>
      </c>
      <c r="Z6" s="44">
        <f t="shared" si="6"/>
        <v>0.62</v>
      </c>
      <c r="AA6" s="43">
        <f>SUMIFS(DATA!J:J,DATA!A:A,Table1[[#This Row],[Name]],DATA!F:F,"COnA")</f>
        <v>14</v>
      </c>
      <c r="AB6" s="43">
        <f>SUMIFS(DATA!K:K,DATA!A:A,Table1[[#This Row],[Name]],DATA!F:F,"ConA")</f>
        <v>6</v>
      </c>
      <c r="AC6" s="44">
        <f t="shared" si="7"/>
        <v>0.7</v>
      </c>
      <c r="AD6" s="43">
        <f>SUMIFS(DATA!J:J,DATA!A:A,Table1[[#This Row],[Name]],DATA!F:F,"ConB")</f>
        <v>0</v>
      </c>
      <c r="AE6" s="43">
        <f>SUMIFS(DATA!K:K,DATA!A:A,Table1[[#This Row],[Name]],DATA!F:F,"ConB")</f>
        <v>0</v>
      </c>
      <c r="AF6" s="44" t="e">
        <f t="shared" si="8"/>
        <v>#DIV/0!</v>
      </c>
    </row>
    <row r="7" spans="1:32" x14ac:dyDescent="0.2">
      <c r="A7" s="42">
        <v>10</v>
      </c>
      <c r="B7" s="42" t="s">
        <v>176</v>
      </c>
      <c r="C7" s="42" t="s">
        <v>88</v>
      </c>
      <c r="D7" s="43">
        <f>COUNTIF(DATA!$A$2:$A$9731,B7)</f>
        <v>46</v>
      </c>
      <c r="E7" s="43">
        <f>SUMIF(DATA!$A$2:$A$9077,B7,DATA!$J$2:$J$9077)</f>
        <v>139</v>
      </c>
      <c r="F7" s="43">
        <f>SUMIF(DATA!$A$2:$A$9077,B7,DATA!$K$2:$K$9077)</f>
        <v>48</v>
      </c>
      <c r="G7" s="38">
        <f t="shared" si="0"/>
        <v>187</v>
      </c>
      <c r="H7" s="39">
        <f t="shared" si="1"/>
        <v>0.74331550802139035</v>
      </c>
      <c r="I7" s="49">
        <f t="shared" si="2"/>
        <v>2</v>
      </c>
      <c r="J7" s="50">
        <f>Table1[[#This Row],[Correct]]/Table1[[#This Row],['#Quizzes]]</f>
        <v>3.0217391304347827</v>
      </c>
      <c r="K7" s="43">
        <f>SUMIF(DATA!$A$2:$A$9077,B7,DATA!$L$2:$L$9077)</f>
        <v>2</v>
      </c>
      <c r="L7" s="43">
        <f>SUMIF(DATA!$A$2:$A$9077,B7,DATA!$M$2:$M$79077)</f>
        <v>8</v>
      </c>
      <c r="M7" s="43">
        <f>SUMIF(DATA!$A$2:$A$9077,B7,DATA!$N$2:$N$9077)</f>
        <v>5</v>
      </c>
      <c r="N7" s="43">
        <f>SUMIF(DATA!$A$2:$A$9101,B7,DATA!$O$2:$O$9101)</f>
        <v>1</v>
      </c>
      <c r="O7" s="43">
        <f>SUMIF(DATA!$A$2:$A$9101,B7,DATA!$P$2:$P$9101)</f>
        <v>0</v>
      </c>
      <c r="P7" s="43">
        <f>SUMIF(DATA!$A$2:$A$9101,B7,DATA!$Q$2:$Q$9101)</f>
        <v>0</v>
      </c>
      <c r="Q7" s="43">
        <f>SUMIF(DATA!$A$2:$A$9078,B7,DATA!$R$2:$R$9078)</f>
        <v>28</v>
      </c>
      <c r="R7" s="45">
        <f t="shared" si="3"/>
        <v>0.60869565217391308</v>
      </c>
      <c r="S7" s="43">
        <f>SUMIF(DATA!$A$2:$A$9078,B7,DATA!$S$2:$S$9078)</f>
        <v>6</v>
      </c>
      <c r="T7" s="45">
        <f t="shared" si="4"/>
        <v>0.13043478260869565</v>
      </c>
      <c r="U7" s="43">
        <f>SUMIFS(DATA!J:J,DATA!A:A,Table1[[#This Row],[Name]],DATA!F:F,"Pre")</f>
        <v>98</v>
      </c>
      <c r="V7" s="43">
        <f>SUMIFS(DATA!K:K,DATA!A:A,Table1[[#This Row],[Name]],DATA!F:F,"Pre")</f>
        <v>27</v>
      </c>
      <c r="W7" s="44">
        <f t="shared" si="5"/>
        <v>0.78400000000000003</v>
      </c>
      <c r="X7" s="43">
        <f>SUMIFS(DATA!J:J,DATA!A:A,Table1[[#This Row],[Name]],DATA!F:F,"Semi")</f>
        <v>41</v>
      </c>
      <c r="Y7" s="43">
        <f>SUMIFS(DATA!K:K,DATA!A:A,Table1[[#This Row],[Name]],DATA!F:F,"Semi")</f>
        <v>21</v>
      </c>
      <c r="Z7" s="44">
        <f t="shared" si="6"/>
        <v>0.66129032258064513</v>
      </c>
      <c r="AA7" s="43">
        <f>SUMIFS(DATA!J:J,DATA!A:A,Table1[[#This Row],[Name]],DATA!F:F,"COnA")</f>
        <v>0</v>
      </c>
      <c r="AB7" s="43">
        <f>SUMIFS(DATA!K:K,DATA!A:A,Table1[[#This Row],[Name]],DATA!F:F,"ConA")</f>
        <v>0</v>
      </c>
      <c r="AC7" s="44" t="e">
        <f t="shared" si="7"/>
        <v>#DIV/0!</v>
      </c>
      <c r="AD7" s="43">
        <f>SUMIFS(DATA!J:J,DATA!A:A,Table1[[#This Row],[Name]],DATA!F:F,"ConB")</f>
        <v>0</v>
      </c>
      <c r="AE7" s="43">
        <f>SUMIFS(DATA!K:K,DATA!A:A,Table1[[#This Row],[Name]],DATA!F:F,"ConB")</f>
        <v>0</v>
      </c>
      <c r="AF7" s="44" t="e">
        <f t="shared" si="8"/>
        <v>#DIV/0!</v>
      </c>
    </row>
    <row r="8" spans="1:32" x14ac:dyDescent="0.2">
      <c r="A8" s="42">
        <v>6</v>
      </c>
      <c r="B8" s="42" t="s">
        <v>29</v>
      </c>
      <c r="C8" s="42" t="s">
        <v>90</v>
      </c>
      <c r="D8" s="43">
        <f>COUNTIF(DATA!$A$2:$A$9731,B8)</f>
        <v>44</v>
      </c>
      <c r="E8" s="43">
        <f>SUMIF(DATA!$A$2:$A$9077,B8,DATA!$J$2:$J$9077)</f>
        <v>138</v>
      </c>
      <c r="F8" s="43">
        <f>SUMIF(DATA!$A$2:$A$9077,B8,DATA!$K$2:$K$9077)</f>
        <v>51</v>
      </c>
      <c r="G8" s="38">
        <f t="shared" si="0"/>
        <v>189</v>
      </c>
      <c r="H8" s="39">
        <f t="shared" si="1"/>
        <v>0.73015873015873012</v>
      </c>
      <c r="I8" s="49">
        <f t="shared" si="2"/>
        <v>1.9772727272727273</v>
      </c>
      <c r="J8" s="50">
        <f>Table1[[#This Row],[Correct]]/Table1[[#This Row],['#Quizzes]]</f>
        <v>3.1363636363636362</v>
      </c>
      <c r="K8" s="43">
        <f>SUMIF(DATA!$A$2:$A$9077,B8,DATA!$L$2:$L$9077)</f>
        <v>0</v>
      </c>
      <c r="L8" s="43">
        <f>SUMIF(DATA!$A$2:$A$9077,B8,DATA!$M$2:$M$79077)</f>
        <v>5</v>
      </c>
      <c r="M8" s="43">
        <f>SUMIF(DATA!$A$2:$A$9077,B8,DATA!$N$2:$N$9077)</f>
        <v>5</v>
      </c>
      <c r="N8" s="43">
        <f>SUMIF(DATA!$A$2:$A$9101,B8,DATA!$O$2:$O$9101)</f>
        <v>0</v>
      </c>
      <c r="O8" s="43">
        <f>SUMIF(DATA!$A$2:$A$9101,B8,DATA!$P$2:$P$9101)</f>
        <v>0</v>
      </c>
      <c r="P8" s="43">
        <f>SUMIF(DATA!$A$2:$A$9101,B8,DATA!$Q$2:$Q$9101)</f>
        <v>0</v>
      </c>
      <c r="Q8" s="43">
        <f>SUMIF(DATA!$A$2:$A$9078,B8,DATA!$R$2:$R$9078)</f>
        <v>24</v>
      </c>
      <c r="R8" s="45">
        <f t="shared" si="3"/>
        <v>0.54545454545454541</v>
      </c>
      <c r="S8" s="43">
        <f>SUMIF(DATA!$A$2:$A$9078,B8,DATA!$S$2:$S$9078)</f>
        <v>4</v>
      </c>
      <c r="T8" s="45">
        <f t="shared" si="4"/>
        <v>9.0909090909090912E-2</v>
      </c>
      <c r="U8" s="43">
        <f>SUMIFS(DATA!J:J,DATA!A:A,Table1[[#This Row],[Name]],DATA!F:F,"Pre")</f>
        <v>95</v>
      </c>
      <c r="V8" s="43">
        <f>SUMIFS(DATA!K:K,DATA!A:A,Table1[[#This Row],[Name]],DATA!F:F,"Pre")</f>
        <v>32</v>
      </c>
      <c r="W8" s="44">
        <f t="shared" si="5"/>
        <v>0.74803149606299213</v>
      </c>
      <c r="X8" s="43">
        <f>SUMIFS(DATA!J:J,DATA!A:A,Table1[[#This Row],[Name]],DATA!F:F,"Semi")</f>
        <v>8</v>
      </c>
      <c r="Y8" s="43">
        <f>SUMIFS(DATA!K:K,DATA!A:A,Table1[[#This Row],[Name]],DATA!F:F,"Semi")</f>
        <v>7</v>
      </c>
      <c r="Z8" s="44">
        <f t="shared" si="6"/>
        <v>0.53333333333333333</v>
      </c>
      <c r="AA8" s="43">
        <f>SUMIFS(DATA!J:J,DATA!A:A,Table1[[#This Row],[Name]],DATA!F:F,"COnA")</f>
        <v>35</v>
      </c>
      <c r="AB8" s="43">
        <f>SUMIFS(DATA!K:K,DATA!A:A,Table1[[#This Row],[Name]],DATA!F:F,"ConA")</f>
        <v>12</v>
      </c>
      <c r="AC8" s="44">
        <f t="shared" si="7"/>
        <v>0.74468085106382975</v>
      </c>
      <c r="AD8" s="43">
        <f>SUMIFS(DATA!J:J,DATA!A:A,Table1[[#This Row],[Name]],DATA!F:F,"ConB")</f>
        <v>0</v>
      </c>
      <c r="AE8" s="43">
        <f>SUMIFS(DATA!K:K,DATA!A:A,Table1[[#This Row],[Name]],DATA!F:F,"ConB")</f>
        <v>0</v>
      </c>
      <c r="AF8" s="44" t="e">
        <f t="shared" si="8"/>
        <v>#DIV/0!</v>
      </c>
    </row>
    <row r="9" spans="1:32" x14ac:dyDescent="0.2">
      <c r="A9" s="42">
        <v>7</v>
      </c>
      <c r="B9" s="42" t="s">
        <v>17</v>
      </c>
      <c r="C9" s="42" t="s">
        <v>92</v>
      </c>
      <c r="D9" s="43">
        <f>COUNTIF(DATA!$A$2:$A$9731,B9)</f>
        <v>48</v>
      </c>
      <c r="E9" s="43">
        <f>SUMIF(DATA!$A$2:$A$9077,B9,DATA!$J$2:$J$9077)</f>
        <v>145</v>
      </c>
      <c r="F9" s="43">
        <f>SUMIF(DATA!$A$2:$A$9077,B9,DATA!$K$2:$K$9077)</f>
        <v>60</v>
      </c>
      <c r="G9" s="38">
        <f t="shared" si="0"/>
        <v>205</v>
      </c>
      <c r="H9" s="39">
        <f t="shared" si="1"/>
        <v>0.70731707317073167</v>
      </c>
      <c r="I9" s="49">
        <f t="shared" si="2"/>
        <v>1.8333333333333333</v>
      </c>
      <c r="J9" s="50">
        <f>Table1[[#This Row],[Correct]]/Table1[[#This Row],['#Quizzes]]</f>
        <v>3.0208333333333335</v>
      </c>
      <c r="K9" s="43">
        <f>SUMIF(DATA!$A$2:$A$9077,B9,DATA!$L$2:$L$9077)</f>
        <v>0</v>
      </c>
      <c r="L9" s="43">
        <f>SUMIF(DATA!$A$2:$A$9077,B9,DATA!$M$2:$M$79077)</f>
        <v>4</v>
      </c>
      <c r="M9" s="43">
        <f>SUMIF(DATA!$A$2:$A$9077,B9,DATA!$N$2:$N$9077)</f>
        <v>1</v>
      </c>
      <c r="N9" s="43">
        <f>SUMIF(DATA!$A$2:$A$9101,B9,DATA!$O$2:$O$9101)</f>
        <v>0</v>
      </c>
      <c r="O9" s="43">
        <f>SUMIF(DATA!$A$2:$A$9101,B9,DATA!$P$2:$P$9101)</f>
        <v>0</v>
      </c>
      <c r="P9" s="43">
        <f>SUMIF(DATA!$A$2:$A$9101,B9,DATA!$Q$2:$Q$9101)</f>
        <v>0</v>
      </c>
      <c r="Q9" s="43">
        <f>SUMIF(DATA!$A$2:$A$9078,B9,DATA!$R$2:$R$9078)</f>
        <v>25</v>
      </c>
      <c r="R9" s="45">
        <f t="shared" si="3"/>
        <v>0.52083333333333337</v>
      </c>
      <c r="S9" s="43">
        <f>SUMIF(DATA!$A$2:$A$9078,B9,DATA!$S$2:$S$9078)</f>
        <v>3</v>
      </c>
      <c r="T9" s="45">
        <f t="shared" si="4"/>
        <v>6.25E-2</v>
      </c>
      <c r="U9" s="43">
        <f>SUMIFS(DATA!J:J,DATA!A:A,Table1[[#This Row],[Name]],DATA!F:F,"Pre")</f>
        <v>102</v>
      </c>
      <c r="V9" s="43">
        <f>SUMIFS(DATA!K:K,DATA!A:A,Table1[[#This Row],[Name]],DATA!F:F,"Pre")</f>
        <v>33</v>
      </c>
      <c r="W9" s="44">
        <f t="shared" si="5"/>
        <v>0.75555555555555554</v>
      </c>
      <c r="X9" s="43">
        <f>SUMIFS(DATA!J:J,DATA!A:A,Table1[[#This Row],[Name]],DATA!F:F,"Semi")</f>
        <v>43</v>
      </c>
      <c r="Y9" s="43">
        <f>SUMIFS(DATA!K:K,DATA!A:A,Table1[[#This Row],[Name]],DATA!F:F,"Semi")</f>
        <v>27</v>
      </c>
      <c r="Z9" s="44">
        <f t="shared" si="6"/>
        <v>0.61428571428571432</v>
      </c>
      <c r="AA9" s="43">
        <f>SUMIFS(DATA!J:J,DATA!A:A,Table1[[#This Row],[Name]],DATA!F:F,"COnA")</f>
        <v>0</v>
      </c>
      <c r="AB9" s="43">
        <f>SUMIFS(DATA!K:K,DATA!A:A,Table1[[#This Row],[Name]],DATA!F:F,"ConA")</f>
        <v>0</v>
      </c>
      <c r="AC9" s="44" t="e">
        <f t="shared" si="7"/>
        <v>#DIV/0!</v>
      </c>
      <c r="AD9" s="43">
        <f>SUMIFS(DATA!J:J,DATA!A:A,Table1[[#This Row],[Name]],DATA!F:F,"ConB")</f>
        <v>0</v>
      </c>
      <c r="AE9" s="43">
        <f>SUMIFS(DATA!K:K,DATA!A:A,Table1[[#This Row],[Name]],DATA!F:F,"ConB")</f>
        <v>0</v>
      </c>
      <c r="AF9" s="44" t="e">
        <f t="shared" si="8"/>
        <v>#DIV/0!</v>
      </c>
    </row>
    <row r="10" spans="1:32" x14ac:dyDescent="0.2">
      <c r="A10" s="42">
        <v>13</v>
      </c>
      <c r="B10" s="42" t="s">
        <v>21</v>
      </c>
      <c r="C10" s="42" t="s">
        <v>90</v>
      </c>
      <c r="D10" s="43">
        <f>COUNTIF(DATA!$A$2:$A$9731,B10)</f>
        <v>55</v>
      </c>
      <c r="E10" s="43">
        <f>SUMIF(DATA!$A$2:$A$9077,B10,DATA!$J$2:$J$9077)</f>
        <v>136</v>
      </c>
      <c r="F10" s="43">
        <f>SUMIF(DATA!$A$2:$A$9077,B10,DATA!$K$2:$K$9077)</f>
        <v>44</v>
      </c>
      <c r="G10" s="38">
        <f t="shared" si="0"/>
        <v>180</v>
      </c>
      <c r="H10" s="39">
        <f t="shared" si="1"/>
        <v>0.75555555555555554</v>
      </c>
      <c r="I10" s="49">
        <f t="shared" si="2"/>
        <v>1.8</v>
      </c>
      <c r="J10" s="50">
        <f>Table1[[#This Row],[Correct]]/Table1[[#This Row],['#Quizzes]]</f>
        <v>2.4727272727272727</v>
      </c>
      <c r="K10" s="43">
        <f>SUMIF(DATA!$A$2:$A$9077,B10,DATA!$L$2:$L$9077)</f>
        <v>0</v>
      </c>
      <c r="L10" s="43">
        <f>SUMIF(DATA!$A$2:$A$9077,B10,DATA!$M$2:$M$79077)</f>
        <v>9</v>
      </c>
      <c r="M10" s="43">
        <f>SUMIF(DATA!$A$2:$A$9077,B10,DATA!$N$2:$N$9077)</f>
        <v>2</v>
      </c>
      <c r="N10" s="43">
        <f>SUMIF(DATA!$A$2:$A$9101,B10,DATA!$O$2:$O$9101)</f>
        <v>0</v>
      </c>
      <c r="O10" s="43">
        <f>SUMIF(DATA!$A$2:$A$9101,B10,DATA!$P$2:$P$9101)</f>
        <v>0</v>
      </c>
      <c r="P10" s="43">
        <f>SUMIF(DATA!$A$2:$A$9101,B10,DATA!$Q$2:$Q$9101)</f>
        <v>0</v>
      </c>
      <c r="Q10" s="43">
        <f>SUMIF(DATA!$A$2:$A$9078,B10,DATA!$R$2:$R$9078)</f>
        <v>19</v>
      </c>
      <c r="R10" s="45">
        <f t="shared" si="3"/>
        <v>0.34545454545454546</v>
      </c>
      <c r="S10" s="43">
        <f>SUMIF(DATA!$A$2:$A$9078,B10,DATA!$S$2:$S$9078)</f>
        <v>1</v>
      </c>
      <c r="T10" s="45">
        <f t="shared" si="4"/>
        <v>1.8181818181818181E-2</v>
      </c>
      <c r="U10" s="43">
        <f>SUMIFS(DATA!J:J,DATA!A:A,Table1[[#This Row],[Name]],DATA!F:F,"Pre")</f>
        <v>90</v>
      </c>
      <c r="V10" s="43">
        <f>SUMIFS(DATA!K:K,DATA!A:A,Table1[[#This Row],[Name]],DATA!F:F,"Pre")</f>
        <v>30</v>
      </c>
      <c r="W10" s="44">
        <f t="shared" si="5"/>
        <v>0.75</v>
      </c>
      <c r="X10" s="43">
        <f>SUMIFS(DATA!J:J,DATA!A:A,Table1[[#This Row],[Name]],DATA!F:F,"Semi")</f>
        <v>34</v>
      </c>
      <c r="Y10" s="43">
        <f>SUMIFS(DATA!K:K,DATA!A:A,Table1[[#This Row],[Name]],DATA!F:F,"Semi")</f>
        <v>11</v>
      </c>
      <c r="Z10" s="44">
        <f t="shared" si="6"/>
        <v>0.75555555555555554</v>
      </c>
      <c r="AA10" s="43">
        <f>SUMIFS(DATA!J:J,DATA!A:A,Table1[[#This Row],[Name]],DATA!F:F,"COnA")</f>
        <v>12</v>
      </c>
      <c r="AB10" s="43">
        <f>SUMIFS(DATA!K:K,DATA!A:A,Table1[[#This Row],[Name]],DATA!F:F,"ConA")</f>
        <v>3</v>
      </c>
      <c r="AC10" s="44">
        <f t="shared" si="7"/>
        <v>0.8</v>
      </c>
      <c r="AD10" s="43">
        <f>SUMIFS(DATA!J:J,DATA!A:A,Table1[[#This Row],[Name]],DATA!F:F,"ConB")</f>
        <v>0</v>
      </c>
      <c r="AE10" s="43">
        <f>SUMIFS(DATA!K:K,DATA!A:A,Table1[[#This Row],[Name]],DATA!F:F,"ConB")</f>
        <v>0</v>
      </c>
      <c r="AF10" s="44" t="e">
        <f t="shared" si="8"/>
        <v>#DIV/0!</v>
      </c>
    </row>
    <row r="11" spans="1:32" x14ac:dyDescent="0.2">
      <c r="A11" s="42">
        <v>11</v>
      </c>
      <c r="B11" s="42" t="s">
        <v>143</v>
      </c>
      <c r="C11" s="42" t="s">
        <v>90</v>
      </c>
      <c r="D11" s="43">
        <f>COUNTIF(DATA!$A$2:$A$9731,B11)</f>
        <v>44</v>
      </c>
      <c r="E11" s="43">
        <f>SUMIF(DATA!$A$2:$A$9077,B11,DATA!$J$2:$J$9077)</f>
        <v>101</v>
      </c>
      <c r="F11" s="43">
        <f>SUMIF(DATA!$A$2:$A$9077,B11,DATA!$K$2:$K$9077)</f>
        <v>31</v>
      </c>
      <c r="G11" s="38">
        <f t="shared" si="0"/>
        <v>132</v>
      </c>
      <c r="H11" s="39">
        <f t="shared" si="1"/>
        <v>0.76515151515151514</v>
      </c>
      <c r="I11" s="49">
        <f t="shared" si="2"/>
        <v>1.6363636363636365</v>
      </c>
      <c r="J11" s="50">
        <f>Table1[[#This Row],[Correct]]/Table1[[#This Row],['#Quizzes]]</f>
        <v>2.2954545454545454</v>
      </c>
      <c r="K11" s="43">
        <f>SUMIF(DATA!$A$2:$A$9077,B11,DATA!$L$2:$L$9077)</f>
        <v>0</v>
      </c>
      <c r="L11" s="43">
        <f>SUMIF(DATA!$A$2:$A$9077,B11,DATA!$M$2:$M$79077)</f>
        <v>2</v>
      </c>
      <c r="M11" s="43">
        <f>SUMIF(DATA!$A$2:$A$9077,B11,DATA!$N$2:$N$9077)</f>
        <v>0</v>
      </c>
      <c r="N11" s="43">
        <f>SUMIF(DATA!$A$2:$A$9101,B11,DATA!$O$2:$O$9101)</f>
        <v>1</v>
      </c>
      <c r="O11" s="43">
        <f>SUMIF(DATA!$A$2:$A$9101,B11,DATA!$P$2:$P$9101)</f>
        <v>0</v>
      </c>
      <c r="P11" s="43">
        <f>SUMIF(DATA!$A$2:$A$9101,B11,DATA!$Q$2:$Q$9101)</f>
        <v>0</v>
      </c>
      <c r="Q11" s="43">
        <f>SUMIF(DATA!$A$2:$A$9078,B11,DATA!$R$2:$R$9078)</f>
        <v>16</v>
      </c>
      <c r="R11" s="45">
        <f t="shared" si="3"/>
        <v>0.36363636363636365</v>
      </c>
      <c r="S11" s="43">
        <f>SUMIF(DATA!$A$2:$A$9078,B11,DATA!$S$2:$S$9078)</f>
        <v>1</v>
      </c>
      <c r="T11" s="45">
        <f t="shared" si="4"/>
        <v>2.2727272727272728E-2</v>
      </c>
      <c r="U11" s="43">
        <f>SUMIFS(DATA!J:J,DATA!A:A,Table1[[#This Row],[Name]],DATA!F:F,"Pre")</f>
        <v>74</v>
      </c>
      <c r="V11" s="43">
        <f>SUMIFS(DATA!K:K,DATA!A:A,Table1[[#This Row],[Name]],DATA!F:F,"Pre")</f>
        <v>18</v>
      </c>
      <c r="W11" s="44">
        <f t="shared" si="5"/>
        <v>0.80434782608695654</v>
      </c>
      <c r="X11" s="43">
        <f>SUMIFS(DATA!J:J,DATA!A:A,Table1[[#This Row],[Name]],DATA!F:F,"Semi")</f>
        <v>3</v>
      </c>
      <c r="Y11" s="43">
        <f>SUMIFS(DATA!K:K,DATA!A:A,Table1[[#This Row],[Name]],DATA!F:F,"Semi")</f>
        <v>2</v>
      </c>
      <c r="Z11" s="44">
        <f t="shared" si="6"/>
        <v>0.6</v>
      </c>
      <c r="AA11" s="43">
        <f>SUMIFS(DATA!J:J,DATA!A:A,Table1[[#This Row],[Name]],DATA!F:F,"COnA")</f>
        <v>24</v>
      </c>
      <c r="AB11" s="43">
        <f>SUMIFS(DATA!K:K,DATA!A:A,Table1[[#This Row],[Name]],DATA!F:F,"ConA")</f>
        <v>11</v>
      </c>
      <c r="AC11" s="44">
        <f t="shared" si="7"/>
        <v>0.68571428571428572</v>
      </c>
      <c r="AD11" s="43">
        <f>SUMIFS(DATA!J:J,DATA!A:A,Table1[[#This Row],[Name]],DATA!F:F,"ConB")</f>
        <v>0</v>
      </c>
      <c r="AE11" s="43">
        <f>SUMIFS(DATA!K:K,DATA!A:A,Table1[[#This Row],[Name]],DATA!F:F,"ConB")</f>
        <v>0</v>
      </c>
      <c r="AF11" s="44" t="e">
        <f t="shared" si="8"/>
        <v>#DIV/0!</v>
      </c>
    </row>
    <row r="12" spans="1:32" x14ac:dyDescent="0.2">
      <c r="A12" s="42">
        <v>12</v>
      </c>
      <c r="B12" s="42" t="s">
        <v>34</v>
      </c>
      <c r="C12" s="42" t="s">
        <v>96</v>
      </c>
      <c r="D12" s="43">
        <f>COUNTIF(DATA!$A$2:$A$9731,B12)</f>
        <v>57</v>
      </c>
      <c r="E12" s="43">
        <f>SUMIF(DATA!$A$2:$A$9077,B12,DATA!$J$2:$J$9077)</f>
        <v>106</v>
      </c>
      <c r="F12" s="43">
        <f>SUMIF(DATA!$A$2:$A$9077,B12,DATA!$K$2:$K$9077)</f>
        <v>22</v>
      </c>
      <c r="G12" s="38">
        <f t="shared" si="0"/>
        <v>128</v>
      </c>
      <c r="H12" s="39">
        <f t="shared" si="1"/>
        <v>0.828125</v>
      </c>
      <c r="I12" s="49">
        <f t="shared" si="2"/>
        <v>1.631578947368421</v>
      </c>
      <c r="J12" s="50">
        <f>Table1[[#This Row],[Correct]]/Table1[[#This Row],['#Quizzes]]</f>
        <v>1.8596491228070176</v>
      </c>
      <c r="K12" s="43">
        <f>SUMIF(DATA!$A$2:$A$9077,B12,DATA!$L$2:$L$9077)</f>
        <v>0</v>
      </c>
      <c r="L12" s="43">
        <f>SUMIF(DATA!$A$2:$A$9077,B12,DATA!$M$2:$M$79077)</f>
        <v>9</v>
      </c>
      <c r="M12" s="43">
        <f>SUMIF(DATA!$A$2:$A$9077,B12,DATA!$N$2:$N$9077)</f>
        <v>0</v>
      </c>
      <c r="N12" s="43">
        <f>SUMIF(DATA!$A$2:$A$9101,B12,DATA!$O$2:$O$9101)</f>
        <v>1</v>
      </c>
      <c r="O12" s="43">
        <f>SUMIF(DATA!$A$2:$A$9101,B12,DATA!$P$2:$P$9101)</f>
        <v>0</v>
      </c>
      <c r="P12" s="43">
        <f>SUMIF(DATA!$A$2:$A$9101,B12,DATA!$Q$2:$Q$9101)</f>
        <v>0</v>
      </c>
      <c r="Q12" s="43">
        <f>SUMIF(DATA!$A$2:$A$9078,B12,DATA!$R$2:$R$9078)</f>
        <v>11</v>
      </c>
      <c r="R12" s="45">
        <f t="shared" si="3"/>
        <v>0.19298245614035087</v>
      </c>
      <c r="S12" s="43">
        <f>SUMIF(DATA!$A$2:$A$9078,B12,DATA!$S$2:$S$9078)</f>
        <v>0</v>
      </c>
      <c r="T12" s="45">
        <f t="shared" si="4"/>
        <v>0</v>
      </c>
      <c r="U12" s="43">
        <f>SUMIFS(DATA!J:J,DATA!A:A,Table1[[#This Row],[Name]],DATA!F:F,"Pre")</f>
        <v>75</v>
      </c>
      <c r="V12" s="43">
        <f>SUMIFS(DATA!K:K,DATA!A:A,Table1[[#This Row],[Name]],DATA!F:F,"Pre")</f>
        <v>13</v>
      </c>
      <c r="W12" s="44">
        <f t="shared" si="5"/>
        <v>0.85227272727272729</v>
      </c>
      <c r="X12" s="43">
        <f>SUMIFS(DATA!J:J,DATA!A:A,Table1[[#This Row],[Name]],DATA!F:F,"Semi")</f>
        <v>31</v>
      </c>
      <c r="Y12" s="43">
        <f>SUMIFS(DATA!K:K,DATA!A:A,Table1[[#This Row],[Name]],DATA!F:F,"Semi")</f>
        <v>9</v>
      </c>
      <c r="Z12" s="44">
        <f t="shared" si="6"/>
        <v>0.77500000000000002</v>
      </c>
      <c r="AA12" s="43">
        <f>SUMIFS(DATA!J:J,DATA!A:A,Table1[[#This Row],[Name]],DATA!F:F,"COnA")</f>
        <v>0</v>
      </c>
      <c r="AB12" s="43">
        <f>SUMIFS(DATA!K:K,DATA!A:A,Table1[[#This Row],[Name]],DATA!F:F,"ConA")</f>
        <v>0</v>
      </c>
      <c r="AC12" s="44" t="e">
        <f t="shared" si="7"/>
        <v>#DIV/0!</v>
      </c>
      <c r="AD12" s="43">
        <f>SUMIFS(DATA!J:J,DATA!A:A,Table1[[#This Row],[Name]],DATA!F:F,"ConB")</f>
        <v>0</v>
      </c>
      <c r="AE12" s="43">
        <f>SUMIFS(DATA!K:K,DATA!A:A,Table1[[#This Row],[Name]],DATA!F:F,"ConB")</f>
        <v>0</v>
      </c>
      <c r="AF12" s="44" t="e">
        <f t="shared" si="8"/>
        <v>#DIV/0!</v>
      </c>
    </row>
    <row r="13" spans="1:32" x14ac:dyDescent="0.2">
      <c r="A13" s="42">
        <v>9</v>
      </c>
      <c r="B13" s="42" t="s">
        <v>18</v>
      </c>
      <c r="C13" s="42" t="s">
        <v>90</v>
      </c>
      <c r="D13" s="43">
        <f>COUNTIF(DATA!$A$2:$A$9731,B13)</f>
        <v>48</v>
      </c>
      <c r="E13" s="43">
        <f>SUMIF(DATA!$A$2:$A$9077,B13,DATA!$J$2:$J$9077)</f>
        <v>154</v>
      </c>
      <c r="F13" s="43">
        <f>SUMIF(DATA!$A$2:$A$9077,B13,DATA!$K$2:$K$9077)</f>
        <v>81</v>
      </c>
      <c r="G13" s="38">
        <f t="shared" si="0"/>
        <v>235</v>
      </c>
      <c r="H13" s="39">
        <f t="shared" si="1"/>
        <v>0.65531914893617016</v>
      </c>
      <c r="I13" s="49">
        <f t="shared" si="2"/>
        <v>1.625</v>
      </c>
      <c r="J13" s="50">
        <f>Table1[[#This Row],[Correct]]/Table1[[#This Row],['#Quizzes]]</f>
        <v>3.2083333333333335</v>
      </c>
      <c r="K13" s="43">
        <f>SUMIF(DATA!$A$2:$A$9077,B13,DATA!$L$2:$L$9077)</f>
        <v>0</v>
      </c>
      <c r="L13" s="43">
        <f>SUMIF(DATA!$A$2:$A$9077,B13,DATA!$M$2:$M$79077)</f>
        <v>7</v>
      </c>
      <c r="M13" s="43">
        <f>SUMIF(DATA!$A$2:$A$9077,B13,DATA!$N$2:$N$9077)</f>
        <v>2</v>
      </c>
      <c r="N13" s="43">
        <f>SUMIF(DATA!$A$2:$A$9101,B13,DATA!$O$2:$O$9101)</f>
        <v>1</v>
      </c>
      <c r="O13" s="43">
        <f>SUMIF(DATA!$A$2:$A$9101,B13,DATA!$P$2:$P$9101)</f>
        <v>0</v>
      </c>
      <c r="P13" s="43">
        <f>SUMIF(DATA!$A$2:$A$9101,B13,DATA!$Q$2:$Q$9101)</f>
        <v>0</v>
      </c>
      <c r="Q13" s="43">
        <f>SUMIF(DATA!$A$2:$A$9078,B13,DATA!$R$2:$R$9078)</f>
        <v>29</v>
      </c>
      <c r="R13" s="45">
        <f t="shared" si="3"/>
        <v>0.60416666666666663</v>
      </c>
      <c r="S13" s="43">
        <f>SUMIF(DATA!$A$2:$A$9078,B13,DATA!$S$2:$S$9078)</f>
        <v>15</v>
      </c>
      <c r="T13" s="45">
        <f t="shared" si="4"/>
        <v>0.3125</v>
      </c>
      <c r="U13" s="43">
        <f>SUMIFS(DATA!J:J,DATA!A:A,Table1[[#This Row],[Name]],DATA!F:F,"Pre")</f>
        <v>109</v>
      </c>
      <c r="V13" s="43">
        <f>SUMIFS(DATA!K:K,DATA!A:A,Table1[[#This Row],[Name]],DATA!F:F,"Pre")</f>
        <v>42</v>
      </c>
      <c r="W13" s="44">
        <f t="shared" si="5"/>
        <v>0.72185430463576161</v>
      </c>
      <c r="X13" s="43">
        <f>SUMIFS(DATA!J:J,DATA!A:A,Table1[[#This Row],[Name]],DATA!F:F,"Semi")</f>
        <v>45</v>
      </c>
      <c r="Y13" s="43">
        <f>SUMIFS(DATA!K:K,DATA!A:A,Table1[[#This Row],[Name]],DATA!F:F,"Semi")</f>
        <v>39</v>
      </c>
      <c r="Z13" s="44">
        <f t="shared" si="6"/>
        <v>0.5357142857142857</v>
      </c>
      <c r="AA13" s="43">
        <f>SUMIFS(DATA!J:J,DATA!A:A,Table1[[#This Row],[Name]],DATA!F:F,"COnA")</f>
        <v>0</v>
      </c>
      <c r="AB13" s="43">
        <f>SUMIFS(DATA!K:K,DATA!A:A,Table1[[#This Row],[Name]],DATA!F:F,"ConA")</f>
        <v>0</v>
      </c>
      <c r="AC13" s="44" t="e">
        <f t="shared" si="7"/>
        <v>#DIV/0!</v>
      </c>
      <c r="AD13" s="43">
        <f>SUMIFS(DATA!J:J,DATA!A:A,Table1[[#This Row],[Name]],DATA!F:F,"ConB")</f>
        <v>0</v>
      </c>
      <c r="AE13" s="43">
        <f>SUMIFS(DATA!K:K,DATA!A:A,Table1[[#This Row],[Name]],DATA!F:F,"ConB")</f>
        <v>0</v>
      </c>
      <c r="AF13" s="44" t="e">
        <f t="shared" si="8"/>
        <v>#DIV/0!</v>
      </c>
    </row>
    <row r="14" spans="1:32" x14ac:dyDescent="0.2">
      <c r="A14" s="42">
        <v>8</v>
      </c>
      <c r="B14" s="42" t="s">
        <v>24</v>
      </c>
      <c r="C14" s="42" t="s">
        <v>54</v>
      </c>
      <c r="D14" s="43">
        <f>COUNTIF(DATA!$A$2:$A$9731,B14)</f>
        <v>43</v>
      </c>
      <c r="E14" s="43">
        <f>SUMIF(DATA!$A$2:$A$9077,B14,DATA!$J$2:$J$9077)</f>
        <v>100</v>
      </c>
      <c r="F14" s="43">
        <f>SUMIF(DATA!$A$2:$A$9077,B14,DATA!$K$2:$K$9077)</f>
        <v>33</v>
      </c>
      <c r="G14" s="38">
        <f t="shared" si="0"/>
        <v>133</v>
      </c>
      <c r="H14" s="39">
        <f t="shared" si="1"/>
        <v>0.75187969924812026</v>
      </c>
      <c r="I14" s="49">
        <f t="shared" si="2"/>
        <v>1.6046511627906976</v>
      </c>
      <c r="J14" s="50">
        <f>Table1[[#This Row],[Correct]]/Table1[[#This Row],['#Quizzes]]</f>
        <v>2.3255813953488373</v>
      </c>
      <c r="K14" s="43">
        <f>SUMIF(DATA!$A$2:$A$9077,B14,DATA!$L$2:$L$9077)</f>
        <v>0</v>
      </c>
      <c r="L14" s="43">
        <f>SUMIF(DATA!$A$2:$A$9077,B14,DATA!$M$2:$M$79077)</f>
        <v>3</v>
      </c>
      <c r="M14" s="43">
        <f>SUMIF(DATA!$A$2:$A$9077,B14,DATA!$N$2:$N$9077)</f>
        <v>1</v>
      </c>
      <c r="N14" s="43">
        <f>SUMIF(DATA!$A$2:$A$9101,B14,DATA!$O$2:$O$9101)</f>
        <v>5</v>
      </c>
      <c r="O14" s="43">
        <f>SUMIF(DATA!$A$2:$A$9101,B14,DATA!$P$2:$P$9101)</f>
        <v>0</v>
      </c>
      <c r="P14" s="43">
        <f>SUMIF(DATA!$A$2:$A$9101,B14,DATA!$Q$2:$Q$9101)</f>
        <v>0</v>
      </c>
      <c r="Q14" s="43">
        <f>SUMIF(DATA!$A$2:$A$9078,B14,DATA!$R$2:$R$9078)</f>
        <v>15</v>
      </c>
      <c r="R14" s="45">
        <f t="shared" si="3"/>
        <v>0.34883720930232559</v>
      </c>
      <c r="S14" s="43">
        <f>SUMIF(DATA!$A$2:$A$9078,B14,DATA!$S$2:$S$9078)</f>
        <v>3</v>
      </c>
      <c r="T14" s="45">
        <f t="shared" si="4"/>
        <v>6.9767441860465115E-2</v>
      </c>
      <c r="U14" s="43">
        <f>SUMIFS(DATA!J:J,DATA!A:A,Table1[[#This Row],[Name]],DATA!F:F,"Pre")</f>
        <v>79</v>
      </c>
      <c r="V14" s="43">
        <f>SUMIFS(DATA!K:K,DATA!A:A,Table1[[#This Row],[Name]],DATA!F:F,"Pre")</f>
        <v>21</v>
      </c>
      <c r="W14" s="44">
        <f t="shared" si="5"/>
        <v>0.79</v>
      </c>
      <c r="X14" s="43">
        <f>SUMIFS(DATA!J:J,DATA!A:A,Table1[[#This Row],[Name]],DATA!F:F,"Semi")</f>
        <v>21</v>
      </c>
      <c r="Y14" s="43">
        <f>SUMIFS(DATA!K:K,DATA!A:A,Table1[[#This Row],[Name]],DATA!F:F,"Semi")</f>
        <v>12</v>
      </c>
      <c r="Z14" s="44">
        <f t="shared" si="6"/>
        <v>0.63636363636363635</v>
      </c>
      <c r="AA14" s="43">
        <f>SUMIFS(DATA!J:J,DATA!A:A,Table1[[#This Row],[Name]],DATA!F:F,"COnA")</f>
        <v>0</v>
      </c>
      <c r="AB14" s="43">
        <f>SUMIFS(DATA!K:K,DATA!A:A,Table1[[#This Row],[Name]],DATA!F:F,"ConA")</f>
        <v>0</v>
      </c>
      <c r="AC14" s="44" t="e">
        <f t="shared" si="7"/>
        <v>#DIV/0!</v>
      </c>
      <c r="AD14" s="43">
        <f>SUMIFS(DATA!J:J,DATA!A:A,Table1[[#This Row],[Name]],DATA!F:F,"ConB")</f>
        <v>0</v>
      </c>
      <c r="AE14" s="43">
        <f>SUMIFS(DATA!K:K,DATA!A:A,Table1[[#This Row],[Name]],DATA!F:F,"ConB")</f>
        <v>0</v>
      </c>
      <c r="AF14" s="44" t="e">
        <f t="shared" si="8"/>
        <v>#DIV/0!</v>
      </c>
    </row>
    <row r="15" spans="1:32" x14ac:dyDescent="0.2">
      <c r="A15" s="42">
        <v>18</v>
      </c>
      <c r="B15" s="42" t="s">
        <v>110</v>
      </c>
      <c r="C15" s="42" t="s">
        <v>93</v>
      </c>
      <c r="D15" s="43">
        <f>COUNTIF(DATA!$A$2:$A$9731,B15)</f>
        <v>49</v>
      </c>
      <c r="E15" s="43">
        <f>SUMIF(DATA!$A$2:$A$9077,B15,DATA!$J$2:$J$9077)</f>
        <v>115</v>
      </c>
      <c r="F15" s="43">
        <f>SUMIF(DATA!$A$2:$A$9077,B15,DATA!$K$2:$K$9077)</f>
        <v>34</v>
      </c>
      <c r="G15" s="38">
        <f t="shared" si="0"/>
        <v>149</v>
      </c>
      <c r="H15" s="39">
        <f t="shared" si="1"/>
        <v>0.77181208053691275</v>
      </c>
      <c r="I15" s="49">
        <f t="shared" si="2"/>
        <v>1.6326530612244898</v>
      </c>
      <c r="J15" s="50">
        <f>Table1[[#This Row],[Correct]]/Table1[[#This Row],['#Quizzes]]</f>
        <v>2.3469387755102042</v>
      </c>
      <c r="K15" s="43">
        <f>SUMIF(DATA!$A$2:$A$9077,B15,DATA!$L$2:$L$9077)</f>
        <v>0</v>
      </c>
      <c r="L15" s="43">
        <f>SUMIF(DATA!$A$2:$A$9077,B15,DATA!$M$2:$M$79077)</f>
        <v>5</v>
      </c>
      <c r="M15" s="43">
        <f>SUMIF(DATA!$A$2:$A$9077,B15,DATA!$N$2:$N$9077)</f>
        <v>6</v>
      </c>
      <c r="N15" s="43">
        <f>SUMIF(DATA!$A$2:$A$9101,B15,DATA!$O$2:$O$9101)</f>
        <v>6</v>
      </c>
      <c r="O15" s="43">
        <f>SUMIF(DATA!$A$2:$A$9101,B15,DATA!$P$2:$P$9101)</f>
        <v>0</v>
      </c>
      <c r="P15" s="43">
        <f>SUMIF(DATA!$A$2:$A$9101,B15,DATA!$Q$2:$Q$9101)</f>
        <v>0</v>
      </c>
      <c r="Q15" s="43">
        <f>SUMIF(DATA!$A$2:$A$9078,B15,DATA!$R$2:$R$9078)</f>
        <v>12</v>
      </c>
      <c r="R15" s="45">
        <f t="shared" si="3"/>
        <v>0.24489795918367346</v>
      </c>
      <c r="S15" s="43">
        <f>SUMIF(DATA!$A$2:$A$9078,B15,DATA!$S$2:$S$9078)</f>
        <v>0</v>
      </c>
      <c r="T15" s="45">
        <f t="shared" si="4"/>
        <v>0</v>
      </c>
      <c r="U15" s="43">
        <f>SUMIFS(DATA!J:J,DATA!A:A,Table1[[#This Row],[Name]],DATA!F:F,"Pre")</f>
        <v>68</v>
      </c>
      <c r="V15" s="43">
        <f>SUMIFS(DATA!K:K,DATA!A:A,Table1[[#This Row],[Name]],DATA!F:F,"Pre")</f>
        <v>24</v>
      </c>
      <c r="W15" s="44">
        <f t="shared" si="5"/>
        <v>0.73913043478260865</v>
      </c>
      <c r="X15" s="43">
        <f>SUMIFS(DATA!J:J,DATA!A:A,Table1[[#This Row],[Name]],DATA!F:F,"Semi")</f>
        <v>0</v>
      </c>
      <c r="Y15" s="43">
        <f>SUMIFS(DATA!K:K,DATA!A:A,Table1[[#This Row],[Name]],DATA!F:F,"Semi")</f>
        <v>0</v>
      </c>
      <c r="Z15" s="44" t="e">
        <f t="shared" si="6"/>
        <v>#DIV/0!</v>
      </c>
      <c r="AA15" s="43">
        <f>SUMIFS(DATA!J:J,DATA!A:A,Table1[[#This Row],[Name]],DATA!F:F,"COnA")</f>
        <v>33</v>
      </c>
      <c r="AB15" s="43">
        <f>SUMIFS(DATA!K:K,DATA!A:A,Table1[[#This Row],[Name]],DATA!F:F,"ConA")</f>
        <v>8</v>
      </c>
      <c r="AC15" s="44">
        <f t="shared" si="7"/>
        <v>0.80487804878048785</v>
      </c>
      <c r="AD15" s="43">
        <f>SUMIFS(DATA!J:J,DATA!A:A,Table1[[#This Row],[Name]],DATA!F:F,"ConB")</f>
        <v>14</v>
      </c>
      <c r="AE15" s="43">
        <f>SUMIFS(DATA!K:K,DATA!A:A,Table1[[#This Row],[Name]],DATA!F:F,"ConB")</f>
        <v>2</v>
      </c>
      <c r="AF15" s="44">
        <f t="shared" si="8"/>
        <v>0.875</v>
      </c>
    </row>
    <row r="16" spans="1:32" x14ac:dyDescent="0.2">
      <c r="A16" s="42">
        <v>15</v>
      </c>
      <c r="B16" s="42" t="s">
        <v>25</v>
      </c>
      <c r="C16" s="42" t="s">
        <v>88</v>
      </c>
      <c r="D16" s="43">
        <f>COUNTIF(DATA!$A$2:$A$9731,B16)</f>
        <v>49</v>
      </c>
      <c r="E16" s="43">
        <f>SUMIF(DATA!$A$2:$A$9077,B16,DATA!$J$2:$J$9077)</f>
        <v>143</v>
      </c>
      <c r="F16" s="43">
        <f>SUMIF(DATA!$A$2:$A$9077,B16,DATA!$K$2:$K$9077)</f>
        <v>78</v>
      </c>
      <c r="G16" s="38">
        <f t="shared" si="0"/>
        <v>221</v>
      </c>
      <c r="H16" s="39">
        <f t="shared" si="1"/>
        <v>0.6470588235294118</v>
      </c>
      <c r="I16" s="49">
        <f t="shared" si="2"/>
        <v>1.5306122448979591</v>
      </c>
      <c r="J16" s="50">
        <f>Table1[[#This Row],[Correct]]/Table1[[#This Row],['#Quizzes]]</f>
        <v>2.9183673469387754</v>
      </c>
      <c r="K16" s="43">
        <f>SUMIF(DATA!$A$2:$A$9077,B16,DATA!$L$2:$L$9077)</f>
        <v>0</v>
      </c>
      <c r="L16" s="43">
        <f>SUMIF(DATA!$A$2:$A$9077,B16,DATA!$M$2:$M$79077)</f>
        <v>14</v>
      </c>
      <c r="M16" s="43">
        <f>SUMIF(DATA!$A$2:$A$9077,B16,DATA!$N$2:$N$9077)</f>
        <v>4</v>
      </c>
      <c r="N16" s="43">
        <f>SUMIF(DATA!$A$2:$A$9101,B16,DATA!$O$2:$O$9101)</f>
        <v>0</v>
      </c>
      <c r="O16" s="43">
        <f>SUMIF(DATA!$A$2:$A$9101,B16,DATA!$P$2:$P$9101)</f>
        <v>0</v>
      </c>
      <c r="P16" s="43">
        <f>SUMIF(DATA!$A$2:$A$9101,B16,DATA!$Q$2:$Q$9101)</f>
        <v>0</v>
      </c>
      <c r="Q16" s="43">
        <f>SUMIF(DATA!$A$2:$A$9078,B16,DATA!$R$2:$R$9078)</f>
        <v>21</v>
      </c>
      <c r="R16" s="45">
        <f t="shared" si="3"/>
        <v>0.42857142857142855</v>
      </c>
      <c r="S16" s="43">
        <f>SUMIF(DATA!$A$2:$A$9078,B16,DATA!$S$2:$S$9078)</f>
        <v>13</v>
      </c>
      <c r="T16" s="45">
        <f t="shared" si="4"/>
        <v>0.26530612244897961</v>
      </c>
      <c r="U16" s="43">
        <f>SUMIFS(DATA!J:J,DATA!A:A,Table1[[#This Row],[Name]],DATA!F:F,"Pre")</f>
        <v>91</v>
      </c>
      <c r="V16" s="43">
        <f>SUMIFS(DATA!K:K,DATA!A:A,Table1[[#This Row],[Name]],DATA!F:F,"Pre")</f>
        <v>50</v>
      </c>
      <c r="W16" s="44">
        <f t="shared" si="5"/>
        <v>0.64539007092198586</v>
      </c>
      <c r="X16" s="43">
        <f>SUMIFS(DATA!J:J,DATA!A:A,Table1[[#This Row],[Name]],DATA!F:F,"Semi")</f>
        <v>38</v>
      </c>
      <c r="Y16" s="43">
        <f>SUMIFS(DATA!K:K,DATA!A:A,Table1[[#This Row],[Name]],DATA!F:F,"Semi")</f>
        <v>24</v>
      </c>
      <c r="Z16" s="44">
        <f t="shared" si="6"/>
        <v>0.61290322580645162</v>
      </c>
      <c r="AA16" s="43">
        <f>SUMIFS(DATA!J:J,DATA!A:A,Table1[[#This Row],[Name]],DATA!F:F,"COnA")</f>
        <v>14</v>
      </c>
      <c r="AB16" s="43">
        <f>SUMIFS(DATA!K:K,DATA!A:A,Table1[[#This Row],[Name]],DATA!F:F,"ConA")</f>
        <v>4</v>
      </c>
      <c r="AC16" s="44">
        <f t="shared" si="7"/>
        <v>0.77777777777777779</v>
      </c>
      <c r="AD16" s="43">
        <f>SUMIFS(DATA!J:J,DATA!A:A,Table1[[#This Row],[Name]],DATA!F:F,"ConB")</f>
        <v>0</v>
      </c>
      <c r="AE16" s="43">
        <f>SUMIFS(DATA!K:K,DATA!A:A,Table1[[#This Row],[Name]],DATA!F:F,"ConB")</f>
        <v>0</v>
      </c>
      <c r="AF16" s="44" t="e">
        <f t="shared" si="8"/>
        <v>#DIV/0!</v>
      </c>
    </row>
    <row r="17" spans="1:32" x14ac:dyDescent="0.2">
      <c r="A17" s="42">
        <v>17</v>
      </c>
      <c r="B17" s="42" t="s">
        <v>42</v>
      </c>
      <c r="C17" s="42" t="s">
        <v>95</v>
      </c>
      <c r="D17" s="43">
        <f>COUNTIF(DATA!$A$2:$A$9731,B17)</f>
        <v>49</v>
      </c>
      <c r="E17" s="43">
        <f>SUMIF(DATA!$A$2:$A$9077,B17,DATA!$J$2:$J$9077)</f>
        <v>111</v>
      </c>
      <c r="F17" s="43">
        <f>SUMIF(DATA!$A$2:$A$9077,B17,DATA!$K$2:$K$9077)</f>
        <v>36</v>
      </c>
      <c r="G17" s="38">
        <f t="shared" si="0"/>
        <v>147</v>
      </c>
      <c r="H17" s="39">
        <f t="shared" si="1"/>
        <v>0.75510204081632648</v>
      </c>
      <c r="I17" s="49">
        <f t="shared" si="2"/>
        <v>1.5714285714285714</v>
      </c>
      <c r="J17" s="50">
        <f>Table1[[#This Row],[Correct]]/Table1[[#This Row],['#Quizzes]]</f>
        <v>2.2653061224489797</v>
      </c>
      <c r="K17" s="43">
        <f>SUMIF(DATA!$A$2:$A$9077,B17,DATA!$L$2:$L$9077)</f>
        <v>0</v>
      </c>
      <c r="L17" s="43">
        <f>SUMIF(DATA!$A$2:$A$9077,B17,DATA!$M$2:$M$79077)</f>
        <v>4</v>
      </c>
      <c r="M17" s="43">
        <f>SUMIF(DATA!$A$2:$A$9077,B17,DATA!$N$2:$N$9077)</f>
        <v>2</v>
      </c>
      <c r="N17" s="43">
        <f>SUMIF(DATA!$A$2:$A$9101,B17,DATA!$O$2:$O$9101)</f>
        <v>0</v>
      </c>
      <c r="O17" s="43">
        <f>SUMIF(DATA!$A$2:$A$9101,B17,DATA!$P$2:$P$9101)</f>
        <v>0</v>
      </c>
      <c r="P17" s="43">
        <f>SUMIF(DATA!$A$2:$A$9101,B17,DATA!$Q$2:$Q$9101)</f>
        <v>0</v>
      </c>
      <c r="Q17" s="43">
        <f>SUMIF(DATA!$A$2:$A$9078,B17,DATA!$R$2:$R$9078)</f>
        <v>9</v>
      </c>
      <c r="R17" s="45">
        <f t="shared" si="3"/>
        <v>0.18367346938775511</v>
      </c>
      <c r="S17" s="43">
        <f>SUMIF(DATA!$A$2:$A$9078,B17,DATA!$S$2:$S$9078)</f>
        <v>2</v>
      </c>
      <c r="T17" s="45">
        <f t="shared" si="4"/>
        <v>4.0816326530612242E-2</v>
      </c>
      <c r="U17" s="43">
        <f>SUMIFS(DATA!J:J,DATA!A:A,Table1[[#This Row],[Name]],DATA!F:F,"Pre")</f>
        <v>65</v>
      </c>
      <c r="V17" s="43">
        <f>SUMIFS(DATA!K:K,DATA!A:A,Table1[[#This Row],[Name]],DATA!F:F,"Pre")</f>
        <v>19</v>
      </c>
      <c r="W17" s="44">
        <f t="shared" si="5"/>
        <v>0.77380952380952384</v>
      </c>
      <c r="X17" s="43">
        <f>SUMIFS(DATA!J:J,DATA!A:A,Table1[[#This Row],[Name]],DATA!F:F,"Semi")</f>
        <v>0</v>
      </c>
      <c r="Y17" s="43">
        <f>SUMIFS(DATA!K:K,DATA!A:A,Table1[[#This Row],[Name]],DATA!F:F,"Semi")</f>
        <v>0</v>
      </c>
      <c r="Z17" s="44" t="e">
        <f t="shared" si="6"/>
        <v>#DIV/0!</v>
      </c>
      <c r="AA17" s="43">
        <f>SUMIFS(DATA!J:J,DATA!A:A,Table1[[#This Row],[Name]],DATA!F:F,"COnA")</f>
        <v>26</v>
      </c>
      <c r="AB17" s="43">
        <f>SUMIFS(DATA!K:K,DATA!A:A,Table1[[#This Row],[Name]],DATA!F:F,"ConA")</f>
        <v>8</v>
      </c>
      <c r="AC17" s="44">
        <f t="shared" si="7"/>
        <v>0.76470588235294112</v>
      </c>
      <c r="AD17" s="43">
        <f>SUMIFS(DATA!J:J,DATA!A:A,Table1[[#This Row],[Name]],DATA!F:F,"ConB")</f>
        <v>20</v>
      </c>
      <c r="AE17" s="43">
        <f>SUMIFS(DATA!K:K,DATA!A:A,Table1[[#This Row],[Name]],DATA!F:F,"ConB")</f>
        <v>9</v>
      </c>
      <c r="AF17" s="44">
        <f t="shared" si="8"/>
        <v>0.68965517241379315</v>
      </c>
    </row>
    <row r="18" spans="1:32" x14ac:dyDescent="0.2">
      <c r="A18" s="42">
        <v>19</v>
      </c>
      <c r="B18" s="42" t="s">
        <v>22</v>
      </c>
      <c r="C18" s="42" t="s">
        <v>92</v>
      </c>
      <c r="D18" s="43">
        <f>COUNTIF(DATA!$A$2:$A$9731,B18)</f>
        <v>43</v>
      </c>
      <c r="E18" s="43">
        <f>SUMIF(DATA!$A$2:$A$9077,B18,DATA!$J$2:$J$9077)</f>
        <v>132</v>
      </c>
      <c r="F18" s="43">
        <f>SUMIF(DATA!$A$2:$A$9077,B18,DATA!$K$2:$K$9077)</f>
        <v>64</v>
      </c>
      <c r="G18" s="38">
        <f t="shared" si="0"/>
        <v>196</v>
      </c>
      <c r="H18" s="39">
        <f t="shared" si="1"/>
        <v>0.67346938775510201</v>
      </c>
      <c r="I18" s="49">
        <f t="shared" si="2"/>
        <v>1.5116279069767442</v>
      </c>
      <c r="J18" s="50">
        <f>Table1[[#This Row],[Correct]]/Table1[[#This Row],['#Quizzes]]</f>
        <v>3.0697674418604652</v>
      </c>
      <c r="K18" s="43">
        <f>SUMIF(DATA!$A$2:$A$9077,B18,DATA!$L$2:$L$9077)</f>
        <v>4</v>
      </c>
      <c r="L18" s="43">
        <f>SUMIF(DATA!$A$2:$A$9077,B18,DATA!$M$2:$M$79077)</f>
        <v>5</v>
      </c>
      <c r="M18" s="43">
        <f>SUMIF(DATA!$A$2:$A$9077,B18,DATA!$N$2:$N$9077)</f>
        <v>4</v>
      </c>
      <c r="N18" s="43">
        <f>SUMIF(DATA!$A$2:$A$9101,B18,DATA!$O$2:$O$9101)</f>
        <v>0</v>
      </c>
      <c r="O18" s="43">
        <f>SUMIF(DATA!$A$2:$A$9101,B18,DATA!$P$2:$P$9101)</f>
        <v>0</v>
      </c>
      <c r="P18" s="43">
        <f>SUMIF(DATA!$A$2:$A$9101,B18,DATA!$Q$2:$Q$9101)</f>
        <v>0</v>
      </c>
      <c r="Q18" s="43">
        <f>SUMIF(DATA!$A$2:$A$9078,B18,DATA!$R$2:$R$9078)</f>
        <v>21</v>
      </c>
      <c r="R18" s="45">
        <f t="shared" si="3"/>
        <v>0.48837209302325579</v>
      </c>
      <c r="S18" s="43">
        <f>SUMIF(DATA!$A$2:$A$9078,B18,DATA!$S$2:$S$9078)</f>
        <v>9</v>
      </c>
      <c r="T18" s="45">
        <f t="shared" si="4"/>
        <v>0.20930232558139536</v>
      </c>
      <c r="U18" s="43">
        <f>SUMIFS(DATA!J:J,DATA!A:A,Table1[[#This Row],[Name]],DATA!F:F,"Pre")</f>
        <v>100</v>
      </c>
      <c r="V18" s="43">
        <f>SUMIFS(DATA!K:K,DATA!A:A,Table1[[#This Row],[Name]],DATA!F:F,"Pre")</f>
        <v>44</v>
      </c>
      <c r="W18" s="44">
        <f t="shared" si="5"/>
        <v>0.69444444444444442</v>
      </c>
      <c r="X18" s="43">
        <f>SUMIFS(DATA!J:J,DATA!A:A,Table1[[#This Row],[Name]],DATA!F:F,"Semi")</f>
        <v>21</v>
      </c>
      <c r="Y18" s="43">
        <f>SUMIFS(DATA!K:K,DATA!A:A,Table1[[#This Row],[Name]],DATA!F:F,"Semi")</f>
        <v>15</v>
      </c>
      <c r="Z18" s="44">
        <f t="shared" si="6"/>
        <v>0.58333333333333337</v>
      </c>
      <c r="AA18" s="43">
        <f>SUMIFS(DATA!J:J,DATA!A:A,Table1[[#This Row],[Name]],DATA!F:F,"COnA")</f>
        <v>11</v>
      </c>
      <c r="AB18" s="43">
        <f>SUMIFS(DATA!K:K,DATA!A:A,Table1[[#This Row],[Name]],DATA!F:F,"ConA")</f>
        <v>5</v>
      </c>
      <c r="AC18" s="44">
        <f t="shared" si="7"/>
        <v>0.6875</v>
      </c>
      <c r="AD18" s="43">
        <f>SUMIFS(DATA!J:J,DATA!A:A,Table1[[#This Row],[Name]],DATA!F:F,"ConB")</f>
        <v>0</v>
      </c>
      <c r="AE18" s="43">
        <f>SUMIFS(DATA!K:K,DATA!A:A,Table1[[#This Row],[Name]],DATA!F:F,"ConB")</f>
        <v>0</v>
      </c>
      <c r="AF18" s="44" t="e">
        <f t="shared" si="8"/>
        <v>#DIV/0!</v>
      </c>
    </row>
    <row r="19" spans="1:32" x14ac:dyDescent="0.2">
      <c r="A19" s="42">
        <v>16</v>
      </c>
      <c r="B19" s="42" t="s">
        <v>27</v>
      </c>
      <c r="C19" s="42" t="s">
        <v>88</v>
      </c>
      <c r="D19" s="43">
        <f>COUNTIF(DATA!$A$2:$A$9731,B19)</f>
        <v>49</v>
      </c>
      <c r="E19" s="43">
        <f>SUMIF(DATA!$A$2:$A$9077,B19,DATA!$J$2:$J$9077)</f>
        <v>114</v>
      </c>
      <c r="F19" s="43">
        <f>SUMIF(DATA!$A$2:$A$9077,B19,DATA!$K$2:$K$9077)</f>
        <v>47</v>
      </c>
      <c r="G19" s="38">
        <f t="shared" si="0"/>
        <v>161</v>
      </c>
      <c r="H19" s="39">
        <f t="shared" si="1"/>
        <v>0.70807453416149069</v>
      </c>
      <c r="I19" s="49">
        <f t="shared" si="2"/>
        <v>1.4693877551020409</v>
      </c>
      <c r="J19" s="50">
        <f>Table1[[#This Row],[Correct]]/Table1[[#This Row],['#Quizzes]]</f>
        <v>2.3265306122448979</v>
      </c>
      <c r="K19" s="43">
        <f>SUMIF(DATA!$A$2:$A$9077,B19,DATA!$L$2:$L$9077)</f>
        <v>1</v>
      </c>
      <c r="L19" s="43">
        <f>SUMIF(DATA!$A$2:$A$9077,B19,DATA!$M$2:$M$79077)</f>
        <v>6</v>
      </c>
      <c r="M19" s="43">
        <f>SUMIF(DATA!$A$2:$A$9077,B19,DATA!$N$2:$N$9077)</f>
        <v>0</v>
      </c>
      <c r="N19" s="43">
        <f>SUMIF(DATA!$A$2:$A$9101,B19,DATA!$O$2:$O$9101)</f>
        <v>0</v>
      </c>
      <c r="O19" s="43">
        <f>SUMIF(DATA!$A$2:$A$9101,B19,DATA!$P$2:$P$9101)</f>
        <v>0</v>
      </c>
      <c r="P19" s="43">
        <f>SUMIF(DATA!$A$2:$A$9101,B19,DATA!$Q$2:$Q$9101)</f>
        <v>0</v>
      </c>
      <c r="Q19" s="43">
        <f>SUMIF(DATA!$A$2:$A$9078,B19,DATA!$R$2:$R$9078)</f>
        <v>14</v>
      </c>
      <c r="R19" s="45">
        <f t="shared" si="3"/>
        <v>0.2857142857142857</v>
      </c>
      <c r="S19" s="43">
        <f>SUMIF(DATA!$A$2:$A$9078,B19,DATA!$S$2:$S$9078)</f>
        <v>4</v>
      </c>
      <c r="T19" s="45">
        <f t="shared" si="4"/>
        <v>8.1632653061224483E-2</v>
      </c>
      <c r="U19" s="43">
        <f>SUMIFS(DATA!J:J,DATA!A:A,Table1[[#This Row],[Name]],DATA!F:F,"Pre")</f>
        <v>86</v>
      </c>
      <c r="V19" s="43">
        <f>SUMIFS(DATA!K:K,DATA!A:A,Table1[[#This Row],[Name]],DATA!F:F,"Pre")</f>
        <v>24</v>
      </c>
      <c r="W19" s="44">
        <f t="shared" si="5"/>
        <v>0.78181818181818186</v>
      </c>
      <c r="X19" s="43">
        <f>SUMIFS(DATA!J:J,DATA!A:A,Table1[[#This Row],[Name]],DATA!F:F,"Semi")</f>
        <v>20</v>
      </c>
      <c r="Y19" s="43">
        <f>SUMIFS(DATA!K:K,DATA!A:A,Table1[[#This Row],[Name]],DATA!F:F,"Semi")</f>
        <v>17</v>
      </c>
      <c r="Z19" s="44">
        <f t="shared" si="6"/>
        <v>0.54054054054054057</v>
      </c>
      <c r="AA19" s="43">
        <f>SUMIFS(DATA!J:J,DATA!A:A,Table1[[#This Row],[Name]],DATA!F:F,"COnA")</f>
        <v>8</v>
      </c>
      <c r="AB19" s="43">
        <f>SUMIFS(DATA!K:K,DATA!A:A,Table1[[#This Row],[Name]],DATA!F:F,"ConA")</f>
        <v>6</v>
      </c>
      <c r="AC19" s="44">
        <f t="shared" si="7"/>
        <v>0.5714285714285714</v>
      </c>
      <c r="AD19" s="43">
        <f>SUMIFS(DATA!J:J,DATA!A:A,Table1[[#This Row],[Name]],DATA!F:F,"ConB")</f>
        <v>0</v>
      </c>
      <c r="AE19" s="43">
        <f>SUMIFS(DATA!K:K,DATA!A:A,Table1[[#This Row],[Name]],DATA!F:F,"ConB")</f>
        <v>0</v>
      </c>
      <c r="AF19" s="44" t="e">
        <f t="shared" si="8"/>
        <v>#DIV/0!</v>
      </c>
    </row>
    <row r="20" spans="1:32" x14ac:dyDescent="0.2">
      <c r="A20" s="42">
        <v>14</v>
      </c>
      <c r="B20" s="42" t="s">
        <v>131</v>
      </c>
      <c r="C20" s="42" t="s">
        <v>89</v>
      </c>
      <c r="D20" s="43">
        <f>COUNTIF(DATA!$A$2:$A$9731,B20)</f>
        <v>50</v>
      </c>
      <c r="E20" s="43">
        <f>SUMIF(DATA!$A$2:$A$9077,B20,DATA!$J$2:$J$9077)</f>
        <v>136</v>
      </c>
      <c r="F20" s="43">
        <f>SUMIF(DATA!$A$2:$A$9077,B20,DATA!$K$2:$K$9077)</f>
        <v>57</v>
      </c>
      <c r="G20" s="38">
        <f t="shared" si="0"/>
        <v>193</v>
      </c>
      <c r="H20" s="39">
        <f t="shared" si="1"/>
        <v>0.70466321243523311</v>
      </c>
      <c r="I20" s="49">
        <f t="shared" si="2"/>
        <v>1.52</v>
      </c>
      <c r="J20" s="50">
        <f>Table1[[#This Row],[Correct]]/Table1[[#This Row],['#Quizzes]]</f>
        <v>2.72</v>
      </c>
      <c r="K20" s="43">
        <f>SUMIF(DATA!$A$2:$A$9077,B20,DATA!$L$2:$L$9077)</f>
        <v>1</v>
      </c>
      <c r="L20" s="43">
        <f>SUMIF(DATA!$A$2:$A$9077,B20,DATA!$M$2:$M$79077)</f>
        <v>0</v>
      </c>
      <c r="M20" s="43">
        <f>SUMIF(DATA!$A$2:$A$9077,B20,DATA!$N$2:$N$9077)</f>
        <v>2</v>
      </c>
      <c r="N20" s="43">
        <f>SUMIF(DATA!$A$2:$A$9101,B20,DATA!$O$2:$O$9101)</f>
        <v>1</v>
      </c>
      <c r="O20" s="43">
        <f>SUMIF(DATA!$A$2:$A$9101,B20,DATA!$P$2:$P$9101)</f>
        <v>0</v>
      </c>
      <c r="P20" s="43">
        <f>SUMIF(DATA!$A$2:$A$9101,B20,DATA!$Q$2:$Q$9101)</f>
        <v>0</v>
      </c>
      <c r="Q20" s="43">
        <f>SUMIF(DATA!$A$2:$A$9078,B20,DATA!$R$2:$R$9078)</f>
        <v>21</v>
      </c>
      <c r="R20" s="45">
        <f t="shared" si="3"/>
        <v>0.42</v>
      </c>
      <c r="S20" s="43">
        <f>SUMIF(DATA!$A$2:$A$9078,B20,DATA!$S$2:$S$9078)</f>
        <v>2</v>
      </c>
      <c r="T20" s="45">
        <f t="shared" si="4"/>
        <v>0.04</v>
      </c>
      <c r="U20" s="43">
        <f>SUMIFS(DATA!J:J,DATA!A:A,Table1[[#This Row],[Name]],DATA!F:F,"Pre")</f>
        <v>74</v>
      </c>
      <c r="V20" s="43">
        <f>SUMIFS(DATA!K:K,DATA!A:A,Table1[[#This Row],[Name]],DATA!F:F,"Pre")</f>
        <v>35</v>
      </c>
      <c r="W20" s="44">
        <f t="shared" si="5"/>
        <v>0.67889908256880738</v>
      </c>
      <c r="X20" s="43">
        <f>SUMIFS(DATA!J:J,DATA!A:A,Table1[[#This Row],[Name]],DATA!F:F,"Semi")</f>
        <v>0</v>
      </c>
      <c r="Y20" s="43">
        <f>SUMIFS(DATA!K:K,DATA!A:A,Table1[[#This Row],[Name]],DATA!F:F,"Semi")</f>
        <v>0</v>
      </c>
      <c r="Z20" s="44" t="e">
        <f t="shared" si="6"/>
        <v>#DIV/0!</v>
      </c>
      <c r="AA20" s="43">
        <f>SUMIFS(DATA!J:J,DATA!A:A,Table1[[#This Row],[Name]],DATA!F:F,"COnA")</f>
        <v>49</v>
      </c>
      <c r="AB20" s="43">
        <f>SUMIFS(DATA!K:K,DATA!A:A,Table1[[#This Row],[Name]],DATA!F:F,"ConA")</f>
        <v>18</v>
      </c>
      <c r="AC20" s="44">
        <f t="shared" si="7"/>
        <v>0.73134328358208955</v>
      </c>
      <c r="AD20" s="43">
        <f>SUMIFS(DATA!J:J,DATA!A:A,Table1[[#This Row],[Name]],DATA!F:F,"ConB")</f>
        <v>13</v>
      </c>
      <c r="AE20" s="43">
        <f>SUMIFS(DATA!K:K,DATA!A:A,Table1[[#This Row],[Name]],DATA!F:F,"ConB")</f>
        <v>4</v>
      </c>
      <c r="AF20" s="44">
        <f t="shared" si="8"/>
        <v>0.76470588235294112</v>
      </c>
    </row>
    <row r="21" spans="1:32" x14ac:dyDescent="0.2">
      <c r="A21" s="42">
        <v>20</v>
      </c>
      <c r="B21" s="42" t="s">
        <v>19</v>
      </c>
      <c r="C21" s="42" t="s">
        <v>91</v>
      </c>
      <c r="D21" s="43">
        <f>COUNTIF(DATA!$A$2:$A$9731,B21)</f>
        <v>48</v>
      </c>
      <c r="E21" s="43">
        <f>SUMIF(DATA!$A$2:$A$9077,B21,DATA!$J$2:$J$9077)</f>
        <v>121</v>
      </c>
      <c r="F21" s="43">
        <f>SUMIF(DATA!$A$2:$A$9077,B21,DATA!$K$2:$K$9077)</f>
        <v>62</v>
      </c>
      <c r="G21" s="38">
        <f t="shared" si="0"/>
        <v>183</v>
      </c>
      <c r="H21" s="39">
        <f t="shared" si="1"/>
        <v>0.66120218579234968</v>
      </c>
      <c r="I21" s="49">
        <f t="shared" si="2"/>
        <v>1.3541666666666667</v>
      </c>
      <c r="J21" s="50">
        <f>Table1[[#This Row],[Correct]]/Table1[[#This Row],['#Quizzes]]</f>
        <v>2.5208333333333335</v>
      </c>
      <c r="K21" s="43">
        <f>SUMIF(DATA!$A$2:$A$9077,B21,DATA!$L$2:$L$9077)</f>
        <v>0</v>
      </c>
      <c r="L21" s="43">
        <f>SUMIF(DATA!$A$2:$A$9077,B21,DATA!$M$2:$M$79077)</f>
        <v>14</v>
      </c>
      <c r="M21" s="43">
        <f>SUMIF(DATA!$A$2:$A$9077,B21,DATA!$N$2:$N$9077)</f>
        <v>8</v>
      </c>
      <c r="N21" s="43">
        <f>SUMIF(DATA!$A$2:$A$9101,B21,DATA!$O$2:$O$9101)</f>
        <v>1</v>
      </c>
      <c r="O21" s="43">
        <f>SUMIF(DATA!$A$2:$A$9101,B21,DATA!$P$2:$P$9101)</f>
        <v>0</v>
      </c>
      <c r="P21" s="43">
        <f>SUMIF(DATA!$A$2:$A$9101,B21,DATA!$Q$2:$Q$9101)</f>
        <v>0</v>
      </c>
      <c r="Q21" s="43">
        <f>SUMIF(DATA!$A$2:$A$9078,B21,DATA!$R$2:$R$9078)</f>
        <v>18</v>
      </c>
      <c r="R21" s="45">
        <f t="shared" si="3"/>
        <v>0.375</v>
      </c>
      <c r="S21" s="43">
        <f>SUMIF(DATA!$A$2:$A$9078,B21,DATA!$S$2:$S$9078)</f>
        <v>6</v>
      </c>
      <c r="T21" s="45">
        <f t="shared" si="4"/>
        <v>0.125</v>
      </c>
      <c r="U21" s="43">
        <f>SUMIFS(DATA!J:J,DATA!A:A,Table1[[#This Row],[Name]],DATA!F:F,"Pre")</f>
        <v>79</v>
      </c>
      <c r="V21" s="43">
        <f>SUMIFS(DATA!K:K,DATA!A:A,Table1[[#This Row],[Name]],DATA!F:F,"Pre")</f>
        <v>32</v>
      </c>
      <c r="W21" s="44">
        <f t="shared" si="5"/>
        <v>0.71171171171171166</v>
      </c>
      <c r="X21" s="43">
        <f>SUMIFS(DATA!J:J,DATA!A:A,Table1[[#This Row],[Name]],DATA!F:F,"Semi")</f>
        <v>8</v>
      </c>
      <c r="Y21" s="43">
        <f>SUMIFS(DATA!K:K,DATA!A:A,Table1[[#This Row],[Name]],DATA!F:F,"Semi")</f>
        <v>5</v>
      </c>
      <c r="Z21" s="44">
        <f t="shared" si="6"/>
        <v>0.61538461538461542</v>
      </c>
      <c r="AA21" s="43">
        <f>SUMIFS(DATA!J:J,DATA!A:A,Table1[[#This Row],[Name]],DATA!F:F,"COnA")</f>
        <v>27</v>
      </c>
      <c r="AB21" s="43">
        <f>SUMIFS(DATA!K:K,DATA!A:A,Table1[[#This Row],[Name]],DATA!F:F,"ConA")</f>
        <v>17</v>
      </c>
      <c r="AC21" s="44">
        <f t="shared" si="7"/>
        <v>0.61363636363636365</v>
      </c>
      <c r="AD21" s="43">
        <f>SUMIFS(DATA!J:J,DATA!A:A,Table1[[#This Row],[Name]],DATA!F:F,"ConB")</f>
        <v>7</v>
      </c>
      <c r="AE21" s="43">
        <f>SUMIFS(DATA!K:K,DATA!A:A,Table1[[#This Row],[Name]],DATA!F:F,"ConB")</f>
        <v>8</v>
      </c>
      <c r="AF21" s="44">
        <f t="shared" si="8"/>
        <v>0.46666666666666667</v>
      </c>
    </row>
    <row r="22" spans="1:32" x14ac:dyDescent="0.2">
      <c r="A22" s="42">
        <v>21</v>
      </c>
      <c r="B22" s="42" t="s">
        <v>32</v>
      </c>
      <c r="C22" s="42" t="s">
        <v>90</v>
      </c>
      <c r="D22" s="43">
        <f>COUNTIF(DATA!$A$2:$A$9731,B22)</f>
        <v>48</v>
      </c>
      <c r="E22" s="43">
        <f>SUMIF(DATA!$A$2:$A$9077,B22,DATA!$J$2:$J$9077)</f>
        <v>113</v>
      </c>
      <c r="F22" s="43">
        <f>SUMIF(DATA!$A$2:$A$9077,B22,DATA!$K$2:$K$9077)</f>
        <v>56</v>
      </c>
      <c r="G22" s="38">
        <f t="shared" si="0"/>
        <v>169</v>
      </c>
      <c r="H22" s="39">
        <f t="shared" si="1"/>
        <v>0.66863905325443784</v>
      </c>
      <c r="I22" s="49">
        <f t="shared" si="2"/>
        <v>1.2083333333333333</v>
      </c>
      <c r="J22" s="50">
        <f>Table1[[#This Row],[Correct]]/Table1[[#This Row],['#Quizzes]]</f>
        <v>2.3541666666666665</v>
      </c>
      <c r="K22" s="43">
        <f>SUMIF(DATA!$A$2:$A$9077,B22,DATA!$L$2:$L$9077)</f>
        <v>1</v>
      </c>
      <c r="L22" s="43">
        <f>SUMIF(DATA!$A$2:$A$9077,B22,DATA!$M$2:$M$79077)</f>
        <v>3</v>
      </c>
      <c r="M22" s="43">
        <f>SUMIF(DATA!$A$2:$A$9077,B22,DATA!$N$2:$N$9077)</f>
        <v>1</v>
      </c>
      <c r="N22" s="43">
        <f>SUMIF(DATA!$A$2:$A$9101,B22,DATA!$O$2:$O$9101)</f>
        <v>3</v>
      </c>
      <c r="O22" s="43">
        <f>SUMIF(DATA!$A$2:$A$9101,B22,DATA!$P$2:$P$9101)</f>
        <v>0</v>
      </c>
      <c r="P22" s="43">
        <f>SUMIF(DATA!$A$2:$A$9101,B22,DATA!$Q$2:$Q$9101)</f>
        <v>0</v>
      </c>
      <c r="Q22" s="43">
        <f>SUMIF(DATA!$A$2:$A$9078,B22,DATA!$R$2:$R$9078)</f>
        <v>14</v>
      </c>
      <c r="R22" s="45">
        <f t="shared" si="3"/>
        <v>0.29166666666666669</v>
      </c>
      <c r="S22" s="43">
        <f>SUMIF(DATA!$A$2:$A$9078,B22,DATA!$S$2:$S$9078)</f>
        <v>3</v>
      </c>
      <c r="T22" s="45">
        <f t="shared" si="4"/>
        <v>6.25E-2</v>
      </c>
      <c r="U22" s="43">
        <f>SUMIFS(DATA!J:J,DATA!A:A,Table1[[#This Row],[Name]],DATA!F:F,"Pre")</f>
        <v>87</v>
      </c>
      <c r="V22" s="43">
        <f>SUMIFS(DATA!K:K,DATA!A:A,Table1[[#This Row],[Name]],DATA!F:F,"Pre")</f>
        <v>39</v>
      </c>
      <c r="W22" s="44">
        <f t="shared" si="5"/>
        <v>0.69047619047619047</v>
      </c>
      <c r="X22" s="43">
        <f>SUMIFS(DATA!J:J,DATA!A:A,Table1[[#This Row],[Name]],DATA!F:F,"Semi")</f>
        <v>26</v>
      </c>
      <c r="Y22" s="43">
        <f>SUMIFS(DATA!K:K,DATA!A:A,Table1[[#This Row],[Name]],DATA!F:F,"Semi")</f>
        <v>17</v>
      </c>
      <c r="Z22" s="44">
        <f t="shared" si="6"/>
        <v>0.60465116279069764</v>
      </c>
      <c r="AA22" s="43">
        <f>SUMIFS(DATA!J:J,DATA!A:A,Table1[[#This Row],[Name]],DATA!F:F,"COnA")</f>
        <v>0</v>
      </c>
      <c r="AB22" s="43">
        <f>SUMIFS(DATA!K:K,DATA!A:A,Table1[[#This Row],[Name]],DATA!F:F,"ConA")</f>
        <v>0</v>
      </c>
      <c r="AC22" s="44" t="e">
        <f t="shared" si="7"/>
        <v>#DIV/0!</v>
      </c>
      <c r="AD22" s="43">
        <f>SUMIFS(DATA!J:J,DATA!A:A,Table1[[#This Row],[Name]],DATA!F:F,"ConB")</f>
        <v>0</v>
      </c>
      <c r="AE22" s="43">
        <f>SUMIFS(DATA!K:K,DATA!A:A,Table1[[#This Row],[Name]],DATA!F:F,"ConB")</f>
        <v>0</v>
      </c>
      <c r="AF22" s="44" t="e">
        <f t="shared" si="8"/>
        <v>#DIV/0!</v>
      </c>
    </row>
    <row r="23" spans="1:32" x14ac:dyDescent="0.2">
      <c r="A23" s="42">
        <v>22</v>
      </c>
      <c r="B23" s="42" t="s">
        <v>179</v>
      </c>
      <c r="C23" s="42" t="s">
        <v>88</v>
      </c>
      <c r="D23" s="43">
        <f>COUNTIF(DATA!$A$2:$A$9731,B23)</f>
        <v>45</v>
      </c>
      <c r="E23" s="43">
        <f>SUMIF(DATA!$A$2:$A$9077,B23,DATA!$J$2:$J$9077)</f>
        <v>85</v>
      </c>
      <c r="F23" s="43">
        <f>SUMIF(DATA!$A$2:$A$9077,B23,DATA!$K$2:$K$9077)</f>
        <v>38</v>
      </c>
      <c r="G23" s="38">
        <f t="shared" si="0"/>
        <v>123</v>
      </c>
      <c r="H23" s="39">
        <f t="shared" si="1"/>
        <v>0.69105691056910568</v>
      </c>
      <c r="I23" s="49">
        <f t="shared" si="2"/>
        <v>1.2</v>
      </c>
      <c r="J23" s="50">
        <f>Table1[[#This Row],[Correct]]/Table1[[#This Row],['#Quizzes]]</f>
        <v>1.8888888888888888</v>
      </c>
      <c r="K23" s="43">
        <f>SUMIF(DATA!$A$2:$A$9077,B23,DATA!$L$2:$L$9077)</f>
        <v>0</v>
      </c>
      <c r="L23" s="43">
        <f>SUMIF(DATA!$A$2:$A$9077,B23,DATA!$M$2:$M$79077)</f>
        <v>9</v>
      </c>
      <c r="M23" s="43">
        <f>SUMIF(DATA!$A$2:$A$9077,B23,DATA!$N$2:$N$9077)</f>
        <v>2</v>
      </c>
      <c r="N23" s="43">
        <f>SUMIF(DATA!$A$2:$A$9101,B23,DATA!$O$2:$O$9101)</f>
        <v>0</v>
      </c>
      <c r="O23" s="43">
        <f>SUMIF(DATA!$A$2:$A$9101,B23,DATA!$P$2:$P$9101)</f>
        <v>0</v>
      </c>
      <c r="P23" s="43">
        <f>SUMIF(DATA!$A$2:$A$9101,B23,DATA!$Q$2:$Q$9101)</f>
        <v>0</v>
      </c>
      <c r="Q23" s="43">
        <f>SUMIF(DATA!$A$2:$A$9078,B23,DATA!$R$2:$R$9078)</f>
        <v>5</v>
      </c>
      <c r="R23" s="45">
        <f t="shared" si="3"/>
        <v>0.1111111111111111</v>
      </c>
      <c r="S23" s="43">
        <f>SUMIF(DATA!$A$2:$A$9078,B23,DATA!$S$2:$S$9078)</f>
        <v>2</v>
      </c>
      <c r="T23" s="45">
        <f t="shared" si="4"/>
        <v>4.4444444444444446E-2</v>
      </c>
      <c r="U23" s="43">
        <f>SUMIFS(DATA!J:J,DATA!A:A,Table1[[#This Row],[Name]],DATA!F:F,"Pre")</f>
        <v>48</v>
      </c>
      <c r="V23" s="43">
        <f>SUMIFS(DATA!K:K,DATA!A:A,Table1[[#This Row],[Name]],DATA!F:F,"Pre")</f>
        <v>25</v>
      </c>
      <c r="W23" s="44">
        <f t="shared" si="5"/>
        <v>0.65753424657534243</v>
      </c>
      <c r="X23" s="43">
        <f>SUMIFS(DATA!J:J,DATA!A:A,Table1[[#This Row],[Name]],DATA!F:F,"Semi")</f>
        <v>0</v>
      </c>
      <c r="Y23" s="43">
        <f>SUMIFS(DATA!K:K,DATA!A:A,Table1[[#This Row],[Name]],DATA!F:F,"Semi")</f>
        <v>0</v>
      </c>
      <c r="Z23" s="44" t="e">
        <f t="shared" si="6"/>
        <v>#DIV/0!</v>
      </c>
      <c r="AA23" s="43">
        <f>SUMIFS(DATA!J:J,DATA!A:A,Table1[[#This Row],[Name]],DATA!F:F,"COnA")</f>
        <v>11</v>
      </c>
      <c r="AB23" s="43">
        <f>SUMIFS(DATA!K:K,DATA!A:A,Table1[[#This Row],[Name]],DATA!F:F,"ConA")</f>
        <v>6</v>
      </c>
      <c r="AC23" s="44">
        <f t="shared" si="7"/>
        <v>0.6470588235294118</v>
      </c>
      <c r="AD23" s="43">
        <f>SUMIFS(DATA!J:J,DATA!A:A,Table1[[#This Row],[Name]],DATA!F:F,"ConB")</f>
        <v>26</v>
      </c>
      <c r="AE23" s="43">
        <f>SUMIFS(DATA!K:K,DATA!A:A,Table1[[#This Row],[Name]],DATA!F:F,"ConB")</f>
        <v>7</v>
      </c>
      <c r="AF23" s="44">
        <f t="shared" si="8"/>
        <v>0.78787878787878785</v>
      </c>
    </row>
    <row r="24" spans="1:32" x14ac:dyDescent="0.2">
      <c r="A24" s="42">
        <v>24</v>
      </c>
      <c r="B24" s="42" t="s">
        <v>129</v>
      </c>
      <c r="C24" s="42" t="s">
        <v>89</v>
      </c>
      <c r="D24" s="43">
        <f>COUNTIF(DATA!$A$2:$A$9731,B24)</f>
        <v>47</v>
      </c>
      <c r="E24" s="43">
        <f>SUMIF(DATA!$A$2:$A$9077,B24,DATA!$J$2:$J$9077)</f>
        <v>85</v>
      </c>
      <c r="F24" s="43">
        <f>SUMIF(DATA!$A$2:$A$9077,B24,DATA!$K$2:$K$9077)</f>
        <v>24</v>
      </c>
      <c r="G24" s="38">
        <f t="shared" si="0"/>
        <v>109</v>
      </c>
      <c r="H24" s="39">
        <f t="shared" si="1"/>
        <v>0.77981651376146788</v>
      </c>
      <c r="I24" s="49">
        <f t="shared" si="2"/>
        <v>1.2553191489361701</v>
      </c>
      <c r="J24" s="50">
        <f>Table1[[#This Row],[Correct]]/Table1[[#This Row],['#Quizzes]]</f>
        <v>1.8085106382978724</v>
      </c>
      <c r="K24" s="43">
        <f>SUMIF(DATA!$A$2:$A$9077,B24,DATA!$L$2:$L$9077)</f>
        <v>0</v>
      </c>
      <c r="L24" s="43">
        <f>SUMIF(DATA!$A$2:$A$9077,B24,DATA!$M$2:$M$79077)</f>
        <v>9</v>
      </c>
      <c r="M24" s="43">
        <f>SUMIF(DATA!$A$2:$A$9077,B24,DATA!$N$2:$N$9077)</f>
        <v>11</v>
      </c>
      <c r="N24" s="43">
        <f>SUMIF(DATA!$A$2:$A$9101,B24,DATA!$O$2:$O$9101)</f>
        <v>0</v>
      </c>
      <c r="O24" s="43">
        <f>SUMIF(DATA!$A$2:$A$9101,B24,DATA!$P$2:$P$9101)</f>
        <v>0</v>
      </c>
      <c r="P24" s="43">
        <f>SUMIF(DATA!$A$2:$A$9101,B24,DATA!$Q$2:$Q$9101)</f>
        <v>0</v>
      </c>
      <c r="Q24" s="43">
        <f>SUMIF(DATA!$A$2:$A$9078,B24,DATA!$R$2:$R$9078)</f>
        <v>8</v>
      </c>
      <c r="R24" s="45">
        <f t="shared" si="3"/>
        <v>0.1702127659574468</v>
      </c>
      <c r="S24" s="43">
        <f>SUMIF(DATA!$A$2:$A$9078,B24,DATA!$S$2:$S$9078)</f>
        <v>1</v>
      </c>
      <c r="T24" s="45">
        <f t="shared" si="4"/>
        <v>2.1276595744680851E-2</v>
      </c>
      <c r="U24" s="43">
        <f>SUMIFS(DATA!J:J,DATA!A:A,Table1[[#This Row],[Name]],DATA!F:F,"Pre")</f>
        <v>48</v>
      </c>
      <c r="V24" s="43">
        <f>SUMIFS(DATA!K:K,DATA!A:A,Table1[[#This Row],[Name]],DATA!F:F,"Pre")</f>
        <v>18</v>
      </c>
      <c r="W24" s="44">
        <f t="shared" si="5"/>
        <v>0.72727272727272729</v>
      </c>
      <c r="X24" s="43">
        <f>SUMIFS(DATA!J:J,DATA!A:A,Table1[[#This Row],[Name]],DATA!F:F,"Semi")</f>
        <v>0</v>
      </c>
      <c r="Y24" s="43">
        <f>SUMIFS(DATA!K:K,DATA!A:A,Table1[[#This Row],[Name]],DATA!F:F,"Semi")</f>
        <v>0</v>
      </c>
      <c r="Z24" s="44" t="e">
        <f t="shared" si="6"/>
        <v>#DIV/0!</v>
      </c>
      <c r="AA24" s="43">
        <f>SUMIFS(DATA!J:J,DATA!A:A,Table1[[#This Row],[Name]],DATA!F:F,"COnA")</f>
        <v>31</v>
      </c>
      <c r="AB24" s="43">
        <f>SUMIFS(DATA!K:K,DATA!A:A,Table1[[#This Row],[Name]],DATA!F:F,"ConA")</f>
        <v>4</v>
      </c>
      <c r="AC24" s="44">
        <f t="shared" si="7"/>
        <v>0.88571428571428568</v>
      </c>
      <c r="AD24" s="43">
        <f>SUMIFS(DATA!J:J,DATA!A:A,Table1[[#This Row],[Name]],DATA!F:F,"ConB")</f>
        <v>6</v>
      </c>
      <c r="AE24" s="43">
        <f>SUMIFS(DATA!K:K,DATA!A:A,Table1[[#This Row],[Name]],DATA!F:F,"ConB")</f>
        <v>2</v>
      </c>
      <c r="AF24" s="44">
        <f t="shared" si="8"/>
        <v>0.75</v>
      </c>
    </row>
    <row r="25" spans="1:32" x14ac:dyDescent="0.2">
      <c r="A25" s="42">
        <v>23</v>
      </c>
      <c r="B25" s="42" t="s">
        <v>181</v>
      </c>
      <c r="C25" s="42" t="s">
        <v>54</v>
      </c>
      <c r="D25" s="43">
        <f>COUNTIF(DATA!$A$2:$A$9731,B25)</f>
        <v>45</v>
      </c>
      <c r="E25" s="43">
        <f>SUMIF(DATA!$A$2:$A$9077,B25,DATA!$J$2:$J$9077)</f>
        <v>99</v>
      </c>
      <c r="F25" s="43">
        <f>SUMIF(DATA!$A$2:$A$9077,B25,DATA!$K$2:$K$9077)</f>
        <v>50</v>
      </c>
      <c r="G25" s="38">
        <f t="shared" si="0"/>
        <v>149</v>
      </c>
      <c r="H25" s="39">
        <f t="shared" si="1"/>
        <v>0.66442953020134232</v>
      </c>
      <c r="I25" s="49">
        <f t="shared" si="2"/>
        <v>1.2222222222222223</v>
      </c>
      <c r="J25" s="50">
        <f>Table1[[#This Row],[Correct]]/Table1[[#This Row],['#Quizzes]]</f>
        <v>2.2000000000000002</v>
      </c>
      <c r="K25" s="43">
        <f>SUMIF(DATA!$A$2:$A$9077,B25,DATA!$L$2:$L$9077)</f>
        <v>2</v>
      </c>
      <c r="L25" s="43">
        <f>SUMIF(DATA!$A$2:$A$9077,B25,DATA!$M$2:$M$79077)</f>
        <v>8</v>
      </c>
      <c r="M25" s="43">
        <f>SUMIF(DATA!$A$2:$A$9077,B25,DATA!$N$2:$N$9077)</f>
        <v>0</v>
      </c>
      <c r="N25" s="43">
        <f>SUMIF(DATA!$A$2:$A$9101,B25,DATA!$O$2:$O$9101)</f>
        <v>2</v>
      </c>
      <c r="O25" s="43">
        <f>SUMIF(DATA!$A$2:$A$9101,B25,DATA!$P$2:$P$9101)</f>
        <v>0</v>
      </c>
      <c r="P25" s="43">
        <f>SUMIF(DATA!$A$2:$A$9101,B25,DATA!$Q$2:$Q$9101)</f>
        <v>0</v>
      </c>
      <c r="Q25" s="43">
        <f>SUMIF(DATA!$A$2:$A$9078,B25,DATA!$R$2:$R$9078)</f>
        <v>10</v>
      </c>
      <c r="R25" s="45">
        <f t="shared" si="3"/>
        <v>0.22222222222222221</v>
      </c>
      <c r="S25" s="43">
        <f>SUMIF(DATA!$A$2:$A$9078,B25,DATA!$S$2:$S$9078)</f>
        <v>3</v>
      </c>
      <c r="T25" s="45">
        <f t="shared" si="4"/>
        <v>6.6666666666666666E-2</v>
      </c>
      <c r="U25" s="43">
        <f>SUMIFS(DATA!J:J,DATA!A:A,Table1[[#This Row],[Name]],DATA!F:F,"Pre")</f>
        <v>58</v>
      </c>
      <c r="V25" s="43">
        <f>SUMIFS(DATA!K:K,DATA!A:A,Table1[[#This Row],[Name]],DATA!F:F,"Pre")</f>
        <v>29</v>
      </c>
      <c r="W25" s="44">
        <f t="shared" si="5"/>
        <v>0.66666666666666663</v>
      </c>
      <c r="X25" s="43">
        <f>SUMIFS(DATA!J:J,DATA!A:A,Table1[[#This Row],[Name]],DATA!F:F,"Semi")</f>
        <v>1</v>
      </c>
      <c r="Y25" s="43">
        <f>SUMIFS(DATA!K:K,DATA!A:A,Table1[[#This Row],[Name]],DATA!F:F,"Semi")</f>
        <v>2</v>
      </c>
      <c r="Z25" s="44">
        <f t="shared" si="6"/>
        <v>0.33333333333333331</v>
      </c>
      <c r="AA25" s="43">
        <f>SUMIFS(DATA!J:J,DATA!A:A,Table1[[#This Row],[Name]],DATA!F:F,"COnA")</f>
        <v>17</v>
      </c>
      <c r="AB25" s="43">
        <f>SUMIFS(DATA!K:K,DATA!A:A,Table1[[#This Row],[Name]],DATA!F:F,"ConA")</f>
        <v>8</v>
      </c>
      <c r="AC25" s="44">
        <f t="shared" si="7"/>
        <v>0.68</v>
      </c>
      <c r="AD25" s="43">
        <f>SUMIFS(DATA!J:J,DATA!A:A,Table1[[#This Row],[Name]],DATA!F:F,"ConB")</f>
        <v>23</v>
      </c>
      <c r="AE25" s="43">
        <f>SUMIFS(DATA!K:K,DATA!A:A,Table1[[#This Row],[Name]],DATA!F:F,"ConB")</f>
        <v>11</v>
      </c>
      <c r="AF25" s="44">
        <f t="shared" si="8"/>
        <v>0.67647058823529416</v>
      </c>
    </row>
    <row r="26" spans="1:32" x14ac:dyDescent="0.2">
      <c r="A26" s="42">
        <v>25</v>
      </c>
      <c r="B26" s="42" t="s">
        <v>137</v>
      </c>
      <c r="C26" s="42" t="s">
        <v>93</v>
      </c>
      <c r="D26" s="43">
        <f>COUNTIF(DATA!$A$2:$A$9731,B26)</f>
        <v>42</v>
      </c>
      <c r="E26" s="43">
        <f>SUMIF(DATA!$A$2:$A$9077,B26,DATA!$J$2:$J$9077)</f>
        <v>69</v>
      </c>
      <c r="F26" s="43">
        <f>SUMIF(DATA!$A$2:$A$9077,B26,DATA!$K$2:$K$9077)</f>
        <v>26</v>
      </c>
      <c r="G26" s="38">
        <f t="shared" si="0"/>
        <v>95</v>
      </c>
      <c r="H26" s="39">
        <f t="shared" si="1"/>
        <v>0.72631578947368425</v>
      </c>
      <c r="I26" s="49">
        <f t="shared" si="2"/>
        <v>1.0476190476190477</v>
      </c>
      <c r="J26" s="50">
        <f>Table1[[#This Row],[Correct]]/Table1[[#This Row],['#Quizzes]]</f>
        <v>1.6428571428571428</v>
      </c>
      <c r="K26" s="43">
        <f>SUMIF(DATA!$A$2:$A$9077,B26,DATA!$L$2:$L$9077)</f>
        <v>0</v>
      </c>
      <c r="L26" s="43">
        <f>SUMIF(DATA!$A$2:$A$9077,B26,DATA!$M$2:$M$79077)</f>
        <v>4</v>
      </c>
      <c r="M26" s="43">
        <f>SUMIF(DATA!$A$2:$A$9077,B26,DATA!$N$2:$N$9077)</f>
        <v>3</v>
      </c>
      <c r="N26" s="43">
        <f>SUMIF(DATA!$A$2:$A$9101,B26,DATA!$O$2:$O$9101)</f>
        <v>2</v>
      </c>
      <c r="O26" s="43">
        <f>SUMIF(DATA!$A$2:$A$9101,B26,DATA!$P$2:$P$9101)</f>
        <v>0</v>
      </c>
      <c r="P26" s="43">
        <f>SUMIF(DATA!$A$2:$A$9101,B26,DATA!$Q$2:$Q$9101)</f>
        <v>0</v>
      </c>
      <c r="Q26" s="43">
        <f>SUMIF(DATA!$A$2:$A$9078,B26,DATA!$R$2:$R$9078)</f>
        <v>2</v>
      </c>
      <c r="R26" s="45">
        <f t="shared" si="3"/>
        <v>4.7619047619047616E-2</v>
      </c>
      <c r="S26" s="43">
        <f>SUMIF(DATA!$A$2:$A$9078,B26,DATA!$S$2:$S$9078)</f>
        <v>0</v>
      </c>
      <c r="T26" s="45">
        <f t="shared" si="4"/>
        <v>0</v>
      </c>
      <c r="U26" s="43">
        <f>SUMIFS(DATA!J:J,DATA!A:A,Table1[[#This Row],[Name]],DATA!F:F,"Pre")</f>
        <v>51</v>
      </c>
      <c r="V26" s="43">
        <f>SUMIFS(DATA!K:K,DATA!A:A,Table1[[#This Row],[Name]],DATA!F:F,"Pre")</f>
        <v>19</v>
      </c>
      <c r="W26" s="44">
        <f t="shared" si="5"/>
        <v>0.72857142857142854</v>
      </c>
      <c r="X26" s="43">
        <f>SUMIFS(DATA!J:J,DATA!A:A,Table1[[#This Row],[Name]],DATA!F:F,"Semi")</f>
        <v>0</v>
      </c>
      <c r="Y26" s="43">
        <f>SUMIFS(DATA!K:K,DATA!A:A,Table1[[#This Row],[Name]],DATA!F:F,"Semi")</f>
        <v>0</v>
      </c>
      <c r="Z26" s="44" t="e">
        <f t="shared" si="6"/>
        <v>#DIV/0!</v>
      </c>
      <c r="AA26" s="43">
        <f>SUMIFS(DATA!J:J,DATA!A:A,Table1[[#This Row],[Name]],DATA!F:F,"COnA")</f>
        <v>9</v>
      </c>
      <c r="AB26" s="43">
        <f>SUMIFS(DATA!K:K,DATA!A:A,Table1[[#This Row],[Name]],DATA!F:F,"ConA")</f>
        <v>5</v>
      </c>
      <c r="AC26" s="44">
        <f t="shared" si="7"/>
        <v>0.6428571428571429</v>
      </c>
      <c r="AD26" s="43">
        <f>SUMIFS(DATA!J:J,DATA!A:A,Table1[[#This Row],[Name]],DATA!F:F,"ConB")</f>
        <v>9</v>
      </c>
      <c r="AE26" s="43">
        <f>SUMIFS(DATA!K:K,DATA!A:A,Table1[[#This Row],[Name]],DATA!F:F,"ConB")</f>
        <v>2</v>
      </c>
      <c r="AF26" s="44">
        <f t="shared" si="8"/>
        <v>0.81818181818181823</v>
      </c>
    </row>
    <row r="27" spans="1:32" x14ac:dyDescent="0.2">
      <c r="A27" s="42">
        <v>27</v>
      </c>
      <c r="B27" s="42" t="s">
        <v>175</v>
      </c>
      <c r="C27" s="42" t="s">
        <v>88</v>
      </c>
      <c r="D27" s="43">
        <f>COUNTIF(DATA!$A$2:$A$9731,B27)</f>
        <v>46</v>
      </c>
      <c r="E27" s="43">
        <f>SUMIF(DATA!$A$2:$A$9077,B27,DATA!$J$2:$J$9077)</f>
        <v>86</v>
      </c>
      <c r="F27" s="43">
        <f>SUMIF(DATA!$A$2:$A$9077,B27,DATA!$K$2:$K$9077)</f>
        <v>42</v>
      </c>
      <c r="G27" s="38">
        <f t="shared" si="0"/>
        <v>128</v>
      </c>
      <c r="H27" s="39">
        <f t="shared" si="1"/>
        <v>0.671875</v>
      </c>
      <c r="I27" s="49">
        <f t="shared" si="2"/>
        <v>1.0217391304347827</v>
      </c>
      <c r="J27" s="50">
        <f>Table1[[#This Row],[Correct]]/Table1[[#This Row],['#Quizzes]]</f>
        <v>1.8695652173913044</v>
      </c>
      <c r="K27" s="43">
        <f>SUMIF(DATA!$A$2:$A$9077,B27,DATA!$L$2:$L$9077)</f>
        <v>3</v>
      </c>
      <c r="L27" s="43">
        <f>SUMIF(DATA!$A$2:$A$9077,B27,DATA!$M$2:$M$79077)</f>
        <v>6</v>
      </c>
      <c r="M27" s="43">
        <f>SUMIF(DATA!$A$2:$A$9077,B27,DATA!$N$2:$N$9077)</f>
        <v>0</v>
      </c>
      <c r="N27" s="43">
        <f>SUMIF(DATA!$A$2:$A$9101,B27,DATA!$O$2:$O$9101)</f>
        <v>8</v>
      </c>
      <c r="O27" s="43">
        <f>SUMIF(DATA!$A$2:$A$9101,B27,DATA!$P$2:$P$9101)</f>
        <v>0</v>
      </c>
      <c r="P27" s="43">
        <f>SUMIF(DATA!$A$2:$A$9101,B27,DATA!$Q$2:$Q$9101)</f>
        <v>0</v>
      </c>
      <c r="Q27" s="43">
        <f>SUMIF(DATA!$A$2:$A$9078,B27,DATA!$R$2:$R$9078)</f>
        <v>8</v>
      </c>
      <c r="R27" s="45">
        <f t="shared" si="3"/>
        <v>0.17391304347826086</v>
      </c>
      <c r="S27" s="43">
        <f>SUMIF(DATA!$A$2:$A$9078,B27,DATA!$S$2:$S$9078)</f>
        <v>1</v>
      </c>
      <c r="T27" s="45">
        <f t="shared" si="4"/>
        <v>2.1739130434782608E-2</v>
      </c>
      <c r="U27" s="43">
        <f>SUMIFS(DATA!J:J,DATA!A:A,Table1[[#This Row],[Name]],DATA!F:F,"Pre")</f>
        <v>68</v>
      </c>
      <c r="V27" s="43">
        <f>SUMIFS(DATA!K:K,DATA!A:A,Table1[[#This Row],[Name]],DATA!F:F,"Pre")</f>
        <v>32</v>
      </c>
      <c r="W27" s="44">
        <f t="shared" si="5"/>
        <v>0.68</v>
      </c>
      <c r="X27" s="43">
        <f>SUMIFS(DATA!J:J,DATA!A:A,Table1[[#This Row],[Name]],DATA!F:F,"Semi")</f>
        <v>18</v>
      </c>
      <c r="Y27" s="43">
        <f>SUMIFS(DATA!K:K,DATA!A:A,Table1[[#This Row],[Name]],DATA!F:F,"Semi")</f>
        <v>10</v>
      </c>
      <c r="Z27" s="44">
        <f t="shared" si="6"/>
        <v>0.6428571428571429</v>
      </c>
      <c r="AA27" s="43">
        <f>SUMIFS(DATA!J:J,DATA!A:A,Table1[[#This Row],[Name]],DATA!F:F,"COnA")</f>
        <v>0</v>
      </c>
      <c r="AB27" s="43">
        <f>SUMIFS(DATA!K:K,DATA!A:A,Table1[[#This Row],[Name]],DATA!F:F,"ConA")</f>
        <v>0</v>
      </c>
      <c r="AC27" s="44" t="e">
        <f t="shared" si="7"/>
        <v>#DIV/0!</v>
      </c>
      <c r="AD27" s="43">
        <f>SUMIFS(DATA!J:J,DATA!A:A,Table1[[#This Row],[Name]],DATA!F:F,"ConB")</f>
        <v>0</v>
      </c>
      <c r="AE27" s="43">
        <f>SUMIFS(DATA!K:K,DATA!A:A,Table1[[#This Row],[Name]],DATA!F:F,"ConB")</f>
        <v>0</v>
      </c>
      <c r="AF27" s="44" t="e">
        <f t="shared" si="8"/>
        <v>#DIV/0!</v>
      </c>
    </row>
    <row r="28" spans="1:32" x14ac:dyDescent="0.2">
      <c r="A28" s="42">
        <v>28</v>
      </c>
      <c r="B28" s="42" t="s">
        <v>200</v>
      </c>
      <c r="C28" s="42" t="s">
        <v>54</v>
      </c>
      <c r="D28" s="43">
        <f>COUNTIF(DATA!$A$2:$A$9731,B28)</f>
        <v>43</v>
      </c>
      <c r="E28" s="43">
        <f>SUMIF(DATA!$A$2:$A$9077,B28,DATA!$J$2:$J$9077)</f>
        <v>74</v>
      </c>
      <c r="F28" s="43">
        <f>SUMIF(DATA!$A$2:$A$9077,B28,DATA!$K$2:$K$9077)</f>
        <v>31</v>
      </c>
      <c r="G28" s="38">
        <f t="shared" si="0"/>
        <v>105</v>
      </c>
      <c r="H28" s="39">
        <f t="shared" si="1"/>
        <v>0.70476190476190481</v>
      </c>
      <c r="I28" s="49">
        <f t="shared" si="2"/>
        <v>0.95348837209302328</v>
      </c>
      <c r="J28" s="50">
        <f>Table1[[#This Row],[Correct]]/Table1[[#This Row],['#Quizzes]]</f>
        <v>1.7209302325581395</v>
      </c>
      <c r="K28" s="43">
        <f>SUMIF(DATA!$A$2:$A$9077,B28,DATA!$L$2:$L$9077)</f>
        <v>2</v>
      </c>
      <c r="L28" s="43">
        <f>SUMIF(DATA!$A$2:$A$9077,B28,DATA!$M$2:$M$79077)</f>
        <v>2</v>
      </c>
      <c r="M28" s="43">
        <f>SUMIF(DATA!$A$2:$A$9077,B28,DATA!$N$2:$N$9077)</f>
        <v>2</v>
      </c>
      <c r="N28" s="43">
        <f>SUMIF(DATA!$A$2:$A$9101,B28,DATA!$O$2:$O$9101)</f>
        <v>4</v>
      </c>
      <c r="O28" s="43">
        <f>SUMIF(DATA!$A$2:$A$9101,B28,DATA!$P$2:$P$9101)</f>
        <v>0</v>
      </c>
      <c r="P28" s="43">
        <f>SUMIF(DATA!$A$2:$A$9101,B28,DATA!$Q$2:$Q$9101)</f>
        <v>0</v>
      </c>
      <c r="Q28" s="43">
        <f>SUMIF(DATA!$A$2:$A$9078,B28,DATA!$R$2:$R$9078)</f>
        <v>10</v>
      </c>
      <c r="R28" s="45">
        <f t="shared" si="3"/>
        <v>0.23255813953488372</v>
      </c>
      <c r="S28" s="43">
        <f>SUMIF(DATA!$A$2:$A$9078,B28,DATA!$S$2:$S$9078)</f>
        <v>2</v>
      </c>
      <c r="T28" s="45">
        <f t="shared" si="4"/>
        <v>4.6511627906976744E-2</v>
      </c>
      <c r="U28" s="43">
        <f>SUMIFS(DATA!J:J,DATA!A:A,Table1[[#This Row],[Name]],DATA!F:F,"Pre")</f>
        <v>59</v>
      </c>
      <c r="V28" s="43">
        <f>SUMIFS(DATA!K:K,DATA!A:A,Table1[[#This Row],[Name]],DATA!F:F,"Pre")</f>
        <v>24</v>
      </c>
      <c r="W28" s="44">
        <f t="shared" si="5"/>
        <v>0.71084337349397586</v>
      </c>
      <c r="X28" s="43">
        <f>SUMIFS(DATA!J:J,DATA!A:A,Table1[[#This Row],[Name]],DATA!F:F,"Semi")</f>
        <v>7</v>
      </c>
      <c r="Y28" s="43">
        <f>SUMIFS(DATA!K:K,DATA!A:A,Table1[[#This Row],[Name]],DATA!F:F,"Semi")</f>
        <v>4</v>
      </c>
      <c r="Z28" s="44">
        <f t="shared" si="6"/>
        <v>0.63636363636363635</v>
      </c>
      <c r="AA28" s="43">
        <f>SUMIFS(DATA!J:J,DATA!A:A,Table1[[#This Row],[Name]],DATA!F:F,"COnA")</f>
        <v>8</v>
      </c>
      <c r="AB28" s="43">
        <f>SUMIFS(DATA!K:K,DATA!A:A,Table1[[#This Row],[Name]],DATA!F:F,"ConA")</f>
        <v>3</v>
      </c>
      <c r="AC28" s="44">
        <f t="shared" si="7"/>
        <v>0.72727272727272729</v>
      </c>
      <c r="AD28" s="43">
        <f>SUMIFS(DATA!J:J,DATA!A:A,Table1[[#This Row],[Name]],DATA!F:F,"ConB")</f>
        <v>0</v>
      </c>
      <c r="AE28" s="43">
        <f>SUMIFS(DATA!K:K,DATA!A:A,Table1[[#This Row],[Name]],DATA!F:F,"ConB")</f>
        <v>0</v>
      </c>
      <c r="AF28" s="44" t="e">
        <f t="shared" si="8"/>
        <v>#DIV/0!</v>
      </c>
    </row>
    <row r="29" spans="1:32" x14ac:dyDescent="0.2">
      <c r="A29" s="42">
        <v>26</v>
      </c>
      <c r="B29" s="42" t="s">
        <v>202</v>
      </c>
      <c r="C29" s="42" t="s">
        <v>93</v>
      </c>
      <c r="D29" s="43">
        <f>COUNTIF(DATA!$A$2:$A$9731,B29)</f>
        <v>47</v>
      </c>
      <c r="E29" s="43">
        <f>SUMIF(DATA!$A$2:$A$9077,B29,DATA!$J$2:$J$9077)</f>
        <v>75</v>
      </c>
      <c r="F29" s="43">
        <f>SUMIF(DATA!$A$2:$A$9077,B29,DATA!$K$2:$K$9077)</f>
        <v>31</v>
      </c>
      <c r="G29" s="38">
        <f t="shared" si="0"/>
        <v>106</v>
      </c>
      <c r="H29" s="39">
        <f t="shared" si="1"/>
        <v>0.70754716981132071</v>
      </c>
      <c r="I29" s="49">
        <f t="shared" si="2"/>
        <v>0.91489361702127658</v>
      </c>
      <c r="J29" s="50">
        <f>Table1[[#This Row],[Correct]]/Table1[[#This Row],['#Quizzes]]</f>
        <v>1.5957446808510638</v>
      </c>
      <c r="K29" s="43">
        <f>SUMIF(DATA!$A$2:$A$9077,B29,DATA!$L$2:$L$9077)</f>
        <v>2</v>
      </c>
      <c r="L29" s="43">
        <f>SUMIF(DATA!$A$2:$A$9077,B29,DATA!$M$2:$M$79077)</f>
        <v>3</v>
      </c>
      <c r="M29" s="43">
        <f>SUMIF(DATA!$A$2:$A$9077,B29,DATA!$N$2:$N$9077)</f>
        <v>2</v>
      </c>
      <c r="N29" s="43">
        <f>SUMIF(DATA!$A$2:$A$9101,B29,DATA!$O$2:$O$9101)</f>
        <v>5</v>
      </c>
      <c r="O29" s="43">
        <f>SUMIF(DATA!$A$2:$A$9101,B29,DATA!$P$2:$P$9101)</f>
        <v>0</v>
      </c>
      <c r="P29" s="43">
        <f>SUMIF(DATA!$A$2:$A$9101,B29,DATA!$Q$2:$Q$9101)</f>
        <v>0</v>
      </c>
      <c r="Q29" s="43">
        <f>SUMIF(DATA!$A$2:$A$9078,B29,DATA!$R$2:$R$9078)</f>
        <v>6</v>
      </c>
      <c r="R29" s="45">
        <f t="shared" si="3"/>
        <v>0.1276595744680851</v>
      </c>
      <c r="S29" s="43">
        <f>SUMIF(DATA!$A$2:$A$9078,B29,DATA!$S$2:$S$9078)</f>
        <v>1</v>
      </c>
      <c r="T29" s="45">
        <f t="shared" si="4"/>
        <v>2.1276595744680851E-2</v>
      </c>
      <c r="U29" s="43">
        <f>SUMIFS(DATA!J:J,DATA!A:A,Table1[[#This Row],[Name]],DATA!F:F,"Pre")</f>
        <v>39</v>
      </c>
      <c r="V29" s="43">
        <f>SUMIFS(DATA!K:K,DATA!A:A,Table1[[#This Row],[Name]],DATA!F:F,"Pre")</f>
        <v>18</v>
      </c>
      <c r="W29" s="44">
        <f t="shared" si="5"/>
        <v>0.68421052631578949</v>
      </c>
      <c r="X29" s="43">
        <f>SUMIFS(DATA!J:J,DATA!A:A,Table1[[#This Row],[Name]],DATA!F:F,"Semi")</f>
        <v>1</v>
      </c>
      <c r="Y29" s="43">
        <f>SUMIFS(DATA!K:K,DATA!A:A,Table1[[#This Row],[Name]],DATA!F:F,"Semi")</f>
        <v>0</v>
      </c>
      <c r="Z29" s="44">
        <f t="shared" si="6"/>
        <v>1</v>
      </c>
      <c r="AA29" s="43">
        <f>SUMIFS(DATA!J:J,DATA!A:A,Table1[[#This Row],[Name]],DATA!F:F,"COnA")</f>
        <v>9</v>
      </c>
      <c r="AB29" s="43">
        <f>SUMIFS(DATA!K:K,DATA!A:A,Table1[[#This Row],[Name]],DATA!F:F,"ConA")</f>
        <v>8</v>
      </c>
      <c r="AC29" s="44">
        <f t="shared" si="7"/>
        <v>0.52941176470588236</v>
      </c>
      <c r="AD29" s="43">
        <f>SUMIFS(DATA!J:J,DATA!A:A,Table1[[#This Row],[Name]],DATA!F:F,"ConB")</f>
        <v>26</v>
      </c>
      <c r="AE29" s="43">
        <f>SUMIFS(DATA!K:K,DATA!A:A,Table1[[#This Row],[Name]],DATA!F:F,"ConB")</f>
        <v>5</v>
      </c>
      <c r="AF29" s="44">
        <f t="shared" si="8"/>
        <v>0.83870967741935487</v>
      </c>
    </row>
    <row r="30" spans="1:32" x14ac:dyDescent="0.2">
      <c r="A30" s="42">
        <v>30</v>
      </c>
      <c r="B30" s="42" t="s">
        <v>43</v>
      </c>
      <c r="C30" s="42" t="s">
        <v>88</v>
      </c>
      <c r="D30" s="43">
        <f>COUNTIF(DATA!$A$2:$A$9731,B30)</f>
        <v>56</v>
      </c>
      <c r="E30" s="43">
        <f>SUMIF(DATA!$A$2:$A$9077,B30,DATA!$J$2:$J$9077)</f>
        <v>108</v>
      </c>
      <c r="F30" s="43">
        <f>SUMIF(DATA!$A$2:$A$9077,B30,DATA!$K$2:$K$9077)</f>
        <v>60</v>
      </c>
      <c r="G30" s="38">
        <f t="shared" si="0"/>
        <v>168</v>
      </c>
      <c r="H30" s="39">
        <f t="shared" si="1"/>
        <v>0.6428571428571429</v>
      </c>
      <c r="I30" s="49">
        <f t="shared" si="2"/>
        <v>0.8392857142857143</v>
      </c>
      <c r="J30" s="50">
        <f>Table1[[#This Row],[Correct]]/Table1[[#This Row],['#Quizzes]]</f>
        <v>1.9285714285714286</v>
      </c>
      <c r="K30" s="43">
        <f>SUMIF(DATA!$A$2:$A$9077,B30,DATA!$L$2:$L$9077)</f>
        <v>0</v>
      </c>
      <c r="L30" s="43">
        <f>SUMIF(DATA!$A$2:$A$9077,B30,DATA!$M$2:$M$79077)</f>
        <v>2</v>
      </c>
      <c r="M30" s="43">
        <f>SUMIF(DATA!$A$2:$A$9077,B30,DATA!$N$2:$N$9077)</f>
        <v>3</v>
      </c>
      <c r="N30" s="43">
        <f>SUMIF(DATA!$A$2:$A$9101,B30,DATA!$O$2:$O$9101)</f>
        <v>16</v>
      </c>
      <c r="O30" s="43">
        <f>SUMIF(DATA!$A$2:$A$9101,B30,DATA!$P$2:$P$9101)</f>
        <v>0</v>
      </c>
      <c r="P30" s="43">
        <f>SUMIF(DATA!$A$2:$A$9101,B30,DATA!$Q$2:$Q$9101)</f>
        <v>0</v>
      </c>
      <c r="Q30" s="43">
        <f>SUMIF(DATA!$A$2:$A$9078,B30,DATA!$R$2:$R$9078)</f>
        <v>7</v>
      </c>
      <c r="R30" s="45">
        <f t="shared" si="3"/>
        <v>0.125</v>
      </c>
      <c r="S30" s="43">
        <f>SUMIF(DATA!$A$2:$A$9078,B30,DATA!$S$2:$S$9078)</f>
        <v>4</v>
      </c>
      <c r="T30" s="45">
        <f t="shared" si="4"/>
        <v>7.1428571428571425E-2</v>
      </c>
      <c r="U30" s="43">
        <f>SUMIFS(DATA!J:J,DATA!A:A,Table1[[#This Row],[Name]],DATA!F:F,"Pre")</f>
        <v>64</v>
      </c>
      <c r="V30" s="43">
        <f>SUMIFS(DATA!K:K,DATA!A:A,Table1[[#This Row],[Name]],DATA!F:F,"Pre")</f>
        <v>39</v>
      </c>
      <c r="W30" s="44">
        <f t="shared" si="5"/>
        <v>0.62135922330097082</v>
      </c>
      <c r="X30" s="43">
        <f>SUMIFS(DATA!J:J,DATA!A:A,Table1[[#This Row],[Name]],DATA!F:F,"Semi")</f>
        <v>44</v>
      </c>
      <c r="Y30" s="43">
        <f>SUMIFS(DATA!K:K,DATA!A:A,Table1[[#This Row],[Name]],DATA!F:F,"Semi")</f>
        <v>21</v>
      </c>
      <c r="Z30" s="44">
        <f t="shared" si="6"/>
        <v>0.67692307692307696</v>
      </c>
      <c r="AA30" s="43">
        <f>SUMIFS(DATA!J:J,DATA!A:A,Table1[[#This Row],[Name]],DATA!F:F,"COnA")</f>
        <v>0</v>
      </c>
      <c r="AB30" s="43">
        <f>SUMIFS(DATA!K:K,DATA!A:A,Table1[[#This Row],[Name]],DATA!F:F,"ConA")</f>
        <v>0</v>
      </c>
      <c r="AC30" s="44" t="e">
        <f t="shared" si="7"/>
        <v>#DIV/0!</v>
      </c>
      <c r="AD30" s="43">
        <f>SUMIFS(DATA!J:J,DATA!A:A,Table1[[#This Row],[Name]],DATA!F:F,"ConB")</f>
        <v>0</v>
      </c>
      <c r="AE30" s="43">
        <f>SUMIFS(DATA!K:K,DATA!A:A,Table1[[#This Row],[Name]],DATA!F:F,"ConB")</f>
        <v>0</v>
      </c>
      <c r="AF30" s="44" t="e">
        <f t="shared" si="8"/>
        <v>#DIV/0!</v>
      </c>
    </row>
    <row r="31" spans="1:32" x14ac:dyDescent="0.2">
      <c r="A31" s="42">
        <v>31</v>
      </c>
      <c r="B31" s="42" t="s">
        <v>112</v>
      </c>
      <c r="C31" s="42" t="s">
        <v>93</v>
      </c>
      <c r="D31" s="43">
        <f>COUNTIF(DATA!$A$2:$A$9731,B31)</f>
        <v>47</v>
      </c>
      <c r="E31" s="43">
        <f>SUMIF(DATA!$A$2:$A$9077,B31,DATA!$J$2:$J$9077)</f>
        <v>53</v>
      </c>
      <c r="F31" s="43">
        <f>SUMIF(DATA!$A$2:$A$9077,B31,DATA!$K$2:$K$9077)</f>
        <v>16</v>
      </c>
      <c r="G31" s="38">
        <f t="shared" si="0"/>
        <v>69</v>
      </c>
      <c r="H31" s="39">
        <f t="shared" si="1"/>
        <v>0.76811594202898548</v>
      </c>
      <c r="I31" s="49">
        <f t="shared" si="2"/>
        <v>0.78723404255319152</v>
      </c>
      <c r="J31" s="50">
        <f>Table1[[#This Row],[Correct]]/Table1[[#This Row],['#Quizzes]]</f>
        <v>1.1276595744680851</v>
      </c>
      <c r="K31" s="43">
        <f>SUMIF(DATA!$A$2:$A$9077,B31,DATA!$L$2:$L$9077)</f>
        <v>0</v>
      </c>
      <c r="L31" s="43">
        <f>SUMIF(DATA!$A$2:$A$9077,B31,DATA!$M$2:$M$79077)</f>
        <v>3</v>
      </c>
      <c r="M31" s="43">
        <f>SUMIF(DATA!$A$2:$A$9077,B31,DATA!$N$2:$N$9077)</f>
        <v>3</v>
      </c>
      <c r="N31" s="43">
        <f>SUMIF(DATA!$A$2:$A$9101,B31,DATA!$O$2:$O$9101)</f>
        <v>2</v>
      </c>
      <c r="O31" s="43">
        <f>SUMIF(DATA!$A$2:$A$9101,B31,DATA!$P$2:$P$9101)</f>
        <v>1</v>
      </c>
      <c r="P31" s="43">
        <f>SUMIF(DATA!$A$2:$A$9101,B31,DATA!$Q$2:$Q$9101)</f>
        <v>0</v>
      </c>
      <c r="Q31" s="43">
        <f>SUMIF(DATA!$A$2:$A$9078,B31,DATA!$R$2:$R$9078)</f>
        <v>2</v>
      </c>
      <c r="R31" s="45">
        <f t="shared" si="3"/>
        <v>4.2553191489361701E-2</v>
      </c>
      <c r="S31" s="43">
        <f>SUMIF(DATA!$A$2:$A$9078,B31,DATA!$S$2:$S$9078)</f>
        <v>0</v>
      </c>
      <c r="T31" s="45">
        <f t="shared" si="4"/>
        <v>0</v>
      </c>
      <c r="U31" s="43">
        <f>SUMIFS(DATA!J:J,DATA!A:A,Table1[[#This Row],[Name]],DATA!F:F,"Pre")</f>
        <v>39</v>
      </c>
      <c r="V31" s="43">
        <f>SUMIFS(DATA!K:K,DATA!A:A,Table1[[#This Row],[Name]],DATA!F:F,"Pre")</f>
        <v>11</v>
      </c>
      <c r="W31" s="44">
        <f t="shared" si="5"/>
        <v>0.78</v>
      </c>
      <c r="X31" s="43">
        <f>SUMIFS(DATA!J:J,DATA!A:A,Table1[[#This Row],[Name]],DATA!F:F,"Semi")</f>
        <v>3</v>
      </c>
      <c r="Y31" s="43">
        <f>SUMIFS(DATA!K:K,DATA!A:A,Table1[[#This Row],[Name]],DATA!F:F,"Semi")</f>
        <v>0</v>
      </c>
      <c r="Z31" s="44">
        <f t="shared" si="6"/>
        <v>1</v>
      </c>
      <c r="AA31" s="43">
        <f>SUMIFS(DATA!J:J,DATA!A:A,Table1[[#This Row],[Name]],DATA!F:F,"COnA")</f>
        <v>5</v>
      </c>
      <c r="AB31" s="43">
        <f>SUMIFS(DATA!K:K,DATA!A:A,Table1[[#This Row],[Name]],DATA!F:F,"ConA")</f>
        <v>4</v>
      </c>
      <c r="AC31" s="44">
        <f t="shared" si="7"/>
        <v>0.55555555555555558</v>
      </c>
      <c r="AD31" s="43">
        <f>SUMIFS(DATA!J:J,DATA!A:A,Table1[[#This Row],[Name]],DATA!F:F,"ConB")</f>
        <v>6</v>
      </c>
      <c r="AE31" s="43">
        <f>SUMIFS(DATA!K:K,DATA!A:A,Table1[[#This Row],[Name]],DATA!F:F,"ConB")</f>
        <v>1</v>
      </c>
      <c r="AF31" s="44">
        <f t="shared" si="8"/>
        <v>0.8571428571428571</v>
      </c>
    </row>
    <row r="32" spans="1:32" x14ac:dyDescent="0.2">
      <c r="A32" s="42">
        <v>29</v>
      </c>
      <c r="B32" s="42" t="s">
        <v>28</v>
      </c>
      <c r="C32" s="42" t="s">
        <v>88</v>
      </c>
      <c r="D32" s="43">
        <f>COUNTIF(DATA!$A$2:$A$9731,B32)</f>
        <v>46</v>
      </c>
      <c r="E32" s="43">
        <f>SUMIF(DATA!$A$2:$A$9077,B32,DATA!$J$2:$J$9077)</f>
        <v>54</v>
      </c>
      <c r="F32" s="43">
        <f>SUMIF(DATA!$A$2:$A$9077,B32,DATA!$K$2:$K$9077)</f>
        <v>18</v>
      </c>
      <c r="G32" s="38">
        <f t="shared" si="0"/>
        <v>72</v>
      </c>
      <c r="H32" s="39">
        <f t="shared" si="1"/>
        <v>0.75</v>
      </c>
      <c r="I32" s="49">
        <f t="shared" si="2"/>
        <v>0.78260869565217395</v>
      </c>
      <c r="J32" s="50">
        <f>Table1[[#This Row],[Correct]]/Table1[[#This Row],['#Quizzes]]</f>
        <v>1.173913043478261</v>
      </c>
      <c r="K32" s="43">
        <f>SUMIF(DATA!$A$2:$A$9077,B32,DATA!$L$2:$L$9077)</f>
        <v>0</v>
      </c>
      <c r="L32" s="43">
        <f>SUMIF(DATA!$A$2:$A$9077,B32,DATA!$M$2:$M$79077)</f>
        <v>1</v>
      </c>
      <c r="M32" s="43">
        <f>SUMIF(DATA!$A$2:$A$9077,B32,DATA!$N$2:$N$9077)</f>
        <v>1</v>
      </c>
      <c r="N32" s="43">
        <f>SUMIF(DATA!$A$2:$A$9101,B32,DATA!$O$2:$O$9101)</f>
        <v>6</v>
      </c>
      <c r="O32" s="43">
        <f>SUMIF(DATA!$A$2:$A$9101,B32,DATA!$P$2:$P$9101)</f>
        <v>0</v>
      </c>
      <c r="P32" s="43">
        <f>SUMIF(DATA!$A$2:$A$9101,B32,DATA!$Q$2:$Q$9101)</f>
        <v>0</v>
      </c>
      <c r="Q32" s="43">
        <f>SUMIF(DATA!$A$2:$A$9078,B32,DATA!$R$2:$R$9078)</f>
        <v>4</v>
      </c>
      <c r="R32" s="45">
        <f t="shared" si="3"/>
        <v>8.6956521739130432E-2</v>
      </c>
      <c r="S32" s="43">
        <f>SUMIF(DATA!$A$2:$A$9078,B32,DATA!$S$2:$S$9078)</f>
        <v>0</v>
      </c>
      <c r="T32" s="45">
        <f t="shared" si="4"/>
        <v>0</v>
      </c>
      <c r="U32" s="43">
        <f>SUMIFS(DATA!J:J,DATA!A:A,Table1[[#This Row],[Name]],DATA!F:F,"Pre")</f>
        <v>41</v>
      </c>
      <c r="V32" s="43">
        <f>SUMIFS(DATA!K:K,DATA!A:A,Table1[[#This Row],[Name]],DATA!F:F,"Pre")</f>
        <v>13</v>
      </c>
      <c r="W32" s="44">
        <f t="shared" si="5"/>
        <v>0.7592592592592593</v>
      </c>
      <c r="X32" s="43">
        <f>SUMIFS(DATA!J:J,DATA!A:A,Table1[[#This Row],[Name]],DATA!F:F,"Semi")</f>
        <v>13</v>
      </c>
      <c r="Y32" s="43">
        <f>SUMIFS(DATA!K:K,DATA!A:A,Table1[[#This Row],[Name]],DATA!F:F,"Semi")</f>
        <v>5</v>
      </c>
      <c r="Z32" s="44">
        <f t="shared" si="6"/>
        <v>0.72222222222222221</v>
      </c>
      <c r="AA32" s="43">
        <f>SUMIFS(DATA!J:J,DATA!A:A,Table1[[#This Row],[Name]],DATA!F:F,"COnA")</f>
        <v>0</v>
      </c>
      <c r="AB32" s="43">
        <f>SUMIFS(DATA!K:K,DATA!A:A,Table1[[#This Row],[Name]],DATA!F:F,"ConA")</f>
        <v>0</v>
      </c>
      <c r="AC32" s="44" t="e">
        <f t="shared" si="7"/>
        <v>#DIV/0!</v>
      </c>
      <c r="AD32" s="43">
        <f>SUMIFS(DATA!J:J,DATA!A:A,Table1[[#This Row],[Name]],DATA!F:F,"ConB")</f>
        <v>0</v>
      </c>
      <c r="AE32" s="43">
        <f>SUMIFS(DATA!K:K,DATA!A:A,Table1[[#This Row],[Name]],DATA!F:F,"ConB")</f>
        <v>0</v>
      </c>
      <c r="AF32" s="44" t="e">
        <f t="shared" si="8"/>
        <v>#DIV/0!</v>
      </c>
    </row>
    <row r="33" spans="1:32" x14ac:dyDescent="0.2">
      <c r="A33" s="42">
        <v>33</v>
      </c>
      <c r="B33" s="42" t="s">
        <v>130</v>
      </c>
      <c r="C33" s="42" t="s">
        <v>88</v>
      </c>
      <c r="D33" s="43">
        <f>COUNTIF(DATA!$A$2:$A$9731,B33)</f>
        <v>48</v>
      </c>
      <c r="E33" s="43">
        <f>SUMIF(DATA!$A$2:$A$9077,B33,DATA!$J$2:$J$9077)</f>
        <v>34</v>
      </c>
      <c r="F33" s="43">
        <f>SUMIF(DATA!$A$2:$A$9077,B33,DATA!$K$2:$K$9077)</f>
        <v>5</v>
      </c>
      <c r="G33" s="38">
        <f t="shared" si="0"/>
        <v>39</v>
      </c>
      <c r="H33" s="39">
        <f t="shared" si="1"/>
        <v>0.87179487179487181</v>
      </c>
      <c r="I33" s="49">
        <f t="shared" si="2"/>
        <v>0.625</v>
      </c>
      <c r="J33" s="50">
        <f>Table1[[#This Row],[Correct]]/Table1[[#This Row],['#Quizzes]]</f>
        <v>0.70833333333333337</v>
      </c>
      <c r="K33" s="43">
        <f>SUMIF(DATA!$A$2:$A$9077,B33,DATA!$L$2:$L$9077)</f>
        <v>0</v>
      </c>
      <c r="L33" s="43">
        <f>SUMIF(DATA!$A$2:$A$9077,B33,DATA!$M$2:$M$79077)</f>
        <v>5</v>
      </c>
      <c r="M33" s="43">
        <f>SUMIF(DATA!$A$2:$A$9077,B33,DATA!$N$2:$N$9077)</f>
        <v>4</v>
      </c>
      <c r="N33" s="43">
        <f>SUMIF(DATA!$A$2:$A$9101,B33,DATA!$O$2:$O$9101)</f>
        <v>3</v>
      </c>
      <c r="O33" s="43">
        <f>SUMIF(DATA!$A$2:$A$9101,B33,DATA!$P$2:$P$9101)</f>
        <v>0</v>
      </c>
      <c r="P33" s="43">
        <f>SUMIF(DATA!$A$2:$A$9101,B33,DATA!$Q$2:$Q$9101)</f>
        <v>0</v>
      </c>
      <c r="Q33" s="43">
        <f>SUMIF(DATA!$A$2:$A$9078,B33,DATA!$R$2:$R$9078)</f>
        <v>1</v>
      </c>
      <c r="R33" s="45">
        <f t="shared" si="3"/>
        <v>2.0833333333333332E-2</v>
      </c>
      <c r="S33" s="43">
        <f>SUMIF(DATA!$A$2:$A$9078,B33,DATA!$S$2:$S$9078)</f>
        <v>0</v>
      </c>
      <c r="T33" s="45">
        <f t="shared" si="4"/>
        <v>0</v>
      </c>
      <c r="U33" s="43">
        <f>SUMIFS(DATA!J:J,DATA!A:A,Table1[[#This Row],[Name]],DATA!F:F,"Pre")</f>
        <v>21</v>
      </c>
      <c r="V33" s="43">
        <f>SUMIFS(DATA!K:K,DATA!A:A,Table1[[#This Row],[Name]],DATA!F:F,"Pre")</f>
        <v>2</v>
      </c>
      <c r="W33" s="44">
        <f t="shared" si="5"/>
        <v>0.91304347826086951</v>
      </c>
      <c r="X33" s="43">
        <f>SUMIFS(DATA!J:J,DATA!A:A,Table1[[#This Row],[Name]],DATA!F:F,"Semi")</f>
        <v>0</v>
      </c>
      <c r="Y33" s="43">
        <f>SUMIFS(DATA!K:K,DATA!A:A,Table1[[#This Row],[Name]],DATA!F:F,"Semi")</f>
        <v>0</v>
      </c>
      <c r="Z33" s="44" t="e">
        <f t="shared" si="6"/>
        <v>#DIV/0!</v>
      </c>
      <c r="AA33" s="43">
        <f>SUMIFS(DATA!J:J,DATA!A:A,Table1[[#This Row],[Name]],DATA!F:F,"COnA")</f>
        <v>5</v>
      </c>
      <c r="AB33" s="43">
        <f>SUMIFS(DATA!K:K,DATA!A:A,Table1[[#This Row],[Name]],DATA!F:F,"ConA")</f>
        <v>1</v>
      </c>
      <c r="AC33" s="44">
        <f t="shared" si="7"/>
        <v>0.83333333333333337</v>
      </c>
      <c r="AD33" s="43">
        <f>SUMIFS(DATA!J:J,DATA!A:A,Table1[[#This Row],[Name]],DATA!F:F,"ConB")</f>
        <v>8</v>
      </c>
      <c r="AE33" s="43">
        <f>SUMIFS(DATA!K:K,DATA!A:A,Table1[[#This Row],[Name]],DATA!F:F,"ConB")</f>
        <v>2</v>
      </c>
      <c r="AF33" s="44">
        <f t="shared" si="8"/>
        <v>0.8</v>
      </c>
    </row>
    <row r="34" spans="1:32" x14ac:dyDescent="0.2">
      <c r="A34" s="42">
        <v>34</v>
      </c>
      <c r="B34" s="42" t="s">
        <v>136</v>
      </c>
      <c r="C34" s="42" t="s">
        <v>90</v>
      </c>
      <c r="D34" s="43">
        <f>COUNTIF(DATA!$A$2:$A$9731,B34)</f>
        <v>46</v>
      </c>
      <c r="E34" s="43">
        <f>SUMIF(DATA!$A$2:$A$9077,B34,DATA!$J$2:$J$9077)</f>
        <v>101</v>
      </c>
      <c r="F34" s="43">
        <f>SUMIF(DATA!$A$2:$A$9077,B34,DATA!$K$2:$K$9077)</f>
        <v>66</v>
      </c>
      <c r="G34" s="38">
        <f t="shared" ref="G34:G65" si="9">E34+F34</f>
        <v>167</v>
      </c>
      <c r="H34" s="39">
        <f t="shared" ref="H34:H65" si="10">E34/(E34+F34)</f>
        <v>0.60479041916167664</v>
      </c>
      <c r="I34" s="49">
        <f t="shared" ref="I34:I65" si="11">(E34+L34-F34-K34-M34)/D34</f>
        <v>0.73913043478260865</v>
      </c>
      <c r="J34" s="50">
        <f>Table1[[#This Row],[Correct]]/Table1[[#This Row],['#Quizzes]]</f>
        <v>2.1956521739130435</v>
      </c>
      <c r="K34" s="43">
        <f>SUMIF(DATA!$A$2:$A$9077,B34,DATA!$L$2:$L$9077)</f>
        <v>1</v>
      </c>
      <c r="L34" s="43">
        <f>SUMIF(DATA!$A$2:$A$9077,B34,DATA!$M$2:$M$79077)</f>
        <v>7</v>
      </c>
      <c r="M34" s="43">
        <f>SUMIF(DATA!$A$2:$A$9077,B34,DATA!$N$2:$N$9077)</f>
        <v>7</v>
      </c>
      <c r="N34" s="43">
        <f>SUMIF(DATA!$A$2:$A$9101,B34,DATA!$O$2:$O$9101)</f>
        <v>0</v>
      </c>
      <c r="O34" s="43">
        <f>SUMIF(DATA!$A$2:$A$9101,B34,DATA!$P$2:$P$9101)</f>
        <v>0</v>
      </c>
      <c r="P34" s="43">
        <f>SUMIF(DATA!$A$2:$A$9101,B34,DATA!$Q$2:$Q$9101)</f>
        <v>0</v>
      </c>
      <c r="Q34" s="43">
        <f>SUMIF(DATA!$A$2:$A$9078,B34,DATA!$R$2:$R$9078)</f>
        <v>9</v>
      </c>
      <c r="R34" s="45">
        <f t="shared" ref="R34:R65" si="12">Q34/D34</f>
        <v>0.19565217391304349</v>
      </c>
      <c r="S34" s="43">
        <f>SUMIF(DATA!$A$2:$A$9078,B34,DATA!$S$2:$S$9078)</f>
        <v>8</v>
      </c>
      <c r="T34" s="45">
        <f t="shared" ref="T34:T65" si="13">S34/D34</f>
        <v>0.17391304347826086</v>
      </c>
      <c r="U34" s="43">
        <f>SUMIFS(DATA!J:J,DATA!A:A,Table1[[#This Row],[Name]],DATA!F:F,"Pre")</f>
        <v>51</v>
      </c>
      <c r="V34" s="43">
        <f>SUMIFS(DATA!K:K,DATA!A:A,Table1[[#This Row],[Name]],DATA!F:F,"Pre")</f>
        <v>43</v>
      </c>
      <c r="W34" s="44">
        <f t="shared" ref="W34:W65" si="14">U34/(U34+V34)</f>
        <v>0.54255319148936165</v>
      </c>
      <c r="X34" s="43">
        <f>SUMIFS(DATA!J:J,DATA!A:A,Table1[[#This Row],[Name]],DATA!F:F,"Semi")</f>
        <v>0</v>
      </c>
      <c r="Y34" s="43">
        <f>SUMIFS(DATA!K:K,DATA!A:A,Table1[[#This Row],[Name]],DATA!F:F,"Semi")</f>
        <v>0</v>
      </c>
      <c r="Z34" s="44" t="e">
        <f t="shared" ref="Z34:Z65" si="15">X34/(X34+Y34)</f>
        <v>#DIV/0!</v>
      </c>
      <c r="AA34" s="43">
        <f>SUMIFS(DATA!J:J,DATA!A:A,Table1[[#This Row],[Name]],DATA!F:F,"COnA")</f>
        <v>0</v>
      </c>
      <c r="AB34" s="43">
        <f>SUMIFS(DATA!K:K,DATA!A:A,Table1[[#This Row],[Name]],DATA!F:F,"ConA")</f>
        <v>0</v>
      </c>
      <c r="AC34" s="44" t="e">
        <f t="shared" ref="AC34:AC65" si="16">AA34/(AA34+AB34)</f>
        <v>#DIV/0!</v>
      </c>
      <c r="AD34" s="43">
        <f>SUMIFS(DATA!J:J,DATA!A:A,Table1[[#This Row],[Name]],DATA!F:F,"ConB")</f>
        <v>50</v>
      </c>
      <c r="AE34" s="43">
        <f>SUMIFS(DATA!K:K,DATA!A:A,Table1[[#This Row],[Name]],DATA!F:F,"ConB")</f>
        <v>23</v>
      </c>
      <c r="AF34" s="44">
        <f t="shared" ref="AF34:AF65" si="17">AD34/(AD34+AE34)</f>
        <v>0.68493150684931503</v>
      </c>
    </row>
    <row r="35" spans="1:32" x14ac:dyDescent="0.2">
      <c r="A35" s="42">
        <v>32</v>
      </c>
      <c r="B35" s="38" t="s">
        <v>214</v>
      </c>
      <c r="C35" s="42" t="s">
        <v>93</v>
      </c>
      <c r="D35" s="51">
        <f>COUNTIF(DATA!$A$2:$A$9731,B35)</f>
        <v>39</v>
      </c>
      <c r="E35" s="51">
        <f>SUMIF(DATA!$A$2:$A$9077,B35,DATA!$J$2:$J$9077)</f>
        <v>29</v>
      </c>
      <c r="F35" s="51">
        <f>SUMIF(DATA!$A$2:$A$9077,B35,DATA!$K$2:$K$9077)</f>
        <v>7</v>
      </c>
      <c r="G35" s="38">
        <f t="shared" si="9"/>
        <v>36</v>
      </c>
      <c r="H35" s="39">
        <f t="shared" si="10"/>
        <v>0.80555555555555558</v>
      </c>
      <c r="I35" s="49">
        <f t="shared" si="11"/>
        <v>0.53846153846153844</v>
      </c>
      <c r="J35" s="49">
        <f>Table1[[#This Row],[Correct]]/Table1[[#This Row],['#Quizzes]]</f>
        <v>0.74358974358974361</v>
      </c>
      <c r="K35" s="51">
        <f>SUMIF(DATA!$A$2:$A$9077,B35,DATA!$L$2:$L$9077)</f>
        <v>1</v>
      </c>
      <c r="L35" s="51">
        <f>SUMIF(DATA!$A$2:$A$9077,B35,DATA!$M$2:$M$79077)</f>
        <v>1</v>
      </c>
      <c r="M35" s="51">
        <f>SUMIF(DATA!$A$2:$A$9077,B35,DATA!$N$2:$N$9077)</f>
        <v>1</v>
      </c>
      <c r="N35" s="51">
        <f>SUMIF(DATA!$A$2:$A$9101,B35,DATA!$O$2:$O$9101)</f>
        <v>4</v>
      </c>
      <c r="O35" s="51">
        <f>SUMIF(DATA!$A$2:$A$9101,B35,DATA!$P$2:$P$9101)</f>
        <v>0</v>
      </c>
      <c r="P35" s="51">
        <f>SUMIF(DATA!$A$2:$A$9101,B35,DATA!$Q$2:$Q$9101)</f>
        <v>0</v>
      </c>
      <c r="Q35" s="51">
        <f>SUMIF(DATA!$A$2:$A$9078,B35,DATA!$R$2:$R$9078)</f>
        <v>0</v>
      </c>
      <c r="R35" s="40">
        <f t="shared" si="12"/>
        <v>0</v>
      </c>
      <c r="S35" s="51">
        <f>SUMIF(DATA!$A$2:$A$9078,B35,DATA!$S$2:$S$9078)</f>
        <v>0</v>
      </c>
      <c r="T35" s="40">
        <f t="shared" si="13"/>
        <v>0</v>
      </c>
      <c r="U35" s="51">
        <f>SUMIFS(DATA!J:J,DATA!A:A,Table1[[#This Row],[Name]],DATA!F:F,"Pre")</f>
        <v>17</v>
      </c>
      <c r="V35" s="51">
        <f>SUMIFS(DATA!K:K,DATA!A:A,Table1[[#This Row],[Name]],DATA!F:F,"Pre")</f>
        <v>6</v>
      </c>
      <c r="W35" s="39">
        <f t="shared" si="14"/>
        <v>0.73913043478260865</v>
      </c>
      <c r="X35" s="51">
        <f>SUMIFS(DATA!J:J,DATA!A:A,Table1[[#This Row],[Name]],DATA!F:F,"Semi")</f>
        <v>0</v>
      </c>
      <c r="Y35" s="51">
        <f>SUMIFS(DATA!K:K,DATA!A:A,Table1[[#This Row],[Name]],DATA!F:F,"Semi")</f>
        <v>0</v>
      </c>
      <c r="Z35" s="39" t="e">
        <f t="shared" si="15"/>
        <v>#DIV/0!</v>
      </c>
      <c r="AA35" s="51">
        <f>SUMIFS(DATA!J:J,DATA!A:A,Table1[[#This Row],[Name]],DATA!F:F,"COnA")</f>
        <v>12</v>
      </c>
      <c r="AB35" s="51">
        <f>SUMIFS(DATA!K:K,DATA!A:A,Table1[[#This Row],[Name]],DATA!F:F,"ConA")</f>
        <v>1</v>
      </c>
      <c r="AC35" s="39">
        <f t="shared" si="16"/>
        <v>0.92307692307692313</v>
      </c>
      <c r="AD35" s="51">
        <f>SUMIFS(DATA!J:J,DATA!A:A,Table1[[#This Row],[Name]],DATA!F:F,"ConB")</f>
        <v>0</v>
      </c>
      <c r="AE35" s="51">
        <f>SUMIFS(DATA!K:K,DATA!A:A,Table1[[#This Row],[Name]],DATA!F:F,"ConB")</f>
        <v>0</v>
      </c>
      <c r="AF35" s="39" t="e">
        <f t="shared" si="17"/>
        <v>#DIV/0!</v>
      </c>
    </row>
    <row r="36" spans="1:32" x14ac:dyDescent="0.2">
      <c r="A36" s="42">
        <v>41</v>
      </c>
      <c r="B36" s="42" t="s">
        <v>180</v>
      </c>
      <c r="C36" s="42" t="s">
        <v>92</v>
      </c>
      <c r="D36" s="43">
        <f>COUNTIF(DATA!$A$2:$A$9731,B36)</f>
        <v>45</v>
      </c>
      <c r="E36" s="43">
        <f>SUMIF(DATA!$A$2:$A$9077,B36,DATA!$J$2:$J$9077)</f>
        <v>84</v>
      </c>
      <c r="F36" s="43">
        <f>SUMIF(DATA!$A$2:$A$9077,B36,DATA!$K$2:$K$9077)</f>
        <v>53</v>
      </c>
      <c r="G36" s="38">
        <f t="shared" si="9"/>
        <v>137</v>
      </c>
      <c r="H36" s="39">
        <f t="shared" si="10"/>
        <v>0.61313868613138689</v>
      </c>
      <c r="I36" s="49">
        <f t="shared" si="11"/>
        <v>0.57777777777777772</v>
      </c>
      <c r="J36" s="50">
        <f>Table1[[#This Row],[Correct]]/Table1[[#This Row],['#Quizzes]]</f>
        <v>1.8666666666666667</v>
      </c>
      <c r="K36" s="43">
        <f>SUMIF(DATA!$A$2:$A$9077,B36,DATA!$L$2:$L$9077)</f>
        <v>5</v>
      </c>
      <c r="L36" s="43">
        <f>SUMIF(DATA!$A$2:$A$9077,B36,DATA!$M$2:$M$79077)</f>
        <v>0</v>
      </c>
      <c r="M36" s="43">
        <f>SUMIF(DATA!$A$2:$A$9077,B36,DATA!$N$2:$N$9077)</f>
        <v>0</v>
      </c>
      <c r="N36" s="43">
        <f>SUMIF(DATA!$A$2:$A$9101,B36,DATA!$O$2:$O$9101)</f>
        <v>7</v>
      </c>
      <c r="O36" s="43">
        <f>SUMIF(DATA!$A$2:$A$9101,B36,DATA!$P$2:$P$9101)</f>
        <v>0</v>
      </c>
      <c r="P36" s="43">
        <f>SUMIF(DATA!$A$2:$A$9101,B36,DATA!$Q$2:$Q$9101)</f>
        <v>0</v>
      </c>
      <c r="Q36" s="43">
        <f>SUMIF(DATA!$A$2:$A$9078,B36,DATA!$R$2:$R$9078)</f>
        <v>7</v>
      </c>
      <c r="R36" s="45">
        <f t="shared" si="12"/>
        <v>0.15555555555555556</v>
      </c>
      <c r="S36" s="43">
        <f>SUMIF(DATA!$A$2:$A$9078,B36,DATA!$S$2:$S$9078)</f>
        <v>5</v>
      </c>
      <c r="T36" s="45">
        <f t="shared" si="13"/>
        <v>0.1111111111111111</v>
      </c>
      <c r="U36" s="43">
        <f>SUMIFS(DATA!J:J,DATA!A:A,Table1[[#This Row],[Name]],DATA!F:F,"Pre")</f>
        <v>65</v>
      </c>
      <c r="V36" s="43">
        <f>SUMIFS(DATA!K:K,DATA!A:A,Table1[[#This Row],[Name]],DATA!F:F,"Pre")</f>
        <v>36</v>
      </c>
      <c r="W36" s="44">
        <f t="shared" si="14"/>
        <v>0.64356435643564358</v>
      </c>
      <c r="X36" s="43">
        <f>SUMIFS(DATA!J:J,DATA!A:A,Table1[[#This Row],[Name]],DATA!F:F,"Semi")</f>
        <v>8</v>
      </c>
      <c r="Y36" s="43">
        <f>SUMIFS(DATA!K:K,DATA!A:A,Table1[[#This Row],[Name]],DATA!F:F,"Semi")</f>
        <v>9</v>
      </c>
      <c r="Z36" s="44">
        <f t="shared" si="15"/>
        <v>0.47058823529411764</v>
      </c>
      <c r="AA36" s="43">
        <f>SUMIFS(DATA!J:J,DATA!A:A,Table1[[#This Row],[Name]],DATA!F:F,"COnA")</f>
        <v>11</v>
      </c>
      <c r="AB36" s="43">
        <f>SUMIFS(DATA!K:K,DATA!A:A,Table1[[#This Row],[Name]],DATA!F:F,"ConA")</f>
        <v>8</v>
      </c>
      <c r="AC36" s="44">
        <f t="shared" si="16"/>
        <v>0.57894736842105265</v>
      </c>
      <c r="AD36" s="43">
        <f>SUMIFS(DATA!J:J,DATA!A:A,Table1[[#This Row],[Name]],DATA!F:F,"ConB")</f>
        <v>0</v>
      </c>
      <c r="AE36" s="43">
        <f>SUMIFS(DATA!K:K,DATA!A:A,Table1[[#This Row],[Name]],DATA!F:F,"ConB")</f>
        <v>0</v>
      </c>
      <c r="AF36" s="44" t="e">
        <f t="shared" si="17"/>
        <v>#DIV/0!</v>
      </c>
    </row>
    <row r="37" spans="1:32" x14ac:dyDescent="0.2">
      <c r="A37" s="42">
        <v>37</v>
      </c>
      <c r="B37" s="42" t="s">
        <v>183</v>
      </c>
      <c r="C37" s="42" t="s">
        <v>93</v>
      </c>
      <c r="D37" s="43">
        <f>COUNTIF(DATA!$A$2:$A$9731,B37)</f>
        <v>44</v>
      </c>
      <c r="E37" s="43">
        <f>SUMIF(DATA!$A$2:$A$9077,B37,DATA!$J$2:$J$9077)</f>
        <v>66</v>
      </c>
      <c r="F37" s="43">
        <f>SUMIF(DATA!$A$2:$A$9077,B37,DATA!$K$2:$K$9077)</f>
        <v>49</v>
      </c>
      <c r="G37" s="38">
        <f t="shared" si="9"/>
        <v>115</v>
      </c>
      <c r="H37" s="39">
        <f t="shared" si="10"/>
        <v>0.57391304347826089</v>
      </c>
      <c r="I37" s="49">
        <f t="shared" si="11"/>
        <v>0.40909090909090912</v>
      </c>
      <c r="J37" s="50">
        <f>Table1[[#This Row],[Correct]]/Table1[[#This Row],['#Quizzes]]</f>
        <v>1.5</v>
      </c>
      <c r="K37" s="43">
        <f>SUMIF(DATA!$A$2:$A$9077,B37,DATA!$L$2:$L$9077)</f>
        <v>3</v>
      </c>
      <c r="L37" s="43">
        <f>SUMIF(DATA!$A$2:$A$9077,B37,DATA!$M$2:$M$79077)</f>
        <v>5</v>
      </c>
      <c r="M37" s="43">
        <f>SUMIF(DATA!$A$2:$A$9077,B37,DATA!$N$2:$N$9077)</f>
        <v>1</v>
      </c>
      <c r="N37" s="43">
        <f>SUMIF(DATA!$A$2:$A$9101,B37,DATA!$O$2:$O$9101)</f>
        <v>5</v>
      </c>
      <c r="O37" s="43">
        <f>SUMIF(DATA!$A$2:$A$9101,B37,DATA!$P$2:$P$9101)</f>
        <v>1</v>
      </c>
      <c r="P37" s="43">
        <f>SUMIF(DATA!$A$2:$A$9101,B37,DATA!$Q$2:$Q$9101)</f>
        <v>0</v>
      </c>
      <c r="Q37" s="43">
        <f>SUMIF(DATA!$A$2:$A$9078,B37,DATA!$R$2:$R$9078)</f>
        <v>4</v>
      </c>
      <c r="R37" s="45">
        <f t="shared" si="12"/>
        <v>9.0909090909090912E-2</v>
      </c>
      <c r="S37" s="43">
        <f>SUMIF(DATA!$A$2:$A$9078,B37,DATA!$S$2:$S$9078)</f>
        <v>5</v>
      </c>
      <c r="T37" s="45">
        <f t="shared" si="13"/>
        <v>0.11363636363636363</v>
      </c>
      <c r="U37" s="43">
        <f>SUMIFS(DATA!J:J,DATA!A:A,Table1[[#This Row],[Name]],DATA!F:F,"Pre")</f>
        <v>36</v>
      </c>
      <c r="V37" s="43">
        <f>SUMIFS(DATA!K:K,DATA!A:A,Table1[[#This Row],[Name]],DATA!F:F,"Pre")</f>
        <v>26</v>
      </c>
      <c r="W37" s="44">
        <f t="shared" si="14"/>
        <v>0.58064516129032262</v>
      </c>
      <c r="X37" s="43">
        <f>SUMIFS(DATA!J:J,DATA!A:A,Table1[[#This Row],[Name]],DATA!F:F,"Semi")</f>
        <v>0</v>
      </c>
      <c r="Y37" s="43">
        <f>SUMIFS(DATA!K:K,DATA!A:A,Table1[[#This Row],[Name]],DATA!F:F,"Semi")</f>
        <v>0</v>
      </c>
      <c r="Z37" s="44" t="e">
        <f t="shared" si="15"/>
        <v>#DIV/0!</v>
      </c>
      <c r="AA37" s="43">
        <f>SUMIFS(DATA!J:J,DATA!A:A,Table1[[#This Row],[Name]],DATA!F:F,"COnA")</f>
        <v>15</v>
      </c>
      <c r="AB37" s="43">
        <f>SUMIFS(DATA!K:K,DATA!A:A,Table1[[#This Row],[Name]],DATA!F:F,"ConA")</f>
        <v>15</v>
      </c>
      <c r="AC37" s="44">
        <f t="shared" si="16"/>
        <v>0.5</v>
      </c>
      <c r="AD37" s="43">
        <f>SUMIFS(DATA!J:J,DATA!A:A,Table1[[#This Row],[Name]],DATA!F:F,"ConB")</f>
        <v>15</v>
      </c>
      <c r="AE37" s="43">
        <f>SUMIFS(DATA!K:K,DATA!A:A,Table1[[#This Row],[Name]],DATA!F:F,"ConB")</f>
        <v>8</v>
      </c>
      <c r="AF37" s="44">
        <f t="shared" si="17"/>
        <v>0.65217391304347827</v>
      </c>
    </row>
    <row r="38" spans="1:32" x14ac:dyDescent="0.2">
      <c r="A38" s="42">
        <v>36</v>
      </c>
      <c r="B38" s="42" t="s">
        <v>134</v>
      </c>
      <c r="C38" s="42" t="s">
        <v>54</v>
      </c>
      <c r="D38" s="43">
        <f>COUNTIF(DATA!$A$2:$A$9731,B38)</f>
        <v>43</v>
      </c>
      <c r="E38" s="43">
        <f>SUMIF(DATA!$A$2:$A$9077,B38,DATA!$J$2:$J$9077)</f>
        <v>83</v>
      </c>
      <c r="F38" s="43">
        <f>SUMIF(DATA!$A$2:$A$9077,B38,DATA!$K$2:$K$9077)</f>
        <v>64</v>
      </c>
      <c r="G38" s="38">
        <f t="shared" si="9"/>
        <v>147</v>
      </c>
      <c r="H38" s="39">
        <f t="shared" si="10"/>
        <v>0.56462585034013602</v>
      </c>
      <c r="I38" s="49">
        <f t="shared" si="11"/>
        <v>0.48837209302325579</v>
      </c>
      <c r="J38" s="50">
        <f>Table1[[#This Row],[Correct]]/Table1[[#This Row],['#Quizzes]]</f>
        <v>1.930232558139535</v>
      </c>
      <c r="K38" s="43">
        <f>SUMIF(DATA!$A$2:$A$9077,B38,DATA!$L$2:$L$9077)</f>
        <v>1</v>
      </c>
      <c r="L38" s="43">
        <f>SUMIF(DATA!$A$2:$A$9077,B38,DATA!$M$2:$M$79077)</f>
        <v>6</v>
      </c>
      <c r="M38" s="43">
        <f>SUMIF(DATA!$A$2:$A$9077,B38,DATA!$N$2:$N$9077)</f>
        <v>3</v>
      </c>
      <c r="N38" s="43">
        <f>SUMIF(DATA!$A$2:$A$9101,B38,DATA!$O$2:$O$9101)</f>
        <v>5</v>
      </c>
      <c r="O38" s="43">
        <f>SUMIF(DATA!$A$2:$A$9101,B38,DATA!$P$2:$P$9101)</f>
        <v>0</v>
      </c>
      <c r="P38" s="43">
        <f>SUMIF(DATA!$A$2:$A$9101,B38,DATA!$Q$2:$Q$9101)</f>
        <v>0</v>
      </c>
      <c r="Q38" s="43">
        <f>SUMIF(DATA!$A$2:$A$9078,B38,DATA!$R$2:$R$9078)</f>
        <v>11</v>
      </c>
      <c r="R38" s="45">
        <f t="shared" si="12"/>
        <v>0.2558139534883721</v>
      </c>
      <c r="S38" s="43">
        <f>SUMIF(DATA!$A$2:$A$9078,B38,DATA!$S$2:$S$9078)</f>
        <v>9</v>
      </c>
      <c r="T38" s="45">
        <f t="shared" si="13"/>
        <v>0.20930232558139536</v>
      </c>
      <c r="U38" s="43">
        <f>SUMIFS(DATA!J:J,DATA!A:A,Table1[[#This Row],[Name]],DATA!F:F,"Pre")</f>
        <v>71</v>
      </c>
      <c r="V38" s="43">
        <f>SUMIFS(DATA!K:K,DATA!A:A,Table1[[#This Row],[Name]],DATA!F:F,"Pre")</f>
        <v>45</v>
      </c>
      <c r="W38" s="44">
        <f t="shared" si="14"/>
        <v>0.61206896551724133</v>
      </c>
      <c r="X38" s="43">
        <f>SUMIFS(DATA!J:J,DATA!A:A,Table1[[#This Row],[Name]],DATA!F:F,"Semi")</f>
        <v>12</v>
      </c>
      <c r="Y38" s="43">
        <f>SUMIFS(DATA!K:K,DATA!A:A,Table1[[#This Row],[Name]],DATA!F:F,"Semi")</f>
        <v>19</v>
      </c>
      <c r="Z38" s="44">
        <f t="shared" si="15"/>
        <v>0.38709677419354838</v>
      </c>
      <c r="AA38" s="43">
        <f>SUMIFS(DATA!J:J,DATA!A:A,Table1[[#This Row],[Name]],DATA!F:F,"COnA")</f>
        <v>0</v>
      </c>
      <c r="AB38" s="43">
        <f>SUMIFS(DATA!K:K,DATA!A:A,Table1[[#This Row],[Name]],DATA!F:F,"ConA")</f>
        <v>0</v>
      </c>
      <c r="AC38" s="44" t="e">
        <f t="shared" si="16"/>
        <v>#DIV/0!</v>
      </c>
      <c r="AD38" s="43">
        <f>SUMIFS(DATA!J:J,DATA!A:A,Table1[[#This Row],[Name]],DATA!F:F,"ConB")</f>
        <v>0</v>
      </c>
      <c r="AE38" s="43">
        <f>SUMIFS(DATA!K:K,DATA!A:A,Table1[[#This Row],[Name]],DATA!F:F,"ConB")</f>
        <v>0</v>
      </c>
      <c r="AF38" s="44" t="e">
        <f t="shared" si="17"/>
        <v>#DIV/0!</v>
      </c>
    </row>
    <row r="39" spans="1:32" x14ac:dyDescent="0.2">
      <c r="A39" s="42">
        <v>35</v>
      </c>
      <c r="B39" s="42" t="s">
        <v>36</v>
      </c>
      <c r="C39" s="42" t="s">
        <v>88</v>
      </c>
      <c r="D39" s="43">
        <f>COUNTIF(DATA!$A$2:$A$9731,B39)</f>
        <v>56</v>
      </c>
      <c r="E39" s="43">
        <f>SUMIF(DATA!$A$2:$A$9077,B39,DATA!$J$2:$J$9077)</f>
        <v>109</v>
      </c>
      <c r="F39" s="43">
        <f>SUMIF(DATA!$A$2:$A$9077,B39,DATA!$K$2:$K$9077)</f>
        <v>80</v>
      </c>
      <c r="G39" s="38">
        <f t="shared" si="9"/>
        <v>189</v>
      </c>
      <c r="H39" s="39">
        <f t="shared" si="10"/>
        <v>0.57671957671957674</v>
      </c>
      <c r="I39" s="49">
        <f t="shared" si="11"/>
        <v>0.44642857142857145</v>
      </c>
      <c r="J39" s="50">
        <f>Table1[[#This Row],[Correct]]/Table1[[#This Row],['#Quizzes]]</f>
        <v>1.9464285714285714</v>
      </c>
      <c r="K39" s="43">
        <f>SUMIF(DATA!$A$2:$A$9077,B39,DATA!$L$2:$L$9077)</f>
        <v>3</v>
      </c>
      <c r="L39" s="43">
        <f>SUMIF(DATA!$A$2:$A$9077,B39,DATA!$M$2:$M$79077)</f>
        <v>0</v>
      </c>
      <c r="M39" s="43">
        <f>SUMIF(DATA!$A$2:$A$9077,B39,DATA!$N$2:$N$9077)</f>
        <v>1</v>
      </c>
      <c r="N39" s="43">
        <f>SUMIF(DATA!$A$2:$A$9101,B39,DATA!$O$2:$O$9101)</f>
        <v>19</v>
      </c>
      <c r="O39" s="43">
        <f>SUMIF(DATA!$A$2:$A$9101,B39,DATA!$P$2:$P$9101)</f>
        <v>0</v>
      </c>
      <c r="P39" s="43">
        <f>SUMIF(DATA!$A$2:$A$9101,B39,DATA!$Q$2:$Q$9101)</f>
        <v>0</v>
      </c>
      <c r="Q39" s="43">
        <f>SUMIF(DATA!$A$2:$A$9078,B39,DATA!$R$2:$R$9078)</f>
        <v>10</v>
      </c>
      <c r="R39" s="45">
        <f t="shared" si="12"/>
        <v>0.17857142857142858</v>
      </c>
      <c r="S39" s="43">
        <f>SUMIF(DATA!$A$2:$A$9078,B39,DATA!$S$2:$S$9078)</f>
        <v>6</v>
      </c>
      <c r="T39" s="45">
        <f t="shared" si="13"/>
        <v>0.10714285714285714</v>
      </c>
      <c r="U39" s="43">
        <f>SUMIFS(DATA!J:J,DATA!A:A,Table1[[#This Row],[Name]],DATA!F:F,"Pre")</f>
        <v>68</v>
      </c>
      <c r="V39" s="43">
        <f>SUMIFS(DATA!K:K,DATA!A:A,Table1[[#This Row],[Name]],DATA!F:F,"Pre")</f>
        <v>44</v>
      </c>
      <c r="W39" s="44">
        <f t="shared" si="14"/>
        <v>0.6071428571428571</v>
      </c>
      <c r="X39" s="43">
        <f>SUMIFS(DATA!J:J,DATA!A:A,Table1[[#This Row],[Name]],DATA!F:F,"Semi")</f>
        <v>41</v>
      </c>
      <c r="Y39" s="43">
        <f>SUMIFS(DATA!K:K,DATA!A:A,Table1[[#This Row],[Name]],DATA!F:F,"Semi")</f>
        <v>36</v>
      </c>
      <c r="Z39" s="44">
        <f t="shared" si="15"/>
        <v>0.53246753246753242</v>
      </c>
      <c r="AA39" s="43">
        <f>SUMIFS(DATA!J:J,DATA!A:A,Table1[[#This Row],[Name]],DATA!F:F,"COnA")</f>
        <v>0</v>
      </c>
      <c r="AB39" s="43">
        <f>SUMIFS(DATA!K:K,DATA!A:A,Table1[[#This Row],[Name]],DATA!F:F,"ConA")</f>
        <v>0</v>
      </c>
      <c r="AC39" s="44" t="e">
        <f t="shared" si="16"/>
        <v>#DIV/0!</v>
      </c>
      <c r="AD39" s="43">
        <f>SUMIFS(DATA!J:J,DATA!A:A,Table1[[#This Row],[Name]],DATA!F:F,"ConB")</f>
        <v>0</v>
      </c>
      <c r="AE39" s="43">
        <f>SUMIFS(DATA!K:K,DATA!A:A,Table1[[#This Row],[Name]],DATA!F:F,"ConB")</f>
        <v>0</v>
      </c>
      <c r="AF39" s="44" t="e">
        <f t="shared" si="17"/>
        <v>#DIV/0!</v>
      </c>
    </row>
    <row r="40" spans="1:32" x14ac:dyDescent="0.2">
      <c r="A40" s="42">
        <v>40</v>
      </c>
      <c r="B40" s="42" t="s">
        <v>38</v>
      </c>
      <c r="C40" s="42" t="s">
        <v>93</v>
      </c>
      <c r="D40" s="43">
        <f>COUNTIF(DATA!$A$2:$A$9731,B40)</f>
        <v>47</v>
      </c>
      <c r="E40" s="43">
        <f>SUMIF(DATA!$A$2:$A$9077,B40,DATA!$J$2:$J$9077)</f>
        <v>51</v>
      </c>
      <c r="F40" s="43">
        <f>SUMIF(DATA!$A$2:$A$9077,B40,DATA!$K$2:$K$9077)</f>
        <v>20</v>
      </c>
      <c r="G40" s="38">
        <f t="shared" si="9"/>
        <v>71</v>
      </c>
      <c r="H40" s="39">
        <f t="shared" si="10"/>
        <v>0.71830985915492962</v>
      </c>
      <c r="I40" s="49">
        <f t="shared" si="11"/>
        <v>0.51063829787234039</v>
      </c>
      <c r="J40" s="50">
        <f>Table1[[#This Row],[Correct]]/Table1[[#This Row],['#Quizzes]]</f>
        <v>1.0851063829787233</v>
      </c>
      <c r="K40" s="43">
        <f>SUMIF(DATA!$A$2:$A$9077,B40,DATA!$L$2:$L$9077)</f>
        <v>1</v>
      </c>
      <c r="L40" s="43">
        <f>SUMIF(DATA!$A$2:$A$9077,B40,DATA!$M$2:$M$79077)</f>
        <v>4</v>
      </c>
      <c r="M40" s="43">
        <f>SUMIF(DATA!$A$2:$A$9077,B40,DATA!$N$2:$N$9077)</f>
        <v>10</v>
      </c>
      <c r="N40" s="43">
        <f>SUMIF(DATA!$A$2:$A$9101,B40,DATA!$O$2:$O$9101)</f>
        <v>2</v>
      </c>
      <c r="O40" s="43">
        <f>SUMIF(DATA!$A$2:$A$9101,B40,DATA!$P$2:$P$9101)</f>
        <v>0</v>
      </c>
      <c r="P40" s="43">
        <f>SUMIF(DATA!$A$2:$A$9101,B40,DATA!$Q$2:$Q$9101)</f>
        <v>0</v>
      </c>
      <c r="Q40" s="43">
        <f>SUMIF(DATA!$A$2:$A$9078,B40,DATA!$R$2:$R$9078)</f>
        <v>0</v>
      </c>
      <c r="R40" s="45">
        <f t="shared" si="12"/>
        <v>0</v>
      </c>
      <c r="S40" s="43">
        <f>SUMIF(DATA!$A$2:$A$9078,B40,DATA!$S$2:$S$9078)</f>
        <v>0</v>
      </c>
      <c r="T40" s="45">
        <f t="shared" si="13"/>
        <v>0</v>
      </c>
      <c r="U40" s="43">
        <f>SUMIFS(DATA!J:J,DATA!A:A,Table1[[#This Row],[Name]],DATA!F:F,"Pre")</f>
        <v>25</v>
      </c>
      <c r="V40" s="43">
        <f>SUMIFS(DATA!K:K,DATA!A:A,Table1[[#This Row],[Name]],DATA!F:F,"Pre")</f>
        <v>13</v>
      </c>
      <c r="W40" s="44">
        <f t="shared" si="14"/>
        <v>0.65789473684210531</v>
      </c>
      <c r="X40" s="43">
        <f>SUMIFS(DATA!J:J,DATA!A:A,Table1[[#This Row],[Name]],DATA!F:F,"Semi")</f>
        <v>0</v>
      </c>
      <c r="Y40" s="43">
        <f>SUMIFS(DATA!K:K,DATA!A:A,Table1[[#This Row],[Name]],DATA!F:F,"Semi")</f>
        <v>0</v>
      </c>
      <c r="Z40" s="44" t="e">
        <f t="shared" si="15"/>
        <v>#DIV/0!</v>
      </c>
      <c r="AA40" s="43">
        <f>SUMIFS(DATA!J:J,DATA!A:A,Table1[[#This Row],[Name]],DATA!F:F,"COnA")</f>
        <v>0</v>
      </c>
      <c r="AB40" s="43">
        <f>SUMIFS(DATA!K:K,DATA!A:A,Table1[[#This Row],[Name]],DATA!F:F,"ConA")</f>
        <v>0</v>
      </c>
      <c r="AC40" s="44" t="e">
        <f t="shared" si="16"/>
        <v>#DIV/0!</v>
      </c>
      <c r="AD40" s="43">
        <f>SUMIFS(DATA!J:J,DATA!A:A,Table1[[#This Row],[Name]],DATA!F:F,"ConB")</f>
        <v>26</v>
      </c>
      <c r="AE40" s="43">
        <f>SUMIFS(DATA!K:K,DATA!A:A,Table1[[#This Row],[Name]],DATA!F:F,"ConB")</f>
        <v>7</v>
      </c>
      <c r="AF40" s="44">
        <f t="shared" si="17"/>
        <v>0.78787878787878785</v>
      </c>
    </row>
    <row r="41" spans="1:32" x14ac:dyDescent="0.2">
      <c r="A41" s="42">
        <v>38</v>
      </c>
      <c r="B41" s="42" t="s">
        <v>156</v>
      </c>
      <c r="C41" s="42" t="s">
        <v>93</v>
      </c>
      <c r="D41" s="43">
        <f>COUNTIF(DATA!$A$2:$A$9731,B41)</f>
        <v>38</v>
      </c>
      <c r="E41" s="43">
        <f>SUMIF(DATA!$A$2:$A$9077,B41,DATA!$J$2:$J$9077)</f>
        <v>28</v>
      </c>
      <c r="F41" s="43">
        <f>SUMIF(DATA!$A$2:$A$9077,B41,DATA!$K$2:$K$9077)</f>
        <v>13</v>
      </c>
      <c r="G41" s="38">
        <f t="shared" si="9"/>
        <v>41</v>
      </c>
      <c r="H41" s="39">
        <f t="shared" si="10"/>
        <v>0.68292682926829273</v>
      </c>
      <c r="I41" s="49">
        <f t="shared" si="11"/>
        <v>0.42105263157894735</v>
      </c>
      <c r="J41" s="50">
        <f>Table1[[#This Row],[Correct]]/Table1[[#This Row],['#Quizzes]]</f>
        <v>0.73684210526315785</v>
      </c>
      <c r="K41" s="43">
        <f>SUMIF(DATA!$A$2:$A$9077,B41,DATA!$L$2:$L$9077)</f>
        <v>1</v>
      </c>
      <c r="L41" s="43">
        <f>SUMIF(DATA!$A$2:$A$9077,B41,DATA!$M$2:$M$79077)</f>
        <v>2</v>
      </c>
      <c r="M41" s="43">
        <f>SUMIF(DATA!$A$2:$A$9077,B41,DATA!$N$2:$N$9077)</f>
        <v>0</v>
      </c>
      <c r="N41" s="43">
        <f>SUMIF(DATA!$A$2:$A$9101,B41,DATA!$O$2:$O$9101)</f>
        <v>0</v>
      </c>
      <c r="O41" s="43">
        <f>SUMIF(DATA!$A$2:$A$9101,B41,DATA!$P$2:$P$9101)</f>
        <v>1</v>
      </c>
      <c r="P41" s="43">
        <f>SUMIF(DATA!$A$2:$A$9101,B41,DATA!$Q$2:$Q$9101)</f>
        <v>0</v>
      </c>
      <c r="Q41" s="43">
        <f>SUMIF(DATA!$A$2:$A$9078,B41,DATA!$R$2:$R$9078)</f>
        <v>0</v>
      </c>
      <c r="R41" s="45">
        <f t="shared" si="12"/>
        <v>0</v>
      </c>
      <c r="S41" s="43">
        <f>SUMIF(DATA!$A$2:$A$9078,B41,DATA!$S$2:$S$9078)</f>
        <v>0</v>
      </c>
      <c r="T41" s="45">
        <f t="shared" si="13"/>
        <v>0</v>
      </c>
      <c r="U41" s="43">
        <f>SUMIFS(DATA!J:J,DATA!A:A,Table1[[#This Row],[Name]],DATA!F:F,"Pre")</f>
        <v>12</v>
      </c>
      <c r="V41" s="43">
        <f>SUMIFS(DATA!K:K,DATA!A:A,Table1[[#This Row],[Name]],DATA!F:F,"Pre")</f>
        <v>5</v>
      </c>
      <c r="W41" s="44">
        <f t="shared" si="14"/>
        <v>0.70588235294117652</v>
      </c>
      <c r="X41" s="43">
        <f>SUMIFS(DATA!J:J,DATA!A:A,Table1[[#This Row],[Name]],DATA!F:F,"Semi")</f>
        <v>0</v>
      </c>
      <c r="Y41" s="43">
        <f>SUMIFS(DATA!K:K,DATA!A:A,Table1[[#This Row],[Name]],DATA!F:F,"Semi")</f>
        <v>0</v>
      </c>
      <c r="Z41" s="44" t="e">
        <f t="shared" si="15"/>
        <v>#DIV/0!</v>
      </c>
      <c r="AA41" s="43">
        <f>SUMIFS(DATA!J:J,DATA!A:A,Table1[[#This Row],[Name]],DATA!F:F,"COnA")</f>
        <v>0</v>
      </c>
      <c r="AB41" s="43">
        <f>SUMIFS(DATA!K:K,DATA!A:A,Table1[[#This Row],[Name]],DATA!F:F,"ConA")</f>
        <v>0</v>
      </c>
      <c r="AC41" s="44" t="e">
        <f t="shared" si="16"/>
        <v>#DIV/0!</v>
      </c>
      <c r="AD41" s="43">
        <f>SUMIFS(DATA!J:J,DATA!A:A,Table1[[#This Row],[Name]],DATA!F:F,"ConB")</f>
        <v>16</v>
      </c>
      <c r="AE41" s="43">
        <f>SUMIFS(DATA!K:K,DATA!A:A,Table1[[#This Row],[Name]],DATA!F:F,"ConB")</f>
        <v>8</v>
      </c>
      <c r="AF41" s="44">
        <f t="shared" si="17"/>
        <v>0.66666666666666663</v>
      </c>
    </row>
    <row r="42" spans="1:32" x14ac:dyDescent="0.2">
      <c r="A42" s="42">
        <v>43</v>
      </c>
      <c r="B42" s="42" t="s">
        <v>174</v>
      </c>
      <c r="C42" s="42" t="s">
        <v>93</v>
      </c>
      <c r="D42" s="43">
        <f>COUNTIF(DATA!$A$2:$A$9731,B42)</f>
        <v>34</v>
      </c>
      <c r="E42" s="43">
        <f>SUMIF(DATA!$A$2:$A$9077,B42,DATA!$J$2:$J$9077)</f>
        <v>26</v>
      </c>
      <c r="F42" s="43">
        <f>SUMIF(DATA!$A$2:$A$9077,B42,DATA!$K$2:$K$9077)</f>
        <v>13</v>
      </c>
      <c r="G42" s="38">
        <f t="shared" si="9"/>
        <v>39</v>
      </c>
      <c r="H42" s="39">
        <f t="shared" si="10"/>
        <v>0.66666666666666663</v>
      </c>
      <c r="I42" s="49">
        <f t="shared" si="11"/>
        <v>0.38235294117647056</v>
      </c>
      <c r="J42" s="50">
        <f>Table1[[#This Row],[Correct]]/Table1[[#This Row],['#Quizzes]]</f>
        <v>0.76470588235294112</v>
      </c>
      <c r="K42" s="43">
        <f>SUMIF(DATA!$A$2:$A$9077,B42,DATA!$L$2:$L$9077)</f>
        <v>1</v>
      </c>
      <c r="L42" s="43">
        <f>SUMIF(DATA!$A$2:$A$9077,B42,DATA!$M$2:$M$79077)</f>
        <v>1</v>
      </c>
      <c r="M42" s="43">
        <f>SUMIF(DATA!$A$2:$A$9077,B42,DATA!$N$2:$N$9077)</f>
        <v>0</v>
      </c>
      <c r="N42" s="43">
        <f>SUMIF(DATA!$A$2:$A$9101,B42,DATA!$O$2:$O$9101)</f>
        <v>2</v>
      </c>
      <c r="O42" s="43">
        <f>SUMIF(DATA!$A$2:$A$9101,B42,DATA!$P$2:$P$9101)</f>
        <v>1</v>
      </c>
      <c r="P42" s="43">
        <f>SUMIF(DATA!$A$2:$A$9101,B42,DATA!$Q$2:$Q$9101)</f>
        <v>0</v>
      </c>
      <c r="Q42" s="43">
        <f>SUMIF(DATA!$A$2:$A$9078,B42,DATA!$R$2:$R$9078)</f>
        <v>0</v>
      </c>
      <c r="R42" s="45">
        <f t="shared" si="12"/>
        <v>0</v>
      </c>
      <c r="S42" s="43">
        <f>SUMIF(DATA!$A$2:$A$9078,B42,DATA!$S$2:$S$9078)</f>
        <v>0</v>
      </c>
      <c r="T42" s="45">
        <f t="shared" si="13"/>
        <v>0</v>
      </c>
      <c r="U42" s="43">
        <f>SUMIFS(DATA!J:J,DATA!A:A,Table1[[#This Row],[Name]],DATA!F:F,"Pre")</f>
        <v>16</v>
      </c>
      <c r="V42" s="43">
        <f>SUMIFS(DATA!K:K,DATA!A:A,Table1[[#This Row],[Name]],DATA!F:F,"Pre")</f>
        <v>7</v>
      </c>
      <c r="W42" s="44">
        <f t="shared" si="14"/>
        <v>0.69565217391304346</v>
      </c>
      <c r="X42" s="43">
        <f>SUMIFS(DATA!J:J,DATA!A:A,Table1[[#This Row],[Name]],DATA!F:F,"Semi")</f>
        <v>0</v>
      </c>
      <c r="Y42" s="43">
        <f>SUMIFS(DATA!K:K,DATA!A:A,Table1[[#This Row],[Name]],DATA!F:F,"Semi")</f>
        <v>0</v>
      </c>
      <c r="Z42" s="44" t="e">
        <f t="shared" si="15"/>
        <v>#DIV/0!</v>
      </c>
      <c r="AA42" s="43">
        <f>SUMIFS(DATA!J:J,DATA!A:A,Table1[[#This Row],[Name]],DATA!F:F,"COnA")</f>
        <v>5</v>
      </c>
      <c r="AB42" s="43">
        <f>SUMIFS(DATA!K:K,DATA!A:A,Table1[[#This Row],[Name]],DATA!F:F,"ConA")</f>
        <v>3</v>
      </c>
      <c r="AC42" s="44">
        <f t="shared" si="16"/>
        <v>0.625</v>
      </c>
      <c r="AD42" s="43">
        <f>SUMIFS(DATA!J:J,DATA!A:A,Table1[[#This Row],[Name]],DATA!F:F,"ConB")</f>
        <v>5</v>
      </c>
      <c r="AE42" s="43">
        <f>SUMIFS(DATA!K:K,DATA!A:A,Table1[[#This Row],[Name]],DATA!F:F,"ConB")</f>
        <v>3</v>
      </c>
      <c r="AF42" s="44">
        <f t="shared" si="17"/>
        <v>0.625</v>
      </c>
    </row>
    <row r="43" spans="1:32" x14ac:dyDescent="0.2">
      <c r="A43" s="42">
        <v>39</v>
      </c>
      <c r="B43" s="42" t="s">
        <v>23</v>
      </c>
      <c r="C43" s="42" t="s">
        <v>94</v>
      </c>
      <c r="D43" s="43">
        <f>COUNTIF(DATA!$A$2:$A$9731,B43)</f>
        <v>46</v>
      </c>
      <c r="E43" s="43">
        <f>SUMIF(DATA!$A$2:$A$9077,B43,DATA!$J$2:$J$9077)</f>
        <v>72</v>
      </c>
      <c r="F43" s="43">
        <f>SUMIF(DATA!$A$2:$A$9077,B43,DATA!$K$2:$K$9077)</f>
        <v>44</v>
      </c>
      <c r="G43" s="38">
        <f t="shared" si="9"/>
        <v>116</v>
      </c>
      <c r="H43" s="39">
        <f t="shared" si="10"/>
        <v>0.62068965517241381</v>
      </c>
      <c r="I43" s="49">
        <f t="shared" si="11"/>
        <v>0.41304347826086957</v>
      </c>
      <c r="J43" s="50">
        <f>Table1[[#This Row],[Correct]]/Table1[[#This Row],['#Quizzes]]</f>
        <v>1.5652173913043479</v>
      </c>
      <c r="K43" s="43">
        <f>SUMIF(DATA!$A$2:$A$9077,B43,DATA!$L$2:$L$9077)</f>
        <v>0</v>
      </c>
      <c r="L43" s="43">
        <f>SUMIF(DATA!$A$2:$A$9077,B43,DATA!$M$2:$M$79077)</f>
        <v>6</v>
      </c>
      <c r="M43" s="43">
        <f>SUMIF(DATA!$A$2:$A$9077,B43,DATA!$N$2:$N$9077)</f>
        <v>15</v>
      </c>
      <c r="N43" s="43">
        <f>SUMIF(DATA!$A$2:$A$9101,B43,DATA!$O$2:$O$9101)</f>
        <v>0</v>
      </c>
      <c r="O43" s="43">
        <f>SUMIF(DATA!$A$2:$A$9101,B43,DATA!$P$2:$P$9101)</f>
        <v>0</v>
      </c>
      <c r="P43" s="43">
        <f>SUMIF(DATA!$A$2:$A$9101,B43,DATA!$Q$2:$Q$9101)</f>
        <v>0</v>
      </c>
      <c r="Q43" s="43">
        <f>SUMIF(DATA!$A$2:$A$9078,B43,DATA!$R$2:$R$9078)</f>
        <v>2</v>
      </c>
      <c r="R43" s="45">
        <f t="shared" si="12"/>
        <v>4.3478260869565216E-2</v>
      </c>
      <c r="S43" s="43">
        <f>SUMIF(DATA!$A$2:$A$9078,B43,DATA!$S$2:$S$9078)</f>
        <v>2</v>
      </c>
      <c r="T43" s="45">
        <f t="shared" si="13"/>
        <v>4.3478260869565216E-2</v>
      </c>
      <c r="U43" s="43">
        <f>SUMIFS(DATA!J:J,DATA!A:A,Table1[[#This Row],[Name]],DATA!F:F,"Pre")</f>
        <v>34</v>
      </c>
      <c r="V43" s="43">
        <f>SUMIFS(DATA!K:K,DATA!A:A,Table1[[#This Row],[Name]],DATA!F:F,"Pre")</f>
        <v>32</v>
      </c>
      <c r="W43" s="44">
        <f t="shared" si="14"/>
        <v>0.51515151515151514</v>
      </c>
      <c r="X43" s="43">
        <f>SUMIFS(DATA!J:J,DATA!A:A,Table1[[#This Row],[Name]],DATA!F:F,"Semi")</f>
        <v>0</v>
      </c>
      <c r="Y43" s="43">
        <f>SUMIFS(DATA!K:K,DATA!A:A,Table1[[#This Row],[Name]],DATA!F:F,"Semi")</f>
        <v>0</v>
      </c>
      <c r="Z43" s="44" t="e">
        <f t="shared" si="15"/>
        <v>#DIV/0!</v>
      </c>
      <c r="AA43" s="43">
        <f>SUMIFS(DATA!J:J,DATA!A:A,Table1[[#This Row],[Name]],DATA!F:F,"COnA")</f>
        <v>0</v>
      </c>
      <c r="AB43" s="43">
        <f>SUMIFS(DATA!K:K,DATA!A:A,Table1[[#This Row],[Name]],DATA!F:F,"ConA")</f>
        <v>0</v>
      </c>
      <c r="AC43" s="44" t="e">
        <f t="shared" si="16"/>
        <v>#DIV/0!</v>
      </c>
      <c r="AD43" s="43">
        <f>SUMIFS(DATA!J:J,DATA!A:A,Table1[[#This Row],[Name]],DATA!F:F,"ConB")</f>
        <v>38</v>
      </c>
      <c r="AE43" s="43">
        <f>SUMIFS(DATA!K:K,DATA!A:A,Table1[[#This Row],[Name]],DATA!F:F,"ConB")</f>
        <v>12</v>
      </c>
      <c r="AF43" s="44">
        <f t="shared" si="17"/>
        <v>0.76</v>
      </c>
    </row>
    <row r="44" spans="1:32" x14ac:dyDescent="0.2">
      <c r="A44" s="42">
        <v>42</v>
      </c>
      <c r="B44" s="42" t="s">
        <v>121</v>
      </c>
      <c r="C44" s="42" t="s">
        <v>95</v>
      </c>
      <c r="D44" s="43">
        <f>COUNTIF(DATA!$A$2:$A$9731,B44)</f>
        <v>45</v>
      </c>
      <c r="E44" s="43">
        <f>SUMIF(DATA!$A$2:$A$9077,B44,DATA!$J$2:$J$9077)</f>
        <v>27</v>
      </c>
      <c r="F44" s="43">
        <f>SUMIF(DATA!$A$2:$A$9077,B44,DATA!$K$2:$K$9077)</f>
        <v>11</v>
      </c>
      <c r="G44" s="38">
        <f t="shared" si="9"/>
        <v>38</v>
      </c>
      <c r="H44" s="39">
        <f t="shared" si="10"/>
        <v>0.71052631578947367</v>
      </c>
      <c r="I44" s="49">
        <f t="shared" si="11"/>
        <v>0.33333333333333331</v>
      </c>
      <c r="J44" s="50">
        <f>Table1[[#This Row],[Correct]]/Table1[[#This Row],['#Quizzes]]</f>
        <v>0.6</v>
      </c>
      <c r="K44" s="43">
        <f>SUMIF(DATA!$A$2:$A$9077,B44,DATA!$L$2:$L$9077)</f>
        <v>1</v>
      </c>
      <c r="L44" s="43">
        <f>SUMIF(DATA!$A$2:$A$9077,B44,DATA!$M$2:$M$79077)</f>
        <v>0</v>
      </c>
      <c r="M44" s="43">
        <f>SUMIF(DATA!$A$2:$A$9077,B44,DATA!$N$2:$N$9077)</f>
        <v>0</v>
      </c>
      <c r="N44" s="43">
        <f>SUMIF(DATA!$A$2:$A$9101,B44,DATA!$O$2:$O$9101)</f>
        <v>4</v>
      </c>
      <c r="O44" s="43">
        <f>SUMIF(DATA!$A$2:$A$9101,B44,DATA!$P$2:$P$9101)</f>
        <v>0</v>
      </c>
      <c r="P44" s="43">
        <f>SUMIF(DATA!$A$2:$A$9101,B44,DATA!$Q$2:$Q$9101)</f>
        <v>0</v>
      </c>
      <c r="Q44" s="43">
        <f>SUMIF(DATA!$A$2:$A$9078,B44,DATA!$R$2:$R$9078)</f>
        <v>1</v>
      </c>
      <c r="R44" s="45">
        <f t="shared" si="12"/>
        <v>2.2222222222222223E-2</v>
      </c>
      <c r="S44" s="43">
        <f>SUMIF(DATA!$A$2:$A$9078,B44,DATA!$S$2:$S$9078)</f>
        <v>0</v>
      </c>
      <c r="T44" s="45">
        <f t="shared" si="13"/>
        <v>0</v>
      </c>
      <c r="U44" s="43">
        <f>SUMIFS(DATA!J:J,DATA!A:A,Table1[[#This Row],[Name]],DATA!F:F,"Pre")</f>
        <v>19</v>
      </c>
      <c r="V44" s="43">
        <f>SUMIFS(DATA!K:K,DATA!A:A,Table1[[#This Row],[Name]],DATA!F:F,"Pre")</f>
        <v>7</v>
      </c>
      <c r="W44" s="44">
        <f t="shared" si="14"/>
        <v>0.73076923076923073</v>
      </c>
      <c r="X44" s="43">
        <f>SUMIFS(DATA!J:J,DATA!A:A,Table1[[#This Row],[Name]],DATA!F:F,"Semi")</f>
        <v>0</v>
      </c>
      <c r="Y44" s="43">
        <f>SUMIFS(DATA!K:K,DATA!A:A,Table1[[#This Row],[Name]],DATA!F:F,"Semi")</f>
        <v>0</v>
      </c>
      <c r="Z44" s="44" t="e">
        <f t="shared" si="15"/>
        <v>#DIV/0!</v>
      </c>
      <c r="AA44" s="43">
        <f>SUMIFS(DATA!J:J,DATA!A:A,Table1[[#This Row],[Name]],DATA!F:F,"COnA")</f>
        <v>8</v>
      </c>
      <c r="AB44" s="43">
        <f>SUMIFS(DATA!K:K,DATA!A:A,Table1[[#This Row],[Name]],DATA!F:F,"ConA")</f>
        <v>4</v>
      </c>
      <c r="AC44" s="44">
        <f t="shared" si="16"/>
        <v>0.66666666666666663</v>
      </c>
      <c r="AD44" s="43">
        <f>SUMIFS(DATA!J:J,DATA!A:A,Table1[[#This Row],[Name]],DATA!F:F,"ConB")</f>
        <v>0</v>
      </c>
      <c r="AE44" s="43">
        <f>SUMIFS(DATA!K:K,DATA!A:A,Table1[[#This Row],[Name]],DATA!F:F,"ConB")</f>
        <v>0</v>
      </c>
      <c r="AF44" s="44" t="e">
        <f t="shared" si="17"/>
        <v>#DIV/0!</v>
      </c>
    </row>
    <row r="45" spans="1:32" x14ac:dyDescent="0.2">
      <c r="A45" s="42">
        <v>45</v>
      </c>
      <c r="B45" s="42" t="s">
        <v>35</v>
      </c>
      <c r="C45" s="42" t="s">
        <v>88</v>
      </c>
      <c r="D45" s="43">
        <f>COUNTIF(DATA!$A$2:$A$9731,B45)</f>
        <v>49</v>
      </c>
      <c r="E45" s="43">
        <f>SUMIF(DATA!$A$2:$A$9077,B45,DATA!$J$2:$J$9077)</f>
        <v>46</v>
      </c>
      <c r="F45" s="43">
        <f>SUMIF(DATA!$A$2:$A$9077,B45,DATA!$K$2:$K$9077)</f>
        <v>35</v>
      </c>
      <c r="G45" s="38">
        <f t="shared" si="9"/>
        <v>81</v>
      </c>
      <c r="H45" s="39">
        <f t="shared" si="10"/>
        <v>0.5679012345679012</v>
      </c>
      <c r="I45" s="49">
        <f t="shared" si="11"/>
        <v>0.20408163265306123</v>
      </c>
      <c r="J45" s="50">
        <f>Table1[[#This Row],[Correct]]/Table1[[#This Row],['#Quizzes]]</f>
        <v>0.93877551020408168</v>
      </c>
      <c r="K45" s="43">
        <f>SUMIF(DATA!$A$2:$A$9077,B45,DATA!$L$2:$L$9077)</f>
        <v>0</v>
      </c>
      <c r="L45" s="43">
        <f>SUMIF(DATA!$A$2:$A$9077,B45,DATA!$M$2:$M$79077)</f>
        <v>2</v>
      </c>
      <c r="M45" s="43">
        <f>SUMIF(DATA!$A$2:$A$9077,B45,DATA!$N$2:$N$9077)</f>
        <v>3</v>
      </c>
      <c r="N45" s="43">
        <f>SUMIF(DATA!$A$2:$A$9101,B45,DATA!$O$2:$O$9101)</f>
        <v>3</v>
      </c>
      <c r="O45" s="43">
        <f>SUMIF(DATA!$A$2:$A$9101,B45,DATA!$P$2:$P$9101)</f>
        <v>0</v>
      </c>
      <c r="P45" s="43">
        <f>SUMIF(DATA!$A$2:$A$9101,B45,DATA!$Q$2:$Q$9101)</f>
        <v>0</v>
      </c>
      <c r="Q45" s="43">
        <f>SUMIF(DATA!$A$2:$A$9078,B45,DATA!$R$2:$R$9078)</f>
        <v>1</v>
      </c>
      <c r="R45" s="45">
        <f t="shared" si="12"/>
        <v>2.0408163265306121E-2</v>
      </c>
      <c r="S45" s="43">
        <f>SUMIF(DATA!$A$2:$A$9078,B45,DATA!$S$2:$S$9078)</f>
        <v>2</v>
      </c>
      <c r="T45" s="45">
        <f t="shared" si="13"/>
        <v>4.0816326530612242E-2</v>
      </c>
      <c r="U45" s="43">
        <f>SUMIFS(DATA!J:J,DATA!A:A,Table1[[#This Row],[Name]],DATA!F:F,"Pre")</f>
        <v>22</v>
      </c>
      <c r="V45" s="43">
        <f>SUMIFS(DATA!K:K,DATA!A:A,Table1[[#This Row],[Name]],DATA!F:F,"Pre")</f>
        <v>18</v>
      </c>
      <c r="W45" s="44">
        <f t="shared" si="14"/>
        <v>0.55000000000000004</v>
      </c>
      <c r="X45" s="43">
        <f>SUMIFS(DATA!J:J,DATA!A:A,Table1[[#This Row],[Name]],DATA!F:F,"Semi")</f>
        <v>0</v>
      </c>
      <c r="Y45" s="43">
        <f>SUMIFS(DATA!K:K,DATA!A:A,Table1[[#This Row],[Name]],DATA!F:F,"Semi")</f>
        <v>0</v>
      </c>
      <c r="Z45" s="44" t="e">
        <f t="shared" si="15"/>
        <v>#DIV/0!</v>
      </c>
      <c r="AA45" s="43">
        <f>SUMIFS(DATA!J:J,DATA!A:A,Table1[[#This Row],[Name]],DATA!F:F,"COnA")</f>
        <v>10</v>
      </c>
      <c r="AB45" s="43">
        <f>SUMIFS(DATA!K:K,DATA!A:A,Table1[[#This Row],[Name]],DATA!F:F,"ConA")</f>
        <v>5</v>
      </c>
      <c r="AC45" s="44">
        <f t="shared" si="16"/>
        <v>0.66666666666666663</v>
      </c>
      <c r="AD45" s="43">
        <f>SUMIFS(DATA!J:J,DATA!A:A,Table1[[#This Row],[Name]],DATA!F:F,"ConB")</f>
        <v>14</v>
      </c>
      <c r="AE45" s="43">
        <f>SUMIFS(DATA!K:K,DATA!A:A,Table1[[#This Row],[Name]],DATA!F:F,"ConB")</f>
        <v>12</v>
      </c>
      <c r="AF45" s="44">
        <f t="shared" si="17"/>
        <v>0.53846153846153844</v>
      </c>
    </row>
    <row r="46" spans="1:32" x14ac:dyDescent="0.2">
      <c r="A46" s="42">
        <v>44</v>
      </c>
      <c r="B46" s="42" t="s">
        <v>113</v>
      </c>
      <c r="C46" s="42" t="s">
        <v>95</v>
      </c>
      <c r="D46" s="43">
        <f>COUNTIF(DATA!$A$2:$A$9731,B46)</f>
        <v>45</v>
      </c>
      <c r="E46" s="43">
        <f>SUMIF(DATA!$A$2:$A$9077,B46,DATA!$J$2:$J$9077)</f>
        <v>26</v>
      </c>
      <c r="F46" s="43">
        <f>SUMIF(DATA!$A$2:$A$9077,B46,DATA!$K$2:$K$9077)</f>
        <v>13</v>
      </c>
      <c r="G46" s="38">
        <f t="shared" si="9"/>
        <v>39</v>
      </c>
      <c r="H46" s="39">
        <f t="shared" si="10"/>
        <v>0.66666666666666663</v>
      </c>
      <c r="I46" s="49">
        <f t="shared" si="11"/>
        <v>0.26666666666666666</v>
      </c>
      <c r="J46" s="50">
        <f>Table1[[#This Row],[Correct]]/Table1[[#This Row],['#Quizzes]]</f>
        <v>0.57777777777777772</v>
      </c>
      <c r="K46" s="43">
        <f>SUMIF(DATA!$A$2:$A$9077,B46,DATA!$L$2:$L$9077)</f>
        <v>1</v>
      </c>
      <c r="L46" s="43">
        <f>SUMIF(DATA!$A$2:$A$9077,B46,DATA!$M$2:$M$79077)</f>
        <v>1</v>
      </c>
      <c r="M46" s="43">
        <f>SUMIF(DATA!$A$2:$A$9077,B46,DATA!$N$2:$N$9077)</f>
        <v>1</v>
      </c>
      <c r="N46" s="43">
        <f>SUMIF(DATA!$A$2:$A$9101,B46,DATA!$O$2:$O$9101)</f>
        <v>3</v>
      </c>
      <c r="O46" s="43">
        <f>SUMIF(DATA!$A$2:$A$9101,B46,DATA!$P$2:$P$9101)</f>
        <v>0</v>
      </c>
      <c r="P46" s="43">
        <f>SUMIF(DATA!$A$2:$A$9101,B46,DATA!$Q$2:$Q$9101)</f>
        <v>0</v>
      </c>
      <c r="Q46" s="43">
        <f>SUMIF(DATA!$A$2:$A$9078,B46,DATA!$R$2:$R$9078)</f>
        <v>1</v>
      </c>
      <c r="R46" s="45">
        <f t="shared" si="12"/>
        <v>2.2222222222222223E-2</v>
      </c>
      <c r="S46" s="43">
        <f>SUMIF(DATA!$A$2:$A$9078,B46,DATA!$S$2:$S$9078)</f>
        <v>0</v>
      </c>
      <c r="T46" s="45">
        <f t="shared" si="13"/>
        <v>0</v>
      </c>
      <c r="U46" s="43">
        <f>SUMIFS(DATA!J:J,DATA!A:A,Table1[[#This Row],[Name]],DATA!F:F,"Pre")</f>
        <v>11</v>
      </c>
      <c r="V46" s="43">
        <f>SUMIFS(DATA!K:K,DATA!A:A,Table1[[#This Row],[Name]],DATA!F:F,"Pre")</f>
        <v>5</v>
      </c>
      <c r="W46" s="44">
        <f t="shared" si="14"/>
        <v>0.6875</v>
      </c>
      <c r="X46" s="43">
        <f>SUMIFS(DATA!J:J,DATA!A:A,Table1[[#This Row],[Name]],DATA!F:F,"Semi")</f>
        <v>0</v>
      </c>
      <c r="Y46" s="43">
        <f>SUMIFS(DATA!K:K,DATA!A:A,Table1[[#This Row],[Name]],DATA!F:F,"Semi")</f>
        <v>0</v>
      </c>
      <c r="Z46" s="44" t="e">
        <f t="shared" si="15"/>
        <v>#DIV/0!</v>
      </c>
      <c r="AA46" s="43">
        <f>SUMIFS(DATA!J:J,DATA!A:A,Table1[[#This Row],[Name]],DATA!F:F,"COnA")</f>
        <v>15</v>
      </c>
      <c r="AB46" s="43">
        <f>SUMIFS(DATA!K:K,DATA!A:A,Table1[[#This Row],[Name]],DATA!F:F,"ConA")</f>
        <v>8</v>
      </c>
      <c r="AC46" s="44">
        <f t="shared" si="16"/>
        <v>0.65217391304347827</v>
      </c>
      <c r="AD46" s="43">
        <f>SUMIFS(DATA!J:J,DATA!A:A,Table1[[#This Row],[Name]],DATA!F:F,"ConB")</f>
        <v>0</v>
      </c>
      <c r="AE46" s="43">
        <f>SUMIFS(DATA!K:K,DATA!A:A,Table1[[#This Row],[Name]],DATA!F:F,"ConB")</f>
        <v>0</v>
      </c>
      <c r="AF46" s="44" t="e">
        <f t="shared" si="17"/>
        <v>#DIV/0!</v>
      </c>
    </row>
    <row r="47" spans="1:32" x14ac:dyDescent="0.2">
      <c r="A47" s="42">
        <v>52</v>
      </c>
      <c r="B47" s="42" t="s">
        <v>142</v>
      </c>
      <c r="C47" s="42" t="s">
        <v>88</v>
      </c>
      <c r="D47" s="43">
        <f>COUNTIF(DATA!$A$2:$A$9731,B47)</f>
        <v>46</v>
      </c>
      <c r="E47" s="43">
        <f>SUMIF(DATA!$A$2:$A$9077,B47,DATA!$J$2:$J$9077)</f>
        <v>23</v>
      </c>
      <c r="F47" s="43">
        <f>SUMIF(DATA!$A$2:$A$9077,B47,DATA!$K$2:$K$9077)</f>
        <v>14</v>
      </c>
      <c r="G47" s="38">
        <f t="shared" si="9"/>
        <v>37</v>
      </c>
      <c r="H47" s="39">
        <f t="shared" si="10"/>
        <v>0.6216216216216216</v>
      </c>
      <c r="I47" s="49">
        <f t="shared" si="11"/>
        <v>0.2391304347826087</v>
      </c>
      <c r="J47" s="50">
        <f>Table1[[#This Row],[Correct]]/Table1[[#This Row],['#Quizzes]]</f>
        <v>0.5</v>
      </c>
      <c r="K47" s="43">
        <f>SUMIF(DATA!$A$2:$A$9077,B47,DATA!$L$2:$L$9077)</f>
        <v>0</v>
      </c>
      <c r="L47" s="43">
        <f>SUMIF(DATA!$A$2:$A$9077,B47,DATA!$M$2:$M$79077)</f>
        <v>2</v>
      </c>
      <c r="M47" s="43">
        <f>SUMIF(DATA!$A$2:$A$9077,B47,DATA!$N$2:$N$9077)</f>
        <v>0</v>
      </c>
      <c r="N47" s="43">
        <f>SUMIF(DATA!$A$2:$A$9101,B47,DATA!$O$2:$O$9101)</f>
        <v>0</v>
      </c>
      <c r="O47" s="43">
        <f>SUMIF(DATA!$A$2:$A$9101,B47,DATA!$P$2:$P$9101)</f>
        <v>0</v>
      </c>
      <c r="P47" s="43">
        <f>SUMIF(DATA!$A$2:$A$9101,B47,DATA!$Q$2:$Q$9101)</f>
        <v>0</v>
      </c>
      <c r="Q47" s="43">
        <f>SUMIF(DATA!$A$2:$A$9078,B47,DATA!$R$2:$R$9078)</f>
        <v>1</v>
      </c>
      <c r="R47" s="45">
        <f t="shared" si="12"/>
        <v>2.1739130434782608E-2</v>
      </c>
      <c r="S47" s="43">
        <f>SUMIF(DATA!$A$2:$A$9078,B47,DATA!$S$2:$S$9078)</f>
        <v>0</v>
      </c>
      <c r="T47" s="45">
        <f t="shared" si="13"/>
        <v>0</v>
      </c>
      <c r="U47" s="43">
        <f>SUMIFS(DATA!J:J,DATA!A:A,Table1[[#This Row],[Name]],DATA!F:F,"Pre")</f>
        <v>11</v>
      </c>
      <c r="V47" s="43">
        <f>SUMIFS(DATA!K:K,DATA!A:A,Table1[[#This Row],[Name]],DATA!F:F,"Pre")</f>
        <v>6</v>
      </c>
      <c r="W47" s="44">
        <f t="shared" si="14"/>
        <v>0.6470588235294118</v>
      </c>
      <c r="X47" s="43">
        <f>SUMIFS(DATA!J:J,DATA!A:A,Table1[[#This Row],[Name]],DATA!F:F,"Semi")</f>
        <v>0</v>
      </c>
      <c r="Y47" s="43">
        <f>SUMIFS(DATA!K:K,DATA!A:A,Table1[[#This Row],[Name]],DATA!F:F,"Semi")</f>
        <v>1</v>
      </c>
      <c r="Z47" s="44">
        <f t="shared" si="15"/>
        <v>0</v>
      </c>
      <c r="AA47" s="43">
        <f>SUMIFS(DATA!J:J,DATA!A:A,Table1[[#This Row],[Name]],DATA!F:F,"COnA")</f>
        <v>4</v>
      </c>
      <c r="AB47" s="43">
        <f>SUMIFS(DATA!K:K,DATA!A:A,Table1[[#This Row],[Name]],DATA!F:F,"ConA")</f>
        <v>3</v>
      </c>
      <c r="AC47" s="44">
        <f t="shared" si="16"/>
        <v>0.5714285714285714</v>
      </c>
      <c r="AD47" s="43">
        <f>SUMIFS(DATA!J:J,DATA!A:A,Table1[[#This Row],[Name]],DATA!F:F,"ConB")</f>
        <v>8</v>
      </c>
      <c r="AE47" s="43">
        <f>SUMIFS(DATA!K:K,DATA!A:A,Table1[[#This Row],[Name]],DATA!F:F,"ConB")</f>
        <v>4</v>
      </c>
      <c r="AF47" s="44">
        <f t="shared" si="17"/>
        <v>0.66666666666666663</v>
      </c>
    </row>
    <row r="48" spans="1:32" x14ac:dyDescent="0.2">
      <c r="A48" s="42">
        <v>55</v>
      </c>
      <c r="B48" s="42" t="s">
        <v>37</v>
      </c>
      <c r="C48" s="42" t="s">
        <v>91</v>
      </c>
      <c r="D48" s="43">
        <f>COUNTIF(DATA!$A$2:$A$9731,B48)</f>
        <v>48</v>
      </c>
      <c r="E48" s="43">
        <f>SUMIF(DATA!$A$2:$A$9077,B48,DATA!$J$2:$J$9077)</f>
        <v>27</v>
      </c>
      <c r="F48" s="43">
        <f>SUMIF(DATA!$A$2:$A$9077,B48,DATA!$K$2:$K$9077)</f>
        <v>16</v>
      </c>
      <c r="G48" s="38">
        <f t="shared" si="9"/>
        <v>43</v>
      </c>
      <c r="H48" s="39">
        <f t="shared" si="10"/>
        <v>0.62790697674418605</v>
      </c>
      <c r="I48" s="49">
        <f t="shared" si="11"/>
        <v>0.20833333333333334</v>
      </c>
      <c r="J48" s="50">
        <f>Table1[[#This Row],[Correct]]/Table1[[#This Row],['#Quizzes]]</f>
        <v>0.5625</v>
      </c>
      <c r="K48" s="43">
        <f>SUMIF(DATA!$A$2:$A$9077,B48,DATA!$L$2:$L$9077)</f>
        <v>1</v>
      </c>
      <c r="L48" s="43">
        <f>SUMIF(DATA!$A$2:$A$9077,B48,DATA!$M$2:$M$79077)</f>
        <v>1</v>
      </c>
      <c r="M48" s="43">
        <f>SUMIF(DATA!$A$2:$A$9077,B48,DATA!$N$2:$N$9077)</f>
        <v>1</v>
      </c>
      <c r="N48" s="43">
        <f>SUMIF(DATA!$A$2:$A$9101,B48,DATA!$O$2:$O$9101)</f>
        <v>4</v>
      </c>
      <c r="O48" s="43">
        <f>SUMIF(DATA!$A$2:$A$9101,B48,DATA!$P$2:$P$9101)</f>
        <v>0</v>
      </c>
      <c r="P48" s="43">
        <f>SUMIF(DATA!$A$2:$A$9101,B48,DATA!$Q$2:$Q$9101)</f>
        <v>0</v>
      </c>
      <c r="Q48" s="43">
        <f>SUMIF(DATA!$A$2:$A$9078,B48,DATA!$R$2:$R$9078)</f>
        <v>0</v>
      </c>
      <c r="R48" s="45">
        <f t="shared" si="12"/>
        <v>0</v>
      </c>
      <c r="S48" s="43">
        <f>SUMIF(DATA!$A$2:$A$9078,B48,DATA!$S$2:$S$9078)</f>
        <v>0</v>
      </c>
      <c r="T48" s="45">
        <f t="shared" si="13"/>
        <v>0</v>
      </c>
      <c r="U48" s="43">
        <f>SUMIFS(DATA!J:J,DATA!A:A,Table1[[#This Row],[Name]],DATA!F:F,"Pre")</f>
        <v>19</v>
      </c>
      <c r="V48" s="43">
        <f>SUMIFS(DATA!K:K,DATA!A:A,Table1[[#This Row],[Name]],DATA!F:F,"Pre")</f>
        <v>12</v>
      </c>
      <c r="W48" s="44">
        <f t="shared" si="14"/>
        <v>0.61290322580645162</v>
      </c>
      <c r="X48" s="43">
        <f>SUMIFS(DATA!J:J,DATA!A:A,Table1[[#This Row],[Name]],DATA!F:F,"Semi")</f>
        <v>0</v>
      </c>
      <c r="Y48" s="43">
        <f>SUMIFS(DATA!K:K,DATA!A:A,Table1[[#This Row],[Name]],DATA!F:F,"Semi")</f>
        <v>0</v>
      </c>
      <c r="Z48" s="44" t="e">
        <f t="shared" si="15"/>
        <v>#DIV/0!</v>
      </c>
      <c r="AA48" s="43">
        <f>SUMIFS(DATA!J:J,DATA!A:A,Table1[[#This Row],[Name]],DATA!F:F,"COnA")</f>
        <v>6</v>
      </c>
      <c r="AB48" s="43">
        <f>SUMIFS(DATA!K:K,DATA!A:A,Table1[[#This Row],[Name]],DATA!F:F,"ConA")</f>
        <v>3</v>
      </c>
      <c r="AC48" s="44">
        <f t="shared" si="16"/>
        <v>0.66666666666666663</v>
      </c>
      <c r="AD48" s="43">
        <f>SUMIFS(DATA!J:J,DATA!A:A,Table1[[#This Row],[Name]],DATA!F:F,"ConB")</f>
        <v>2</v>
      </c>
      <c r="AE48" s="43">
        <f>SUMIFS(DATA!K:K,DATA!A:A,Table1[[#This Row],[Name]],DATA!F:F,"ConB")</f>
        <v>1</v>
      </c>
      <c r="AF48" s="44">
        <f t="shared" si="17"/>
        <v>0.66666666666666663</v>
      </c>
    </row>
    <row r="49" spans="1:32" x14ac:dyDescent="0.2">
      <c r="A49" s="42">
        <v>46</v>
      </c>
      <c r="B49" s="42" t="s">
        <v>39</v>
      </c>
      <c r="C49" s="42" t="s">
        <v>95</v>
      </c>
      <c r="D49" s="43">
        <f>COUNTIF(DATA!$A$2:$A$9731,B49)</f>
        <v>49</v>
      </c>
      <c r="E49" s="43">
        <f>SUMIF(DATA!$A$2:$A$9077,B49,DATA!$J$2:$J$9077)</f>
        <v>45</v>
      </c>
      <c r="F49" s="43">
        <f>SUMIF(DATA!$A$2:$A$9077,B49,DATA!$K$2:$K$9077)</f>
        <v>38</v>
      </c>
      <c r="G49" s="38">
        <f t="shared" si="9"/>
        <v>83</v>
      </c>
      <c r="H49" s="39">
        <f t="shared" si="10"/>
        <v>0.54216867469879515</v>
      </c>
      <c r="I49" s="49">
        <f t="shared" si="11"/>
        <v>8.1632653061224483E-2</v>
      </c>
      <c r="J49" s="50">
        <f>Table1[[#This Row],[Correct]]/Table1[[#This Row],['#Quizzes]]</f>
        <v>0.91836734693877553</v>
      </c>
      <c r="K49" s="43">
        <f>SUMIF(DATA!$A$2:$A$9077,B49,DATA!$L$2:$L$9077)</f>
        <v>0</v>
      </c>
      <c r="L49" s="43">
        <f>SUMIF(DATA!$A$2:$A$9077,B49,DATA!$M$2:$M$79077)</f>
        <v>1</v>
      </c>
      <c r="M49" s="43">
        <f>SUMIF(DATA!$A$2:$A$9077,B49,DATA!$N$2:$N$9077)</f>
        <v>4</v>
      </c>
      <c r="N49" s="43">
        <f>SUMIF(DATA!$A$2:$A$9101,B49,DATA!$O$2:$O$9101)</f>
        <v>3</v>
      </c>
      <c r="O49" s="43">
        <f>SUMIF(DATA!$A$2:$A$9101,B49,DATA!$P$2:$P$9101)</f>
        <v>0</v>
      </c>
      <c r="P49" s="43">
        <f>SUMIF(DATA!$A$2:$A$9101,B49,DATA!$Q$2:$Q$9101)</f>
        <v>0</v>
      </c>
      <c r="Q49" s="43">
        <f>SUMIF(DATA!$A$2:$A$9078,B49,DATA!$R$2:$R$9078)</f>
        <v>2</v>
      </c>
      <c r="R49" s="45">
        <f t="shared" si="12"/>
        <v>4.0816326530612242E-2</v>
      </c>
      <c r="S49" s="43">
        <f>SUMIF(DATA!$A$2:$A$9078,B49,DATA!$S$2:$S$9078)</f>
        <v>1</v>
      </c>
      <c r="T49" s="45">
        <f t="shared" si="13"/>
        <v>2.0408163265306121E-2</v>
      </c>
      <c r="U49" s="43">
        <f>SUMIFS(DATA!J:J,DATA!A:A,Table1[[#This Row],[Name]],DATA!F:F,"Pre")</f>
        <v>22</v>
      </c>
      <c r="V49" s="43">
        <f>SUMIFS(DATA!K:K,DATA!A:A,Table1[[#This Row],[Name]],DATA!F:F,"Pre")</f>
        <v>18</v>
      </c>
      <c r="W49" s="44">
        <f t="shared" si="14"/>
        <v>0.55000000000000004</v>
      </c>
      <c r="X49" s="43">
        <f>SUMIFS(DATA!J:J,DATA!A:A,Table1[[#This Row],[Name]],DATA!F:F,"Semi")</f>
        <v>0</v>
      </c>
      <c r="Y49" s="43">
        <f>SUMIFS(DATA!K:K,DATA!A:A,Table1[[#This Row],[Name]],DATA!F:F,"Semi")</f>
        <v>0</v>
      </c>
      <c r="Z49" s="44" t="e">
        <f t="shared" si="15"/>
        <v>#DIV/0!</v>
      </c>
      <c r="AA49" s="43">
        <f>SUMIFS(DATA!J:J,DATA!A:A,Table1[[#This Row],[Name]],DATA!F:F,"COnA")</f>
        <v>15</v>
      </c>
      <c r="AB49" s="43">
        <f>SUMIFS(DATA!K:K,DATA!A:A,Table1[[#This Row],[Name]],DATA!F:F,"ConA")</f>
        <v>9</v>
      </c>
      <c r="AC49" s="44">
        <f t="shared" si="16"/>
        <v>0.625</v>
      </c>
      <c r="AD49" s="43">
        <f>SUMIFS(DATA!J:J,DATA!A:A,Table1[[#This Row],[Name]],DATA!F:F,"ConB")</f>
        <v>8</v>
      </c>
      <c r="AE49" s="43">
        <f>SUMIFS(DATA!K:K,DATA!A:A,Table1[[#This Row],[Name]],DATA!F:F,"ConB")</f>
        <v>11</v>
      </c>
      <c r="AF49" s="44">
        <f t="shared" si="17"/>
        <v>0.42105263157894735</v>
      </c>
    </row>
    <row r="50" spans="1:32" x14ac:dyDescent="0.2">
      <c r="A50" s="42">
        <v>47</v>
      </c>
      <c r="B50" s="38" t="s">
        <v>215</v>
      </c>
      <c r="C50" s="42" t="s">
        <v>93</v>
      </c>
      <c r="D50" s="51">
        <f>COUNTIF(DATA!$A$2:$A$9731,B50)</f>
        <v>37</v>
      </c>
      <c r="E50" s="51">
        <f>SUMIF(DATA!$A$2:$A$9077,B50,DATA!$J$2:$J$9077)</f>
        <v>11</v>
      </c>
      <c r="F50" s="51">
        <f>SUMIF(DATA!$A$2:$A$9077,B50,DATA!$K$2:$K$9077)</f>
        <v>5</v>
      </c>
      <c r="G50" s="38">
        <f t="shared" si="9"/>
        <v>16</v>
      </c>
      <c r="H50" s="39">
        <f t="shared" si="10"/>
        <v>0.6875</v>
      </c>
      <c r="I50" s="49">
        <f t="shared" si="11"/>
        <v>0.1891891891891892</v>
      </c>
      <c r="J50" s="49">
        <f>Table1[[#This Row],[Correct]]/Table1[[#This Row],['#Quizzes]]</f>
        <v>0.29729729729729731</v>
      </c>
      <c r="K50" s="51">
        <f>SUMIF(DATA!$A$2:$A$9077,B50,DATA!$L$2:$L$9077)</f>
        <v>1</v>
      </c>
      <c r="L50" s="51">
        <f>SUMIF(DATA!$A$2:$A$9077,B50,DATA!$M$2:$M$79077)</f>
        <v>3</v>
      </c>
      <c r="M50" s="51">
        <f>SUMIF(DATA!$A$2:$A$9077,B50,DATA!$N$2:$N$9077)</f>
        <v>1</v>
      </c>
      <c r="N50" s="51">
        <f>SUMIF(DATA!$A$2:$A$9101,B50,DATA!$O$2:$O$9101)</f>
        <v>0</v>
      </c>
      <c r="O50" s="51">
        <f>SUMIF(DATA!$A$2:$A$9101,B50,DATA!$P$2:$P$9101)</f>
        <v>0</v>
      </c>
      <c r="P50" s="51">
        <f>SUMIF(DATA!$A$2:$A$9101,B50,DATA!$Q$2:$Q$9101)</f>
        <v>0</v>
      </c>
      <c r="Q50" s="51">
        <f>SUMIF(DATA!$A$2:$A$9078,B50,DATA!$R$2:$R$9078)</f>
        <v>0</v>
      </c>
      <c r="R50" s="40">
        <f t="shared" si="12"/>
        <v>0</v>
      </c>
      <c r="S50" s="51">
        <f>SUMIF(DATA!$A$2:$A$9078,B50,DATA!$S$2:$S$9078)</f>
        <v>0</v>
      </c>
      <c r="T50" s="40">
        <f t="shared" si="13"/>
        <v>0</v>
      </c>
      <c r="U50" s="51">
        <f>SUMIFS(DATA!J:J,DATA!A:A,Table1[[#This Row],[Name]],DATA!F:F,"Pre")</f>
        <v>3</v>
      </c>
      <c r="V50" s="51">
        <f>SUMIFS(DATA!K:K,DATA!A:A,Table1[[#This Row],[Name]],DATA!F:F,"Pre")</f>
        <v>4</v>
      </c>
      <c r="W50" s="39">
        <f t="shared" si="14"/>
        <v>0.42857142857142855</v>
      </c>
      <c r="X50" s="51">
        <f>SUMIFS(DATA!J:J,DATA!A:A,Table1[[#This Row],[Name]],DATA!F:F,"Semi")</f>
        <v>1</v>
      </c>
      <c r="Y50" s="51">
        <f>SUMIFS(DATA!K:K,DATA!A:A,Table1[[#This Row],[Name]],DATA!F:F,"Semi")</f>
        <v>0</v>
      </c>
      <c r="Z50" s="39">
        <f t="shared" si="15"/>
        <v>1</v>
      </c>
      <c r="AA50" s="51">
        <f>SUMIFS(DATA!J:J,DATA!A:A,Table1[[#This Row],[Name]],DATA!F:F,"COnA")</f>
        <v>0</v>
      </c>
      <c r="AB50" s="51">
        <f>SUMIFS(DATA!K:K,DATA!A:A,Table1[[#This Row],[Name]],DATA!F:F,"ConA")</f>
        <v>0</v>
      </c>
      <c r="AC50" s="39" t="e">
        <f t="shared" si="16"/>
        <v>#DIV/0!</v>
      </c>
      <c r="AD50" s="51">
        <f>SUMIFS(DATA!J:J,DATA!A:A,Table1[[#This Row],[Name]],DATA!F:F,"ConB")</f>
        <v>7</v>
      </c>
      <c r="AE50" s="51">
        <f>SUMIFS(DATA!K:K,DATA!A:A,Table1[[#This Row],[Name]],DATA!F:F,"ConB")</f>
        <v>1</v>
      </c>
      <c r="AF50" s="39">
        <f t="shared" si="17"/>
        <v>0.875</v>
      </c>
    </row>
    <row r="51" spans="1:32" x14ac:dyDescent="0.2">
      <c r="A51" s="42">
        <v>51</v>
      </c>
      <c r="B51" s="42" t="s">
        <v>45</v>
      </c>
      <c r="C51" s="42" t="s">
        <v>90</v>
      </c>
      <c r="D51" s="43">
        <f>COUNTIF(DATA!$A$2:$A$9731,B51)</f>
        <v>46</v>
      </c>
      <c r="E51" s="43">
        <f>SUMIF(DATA!$A$2:$A$9077,B51,DATA!$J$2:$J$9077)</f>
        <v>8</v>
      </c>
      <c r="F51" s="43">
        <f>SUMIF(DATA!$A$2:$A$9077,B51,DATA!$K$2:$K$9077)</f>
        <v>2</v>
      </c>
      <c r="G51" s="38">
        <f t="shared" si="9"/>
        <v>10</v>
      </c>
      <c r="H51" s="39">
        <f t="shared" si="10"/>
        <v>0.8</v>
      </c>
      <c r="I51" s="49">
        <f t="shared" si="11"/>
        <v>0.15217391304347827</v>
      </c>
      <c r="J51" s="50">
        <f>Table1[[#This Row],[Correct]]/Table1[[#This Row],['#Quizzes]]</f>
        <v>0.17391304347826086</v>
      </c>
      <c r="K51" s="43">
        <f>SUMIF(DATA!$A$2:$A$9077,B51,DATA!$L$2:$L$9077)</f>
        <v>0</v>
      </c>
      <c r="L51" s="43">
        <f>SUMIF(DATA!$A$2:$A$9077,B51,DATA!$M$2:$M$79077)</f>
        <v>1</v>
      </c>
      <c r="M51" s="43">
        <f>SUMIF(DATA!$A$2:$A$9077,B51,DATA!$N$2:$N$9077)</f>
        <v>0</v>
      </c>
      <c r="N51" s="43">
        <f>SUMIF(DATA!$A$2:$A$9101,B51,DATA!$O$2:$O$9101)</f>
        <v>0</v>
      </c>
      <c r="O51" s="43">
        <f>SUMIF(DATA!$A$2:$A$9101,B51,DATA!$P$2:$P$9101)</f>
        <v>0</v>
      </c>
      <c r="P51" s="43">
        <f>SUMIF(DATA!$A$2:$A$9101,B51,DATA!$Q$2:$Q$9101)</f>
        <v>0</v>
      </c>
      <c r="Q51" s="43">
        <f>SUMIF(DATA!$A$2:$A$9078,B51,DATA!$R$2:$R$9078)</f>
        <v>0</v>
      </c>
      <c r="R51" s="45">
        <f t="shared" si="12"/>
        <v>0</v>
      </c>
      <c r="S51" s="43">
        <f>SUMIF(DATA!$A$2:$A$9078,B51,DATA!$S$2:$S$9078)</f>
        <v>0</v>
      </c>
      <c r="T51" s="45">
        <f t="shared" si="13"/>
        <v>0</v>
      </c>
      <c r="U51" s="43">
        <f>SUMIFS(DATA!J:J,DATA!A:A,Table1[[#This Row],[Name]],DATA!F:F,"Pre")</f>
        <v>5</v>
      </c>
      <c r="V51" s="43">
        <f>SUMIFS(DATA!K:K,DATA!A:A,Table1[[#This Row],[Name]],DATA!F:F,"Pre")</f>
        <v>1</v>
      </c>
      <c r="W51" s="44">
        <f t="shared" si="14"/>
        <v>0.83333333333333337</v>
      </c>
      <c r="X51" s="43">
        <f>SUMIFS(DATA!J:J,DATA!A:A,Table1[[#This Row],[Name]],DATA!F:F,"Semi")</f>
        <v>0</v>
      </c>
      <c r="Y51" s="43">
        <f>SUMIFS(DATA!K:K,DATA!A:A,Table1[[#This Row],[Name]],DATA!F:F,"Semi")</f>
        <v>0</v>
      </c>
      <c r="Z51" s="44" t="e">
        <f t="shared" si="15"/>
        <v>#DIV/0!</v>
      </c>
      <c r="AA51" s="43">
        <f>SUMIFS(DATA!J:J,DATA!A:A,Table1[[#This Row],[Name]],DATA!F:F,"COnA")</f>
        <v>0</v>
      </c>
      <c r="AB51" s="43">
        <f>SUMIFS(DATA!K:K,DATA!A:A,Table1[[#This Row],[Name]],DATA!F:F,"ConA")</f>
        <v>0</v>
      </c>
      <c r="AC51" s="44" t="e">
        <f t="shared" si="16"/>
        <v>#DIV/0!</v>
      </c>
      <c r="AD51" s="43">
        <f>SUMIFS(DATA!J:J,DATA!A:A,Table1[[#This Row],[Name]],DATA!F:F,"ConB")</f>
        <v>3</v>
      </c>
      <c r="AE51" s="43">
        <f>SUMIFS(DATA!K:K,DATA!A:A,Table1[[#This Row],[Name]],DATA!F:F,"ConB")</f>
        <v>1</v>
      </c>
      <c r="AF51" s="44">
        <f t="shared" si="17"/>
        <v>0.75</v>
      </c>
    </row>
    <row r="52" spans="1:32" x14ac:dyDescent="0.2">
      <c r="A52" s="42">
        <v>54</v>
      </c>
      <c r="B52" s="42" t="s">
        <v>187</v>
      </c>
      <c r="C52" s="42" t="s">
        <v>54</v>
      </c>
      <c r="D52" s="43">
        <f>COUNTIF(DATA!$A$2:$A$9731,B52)</f>
        <v>45</v>
      </c>
      <c r="E52" s="43">
        <f>SUMIF(DATA!$A$2:$A$9077,B52,DATA!$J$2:$J$9077)</f>
        <v>17</v>
      </c>
      <c r="F52" s="43">
        <f>SUMIF(DATA!$A$2:$A$9077,B52,DATA!$K$2:$K$9077)</f>
        <v>9</v>
      </c>
      <c r="G52" s="38">
        <f t="shared" si="9"/>
        <v>26</v>
      </c>
      <c r="H52" s="39">
        <f t="shared" si="10"/>
        <v>0.65384615384615385</v>
      </c>
      <c r="I52" s="49">
        <f t="shared" si="11"/>
        <v>0.17777777777777778</v>
      </c>
      <c r="J52" s="50">
        <f>Table1[[#This Row],[Correct]]/Table1[[#This Row],['#Quizzes]]</f>
        <v>0.37777777777777777</v>
      </c>
      <c r="K52" s="43">
        <f>SUMIF(DATA!$A$2:$A$9077,B52,DATA!$L$2:$L$9077)</f>
        <v>0</v>
      </c>
      <c r="L52" s="43">
        <f>SUMIF(DATA!$A$2:$A$9077,B52,DATA!$M$2:$M$79077)</f>
        <v>1</v>
      </c>
      <c r="M52" s="43">
        <f>SUMIF(DATA!$A$2:$A$9077,B52,DATA!$N$2:$N$9077)</f>
        <v>1</v>
      </c>
      <c r="N52" s="43">
        <f>SUMIF(DATA!$A$2:$A$9101,B52,DATA!$O$2:$O$9101)</f>
        <v>0</v>
      </c>
      <c r="O52" s="43">
        <f>SUMIF(DATA!$A$2:$A$9101,B52,DATA!$P$2:$P$9101)</f>
        <v>0</v>
      </c>
      <c r="P52" s="43">
        <f>SUMIF(DATA!$A$2:$A$9101,B52,DATA!$Q$2:$Q$9101)</f>
        <v>0</v>
      </c>
      <c r="Q52" s="43">
        <f>SUMIF(DATA!$A$2:$A$9078,B52,DATA!$R$2:$R$9078)</f>
        <v>0</v>
      </c>
      <c r="R52" s="45">
        <f t="shared" si="12"/>
        <v>0</v>
      </c>
      <c r="S52" s="43">
        <f>SUMIF(DATA!$A$2:$A$9078,B52,DATA!$S$2:$S$9078)</f>
        <v>0</v>
      </c>
      <c r="T52" s="45">
        <f t="shared" si="13"/>
        <v>0</v>
      </c>
      <c r="U52" s="43">
        <f>SUMIFS(DATA!J:J,DATA!A:A,Table1[[#This Row],[Name]],DATA!F:F,"Pre")</f>
        <v>9</v>
      </c>
      <c r="V52" s="43">
        <f>SUMIFS(DATA!K:K,DATA!A:A,Table1[[#This Row],[Name]],DATA!F:F,"Pre")</f>
        <v>5</v>
      </c>
      <c r="W52" s="44">
        <f t="shared" si="14"/>
        <v>0.6428571428571429</v>
      </c>
      <c r="X52" s="43">
        <f>SUMIFS(DATA!J:J,DATA!A:A,Table1[[#This Row],[Name]],DATA!F:F,"Semi")</f>
        <v>0</v>
      </c>
      <c r="Y52" s="43">
        <f>SUMIFS(DATA!K:K,DATA!A:A,Table1[[#This Row],[Name]],DATA!F:F,"Semi")</f>
        <v>0</v>
      </c>
      <c r="Z52" s="44" t="e">
        <f t="shared" si="15"/>
        <v>#DIV/0!</v>
      </c>
      <c r="AA52" s="43">
        <f>SUMIFS(DATA!J:J,DATA!A:A,Table1[[#This Row],[Name]],DATA!F:F,"COnA")</f>
        <v>3</v>
      </c>
      <c r="AB52" s="43">
        <f>SUMIFS(DATA!K:K,DATA!A:A,Table1[[#This Row],[Name]],DATA!F:F,"ConA")</f>
        <v>2</v>
      </c>
      <c r="AC52" s="44">
        <f t="shared" si="16"/>
        <v>0.6</v>
      </c>
      <c r="AD52" s="43">
        <f>SUMIFS(DATA!J:J,DATA!A:A,Table1[[#This Row],[Name]],DATA!F:F,"ConB")</f>
        <v>5</v>
      </c>
      <c r="AE52" s="43">
        <f>SUMIFS(DATA!K:K,DATA!A:A,Table1[[#This Row],[Name]],DATA!F:F,"ConB")</f>
        <v>2</v>
      </c>
      <c r="AF52" s="44">
        <f t="shared" si="17"/>
        <v>0.7142857142857143</v>
      </c>
    </row>
    <row r="53" spans="1:32" x14ac:dyDescent="0.2">
      <c r="A53" s="42">
        <v>50</v>
      </c>
      <c r="B53" s="42" t="s">
        <v>203</v>
      </c>
      <c r="C53" s="42" t="s">
        <v>93</v>
      </c>
      <c r="D53" s="43">
        <f>COUNTIF(DATA!$A$2:$A$9731,B53)</f>
        <v>49</v>
      </c>
      <c r="E53" s="43">
        <f>SUMIF(DATA!$A$2:$A$9077,B53,DATA!$J$2:$J$9077)</f>
        <v>41</v>
      </c>
      <c r="F53" s="43">
        <f>SUMIF(DATA!$A$2:$A$9077,B53,DATA!$K$2:$K$9077)</f>
        <v>26</v>
      </c>
      <c r="G53" s="38">
        <f t="shared" si="9"/>
        <v>67</v>
      </c>
      <c r="H53" s="39">
        <f t="shared" si="10"/>
        <v>0.61194029850746268</v>
      </c>
      <c r="I53" s="49">
        <f t="shared" si="11"/>
        <v>0.16326530612244897</v>
      </c>
      <c r="J53" s="50">
        <f>Table1[[#This Row],[Correct]]/Table1[[#This Row],['#Quizzes]]</f>
        <v>0.83673469387755106</v>
      </c>
      <c r="K53" s="43">
        <f>SUMIF(DATA!$A$2:$A$9077,B53,DATA!$L$2:$L$9077)</f>
        <v>6</v>
      </c>
      <c r="L53" s="43">
        <f>SUMIF(DATA!$A$2:$A$9077,B53,DATA!$M$2:$M$79077)</f>
        <v>0</v>
      </c>
      <c r="M53" s="43">
        <f>SUMIF(DATA!$A$2:$A$9077,B53,DATA!$N$2:$N$9077)</f>
        <v>1</v>
      </c>
      <c r="N53" s="43">
        <f>SUMIF(DATA!$A$2:$A$9101,B53,DATA!$O$2:$O$9101)</f>
        <v>5</v>
      </c>
      <c r="O53" s="43">
        <f>SUMIF(DATA!$A$2:$A$9101,B53,DATA!$P$2:$P$9101)</f>
        <v>1</v>
      </c>
      <c r="P53" s="43">
        <f>SUMIF(DATA!$A$2:$A$9101,B53,DATA!$Q$2:$Q$9101)</f>
        <v>0</v>
      </c>
      <c r="Q53" s="43">
        <f>SUMIF(DATA!$A$2:$A$9078,B53,DATA!$R$2:$R$9078)</f>
        <v>1</v>
      </c>
      <c r="R53" s="45">
        <f t="shared" si="12"/>
        <v>2.0408163265306121E-2</v>
      </c>
      <c r="S53" s="43">
        <f>SUMIF(DATA!$A$2:$A$9078,B53,DATA!$S$2:$S$9078)</f>
        <v>1</v>
      </c>
      <c r="T53" s="45">
        <f t="shared" si="13"/>
        <v>2.0408163265306121E-2</v>
      </c>
      <c r="U53" s="43">
        <f>SUMIFS(DATA!J:J,DATA!A:A,Table1[[#This Row],[Name]],DATA!F:F,"Pre")</f>
        <v>19</v>
      </c>
      <c r="V53" s="43">
        <f>SUMIFS(DATA!K:K,DATA!A:A,Table1[[#This Row],[Name]],DATA!F:F,"Pre")</f>
        <v>15</v>
      </c>
      <c r="W53" s="44">
        <f t="shared" si="14"/>
        <v>0.55882352941176472</v>
      </c>
      <c r="X53" s="43">
        <f>SUMIFS(DATA!J:J,DATA!A:A,Table1[[#This Row],[Name]],DATA!F:F,"Semi")</f>
        <v>0</v>
      </c>
      <c r="Y53" s="43">
        <f>SUMIFS(DATA!K:K,DATA!A:A,Table1[[#This Row],[Name]],DATA!F:F,"Semi")</f>
        <v>0</v>
      </c>
      <c r="Z53" s="44" t="e">
        <f t="shared" si="15"/>
        <v>#DIV/0!</v>
      </c>
      <c r="AA53" s="43">
        <f>SUMIFS(DATA!J:J,DATA!A:A,Table1[[#This Row],[Name]],DATA!F:F,"COnA")</f>
        <v>14</v>
      </c>
      <c r="AB53" s="43">
        <f>SUMIFS(DATA!K:K,DATA!A:A,Table1[[#This Row],[Name]],DATA!F:F,"ConA")</f>
        <v>6</v>
      </c>
      <c r="AC53" s="44">
        <f t="shared" si="16"/>
        <v>0.7</v>
      </c>
      <c r="AD53" s="43">
        <f>SUMIFS(DATA!J:J,DATA!A:A,Table1[[#This Row],[Name]],DATA!F:F,"ConB")</f>
        <v>8</v>
      </c>
      <c r="AE53" s="43">
        <f>SUMIFS(DATA!K:K,DATA!A:A,Table1[[#This Row],[Name]],DATA!F:F,"ConB")</f>
        <v>5</v>
      </c>
      <c r="AF53" s="44">
        <f t="shared" si="17"/>
        <v>0.61538461538461542</v>
      </c>
    </row>
    <row r="54" spans="1:32" x14ac:dyDescent="0.2">
      <c r="A54" s="42">
        <v>62</v>
      </c>
      <c r="B54" s="42" t="s">
        <v>111</v>
      </c>
      <c r="C54" s="42" t="s">
        <v>93</v>
      </c>
      <c r="D54" s="43">
        <f>COUNTIF(DATA!$A$2:$A$9731,B54)</f>
        <v>46</v>
      </c>
      <c r="E54" s="43">
        <f>SUMIF(DATA!$A$2:$A$9077,B54,DATA!$J$2:$J$9077)</f>
        <v>24</v>
      </c>
      <c r="F54" s="43">
        <f>SUMIF(DATA!$A$2:$A$9077,B54,DATA!$K$2:$K$9077)</f>
        <v>18</v>
      </c>
      <c r="G54" s="38">
        <f t="shared" si="9"/>
        <v>42</v>
      </c>
      <c r="H54" s="39">
        <f t="shared" si="10"/>
        <v>0.5714285714285714</v>
      </c>
      <c r="I54" s="49">
        <f t="shared" si="11"/>
        <v>0.13043478260869565</v>
      </c>
      <c r="J54" s="50">
        <f>Table1[[#This Row],[Correct]]/Table1[[#This Row],['#Quizzes]]</f>
        <v>0.52173913043478259</v>
      </c>
      <c r="K54" s="43">
        <f>SUMIF(DATA!$A$2:$A$9077,B54,DATA!$L$2:$L$9077)</f>
        <v>1</v>
      </c>
      <c r="L54" s="43">
        <f>SUMIF(DATA!$A$2:$A$9077,B54,DATA!$M$2:$M$79077)</f>
        <v>2</v>
      </c>
      <c r="M54" s="43">
        <f>SUMIF(DATA!$A$2:$A$9077,B54,DATA!$N$2:$N$9077)</f>
        <v>1</v>
      </c>
      <c r="N54" s="43">
        <f>SUMIF(DATA!$A$2:$A$9101,B54,DATA!$O$2:$O$9101)</f>
        <v>5</v>
      </c>
      <c r="O54" s="43">
        <f>SUMIF(DATA!$A$2:$A$9101,B54,DATA!$P$2:$P$9101)</f>
        <v>0</v>
      </c>
      <c r="P54" s="43">
        <f>SUMIF(DATA!$A$2:$A$9101,B54,DATA!$Q$2:$Q$9101)</f>
        <v>0</v>
      </c>
      <c r="Q54" s="43">
        <f>SUMIF(DATA!$A$2:$A$9078,B54,DATA!$R$2:$R$9078)</f>
        <v>0</v>
      </c>
      <c r="R54" s="45">
        <f t="shared" si="12"/>
        <v>0</v>
      </c>
      <c r="S54" s="43">
        <f>SUMIF(DATA!$A$2:$A$9078,B54,DATA!$S$2:$S$9078)</f>
        <v>0</v>
      </c>
      <c r="T54" s="45">
        <f t="shared" si="13"/>
        <v>0</v>
      </c>
      <c r="U54" s="43">
        <f>SUMIFS(DATA!J:J,DATA!A:A,Table1[[#This Row],[Name]],DATA!F:F,"Pre")</f>
        <v>15</v>
      </c>
      <c r="V54" s="43">
        <f>SUMIFS(DATA!K:K,DATA!A:A,Table1[[#This Row],[Name]],DATA!F:F,"Pre")</f>
        <v>12</v>
      </c>
      <c r="W54" s="44">
        <f t="shared" si="14"/>
        <v>0.55555555555555558</v>
      </c>
      <c r="X54" s="43">
        <f>SUMIFS(DATA!J:J,DATA!A:A,Table1[[#This Row],[Name]],DATA!F:F,"Semi")</f>
        <v>0</v>
      </c>
      <c r="Y54" s="43">
        <f>SUMIFS(DATA!K:K,DATA!A:A,Table1[[#This Row],[Name]],DATA!F:F,"Semi")</f>
        <v>0</v>
      </c>
      <c r="Z54" s="44" t="e">
        <f t="shared" si="15"/>
        <v>#DIV/0!</v>
      </c>
      <c r="AA54" s="43">
        <f>SUMIFS(DATA!J:J,DATA!A:A,Table1[[#This Row],[Name]],DATA!F:F,"COnA")</f>
        <v>4</v>
      </c>
      <c r="AB54" s="43">
        <f>SUMIFS(DATA!K:K,DATA!A:A,Table1[[#This Row],[Name]],DATA!F:F,"ConA")</f>
        <v>4</v>
      </c>
      <c r="AC54" s="44">
        <f t="shared" si="16"/>
        <v>0.5</v>
      </c>
      <c r="AD54" s="43">
        <f>SUMIFS(DATA!J:J,DATA!A:A,Table1[[#This Row],[Name]],DATA!F:F,"ConB")</f>
        <v>5</v>
      </c>
      <c r="AE54" s="43">
        <f>SUMIFS(DATA!K:K,DATA!A:A,Table1[[#This Row],[Name]],DATA!F:F,"ConB")</f>
        <v>2</v>
      </c>
      <c r="AF54" s="44">
        <f t="shared" si="17"/>
        <v>0.7142857142857143</v>
      </c>
    </row>
    <row r="55" spans="1:32" x14ac:dyDescent="0.2">
      <c r="A55" s="42">
        <v>59</v>
      </c>
      <c r="B55" s="42" t="s">
        <v>33</v>
      </c>
      <c r="C55" s="42" t="s">
        <v>93</v>
      </c>
      <c r="D55" s="43">
        <f>COUNTIF(DATA!$A$2:$A$9731,B55)</f>
        <v>28</v>
      </c>
      <c r="E55" s="43">
        <f>SUMIF(DATA!$A$2:$A$9077,B55,DATA!$J$2:$J$9077)</f>
        <v>27</v>
      </c>
      <c r="F55" s="43">
        <f>SUMIF(DATA!$A$2:$A$9077,B55,DATA!$K$2:$K$9077)</f>
        <v>20</v>
      </c>
      <c r="G55" s="38">
        <f t="shared" si="9"/>
        <v>47</v>
      </c>
      <c r="H55" s="39">
        <f t="shared" si="10"/>
        <v>0.57446808510638303</v>
      </c>
      <c r="I55" s="49">
        <f t="shared" si="11"/>
        <v>0.21428571428571427</v>
      </c>
      <c r="J55" s="50">
        <f>Table1[[#This Row],[Correct]]/Table1[[#This Row],['#Quizzes]]</f>
        <v>0.9642857142857143</v>
      </c>
      <c r="K55" s="43">
        <f>SUMIF(DATA!$A$2:$A$9077,B55,DATA!$L$2:$L$9077)</f>
        <v>0</v>
      </c>
      <c r="L55" s="43">
        <f>SUMIF(DATA!$A$2:$A$9077,B55,DATA!$M$2:$M$79077)</f>
        <v>1</v>
      </c>
      <c r="M55" s="43">
        <f>SUMIF(DATA!$A$2:$A$9077,B55,DATA!$N$2:$N$9077)</f>
        <v>2</v>
      </c>
      <c r="N55" s="43">
        <f>SUMIF(DATA!$A$2:$A$9101,B55,DATA!$O$2:$O$9101)</f>
        <v>3</v>
      </c>
      <c r="O55" s="43">
        <f>SUMIF(DATA!$A$2:$A$9101,B55,DATA!$P$2:$P$9101)</f>
        <v>0</v>
      </c>
      <c r="P55" s="43">
        <f>SUMIF(DATA!$A$2:$A$9101,B55,DATA!$Q$2:$Q$9101)</f>
        <v>0</v>
      </c>
      <c r="Q55" s="43">
        <f>SUMIF(DATA!$A$2:$A$9078,B55,DATA!$R$2:$R$9078)</f>
        <v>0</v>
      </c>
      <c r="R55" s="45">
        <f t="shared" si="12"/>
        <v>0</v>
      </c>
      <c r="S55" s="43">
        <f>SUMIF(DATA!$A$2:$A$9078,B55,DATA!$S$2:$S$9078)</f>
        <v>0</v>
      </c>
      <c r="T55" s="45">
        <f t="shared" si="13"/>
        <v>0</v>
      </c>
      <c r="U55" s="43">
        <f>SUMIFS(DATA!J:J,DATA!A:A,Table1[[#This Row],[Name]],DATA!F:F,"Pre")</f>
        <v>17</v>
      </c>
      <c r="V55" s="43">
        <f>SUMIFS(DATA!K:K,DATA!A:A,Table1[[#This Row],[Name]],DATA!F:F,"Pre")</f>
        <v>10</v>
      </c>
      <c r="W55" s="44">
        <f t="shared" si="14"/>
        <v>0.62962962962962965</v>
      </c>
      <c r="X55" s="43">
        <f>SUMIFS(DATA!J:J,DATA!A:A,Table1[[#This Row],[Name]],DATA!F:F,"Semi")</f>
        <v>0</v>
      </c>
      <c r="Y55" s="43">
        <f>SUMIFS(DATA!K:K,DATA!A:A,Table1[[#This Row],[Name]],DATA!F:F,"Semi")</f>
        <v>0</v>
      </c>
      <c r="Z55" s="44" t="e">
        <f t="shared" si="15"/>
        <v>#DIV/0!</v>
      </c>
      <c r="AA55" s="43">
        <f>SUMIFS(DATA!J:J,DATA!A:A,Table1[[#This Row],[Name]],DATA!F:F,"COnA")</f>
        <v>0</v>
      </c>
      <c r="AB55" s="43">
        <f>SUMIFS(DATA!K:K,DATA!A:A,Table1[[#This Row],[Name]],DATA!F:F,"ConA")</f>
        <v>0</v>
      </c>
      <c r="AC55" s="44" t="e">
        <f t="shared" si="16"/>
        <v>#DIV/0!</v>
      </c>
      <c r="AD55" s="43">
        <f>SUMIFS(DATA!J:J,DATA!A:A,Table1[[#This Row],[Name]],DATA!F:F,"ConB")</f>
        <v>10</v>
      </c>
      <c r="AE55" s="43">
        <f>SUMIFS(DATA!K:K,DATA!A:A,Table1[[#This Row],[Name]],DATA!F:F,"ConB")</f>
        <v>10</v>
      </c>
      <c r="AF55" s="44">
        <f t="shared" si="17"/>
        <v>0.5</v>
      </c>
    </row>
    <row r="56" spans="1:32" x14ac:dyDescent="0.2">
      <c r="A56" s="42">
        <v>56</v>
      </c>
      <c r="B56" s="42" t="s">
        <v>195</v>
      </c>
      <c r="C56" s="42" t="s">
        <v>93</v>
      </c>
      <c r="D56" s="43">
        <f>COUNTIF(DATA!$A$2:$A$9731,B56)</f>
        <v>19</v>
      </c>
      <c r="E56" s="43">
        <f>SUMIF(DATA!$A$2:$A$9077,B56,DATA!$J$2:$J$9077)</f>
        <v>2</v>
      </c>
      <c r="F56" s="43">
        <f>SUMIF(DATA!$A$2:$A$9077,B56,DATA!$K$2:$K$9077)</f>
        <v>0</v>
      </c>
      <c r="G56" s="38">
        <f t="shared" si="9"/>
        <v>2</v>
      </c>
      <c r="H56" s="39">
        <f t="shared" si="10"/>
        <v>1</v>
      </c>
      <c r="I56" s="49">
        <f t="shared" si="11"/>
        <v>0.10526315789473684</v>
      </c>
      <c r="J56" s="50">
        <f>Table1[[#This Row],[Correct]]/Table1[[#This Row],['#Quizzes]]</f>
        <v>0.10526315789473684</v>
      </c>
      <c r="K56" s="43">
        <f>SUMIF(DATA!$A$2:$A$9077,B56,DATA!$L$2:$L$9077)</f>
        <v>0</v>
      </c>
      <c r="L56" s="43">
        <f>SUMIF(DATA!$A$2:$A$9077,B56,DATA!$M$2:$M$79077)</f>
        <v>0</v>
      </c>
      <c r="M56" s="43">
        <f>SUMIF(DATA!$A$2:$A$9077,B56,DATA!$N$2:$N$9077)</f>
        <v>0</v>
      </c>
      <c r="N56" s="43">
        <f>SUMIF(DATA!$A$2:$A$9101,B56,DATA!$O$2:$O$9101)</f>
        <v>1</v>
      </c>
      <c r="O56" s="43">
        <f>SUMIF(DATA!$A$2:$A$9101,B56,DATA!$P$2:$P$9101)</f>
        <v>0</v>
      </c>
      <c r="P56" s="43">
        <f>SUMIF(DATA!$A$2:$A$9101,B56,DATA!$Q$2:$Q$9101)</f>
        <v>0</v>
      </c>
      <c r="Q56" s="43">
        <f>SUMIF(DATA!$A$2:$A$9078,B56,DATA!$R$2:$R$9078)</f>
        <v>0</v>
      </c>
      <c r="R56" s="45">
        <f t="shared" si="12"/>
        <v>0</v>
      </c>
      <c r="S56" s="43">
        <f>SUMIF(DATA!$A$2:$A$9078,B56,DATA!$S$2:$S$9078)</f>
        <v>0</v>
      </c>
      <c r="T56" s="45">
        <f t="shared" si="13"/>
        <v>0</v>
      </c>
      <c r="U56" s="43">
        <f>SUMIFS(DATA!J:J,DATA!A:A,Table1[[#This Row],[Name]],DATA!F:F,"Pre")</f>
        <v>0</v>
      </c>
      <c r="V56" s="43">
        <f>SUMIFS(DATA!K:K,DATA!A:A,Table1[[#This Row],[Name]],DATA!F:F,"Pre")</f>
        <v>0</v>
      </c>
      <c r="W56" s="44" t="e">
        <f t="shared" si="14"/>
        <v>#DIV/0!</v>
      </c>
      <c r="X56" s="43">
        <f>SUMIFS(DATA!J:J,DATA!A:A,Table1[[#This Row],[Name]],DATA!F:F,"Semi")</f>
        <v>0</v>
      </c>
      <c r="Y56" s="43">
        <f>SUMIFS(DATA!K:K,DATA!A:A,Table1[[#This Row],[Name]],DATA!F:F,"Semi")</f>
        <v>0</v>
      </c>
      <c r="Z56" s="44" t="e">
        <f t="shared" si="15"/>
        <v>#DIV/0!</v>
      </c>
      <c r="AA56" s="43">
        <f>SUMIFS(DATA!J:J,DATA!A:A,Table1[[#This Row],[Name]],DATA!F:F,"COnA")</f>
        <v>0</v>
      </c>
      <c r="AB56" s="43">
        <f>SUMIFS(DATA!K:K,DATA!A:A,Table1[[#This Row],[Name]],DATA!F:F,"ConA")</f>
        <v>0</v>
      </c>
      <c r="AC56" s="44" t="e">
        <f t="shared" si="16"/>
        <v>#DIV/0!</v>
      </c>
      <c r="AD56" s="43">
        <f>SUMIFS(DATA!J:J,DATA!A:A,Table1[[#This Row],[Name]],DATA!F:F,"ConB")</f>
        <v>2</v>
      </c>
      <c r="AE56" s="43">
        <f>SUMIFS(DATA!K:K,DATA!A:A,Table1[[#This Row],[Name]],DATA!F:F,"ConB")</f>
        <v>0</v>
      </c>
      <c r="AF56" s="44">
        <f t="shared" si="17"/>
        <v>1</v>
      </c>
    </row>
    <row r="57" spans="1:32" x14ac:dyDescent="0.2">
      <c r="A57" s="42">
        <v>58</v>
      </c>
      <c r="B57" s="42" t="s">
        <v>186</v>
      </c>
      <c r="C57" s="42" t="s">
        <v>93</v>
      </c>
      <c r="D57" s="43">
        <f>COUNTIF(DATA!$A$2:$A$9731,B57)</f>
        <v>10</v>
      </c>
      <c r="E57" s="43">
        <f>SUMIF(DATA!$A$2:$A$9077,B57,DATA!$J$2:$J$9077)</f>
        <v>3</v>
      </c>
      <c r="F57" s="43">
        <f>SUMIF(DATA!$A$2:$A$9077,B57,DATA!$K$2:$K$9077)</f>
        <v>4</v>
      </c>
      <c r="G57" s="38">
        <f t="shared" si="9"/>
        <v>7</v>
      </c>
      <c r="H57" s="39">
        <f t="shared" si="10"/>
        <v>0.42857142857142855</v>
      </c>
      <c r="I57" s="49">
        <f t="shared" si="11"/>
        <v>0.1</v>
      </c>
      <c r="J57" s="50">
        <f>Table1[[#This Row],[Correct]]/Table1[[#This Row],['#Quizzes]]</f>
        <v>0.3</v>
      </c>
      <c r="K57" s="43">
        <f>SUMIF(DATA!$A$2:$A$9077,B57,DATA!$L$2:$L$9077)</f>
        <v>0</v>
      </c>
      <c r="L57" s="43">
        <f>SUMIF(DATA!$A$2:$A$9077,B57,DATA!$M$2:$M$79077)</f>
        <v>3</v>
      </c>
      <c r="M57" s="43">
        <f>SUMIF(DATA!$A$2:$A$9077,B57,DATA!$N$2:$N$9077)</f>
        <v>1</v>
      </c>
      <c r="N57" s="43">
        <f>SUMIF(DATA!$A$2:$A$9101,B57,DATA!$O$2:$O$9101)</f>
        <v>2</v>
      </c>
      <c r="O57" s="43">
        <f>SUMIF(DATA!$A$2:$A$9101,B57,DATA!$P$2:$P$9101)</f>
        <v>1</v>
      </c>
      <c r="P57" s="43">
        <f>SUMIF(DATA!$A$2:$A$9101,B57,DATA!$Q$2:$Q$9101)</f>
        <v>0</v>
      </c>
      <c r="Q57" s="43">
        <f>SUMIF(DATA!$A$2:$A$9078,B57,DATA!$R$2:$R$9078)</f>
        <v>0</v>
      </c>
      <c r="R57" s="45">
        <f t="shared" si="12"/>
        <v>0</v>
      </c>
      <c r="S57" s="43">
        <f>SUMIF(DATA!$A$2:$A$9078,B57,DATA!$S$2:$S$9078)</f>
        <v>0</v>
      </c>
      <c r="T57" s="45">
        <f t="shared" si="13"/>
        <v>0</v>
      </c>
      <c r="U57" s="43">
        <f>SUMIFS(DATA!J:J,DATA!A:A,Table1[[#This Row],[Name]],DATA!F:F,"Pre")</f>
        <v>2</v>
      </c>
      <c r="V57" s="43">
        <f>SUMIFS(DATA!K:K,DATA!A:A,Table1[[#This Row],[Name]],DATA!F:F,"Pre")</f>
        <v>4</v>
      </c>
      <c r="W57" s="44">
        <f t="shared" si="14"/>
        <v>0.33333333333333331</v>
      </c>
      <c r="X57" s="43">
        <f>SUMIFS(DATA!J:J,DATA!A:A,Table1[[#This Row],[Name]],DATA!F:F,"Semi")</f>
        <v>0</v>
      </c>
      <c r="Y57" s="43">
        <f>SUMIFS(DATA!K:K,DATA!A:A,Table1[[#This Row],[Name]],DATA!F:F,"Semi")</f>
        <v>0</v>
      </c>
      <c r="Z57" s="44" t="e">
        <f t="shared" si="15"/>
        <v>#DIV/0!</v>
      </c>
      <c r="AA57" s="43">
        <f>SUMIFS(DATA!J:J,DATA!A:A,Table1[[#This Row],[Name]],DATA!F:F,"COnA")</f>
        <v>1</v>
      </c>
      <c r="AB57" s="43">
        <f>SUMIFS(DATA!K:K,DATA!A:A,Table1[[#This Row],[Name]],DATA!F:F,"ConA")</f>
        <v>0</v>
      </c>
      <c r="AC57" s="44">
        <f t="shared" si="16"/>
        <v>1</v>
      </c>
      <c r="AD57" s="43">
        <f>SUMIFS(DATA!J:J,DATA!A:A,Table1[[#This Row],[Name]],DATA!F:F,"ConB")</f>
        <v>0</v>
      </c>
      <c r="AE57" s="43">
        <f>SUMIFS(DATA!K:K,DATA!A:A,Table1[[#This Row],[Name]],DATA!F:F,"ConB")</f>
        <v>0</v>
      </c>
      <c r="AF57" s="44" t="e">
        <f t="shared" si="17"/>
        <v>#DIV/0!</v>
      </c>
    </row>
    <row r="58" spans="1:32" x14ac:dyDescent="0.2">
      <c r="A58" s="42">
        <v>48</v>
      </c>
      <c r="B58" s="42" t="s">
        <v>135</v>
      </c>
      <c r="C58" s="42" t="s">
        <v>89</v>
      </c>
      <c r="D58" s="43">
        <f>COUNTIF(DATA!$A$2:$A$9731,B58)</f>
        <v>42</v>
      </c>
      <c r="E58" s="43">
        <f>SUMIF(DATA!$A$2:$A$9077,B58,DATA!$J$2:$J$9077)</f>
        <v>45</v>
      </c>
      <c r="F58" s="43">
        <f>SUMIF(DATA!$A$2:$A$9077,B58,DATA!$K$2:$K$9077)</f>
        <v>42</v>
      </c>
      <c r="G58" s="38">
        <f t="shared" si="9"/>
        <v>87</v>
      </c>
      <c r="H58" s="39">
        <f t="shared" si="10"/>
        <v>0.51724137931034486</v>
      </c>
      <c r="I58" s="49">
        <f t="shared" si="11"/>
        <v>7.1428571428571425E-2</v>
      </c>
      <c r="J58" s="50">
        <f>Table1[[#This Row],[Correct]]/Table1[[#This Row],['#Quizzes]]</f>
        <v>1.0714285714285714</v>
      </c>
      <c r="K58" s="43">
        <f>SUMIF(DATA!$A$2:$A$9077,B58,DATA!$L$2:$L$9077)</f>
        <v>2</v>
      </c>
      <c r="L58" s="43">
        <f>SUMIF(DATA!$A$2:$A$9077,B58,DATA!$M$2:$M$79077)</f>
        <v>2</v>
      </c>
      <c r="M58" s="43">
        <f>SUMIF(DATA!$A$2:$A$9077,B58,DATA!$N$2:$N$9077)</f>
        <v>0</v>
      </c>
      <c r="N58" s="43">
        <f>SUMIF(DATA!$A$2:$A$9101,B58,DATA!$O$2:$O$9101)</f>
        <v>3</v>
      </c>
      <c r="O58" s="43">
        <f>SUMIF(DATA!$A$2:$A$9101,B58,DATA!$P$2:$P$9101)</f>
        <v>0</v>
      </c>
      <c r="P58" s="43">
        <f>SUMIF(DATA!$A$2:$A$9101,B58,DATA!$Q$2:$Q$9101)</f>
        <v>0</v>
      </c>
      <c r="Q58" s="43">
        <f>SUMIF(DATA!$A$2:$A$9078,B58,DATA!$R$2:$R$9078)</f>
        <v>2</v>
      </c>
      <c r="R58" s="45">
        <f t="shared" si="12"/>
        <v>4.7619047619047616E-2</v>
      </c>
      <c r="S58" s="43">
        <f>SUMIF(DATA!$A$2:$A$9078,B58,DATA!$S$2:$S$9078)</f>
        <v>4</v>
      </c>
      <c r="T58" s="45">
        <f t="shared" si="13"/>
        <v>9.5238095238095233E-2</v>
      </c>
      <c r="U58" s="43">
        <f>SUMIFS(DATA!J:J,DATA!A:A,Table1[[#This Row],[Name]],DATA!F:F,"Pre")</f>
        <v>32</v>
      </c>
      <c r="V58" s="43">
        <f>SUMIFS(DATA!K:K,DATA!A:A,Table1[[#This Row],[Name]],DATA!F:F,"Pre")</f>
        <v>31</v>
      </c>
      <c r="W58" s="44">
        <f t="shared" si="14"/>
        <v>0.50793650793650791</v>
      </c>
      <c r="X58" s="43">
        <f>SUMIFS(DATA!J:J,DATA!A:A,Table1[[#This Row],[Name]],DATA!F:F,"Semi")</f>
        <v>0</v>
      </c>
      <c r="Y58" s="43">
        <f>SUMIFS(DATA!K:K,DATA!A:A,Table1[[#This Row],[Name]],DATA!F:F,"Semi")</f>
        <v>0</v>
      </c>
      <c r="Z58" s="44" t="e">
        <f t="shared" si="15"/>
        <v>#DIV/0!</v>
      </c>
      <c r="AA58" s="43">
        <f>SUMIFS(DATA!J:J,DATA!A:A,Table1[[#This Row],[Name]],DATA!F:F,"COnA")</f>
        <v>13</v>
      </c>
      <c r="AB58" s="43">
        <f>SUMIFS(DATA!K:K,DATA!A:A,Table1[[#This Row],[Name]],DATA!F:F,"ConA")</f>
        <v>11</v>
      </c>
      <c r="AC58" s="44">
        <f t="shared" si="16"/>
        <v>0.54166666666666663</v>
      </c>
      <c r="AD58" s="43">
        <f>SUMIFS(DATA!J:J,DATA!A:A,Table1[[#This Row],[Name]],DATA!F:F,"ConB")</f>
        <v>0</v>
      </c>
      <c r="AE58" s="43">
        <f>SUMIFS(DATA!K:K,DATA!A:A,Table1[[#This Row],[Name]],DATA!F:F,"ConB")</f>
        <v>0</v>
      </c>
      <c r="AF58" s="44" t="e">
        <f t="shared" si="17"/>
        <v>#DIV/0!</v>
      </c>
    </row>
    <row r="59" spans="1:32" x14ac:dyDescent="0.2">
      <c r="A59" s="42">
        <v>53</v>
      </c>
      <c r="B59" s="42" t="s">
        <v>30</v>
      </c>
      <c r="C59" s="42" t="s">
        <v>93</v>
      </c>
      <c r="D59" s="43">
        <f>COUNTIF(DATA!$A$2:$A$9731,B59)</f>
        <v>46</v>
      </c>
      <c r="E59" s="43">
        <f>SUMIF(DATA!$A$2:$A$9077,B59,DATA!$J$2:$J$9077)</f>
        <v>42</v>
      </c>
      <c r="F59" s="43">
        <f>SUMIF(DATA!$A$2:$A$9077,B59,DATA!$K$2:$K$9077)</f>
        <v>30</v>
      </c>
      <c r="G59" s="38">
        <f t="shared" si="9"/>
        <v>72</v>
      </c>
      <c r="H59" s="39">
        <f t="shared" si="10"/>
        <v>0.58333333333333337</v>
      </c>
      <c r="I59" s="49">
        <f t="shared" si="11"/>
        <v>0.13043478260869565</v>
      </c>
      <c r="J59" s="50">
        <f>Table1[[#This Row],[Correct]]/Table1[[#This Row],['#Quizzes]]</f>
        <v>0.91304347826086951</v>
      </c>
      <c r="K59" s="43">
        <f>SUMIF(DATA!$A$2:$A$9077,B59,DATA!$L$2:$L$9077)</f>
        <v>0</v>
      </c>
      <c r="L59" s="43">
        <f>SUMIF(DATA!$A$2:$A$9077,B59,DATA!$M$2:$M$79077)</f>
        <v>3</v>
      </c>
      <c r="M59" s="43">
        <f>SUMIF(DATA!$A$2:$A$9077,B59,DATA!$N$2:$N$9077)</f>
        <v>9</v>
      </c>
      <c r="N59" s="43">
        <f>SUMIF(DATA!$A$2:$A$9101,B59,DATA!$O$2:$O$9101)</f>
        <v>2</v>
      </c>
      <c r="O59" s="43">
        <f>SUMIF(DATA!$A$2:$A$9101,B59,DATA!$P$2:$P$9101)</f>
        <v>0</v>
      </c>
      <c r="P59" s="43">
        <f>SUMIF(DATA!$A$2:$A$9101,B59,DATA!$Q$2:$Q$9101)</f>
        <v>0</v>
      </c>
      <c r="Q59" s="43">
        <f>SUMIF(DATA!$A$2:$A$9078,B59,DATA!$R$2:$R$9078)</f>
        <v>1</v>
      </c>
      <c r="R59" s="45">
        <f t="shared" si="12"/>
        <v>2.1739130434782608E-2</v>
      </c>
      <c r="S59" s="43">
        <f>SUMIF(DATA!$A$2:$A$9078,B59,DATA!$S$2:$S$9078)</f>
        <v>2</v>
      </c>
      <c r="T59" s="45">
        <f t="shared" si="13"/>
        <v>4.3478260869565216E-2</v>
      </c>
      <c r="U59" s="43">
        <f>SUMIFS(DATA!J:J,DATA!A:A,Table1[[#This Row],[Name]],DATA!F:F,"Pre")</f>
        <v>24</v>
      </c>
      <c r="V59" s="43">
        <f>SUMIFS(DATA!K:K,DATA!A:A,Table1[[#This Row],[Name]],DATA!F:F,"Pre")</f>
        <v>12</v>
      </c>
      <c r="W59" s="44">
        <f t="shared" si="14"/>
        <v>0.66666666666666663</v>
      </c>
      <c r="X59" s="43">
        <f>SUMIFS(DATA!J:J,DATA!A:A,Table1[[#This Row],[Name]],DATA!F:F,"Semi")</f>
        <v>0</v>
      </c>
      <c r="Y59" s="43">
        <f>SUMIFS(DATA!K:K,DATA!A:A,Table1[[#This Row],[Name]],DATA!F:F,"Semi")</f>
        <v>0</v>
      </c>
      <c r="Z59" s="44" t="e">
        <f t="shared" si="15"/>
        <v>#DIV/0!</v>
      </c>
      <c r="AA59" s="43">
        <f>SUMIFS(DATA!J:J,DATA!A:A,Table1[[#This Row],[Name]],DATA!F:F,"COnA")</f>
        <v>11</v>
      </c>
      <c r="AB59" s="43">
        <f>SUMIFS(DATA!K:K,DATA!A:A,Table1[[#This Row],[Name]],DATA!F:F,"ConA")</f>
        <v>9</v>
      </c>
      <c r="AC59" s="44">
        <f t="shared" si="16"/>
        <v>0.55000000000000004</v>
      </c>
      <c r="AD59" s="43">
        <f>SUMIFS(DATA!J:J,DATA!A:A,Table1[[#This Row],[Name]],DATA!F:F,"ConB")</f>
        <v>7</v>
      </c>
      <c r="AE59" s="43">
        <f>SUMIFS(DATA!K:K,DATA!A:A,Table1[[#This Row],[Name]],DATA!F:F,"ConB")</f>
        <v>9</v>
      </c>
      <c r="AF59" s="44">
        <f t="shared" si="17"/>
        <v>0.4375</v>
      </c>
    </row>
    <row r="60" spans="1:32" x14ac:dyDescent="0.2">
      <c r="A60" s="42">
        <v>61</v>
      </c>
      <c r="B60" s="42" t="s">
        <v>155</v>
      </c>
      <c r="C60" s="42" t="s">
        <v>88</v>
      </c>
      <c r="D60" s="43">
        <f>COUNTIF(DATA!$A$2:$A$9731,B60)</f>
        <v>45</v>
      </c>
      <c r="E60" s="43">
        <f>SUMIF(DATA!$A$2:$A$9077,B60,DATA!$J$2:$J$9077)</f>
        <v>9</v>
      </c>
      <c r="F60" s="43">
        <f>SUMIF(DATA!$A$2:$A$9077,B60,DATA!$K$2:$K$9077)</f>
        <v>5</v>
      </c>
      <c r="G60" s="38">
        <f t="shared" si="9"/>
        <v>14</v>
      </c>
      <c r="H60" s="39">
        <f t="shared" si="10"/>
        <v>0.6428571428571429</v>
      </c>
      <c r="I60" s="49">
        <f t="shared" si="11"/>
        <v>8.8888888888888892E-2</v>
      </c>
      <c r="J60" s="50">
        <f>Table1[[#This Row],[Correct]]/Table1[[#This Row],['#Quizzes]]</f>
        <v>0.2</v>
      </c>
      <c r="K60" s="43">
        <f>SUMIF(DATA!$A$2:$A$9077,B60,DATA!$L$2:$L$9077)</f>
        <v>0</v>
      </c>
      <c r="L60" s="43">
        <f>SUMIF(DATA!$A$2:$A$9077,B60,DATA!$M$2:$M$79077)</f>
        <v>2</v>
      </c>
      <c r="M60" s="43">
        <f>SUMIF(DATA!$A$2:$A$9077,B60,DATA!$N$2:$N$9077)</f>
        <v>2</v>
      </c>
      <c r="N60" s="43">
        <f>SUMIF(DATA!$A$2:$A$9101,B60,DATA!$O$2:$O$9101)</f>
        <v>2</v>
      </c>
      <c r="O60" s="43">
        <f>SUMIF(DATA!$A$2:$A$9101,B60,DATA!$P$2:$P$9101)</f>
        <v>0</v>
      </c>
      <c r="P60" s="43">
        <f>SUMIF(DATA!$A$2:$A$9101,B60,DATA!$Q$2:$Q$9101)</f>
        <v>0</v>
      </c>
      <c r="Q60" s="43">
        <f>SUMIF(DATA!$A$2:$A$9078,B60,DATA!$R$2:$R$9078)</f>
        <v>0</v>
      </c>
      <c r="R60" s="45">
        <f t="shared" si="12"/>
        <v>0</v>
      </c>
      <c r="S60" s="43">
        <f>SUMIF(DATA!$A$2:$A$9078,B60,DATA!$S$2:$S$9078)</f>
        <v>0</v>
      </c>
      <c r="T60" s="45">
        <f t="shared" si="13"/>
        <v>0</v>
      </c>
      <c r="U60" s="43">
        <f>SUMIFS(DATA!J:J,DATA!A:A,Table1[[#This Row],[Name]],DATA!F:F,"Pre")</f>
        <v>4</v>
      </c>
      <c r="V60" s="43">
        <f>SUMIFS(DATA!K:K,DATA!A:A,Table1[[#This Row],[Name]],DATA!F:F,"Pre")</f>
        <v>1</v>
      </c>
      <c r="W60" s="44">
        <f t="shared" si="14"/>
        <v>0.8</v>
      </c>
      <c r="X60" s="43">
        <f>SUMIFS(DATA!J:J,DATA!A:A,Table1[[#This Row],[Name]],DATA!F:F,"Semi")</f>
        <v>0</v>
      </c>
      <c r="Y60" s="43">
        <f>SUMIFS(DATA!K:K,DATA!A:A,Table1[[#This Row],[Name]],DATA!F:F,"Semi")</f>
        <v>0</v>
      </c>
      <c r="Z60" s="44" t="e">
        <f t="shared" si="15"/>
        <v>#DIV/0!</v>
      </c>
      <c r="AA60" s="43">
        <f>SUMIFS(DATA!J:J,DATA!A:A,Table1[[#This Row],[Name]],DATA!F:F,"COnA")</f>
        <v>0</v>
      </c>
      <c r="AB60" s="43">
        <f>SUMIFS(DATA!K:K,DATA!A:A,Table1[[#This Row],[Name]],DATA!F:F,"ConA")</f>
        <v>0</v>
      </c>
      <c r="AC60" s="44" t="e">
        <f t="shared" si="16"/>
        <v>#DIV/0!</v>
      </c>
      <c r="AD60" s="43">
        <f>SUMIFS(DATA!J:J,DATA!A:A,Table1[[#This Row],[Name]],DATA!F:F,"ConB")</f>
        <v>5</v>
      </c>
      <c r="AE60" s="43">
        <f>SUMIFS(DATA!K:K,DATA!A:A,Table1[[#This Row],[Name]],DATA!F:F,"ConB")</f>
        <v>4</v>
      </c>
      <c r="AF60" s="44">
        <f t="shared" si="17"/>
        <v>0.55555555555555558</v>
      </c>
    </row>
    <row r="61" spans="1:32" x14ac:dyDescent="0.2">
      <c r="A61" s="42">
        <v>49</v>
      </c>
      <c r="B61" s="42" t="s">
        <v>204</v>
      </c>
      <c r="C61" s="42" t="s">
        <v>92</v>
      </c>
      <c r="D61" s="43">
        <f>COUNTIF(DATA!$A$2:$A$9731,B61)</f>
        <v>45</v>
      </c>
      <c r="E61" s="43">
        <f>SUMIF(DATA!$A$2:$A$9077,B61,DATA!$J$2:$J$9077)</f>
        <v>18</v>
      </c>
      <c r="F61" s="43">
        <f>SUMIF(DATA!$A$2:$A$9077,B61,DATA!$K$2:$K$9077)</f>
        <v>14</v>
      </c>
      <c r="G61" s="38">
        <f t="shared" si="9"/>
        <v>32</v>
      </c>
      <c r="H61" s="39">
        <f t="shared" si="10"/>
        <v>0.5625</v>
      </c>
      <c r="I61" s="49">
        <f t="shared" si="11"/>
        <v>8.8888888888888892E-2</v>
      </c>
      <c r="J61" s="50">
        <f>Table1[[#This Row],[Correct]]/Table1[[#This Row],['#Quizzes]]</f>
        <v>0.4</v>
      </c>
      <c r="K61" s="43">
        <f>SUMIF(DATA!$A$2:$A$9077,B61,DATA!$L$2:$L$9077)</f>
        <v>0</v>
      </c>
      <c r="L61" s="43">
        <f>SUMIF(DATA!$A$2:$A$9077,B61,DATA!$M$2:$M$79077)</f>
        <v>2</v>
      </c>
      <c r="M61" s="43">
        <f>SUMIF(DATA!$A$2:$A$9077,B61,DATA!$N$2:$N$9077)</f>
        <v>2</v>
      </c>
      <c r="N61" s="43">
        <f>SUMIF(DATA!$A$2:$A$9101,B61,DATA!$O$2:$O$9101)</f>
        <v>8</v>
      </c>
      <c r="O61" s="43">
        <f>SUMIF(DATA!$A$2:$A$9101,B61,DATA!$P$2:$P$9101)</f>
        <v>0</v>
      </c>
      <c r="P61" s="43">
        <f>SUMIF(DATA!$A$2:$A$9101,B61,DATA!$Q$2:$Q$9101)</f>
        <v>0</v>
      </c>
      <c r="Q61" s="43">
        <f>SUMIF(DATA!$A$2:$A$9078,B61,DATA!$R$2:$R$9078)</f>
        <v>0</v>
      </c>
      <c r="R61" s="45">
        <f t="shared" si="12"/>
        <v>0</v>
      </c>
      <c r="S61" s="43">
        <f>SUMIF(DATA!$A$2:$A$9078,B61,DATA!$S$2:$S$9078)</f>
        <v>0</v>
      </c>
      <c r="T61" s="45">
        <f t="shared" si="13"/>
        <v>0</v>
      </c>
      <c r="U61" s="43">
        <f>SUMIFS(DATA!J:J,DATA!A:A,Table1[[#This Row],[Name]],DATA!F:F,"Pre")</f>
        <v>15</v>
      </c>
      <c r="V61" s="43">
        <f>SUMIFS(DATA!K:K,DATA!A:A,Table1[[#This Row],[Name]],DATA!F:F,"Pre")</f>
        <v>12</v>
      </c>
      <c r="W61" s="44">
        <f t="shared" si="14"/>
        <v>0.55555555555555558</v>
      </c>
      <c r="X61" s="43">
        <f>SUMIFS(DATA!J:J,DATA!A:A,Table1[[#This Row],[Name]],DATA!F:F,"Semi")</f>
        <v>0</v>
      </c>
      <c r="Y61" s="43">
        <f>SUMIFS(DATA!K:K,DATA!A:A,Table1[[#This Row],[Name]],DATA!F:F,"Semi")</f>
        <v>1</v>
      </c>
      <c r="Z61" s="44">
        <f t="shared" si="15"/>
        <v>0</v>
      </c>
      <c r="AA61" s="43">
        <f>SUMIFS(DATA!J:J,DATA!A:A,Table1[[#This Row],[Name]],DATA!F:F,"COnA")</f>
        <v>3</v>
      </c>
      <c r="AB61" s="43">
        <f>SUMIFS(DATA!K:K,DATA!A:A,Table1[[#This Row],[Name]],DATA!F:F,"ConA")</f>
        <v>1</v>
      </c>
      <c r="AC61" s="44">
        <f t="shared" si="16"/>
        <v>0.75</v>
      </c>
      <c r="AD61" s="43">
        <f>SUMIFS(DATA!J:J,DATA!A:A,Table1[[#This Row],[Name]],DATA!F:F,"ConB")</f>
        <v>0</v>
      </c>
      <c r="AE61" s="43">
        <f>SUMIFS(DATA!K:K,DATA!A:A,Table1[[#This Row],[Name]],DATA!F:F,"ConB")</f>
        <v>0</v>
      </c>
      <c r="AF61" s="44" t="e">
        <f t="shared" si="17"/>
        <v>#DIV/0!</v>
      </c>
    </row>
    <row r="62" spans="1:32" x14ac:dyDescent="0.2">
      <c r="A62" s="42">
        <v>57</v>
      </c>
      <c r="B62" s="42" t="s">
        <v>132</v>
      </c>
      <c r="C62" s="42" t="s">
        <v>94</v>
      </c>
      <c r="D62" s="43">
        <f>COUNTIF(DATA!$A$2:$A$9731,B62)</f>
        <v>45</v>
      </c>
      <c r="E62" s="43">
        <f>SUMIF(DATA!$A$2:$A$9077,B62,DATA!$J$2:$J$9077)</f>
        <v>12</v>
      </c>
      <c r="F62" s="43">
        <f>SUMIF(DATA!$A$2:$A$9077,B62,DATA!$K$2:$K$9077)</f>
        <v>11</v>
      </c>
      <c r="G62" s="38">
        <f t="shared" si="9"/>
        <v>23</v>
      </c>
      <c r="H62" s="39">
        <f t="shared" si="10"/>
        <v>0.52173913043478259</v>
      </c>
      <c r="I62" s="49">
        <f t="shared" si="11"/>
        <v>2.2222222222222223E-2</v>
      </c>
      <c r="J62" s="50">
        <f>Table1[[#This Row],[Correct]]/Table1[[#This Row],['#Quizzes]]</f>
        <v>0.26666666666666666</v>
      </c>
      <c r="K62" s="43">
        <f>SUMIF(DATA!$A$2:$A$9077,B62,DATA!$L$2:$L$9077)</f>
        <v>0</v>
      </c>
      <c r="L62" s="43">
        <f>SUMIF(DATA!$A$2:$A$9077,B62,DATA!$M$2:$M$79077)</f>
        <v>1</v>
      </c>
      <c r="M62" s="43">
        <f>SUMIF(DATA!$A$2:$A$9077,B62,DATA!$N$2:$N$9077)</f>
        <v>1</v>
      </c>
      <c r="N62" s="43">
        <f>SUMIF(DATA!$A$2:$A$9101,B62,DATA!$O$2:$O$9101)</f>
        <v>0</v>
      </c>
      <c r="O62" s="43">
        <f>SUMIF(DATA!$A$2:$A$9101,B62,DATA!$P$2:$P$9101)</f>
        <v>0</v>
      </c>
      <c r="P62" s="43">
        <f>SUMIF(DATA!$A$2:$A$9101,B62,DATA!$Q$2:$Q$9101)</f>
        <v>0</v>
      </c>
      <c r="Q62" s="43">
        <f>SUMIF(DATA!$A$2:$A$9078,B62,DATA!$R$2:$R$9078)</f>
        <v>0</v>
      </c>
      <c r="R62" s="45">
        <f t="shared" si="12"/>
        <v>0</v>
      </c>
      <c r="S62" s="43">
        <f>SUMIF(DATA!$A$2:$A$9078,B62,DATA!$S$2:$S$9078)</f>
        <v>0</v>
      </c>
      <c r="T62" s="45">
        <f t="shared" si="13"/>
        <v>0</v>
      </c>
      <c r="U62" s="43">
        <f>SUMIFS(DATA!J:J,DATA!A:A,Table1[[#This Row],[Name]],DATA!F:F,"Pre")</f>
        <v>7</v>
      </c>
      <c r="V62" s="43">
        <f>SUMIFS(DATA!K:K,DATA!A:A,Table1[[#This Row],[Name]],DATA!F:F,"Pre")</f>
        <v>3</v>
      </c>
      <c r="W62" s="44">
        <f t="shared" si="14"/>
        <v>0.7</v>
      </c>
      <c r="X62" s="43">
        <f>SUMIFS(DATA!J:J,DATA!A:A,Table1[[#This Row],[Name]],DATA!F:F,"Semi")</f>
        <v>0</v>
      </c>
      <c r="Y62" s="43">
        <f>SUMIFS(DATA!K:K,DATA!A:A,Table1[[#This Row],[Name]],DATA!F:F,"Semi")</f>
        <v>0</v>
      </c>
      <c r="Z62" s="44" t="e">
        <f t="shared" si="15"/>
        <v>#DIV/0!</v>
      </c>
      <c r="AA62" s="43">
        <f>SUMIFS(DATA!J:J,DATA!A:A,Table1[[#This Row],[Name]],DATA!F:F,"COnA")</f>
        <v>0</v>
      </c>
      <c r="AB62" s="43">
        <f>SUMIFS(DATA!K:K,DATA!A:A,Table1[[#This Row],[Name]],DATA!F:F,"ConA")</f>
        <v>0</v>
      </c>
      <c r="AC62" s="44" t="e">
        <f t="shared" si="16"/>
        <v>#DIV/0!</v>
      </c>
      <c r="AD62" s="43">
        <f>SUMIFS(DATA!J:J,DATA!A:A,Table1[[#This Row],[Name]],DATA!F:F,"ConB")</f>
        <v>5</v>
      </c>
      <c r="AE62" s="43">
        <f>SUMIFS(DATA!K:K,DATA!A:A,Table1[[#This Row],[Name]],DATA!F:F,"ConB")</f>
        <v>8</v>
      </c>
      <c r="AF62" s="44">
        <f t="shared" si="17"/>
        <v>0.38461538461538464</v>
      </c>
    </row>
    <row r="63" spans="1:32" x14ac:dyDescent="0.2">
      <c r="A63" s="42">
        <v>65</v>
      </c>
      <c r="B63" s="42" t="s">
        <v>41</v>
      </c>
      <c r="C63" s="42" t="s">
        <v>90</v>
      </c>
      <c r="D63" s="43">
        <f>COUNTIF(DATA!$A$2:$A$9731,B63)</f>
        <v>46</v>
      </c>
      <c r="E63" s="43">
        <f>SUMIF(DATA!$A$2:$A$9077,B63,DATA!$J$2:$J$9077)</f>
        <v>7</v>
      </c>
      <c r="F63" s="43">
        <f>SUMIF(DATA!$A$2:$A$9077,B63,DATA!$K$2:$K$9077)</f>
        <v>5</v>
      </c>
      <c r="G63" s="38">
        <f t="shared" si="9"/>
        <v>12</v>
      </c>
      <c r="H63" s="39">
        <f t="shared" si="10"/>
        <v>0.58333333333333337</v>
      </c>
      <c r="I63" s="49">
        <f t="shared" si="11"/>
        <v>4.3478260869565216E-2</v>
      </c>
      <c r="J63" s="50">
        <f>Table1[[#This Row],[Correct]]/Table1[[#This Row],['#Quizzes]]</f>
        <v>0.15217391304347827</v>
      </c>
      <c r="K63" s="43">
        <f>SUMIF(DATA!$A$2:$A$9077,B63,DATA!$L$2:$L$9077)</f>
        <v>0</v>
      </c>
      <c r="L63" s="43">
        <f>SUMIF(DATA!$A$2:$A$9077,B63,DATA!$M$2:$M$79077)</f>
        <v>1</v>
      </c>
      <c r="M63" s="43">
        <f>SUMIF(DATA!$A$2:$A$9077,B63,DATA!$N$2:$N$9077)</f>
        <v>1</v>
      </c>
      <c r="N63" s="43">
        <f>SUMIF(DATA!$A$2:$A$9101,B63,DATA!$O$2:$O$9101)</f>
        <v>0</v>
      </c>
      <c r="O63" s="43">
        <f>SUMIF(DATA!$A$2:$A$9101,B63,DATA!$P$2:$P$9101)</f>
        <v>0</v>
      </c>
      <c r="P63" s="43">
        <f>SUMIF(DATA!$A$2:$A$9101,B63,DATA!$Q$2:$Q$9101)</f>
        <v>0</v>
      </c>
      <c r="Q63" s="43">
        <f>SUMIF(DATA!$A$2:$A$9078,B63,DATA!$R$2:$R$9078)</f>
        <v>0</v>
      </c>
      <c r="R63" s="45">
        <f t="shared" si="12"/>
        <v>0</v>
      </c>
      <c r="S63" s="43">
        <f>SUMIF(DATA!$A$2:$A$9078,B63,DATA!$S$2:$S$9078)</f>
        <v>0</v>
      </c>
      <c r="T63" s="45">
        <f t="shared" si="13"/>
        <v>0</v>
      </c>
      <c r="U63" s="43">
        <f>SUMIFS(DATA!J:J,DATA!A:A,Table1[[#This Row],[Name]],DATA!F:F,"Pre")</f>
        <v>4</v>
      </c>
      <c r="V63" s="43">
        <f>SUMIFS(DATA!K:K,DATA!A:A,Table1[[#This Row],[Name]],DATA!F:F,"Pre")</f>
        <v>3</v>
      </c>
      <c r="W63" s="44">
        <f t="shared" si="14"/>
        <v>0.5714285714285714</v>
      </c>
      <c r="X63" s="43">
        <f>SUMIFS(DATA!J:J,DATA!A:A,Table1[[#This Row],[Name]],DATA!F:F,"Semi")</f>
        <v>0</v>
      </c>
      <c r="Y63" s="43">
        <f>SUMIFS(DATA!K:K,DATA!A:A,Table1[[#This Row],[Name]],DATA!F:F,"Semi")</f>
        <v>0</v>
      </c>
      <c r="Z63" s="44" t="e">
        <f t="shared" si="15"/>
        <v>#DIV/0!</v>
      </c>
      <c r="AA63" s="43">
        <f>SUMIFS(DATA!J:J,DATA!A:A,Table1[[#This Row],[Name]],DATA!F:F,"COnA")</f>
        <v>0</v>
      </c>
      <c r="AB63" s="43">
        <f>SUMIFS(DATA!K:K,DATA!A:A,Table1[[#This Row],[Name]],DATA!F:F,"ConA")</f>
        <v>0</v>
      </c>
      <c r="AC63" s="44" t="e">
        <f t="shared" si="16"/>
        <v>#DIV/0!</v>
      </c>
      <c r="AD63" s="43">
        <f>SUMIFS(DATA!J:J,DATA!A:A,Table1[[#This Row],[Name]],DATA!F:F,"ConB")</f>
        <v>3</v>
      </c>
      <c r="AE63" s="43">
        <f>SUMIFS(DATA!K:K,DATA!A:A,Table1[[#This Row],[Name]],DATA!F:F,"ConB")</f>
        <v>2</v>
      </c>
      <c r="AF63" s="44">
        <f t="shared" si="17"/>
        <v>0.6</v>
      </c>
    </row>
    <row r="64" spans="1:32" x14ac:dyDescent="0.2">
      <c r="A64" s="42">
        <v>60</v>
      </c>
      <c r="B64" s="42" t="s">
        <v>138</v>
      </c>
      <c r="C64" s="42" t="s">
        <v>96</v>
      </c>
      <c r="D64" s="43">
        <f>COUNTIF(DATA!$A$2:$A$9731,B64)</f>
        <v>44</v>
      </c>
      <c r="E64" s="43">
        <f>SUMIF(DATA!$A$2:$A$9077,B64,DATA!$J$2:$J$9077)</f>
        <v>1</v>
      </c>
      <c r="F64" s="43">
        <f>SUMIF(DATA!$A$2:$A$9077,B64,DATA!$K$2:$K$9077)</f>
        <v>0</v>
      </c>
      <c r="G64" s="38">
        <f t="shared" si="9"/>
        <v>1</v>
      </c>
      <c r="H64" s="39">
        <f t="shared" si="10"/>
        <v>1</v>
      </c>
      <c r="I64" s="49">
        <f t="shared" si="11"/>
        <v>4.5454545454545456E-2</v>
      </c>
      <c r="J64" s="50">
        <f>Table1[[#This Row],[Correct]]/Table1[[#This Row],['#Quizzes]]</f>
        <v>2.2727272727272728E-2</v>
      </c>
      <c r="K64" s="43">
        <f>SUMIF(DATA!$A$2:$A$9077,B64,DATA!$L$2:$L$9077)</f>
        <v>0</v>
      </c>
      <c r="L64" s="43">
        <f>SUMIF(DATA!$A$2:$A$9077,B64,DATA!$M$2:$M$79077)</f>
        <v>1</v>
      </c>
      <c r="M64" s="43">
        <f>SUMIF(DATA!$A$2:$A$9077,B64,DATA!$N$2:$N$9077)</f>
        <v>0</v>
      </c>
      <c r="N64" s="43">
        <f>SUMIF(DATA!$A$2:$A$9101,B64,DATA!$O$2:$O$9101)</f>
        <v>0</v>
      </c>
      <c r="O64" s="43">
        <f>SUMIF(DATA!$A$2:$A$9101,B64,DATA!$P$2:$P$9101)</f>
        <v>0</v>
      </c>
      <c r="P64" s="43">
        <f>SUMIF(DATA!$A$2:$A$9101,B64,DATA!$Q$2:$Q$9101)</f>
        <v>0</v>
      </c>
      <c r="Q64" s="43">
        <f>SUMIF(DATA!$A$2:$A$9078,B64,DATA!$R$2:$R$9078)</f>
        <v>0</v>
      </c>
      <c r="R64" s="45">
        <f t="shared" si="12"/>
        <v>0</v>
      </c>
      <c r="S64" s="43">
        <f>SUMIF(DATA!$A$2:$A$9078,B64,DATA!$S$2:$S$9078)</f>
        <v>0</v>
      </c>
      <c r="T64" s="45">
        <f t="shared" si="13"/>
        <v>0</v>
      </c>
      <c r="U64" s="43">
        <f>SUMIFS(DATA!J:J,DATA!A:A,Table1[[#This Row],[Name]],DATA!F:F,"Pre")</f>
        <v>1</v>
      </c>
      <c r="V64" s="43">
        <f>SUMIFS(DATA!K:K,DATA!A:A,Table1[[#This Row],[Name]],DATA!F:F,"Pre")</f>
        <v>0</v>
      </c>
      <c r="W64" s="44">
        <f t="shared" si="14"/>
        <v>1</v>
      </c>
      <c r="X64" s="43">
        <f>SUMIFS(DATA!J:J,DATA!A:A,Table1[[#This Row],[Name]],DATA!F:F,"Semi")</f>
        <v>0</v>
      </c>
      <c r="Y64" s="43">
        <f>SUMIFS(DATA!K:K,DATA!A:A,Table1[[#This Row],[Name]],DATA!F:F,"Semi")</f>
        <v>0</v>
      </c>
      <c r="Z64" s="44" t="e">
        <f t="shared" si="15"/>
        <v>#DIV/0!</v>
      </c>
      <c r="AA64" s="43">
        <f>SUMIFS(DATA!J:J,DATA!A:A,Table1[[#This Row],[Name]],DATA!F:F,"COnA")</f>
        <v>0</v>
      </c>
      <c r="AB64" s="43">
        <f>SUMIFS(DATA!K:K,DATA!A:A,Table1[[#This Row],[Name]],DATA!F:F,"ConA")</f>
        <v>0</v>
      </c>
      <c r="AC64" s="44" t="e">
        <f t="shared" si="16"/>
        <v>#DIV/0!</v>
      </c>
      <c r="AD64" s="43">
        <f>SUMIFS(DATA!J:J,DATA!A:A,Table1[[#This Row],[Name]],DATA!F:F,"ConB")</f>
        <v>0</v>
      </c>
      <c r="AE64" s="43">
        <f>SUMIFS(DATA!K:K,DATA!A:A,Table1[[#This Row],[Name]],DATA!F:F,"ConB")</f>
        <v>0</v>
      </c>
      <c r="AF64" s="44" t="e">
        <f t="shared" si="17"/>
        <v>#DIV/0!</v>
      </c>
    </row>
    <row r="65" spans="1:32" x14ac:dyDescent="0.2">
      <c r="A65" s="42">
        <v>66</v>
      </c>
      <c r="B65" s="42" t="s">
        <v>141</v>
      </c>
      <c r="C65" s="42" t="s">
        <v>93</v>
      </c>
      <c r="D65" s="43">
        <f>COUNTIF(DATA!$A$2:$A$9731,B65)</f>
        <v>39</v>
      </c>
      <c r="E65" s="43">
        <f>SUMIF(DATA!$A$2:$A$9077,B65,DATA!$J$2:$J$9077)</f>
        <v>16</v>
      </c>
      <c r="F65" s="43">
        <f>SUMIF(DATA!$A$2:$A$9077,B65,DATA!$K$2:$K$9077)</f>
        <v>18</v>
      </c>
      <c r="G65" s="38">
        <f t="shared" si="9"/>
        <v>34</v>
      </c>
      <c r="H65" s="39">
        <f t="shared" si="10"/>
        <v>0.47058823529411764</v>
      </c>
      <c r="I65" s="49">
        <f t="shared" si="11"/>
        <v>2.564102564102564E-2</v>
      </c>
      <c r="J65" s="50">
        <f>Table1[[#This Row],[Correct]]/Table1[[#This Row],['#Quizzes]]</f>
        <v>0.41025641025641024</v>
      </c>
      <c r="K65" s="43">
        <f>SUMIF(DATA!$A$2:$A$9077,B65,DATA!$L$2:$L$9077)</f>
        <v>0</v>
      </c>
      <c r="L65" s="43">
        <f>SUMIF(DATA!$A$2:$A$9077,B65,DATA!$M$2:$M$79077)</f>
        <v>4</v>
      </c>
      <c r="M65" s="43">
        <f>SUMIF(DATA!$A$2:$A$9077,B65,DATA!$N$2:$N$9077)</f>
        <v>1</v>
      </c>
      <c r="N65" s="43">
        <f>SUMIF(DATA!$A$2:$A$9101,B65,DATA!$O$2:$O$9101)</f>
        <v>3</v>
      </c>
      <c r="O65" s="43">
        <f>SUMIF(DATA!$A$2:$A$9101,B65,DATA!$P$2:$P$9101)</f>
        <v>1</v>
      </c>
      <c r="P65" s="43">
        <f>SUMIF(DATA!$A$2:$A$9101,B65,DATA!$Q$2:$Q$9101)</f>
        <v>0</v>
      </c>
      <c r="Q65" s="43">
        <f>SUMIF(DATA!$A$2:$A$9078,B65,DATA!$R$2:$R$9078)</f>
        <v>0</v>
      </c>
      <c r="R65" s="45">
        <f t="shared" si="12"/>
        <v>0</v>
      </c>
      <c r="S65" s="43">
        <f>SUMIF(DATA!$A$2:$A$9078,B65,DATA!$S$2:$S$9078)</f>
        <v>0</v>
      </c>
      <c r="T65" s="45">
        <f t="shared" si="13"/>
        <v>0</v>
      </c>
      <c r="U65" s="43">
        <f>SUMIFS(DATA!J:J,DATA!A:A,Table1[[#This Row],[Name]],DATA!F:F,"Pre")</f>
        <v>4</v>
      </c>
      <c r="V65" s="43">
        <f>SUMIFS(DATA!K:K,DATA!A:A,Table1[[#This Row],[Name]],DATA!F:F,"Pre")</f>
        <v>9</v>
      </c>
      <c r="W65" s="44">
        <f t="shared" si="14"/>
        <v>0.30769230769230771</v>
      </c>
      <c r="X65" s="43">
        <f>SUMIFS(DATA!J:J,DATA!A:A,Table1[[#This Row],[Name]],DATA!F:F,"Semi")</f>
        <v>3</v>
      </c>
      <c r="Y65" s="43">
        <f>SUMIFS(DATA!K:K,DATA!A:A,Table1[[#This Row],[Name]],DATA!F:F,"Semi")</f>
        <v>1</v>
      </c>
      <c r="Z65" s="44">
        <f t="shared" si="15"/>
        <v>0.75</v>
      </c>
      <c r="AA65" s="43">
        <f>SUMIFS(DATA!J:J,DATA!A:A,Table1[[#This Row],[Name]],DATA!F:F,"COnA")</f>
        <v>1</v>
      </c>
      <c r="AB65" s="43">
        <f>SUMIFS(DATA!K:K,DATA!A:A,Table1[[#This Row],[Name]],DATA!F:F,"ConA")</f>
        <v>3</v>
      </c>
      <c r="AC65" s="44">
        <f t="shared" si="16"/>
        <v>0.25</v>
      </c>
      <c r="AD65" s="43">
        <f>SUMIFS(DATA!J:J,DATA!A:A,Table1[[#This Row],[Name]],DATA!F:F,"ConB")</f>
        <v>8</v>
      </c>
      <c r="AE65" s="43">
        <f>SUMIFS(DATA!K:K,DATA!A:A,Table1[[#This Row],[Name]],DATA!F:F,"ConB")</f>
        <v>5</v>
      </c>
      <c r="AF65" s="44">
        <f t="shared" si="17"/>
        <v>0.61538461538461542</v>
      </c>
    </row>
    <row r="66" spans="1:32" x14ac:dyDescent="0.2">
      <c r="A66" s="42">
        <v>63</v>
      </c>
      <c r="B66" s="42" t="s">
        <v>185</v>
      </c>
      <c r="C66" s="42" t="s">
        <v>93</v>
      </c>
      <c r="D66" s="43">
        <f>COUNTIF(DATA!$A$2:$A$9731,B66)</f>
        <v>47</v>
      </c>
      <c r="E66" s="43">
        <f>SUMIF(DATA!$A$2:$A$9077,B66,DATA!$J$2:$J$9077)</f>
        <v>15</v>
      </c>
      <c r="F66" s="43">
        <f>SUMIF(DATA!$A$2:$A$9077,B66,DATA!$K$2:$K$9077)</f>
        <v>11</v>
      </c>
      <c r="G66" s="38">
        <f t="shared" ref="G66:G97" si="18">E66+F66</f>
        <v>26</v>
      </c>
      <c r="H66" s="39">
        <f t="shared" ref="H66:H92" si="19">E66/(E66+F66)</f>
        <v>0.57692307692307687</v>
      </c>
      <c r="I66" s="49">
        <f t="shared" ref="I66:I92" si="20">(E66+L66-F66-K66-M66)/D66</f>
        <v>6.3829787234042548E-2</v>
      </c>
      <c r="J66" s="50">
        <f>Table1[[#This Row],[Correct]]/Table1[[#This Row],['#Quizzes]]</f>
        <v>0.31914893617021278</v>
      </c>
      <c r="K66" s="43">
        <f>SUMIF(DATA!$A$2:$A$9077,B66,DATA!$L$2:$L$9077)</f>
        <v>1</v>
      </c>
      <c r="L66" s="43">
        <f>SUMIF(DATA!$A$2:$A$9077,B66,DATA!$M$2:$M$79077)</f>
        <v>1</v>
      </c>
      <c r="M66" s="43">
        <f>SUMIF(DATA!$A$2:$A$9077,B66,DATA!$N$2:$N$9077)</f>
        <v>1</v>
      </c>
      <c r="N66" s="43">
        <f>SUMIF(DATA!$A$2:$A$9101,B66,DATA!$O$2:$O$9101)</f>
        <v>4</v>
      </c>
      <c r="O66" s="43">
        <f>SUMIF(DATA!$A$2:$A$9101,B66,DATA!$P$2:$P$9101)</f>
        <v>1</v>
      </c>
      <c r="P66" s="43">
        <f>SUMIF(DATA!$A$2:$A$9101,B66,DATA!$Q$2:$Q$9101)</f>
        <v>0</v>
      </c>
      <c r="Q66" s="43">
        <f>SUMIF(DATA!$A$2:$A$9078,B66,DATA!$R$2:$R$9078)</f>
        <v>0</v>
      </c>
      <c r="R66" s="45">
        <f t="shared" ref="R66:R97" si="21">Q66/D66</f>
        <v>0</v>
      </c>
      <c r="S66" s="43">
        <f>SUMIF(DATA!$A$2:$A$9078,B66,DATA!$S$2:$S$9078)</f>
        <v>0</v>
      </c>
      <c r="T66" s="45">
        <f t="shared" ref="T66:T97" si="22">S66/D66</f>
        <v>0</v>
      </c>
      <c r="U66" s="43">
        <f>SUMIFS(DATA!J:J,DATA!A:A,Table1[[#This Row],[Name]],DATA!F:F,"Pre")</f>
        <v>7</v>
      </c>
      <c r="V66" s="43">
        <f>SUMIFS(DATA!K:K,DATA!A:A,Table1[[#This Row],[Name]],DATA!F:F,"Pre")</f>
        <v>6</v>
      </c>
      <c r="W66" s="44">
        <f t="shared" ref="W66:W97" si="23">U66/(U66+V66)</f>
        <v>0.53846153846153844</v>
      </c>
      <c r="X66" s="43">
        <f>SUMIFS(DATA!J:J,DATA!A:A,Table1[[#This Row],[Name]],DATA!F:F,"Semi")</f>
        <v>0</v>
      </c>
      <c r="Y66" s="43">
        <f>SUMIFS(DATA!K:K,DATA!A:A,Table1[[#This Row],[Name]],DATA!F:F,"Semi")</f>
        <v>0</v>
      </c>
      <c r="Z66" s="44" t="e">
        <f t="shared" ref="Z66:Z97" si="24">X66/(X66+Y66)</f>
        <v>#DIV/0!</v>
      </c>
      <c r="AA66" s="43">
        <f>SUMIFS(DATA!J:J,DATA!A:A,Table1[[#This Row],[Name]],DATA!F:F,"COnA")</f>
        <v>5</v>
      </c>
      <c r="AB66" s="43">
        <f>SUMIFS(DATA!K:K,DATA!A:A,Table1[[#This Row],[Name]],DATA!F:F,"ConA")</f>
        <v>2</v>
      </c>
      <c r="AC66" s="44">
        <f t="shared" ref="AC66:AC97" si="25">AA66/(AA66+AB66)</f>
        <v>0.7142857142857143</v>
      </c>
      <c r="AD66" s="43">
        <f>SUMIFS(DATA!J:J,DATA!A:A,Table1[[#This Row],[Name]],DATA!F:F,"ConB")</f>
        <v>3</v>
      </c>
      <c r="AE66" s="43">
        <f>SUMIFS(DATA!K:K,DATA!A:A,Table1[[#This Row],[Name]],DATA!F:F,"ConB")</f>
        <v>3</v>
      </c>
      <c r="AF66" s="44">
        <f t="shared" ref="AF66:AF97" si="26">AD66/(AD66+AE66)</f>
        <v>0.5</v>
      </c>
    </row>
    <row r="67" spans="1:32" x14ac:dyDescent="0.2">
      <c r="A67" s="42">
        <v>67</v>
      </c>
      <c r="B67" s="42" t="s">
        <v>140</v>
      </c>
      <c r="C67" s="42" t="s">
        <v>90</v>
      </c>
      <c r="D67" s="43">
        <f>COUNTIF(DATA!$A$2:$A$9731,B67)</f>
        <v>48</v>
      </c>
      <c r="E67" s="43">
        <f>SUMIF(DATA!$A$2:$A$9077,B67,DATA!$J$2:$J$9077)</f>
        <v>13</v>
      </c>
      <c r="F67" s="43">
        <f>SUMIF(DATA!$A$2:$A$9077,B67,DATA!$K$2:$K$9077)</f>
        <v>17</v>
      </c>
      <c r="G67" s="38">
        <f t="shared" si="18"/>
        <v>30</v>
      </c>
      <c r="H67" s="39">
        <f t="shared" si="19"/>
        <v>0.43333333333333335</v>
      </c>
      <c r="I67" s="49">
        <f t="shared" si="20"/>
        <v>0</v>
      </c>
      <c r="J67" s="50">
        <f>Table1[[#This Row],[Correct]]/Table1[[#This Row],['#Quizzes]]</f>
        <v>0.27083333333333331</v>
      </c>
      <c r="K67" s="43">
        <f>SUMIF(DATA!$A$2:$A$9077,B67,DATA!$L$2:$L$9077)</f>
        <v>0</v>
      </c>
      <c r="L67" s="43">
        <f>SUMIF(DATA!$A$2:$A$9077,B67,DATA!$M$2:$M$79077)</f>
        <v>4</v>
      </c>
      <c r="M67" s="43">
        <f>SUMIF(DATA!$A$2:$A$9077,B67,DATA!$N$2:$N$9077)</f>
        <v>0</v>
      </c>
      <c r="N67" s="43">
        <f>SUMIF(DATA!$A$2:$A$9101,B67,DATA!$O$2:$O$9101)</f>
        <v>6</v>
      </c>
      <c r="O67" s="43">
        <f>SUMIF(DATA!$A$2:$A$9101,B67,DATA!$P$2:$P$9101)</f>
        <v>0</v>
      </c>
      <c r="P67" s="43">
        <f>SUMIF(DATA!$A$2:$A$9101,B67,DATA!$Q$2:$Q$9101)</f>
        <v>0</v>
      </c>
      <c r="Q67" s="43">
        <f>SUMIF(DATA!$A$2:$A$9078,B67,DATA!$R$2:$R$9078)</f>
        <v>0</v>
      </c>
      <c r="R67" s="45">
        <f t="shared" si="21"/>
        <v>0</v>
      </c>
      <c r="S67" s="43">
        <f>SUMIF(DATA!$A$2:$A$9078,B67,DATA!$S$2:$S$9078)</f>
        <v>0</v>
      </c>
      <c r="T67" s="45">
        <f t="shared" si="22"/>
        <v>0</v>
      </c>
      <c r="U67" s="43">
        <f>SUMIFS(DATA!J:J,DATA!A:A,Table1[[#This Row],[Name]],DATA!F:F,"Pre")</f>
        <v>12</v>
      </c>
      <c r="V67" s="43">
        <f>SUMIFS(DATA!K:K,DATA!A:A,Table1[[#This Row],[Name]],DATA!F:F,"Pre")</f>
        <v>13</v>
      </c>
      <c r="W67" s="44">
        <f t="shared" si="23"/>
        <v>0.48</v>
      </c>
      <c r="X67" s="43">
        <f>SUMIFS(DATA!J:J,DATA!A:A,Table1[[#This Row],[Name]],DATA!F:F,"Semi")</f>
        <v>1</v>
      </c>
      <c r="Y67" s="43">
        <f>SUMIFS(DATA!K:K,DATA!A:A,Table1[[#This Row],[Name]],DATA!F:F,"Semi")</f>
        <v>4</v>
      </c>
      <c r="Z67" s="44">
        <f t="shared" si="24"/>
        <v>0.2</v>
      </c>
      <c r="AA67" s="43">
        <f>SUMIFS(DATA!J:J,DATA!A:A,Table1[[#This Row],[Name]],DATA!F:F,"COnA")</f>
        <v>0</v>
      </c>
      <c r="AB67" s="43">
        <f>SUMIFS(DATA!K:K,DATA!A:A,Table1[[#This Row],[Name]],DATA!F:F,"ConA")</f>
        <v>0</v>
      </c>
      <c r="AC67" s="44" t="e">
        <f t="shared" si="25"/>
        <v>#DIV/0!</v>
      </c>
      <c r="AD67" s="43">
        <f>SUMIFS(DATA!J:J,DATA!A:A,Table1[[#This Row],[Name]],DATA!F:F,"ConB")</f>
        <v>0</v>
      </c>
      <c r="AE67" s="43">
        <f>SUMIFS(DATA!K:K,DATA!A:A,Table1[[#This Row],[Name]],DATA!F:F,"ConB")</f>
        <v>0</v>
      </c>
      <c r="AF67" s="44" t="e">
        <f t="shared" si="26"/>
        <v>#DIV/0!</v>
      </c>
    </row>
    <row r="68" spans="1:32" x14ac:dyDescent="0.2">
      <c r="A68" s="42">
        <v>73</v>
      </c>
      <c r="B68" s="42" t="s">
        <v>154</v>
      </c>
      <c r="C68" s="42" t="s">
        <v>88</v>
      </c>
      <c r="D68" s="43">
        <f>COUNTIF(DATA!$A$2:$A$9731,B68)</f>
        <v>48</v>
      </c>
      <c r="E68" s="43">
        <f>SUMIF(DATA!$A$2:$A$9077,B68,DATA!$J$2:$J$9077)</f>
        <v>7</v>
      </c>
      <c r="F68" s="43">
        <f>SUMIF(DATA!$A$2:$A$9077,B68,DATA!$K$2:$K$9077)</f>
        <v>5</v>
      </c>
      <c r="G68" s="38">
        <f t="shared" si="18"/>
        <v>12</v>
      </c>
      <c r="H68" s="39">
        <f t="shared" si="19"/>
        <v>0.58333333333333337</v>
      </c>
      <c r="I68" s="49">
        <f t="shared" si="20"/>
        <v>-2.0833333333333332E-2</v>
      </c>
      <c r="J68" s="50">
        <f>Table1[[#This Row],[Correct]]/Table1[[#This Row],['#Quizzes]]</f>
        <v>0.14583333333333334</v>
      </c>
      <c r="K68" s="43">
        <f>SUMIF(DATA!$A$2:$A$9077,B68,DATA!$L$2:$L$9077)</f>
        <v>0</v>
      </c>
      <c r="L68" s="43">
        <f>SUMIF(DATA!$A$2:$A$9077,B68,DATA!$M$2:$M$79077)</f>
        <v>0</v>
      </c>
      <c r="M68" s="43">
        <f>SUMIF(DATA!$A$2:$A$9077,B68,DATA!$N$2:$N$9077)</f>
        <v>3</v>
      </c>
      <c r="N68" s="43">
        <f>SUMIF(DATA!$A$2:$A$9101,B68,DATA!$O$2:$O$9101)</f>
        <v>2</v>
      </c>
      <c r="O68" s="43">
        <f>SUMIF(DATA!$A$2:$A$9101,B68,DATA!$P$2:$P$9101)</f>
        <v>0</v>
      </c>
      <c r="P68" s="43">
        <f>SUMIF(DATA!$A$2:$A$9101,B68,DATA!$Q$2:$Q$9101)</f>
        <v>0</v>
      </c>
      <c r="Q68" s="43">
        <f>SUMIF(DATA!$A$2:$A$9078,B68,DATA!$R$2:$R$9078)</f>
        <v>0</v>
      </c>
      <c r="R68" s="45">
        <f t="shared" si="21"/>
        <v>0</v>
      </c>
      <c r="S68" s="43">
        <f>SUMIF(DATA!$A$2:$A$9078,B68,DATA!$S$2:$S$9078)</f>
        <v>0</v>
      </c>
      <c r="T68" s="45">
        <f t="shared" si="22"/>
        <v>0</v>
      </c>
      <c r="U68" s="43">
        <f>SUMIFS(DATA!J:J,DATA!A:A,Table1[[#This Row],[Name]],DATA!F:F,"Pre")</f>
        <v>5</v>
      </c>
      <c r="V68" s="43">
        <f>SUMIFS(DATA!K:K,DATA!A:A,Table1[[#This Row],[Name]],DATA!F:F,"Pre")</f>
        <v>2</v>
      </c>
      <c r="W68" s="44">
        <f t="shared" si="23"/>
        <v>0.7142857142857143</v>
      </c>
      <c r="X68" s="43">
        <f>SUMIFS(DATA!J:J,DATA!A:A,Table1[[#This Row],[Name]],DATA!F:F,"Semi")</f>
        <v>0</v>
      </c>
      <c r="Y68" s="43">
        <f>SUMIFS(DATA!K:K,DATA!A:A,Table1[[#This Row],[Name]],DATA!F:F,"Semi")</f>
        <v>0</v>
      </c>
      <c r="Z68" s="44" t="e">
        <f t="shared" si="24"/>
        <v>#DIV/0!</v>
      </c>
      <c r="AA68" s="43">
        <f>SUMIFS(DATA!J:J,DATA!A:A,Table1[[#This Row],[Name]],DATA!F:F,"COnA")</f>
        <v>0</v>
      </c>
      <c r="AB68" s="43">
        <f>SUMIFS(DATA!K:K,DATA!A:A,Table1[[#This Row],[Name]],DATA!F:F,"ConA")</f>
        <v>2</v>
      </c>
      <c r="AC68" s="44">
        <f t="shared" si="25"/>
        <v>0</v>
      </c>
      <c r="AD68" s="43">
        <f>SUMIFS(DATA!J:J,DATA!A:A,Table1[[#This Row],[Name]],DATA!F:F,"ConB")</f>
        <v>2</v>
      </c>
      <c r="AE68" s="43">
        <f>SUMIFS(DATA!K:K,DATA!A:A,Table1[[#This Row],[Name]],DATA!F:F,"ConB")</f>
        <v>1</v>
      </c>
      <c r="AF68" s="44">
        <f t="shared" si="26"/>
        <v>0.66666666666666663</v>
      </c>
    </row>
    <row r="69" spans="1:32" x14ac:dyDescent="0.2">
      <c r="A69" s="42">
        <v>70</v>
      </c>
      <c r="B69" s="42" t="s">
        <v>191</v>
      </c>
      <c r="C69" s="42" t="s">
        <v>93</v>
      </c>
      <c r="D69" s="43">
        <f>COUNTIF(DATA!$A$2:$A$9731,B69)</f>
        <v>9</v>
      </c>
      <c r="E69" s="43">
        <f>SUMIF(DATA!$A$2:$A$9077,B69,DATA!$J$2:$J$9077)</f>
        <v>2</v>
      </c>
      <c r="F69" s="43">
        <f>SUMIF(DATA!$A$2:$A$9077,B69,DATA!$K$2:$K$9077)</f>
        <v>2</v>
      </c>
      <c r="G69" s="38">
        <f t="shared" si="18"/>
        <v>4</v>
      </c>
      <c r="H69" s="39">
        <f t="shared" si="19"/>
        <v>0.5</v>
      </c>
      <c r="I69" s="49">
        <f t="shared" si="20"/>
        <v>0</v>
      </c>
      <c r="J69" s="50">
        <f>Table1[[#This Row],[Correct]]/Table1[[#This Row],['#Quizzes]]</f>
        <v>0.22222222222222221</v>
      </c>
      <c r="K69" s="43">
        <f>SUMIF(DATA!$A$2:$A$9077,B69,DATA!$L$2:$L$9077)</f>
        <v>0</v>
      </c>
      <c r="L69" s="43">
        <f>SUMIF(DATA!$A$2:$A$9077,B69,DATA!$M$2:$M$79077)</f>
        <v>0</v>
      </c>
      <c r="M69" s="43">
        <f>SUMIF(DATA!$A$2:$A$9077,B69,DATA!$N$2:$N$9077)</f>
        <v>0</v>
      </c>
      <c r="N69" s="43">
        <f>SUMIF(DATA!$A$2:$A$9101,B69,DATA!$O$2:$O$9101)</f>
        <v>0</v>
      </c>
      <c r="O69" s="43">
        <f>SUMIF(DATA!$A$2:$A$9101,B69,DATA!$P$2:$P$9101)</f>
        <v>0</v>
      </c>
      <c r="P69" s="43">
        <f>SUMIF(DATA!$A$2:$A$9101,B69,DATA!$Q$2:$Q$9101)</f>
        <v>0</v>
      </c>
      <c r="Q69" s="43">
        <f>SUMIF(DATA!$A$2:$A$9078,B69,DATA!$R$2:$R$9078)</f>
        <v>0</v>
      </c>
      <c r="R69" s="45">
        <f t="shared" si="21"/>
        <v>0</v>
      </c>
      <c r="S69" s="43">
        <f>SUMIF(DATA!$A$2:$A$9078,B69,DATA!$S$2:$S$9078)</f>
        <v>0</v>
      </c>
      <c r="T69" s="45">
        <f t="shared" si="22"/>
        <v>0</v>
      </c>
      <c r="U69" s="43">
        <f>SUMIFS(DATA!J:J,DATA!A:A,Table1[[#This Row],[Name]],DATA!F:F,"Pre")</f>
        <v>1</v>
      </c>
      <c r="V69" s="43">
        <f>SUMIFS(DATA!K:K,DATA!A:A,Table1[[#This Row],[Name]],DATA!F:F,"Pre")</f>
        <v>0</v>
      </c>
      <c r="W69" s="44">
        <f t="shared" si="23"/>
        <v>1</v>
      </c>
      <c r="X69" s="43">
        <f>SUMIFS(DATA!J:J,DATA!A:A,Table1[[#This Row],[Name]],DATA!F:F,"Semi")</f>
        <v>0</v>
      </c>
      <c r="Y69" s="43">
        <f>SUMIFS(DATA!K:K,DATA!A:A,Table1[[#This Row],[Name]],DATA!F:F,"Semi")</f>
        <v>0</v>
      </c>
      <c r="Z69" s="44" t="e">
        <f t="shared" si="24"/>
        <v>#DIV/0!</v>
      </c>
      <c r="AA69" s="43">
        <f>SUMIFS(DATA!J:J,DATA!A:A,Table1[[#This Row],[Name]],DATA!F:F,"COnA")</f>
        <v>0</v>
      </c>
      <c r="AB69" s="43">
        <f>SUMIFS(DATA!K:K,DATA!A:A,Table1[[#This Row],[Name]],DATA!F:F,"ConA")</f>
        <v>0</v>
      </c>
      <c r="AC69" s="44" t="e">
        <f t="shared" si="25"/>
        <v>#DIV/0!</v>
      </c>
      <c r="AD69" s="43">
        <f>SUMIFS(DATA!J:J,DATA!A:A,Table1[[#This Row],[Name]],DATA!F:F,"ConB")</f>
        <v>1</v>
      </c>
      <c r="AE69" s="43">
        <f>SUMIFS(DATA!K:K,DATA!A:A,Table1[[#This Row],[Name]],DATA!F:F,"ConB")</f>
        <v>2</v>
      </c>
      <c r="AF69" s="44">
        <f t="shared" si="26"/>
        <v>0.33333333333333331</v>
      </c>
    </row>
    <row r="70" spans="1:32" x14ac:dyDescent="0.2">
      <c r="A70" s="42">
        <v>72</v>
      </c>
      <c r="B70" s="42" t="s">
        <v>157</v>
      </c>
      <c r="C70" s="42" t="s">
        <v>95</v>
      </c>
      <c r="D70" s="43">
        <f>COUNTIF(DATA!$A$2:$A$9731,B70)</f>
        <v>38</v>
      </c>
      <c r="E70" s="43">
        <f>SUMIF(DATA!$A$2:$A$9077,B70,DATA!$J$2:$J$9077)</f>
        <v>1</v>
      </c>
      <c r="F70" s="43">
        <f>SUMIF(DATA!$A$2:$A$9077,B70,DATA!$K$2:$K$9077)</f>
        <v>0</v>
      </c>
      <c r="G70" s="38">
        <f t="shared" si="18"/>
        <v>1</v>
      </c>
      <c r="H70" s="39">
        <f t="shared" si="19"/>
        <v>1</v>
      </c>
      <c r="I70" s="49">
        <f t="shared" si="20"/>
        <v>0</v>
      </c>
      <c r="J70" s="50">
        <f>Table1[[#This Row],[Correct]]/Table1[[#This Row],['#Quizzes]]</f>
        <v>2.6315789473684209E-2</v>
      </c>
      <c r="K70" s="43">
        <f>SUMIF(DATA!$A$2:$A$9077,B70,DATA!$L$2:$L$9077)</f>
        <v>0</v>
      </c>
      <c r="L70" s="43">
        <f>SUMIF(DATA!$A$2:$A$9077,B70,DATA!$M$2:$M$79077)</f>
        <v>0</v>
      </c>
      <c r="M70" s="43">
        <f>SUMIF(DATA!$A$2:$A$9077,B70,DATA!$N$2:$N$9077)</f>
        <v>1</v>
      </c>
      <c r="N70" s="43">
        <f>SUMIF(DATA!$A$2:$A$9101,B70,DATA!$O$2:$O$9101)</f>
        <v>0</v>
      </c>
      <c r="O70" s="43">
        <f>SUMIF(DATA!$A$2:$A$9101,B70,DATA!$P$2:$P$9101)</f>
        <v>0</v>
      </c>
      <c r="P70" s="43">
        <f>SUMIF(DATA!$A$2:$A$9101,B70,DATA!$Q$2:$Q$9101)</f>
        <v>0</v>
      </c>
      <c r="Q70" s="43">
        <f>SUMIF(DATA!$A$2:$A$9078,B70,DATA!$R$2:$R$9078)</f>
        <v>0</v>
      </c>
      <c r="R70" s="45">
        <f t="shared" si="21"/>
        <v>0</v>
      </c>
      <c r="S70" s="43">
        <f>SUMIF(DATA!$A$2:$A$9078,B70,DATA!$S$2:$S$9078)</f>
        <v>0</v>
      </c>
      <c r="T70" s="45">
        <f t="shared" si="22"/>
        <v>0</v>
      </c>
      <c r="U70" s="43">
        <f>SUMIFS(DATA!J:J,DATA!A:A,Table1[[#This Row],[Name]],DATA!F:F,"Pre")</f>
        <v>0</v>
      </c>
      <c r="V70" s="43">
        <f>SUMIFS(DATA!K:K,DATA!A:A,Table1[[#This Row],[Name]],DATA!F:F,"Pre")</f>
        <v>0</v>
      </c>
      <c r="W70" s="44" t="e">
        <f t="shared" si="23"/>
        <v>#DIV/0!</v>
      </c>
      <c r="X70" s="43">
        <f>SUMIFS(DATA!J:J,DATA!A:A,Table1[[#This Row],[Name]],DATA!F:F,"Semi")</f>
        <v>0</v>
      </c>
      <c r="Y70" s="43">
        <f>SUMIFS(DATA!K:K,DATA!A:A,Table1[[#This Row],[Name]],DATA!F:F,"Semi")</f>
        <v>0</v>
      </c>
      <c r="Z70" s="44" t="e">
        <f t="shared" si="24"/>
        <v>#DIV/0!</v>
      </c>
      <c r="AA70" s="43">
        <f>SUMIFS(DATA!J:J,DATA!A:A,Table1[[#This Row],[Name]],DATA!F:F,"COnA")</f>
        <v>1</v>
      </c>
      <c r="AB70" s="43">
        <f>SUMIFS(DATA!K:K,DATA!A:A,Table1[[#This Row],[Name]],DATA!F:F,"ConA")</f>
        <v>0</v>
      </c>
      <c r="AC70" s="44">
        <f t="shared" si="25"/>
        <v>1</v>
      </c>
      <c r="AD70" s="43">
        <f>SUMIFS(DATA!J:J,DATA!A:A,Table1[[#This Row],[Name]],DATA!F:F,"ConB")</f>
        <v>0</v>
      </c>
      <c r="AE70" s="43">
        <f>SUMIFS(DATA!K:K,DATA!A:A,Table1[[#This Row],[Name]],DATA!F:F,"ConB")</f>
        <v>0</v>
      </c>
      <c r="AF70" s="44" t="e">
        <f t="shared" si="26"/>
        <v>#DIV/0!</v>
      </c>
    </row>
    <row r="71" spans="1:32" x14ac:dyDescent="0.2">
      <c r="A71" s="42">
        <v>69</v>
      </c>
      <c r="B71" s="42" t="s">
        <v>197</v>
      </c>
      <c r="C71" s="42" t="s">
        <v>90</v>
      </c>
      <c r="D71" s="43">
        <f>COUNTIF(DATA!$A$2:$A$9731,B71)</f>
        <v>37</v>
      </c>
      <c r="E71" s="43">
        <f>SUMIF(DATA!$A$2:$A$9077,B71,DATA!$J$2:$J$9077)</f>
        <v>7</v>
      </c>
      <c r="F71" s="43">
        <f>SUMIF(DATA!$A$2:$A$9077,B71,DATA!$K$2:$K$9077)</f>
        <v>7</v>
      </c>
      <c r="G71" s="38">
        <f t="shared" si="18"/>
        <v>14</v>
      </c>
      <c r="H71" s="39">
        <f t="shared" si="19"/>
        <v>0.5</v>
      </c>
      <c r="I71" s="49">
        <f t="shared" si="20"/>
        <v>0</v>
      </c>
      <c r="J71" s="50">
        <f>Table1[[#This Row],[Correct]]/Table1[[#This Row],['#Quizzes]]</f>
        <v>0.1891891891891892</v>
      </c>
      <c r="K71" s="43">
        <f>SUMIF(DATA!$A$2:$A$9077,B71,DATA!$L$2:$L$9077)</f>
        <v>0</v>
      </c>
      <c r="L71" s="43">
        <f>SUMIF(DATA!$A$2:$A$9077,B71,DATA!$M$2:$M$79077)</f>
        <v>0</v>
      </c>
      <c r="M71" s="43">
        <f>SUMIF(DATA!$A$2:$A$9077,B71,DATA!$N$2:$N$9077)</f>
        <v>0</v>
      </c>
      <c r="N71" s="43">
        <f>SUMIF(DATA!$A$2:$A$9101,B71,DATA!$O$2:$O$9101)</f>
        <v>5</v>
      </c>
      <c r="O71" s="43">
        <f>SUMIF(DATA!$A$2:$A$9101,B71,DATA!$P$2:$P$9101)</f>
        <v>1</v>
      </c>
      <c r="P71" s="43">
        <f>SUMIF(DATA!$A$2:$A$9101,B71,DATA!$Q$2:$Q$9101)</f>
        <v>0</v>
      </c>
      <c r="Q71" s="43">
        <f>SUMIF(DATA!$A$2:$A$9078,B71,DATA!$R$2:$R$9078)</f>
        <v>0</v>
      </c>
      <c r="R71" s="45">
        <f t="shared" si="21"/>
        <v>0</v>
      </c>
      <c r="S71" s="43">
        <f>SUMIF(DATA!$A$2:$A$9078,B71,DATA!$S$2:$S$9078)</f>
        <v>1</v>
      </c>
      <c r="T71" s="45">
        <f t="shared" si="22"/>
        <v>2.7027027027027029E-2</v>
      </c>
      <c r="U71" s="43">
        <f>SUMIFS(DATA!J:J,DATA!A:A,Table1[[#This Row],[Name]],DATA!F:F,"Pre")</f>
        <v>6</v>
      </c>
      <c r="V71" s="43">
        <f>SUMIFS(DATA!K:K,DATA!A:A,Table1[[#This Row],[Name]],DATA!F:F,"Pre")</f>
        <v>6</v>
      </c>
      <c r="W71" s="44">
        <f t="shared" si="23"/>
        <v>0.5</v>
      </c>
      <c r="X71" s="43">
        <f>SUMIFS(DATA!J:J,DATA!A:A,Table1[[#This Row],[Name]],DATA!F:F,"Semi")</f>
        <v>1</v>
      </c>
      <c r="Y71" s="43">
        <f>SUMIFS(DATA!K:K,DATA!A:A,Table1[[#This Row],[Name]],DATA!F:F,"Semi")</f>
        <v>1</v>
      </c>
      <c r="Z71" s="44">
        <f t="shared" si="24"/>
        <v>0.5</v>
      </c>
      <c r="AA71" s="43">
        <f>SUMIFS(DATA!J:J,DATA!A:A,Table1[[#This Row],[Name]],DATA!F:F,"COnA")</f>
        <v>0</v>
      </c>
      <c r="AB71" s="43">
        <f>SUMIFS(DATA!K:K,DATA!A:A,Table1[[#This Row],[Name]],DATA!F:F,"ConA")</f>
        <v>0</v>
      </c>
      <c r="AC71" s="44" t="e">
        <f t="shared" si="25"/>
        <v>#DIV/0!</v>
      </c>
      <c r="AD71" s="43">
        <f>SUMIFS(DATA!J:J,DATA!A:A,Table1[[#This Row],[Name]],DATA!F:F,"ConB")</f>
        <v>0</v>
      </c>
      <c r="AE71" s="43">
        <f>SUMIFS(DATA!K:K,DATA!A:A,Table1[[#This Row],[Name]],DATA!F:F,"ConB")</f>
        <v>0</v>
      </c>
      <c r="AF71" s="44" t="e">
        <f t="shared" si="26"/>
        <v>#DIV/0!</v>
      </c>
    </row>
    <row r="72" spans="1:32" x14ac:dyDescent="0.2">
      <c r="A72" s="42">
        <v>71</v>
      </c>
      <c r="B72" s="42" t="s">
        <v>196</v>
      </c>
      <c r="C72" s="42" t="s">
        <v>92</v>
      </c>
      <c r="D72" s="43">
        <f>COUNTIF(DATA!$A$2:$A$9731,B72)</f>
        <v>9</v>
      </c>
      <c r="E72" s="43">
        <f>SUMIF(DATA!$A$2:$A$9077,B72,DATA!$J$2:$J$9077)</f>
        <v>0</v>
      </c>
      <c r="F72" s="43">
        <f>SUMIF(DATA!$A$2:$A$9077,B72,DATA!$K$2:$K$9077)</f>
        <v>0</v>
      </c>
      <c r="G72" s="38">
        <f t="shared" si="18"/>
        <v>0</v>
      </c>
      <c r="H72" s="39" t="e">
        <f t="shared" si="19"/>
        <v>#DIV/0!</v>
      </c>
      <c r="I72" s="49">
        <f t="shared" si="20"/>
        <v>0</v>
      </c>
      <c r="J72" s="50">
        <f>Table1[[#This Row],[Correct]]/Table1[[#This Row],['#Quizzes]]</f>
        <v>0</v>
      </c>
      <c r="K72" s="43">
        <f>SUMIF(DATA!$A$2:$A$9077,B72,DATA!$L$2:$L$9077)</f>
        <v>0</v>
      </c>
      <c r="L72" s="43">
        <f>SUMIF(DATA!$A$2:$A$9077,B72,DATA!$M$2:$M$79077)</f>
        <v>0</v>
      </c>
      <c r="M72" s="43">
        <f>SUMIF(DATA!$A$2:$A$9077,B72,DATA!$N$2:$N$9077)</f>
        <v>0</v>
      </c>
      <c r="N72" s="43">
        <f>SUMIF(DATA!$A$2:$A$9101,B72,DATA!$O$2:$O$9101)</f>
        <v>0</v>
      </c>
      <c r="O72" s="43">
        <f>SUMIF(DATA!$A$2:$A$9101,B72,DATA!$P$2:$P$9101)</f>
        <v>0</v>
      </c>
      <c r="P72" s="43">
        <f>SUMIF(DATA!$A$2:$A$9101,B72,DATA!$Q$2:$Q$9101)</f>
        <v>0</v>
      </c>
      <c r="Q72" s="43">
        <f>SUMIF(DATA!$A$2:$A$9078,B72,DATA!$R$2:$R$9078)</f>
        <v>0</v>
      </c>
      <c r="R72" s="45">
        <f t="shared" si="21"/>
        <v>0</v>
      </c>
      <c r="S72" s="43">
        <f>SUMIF(DATA!$A$2:$A$9078,B72,DATA!$S$2:$S$9078)</f>
        <v>0</v>
      </c>
      <c r="T72" s="45">
        <f t="shared" si="22"/>
        <v>0</v>
      </c>
      <c r="U72" s="43">
        <f>SUMIFS(DATA!J:J,DATA!A:A,Table1[[#This Row],[Name]],DATA!F:F,"Pre")</f>
        <v>0</v>
      </c>
      <c r="V72" s="43">
        <f>SUMIFS(DATA!K:K,DATA!A:A,Table1[[#This Row],[Name]],DATA!F:F,"Pre")</f>
        <v>0</v>
      </c>
      <c r="W72" s="44" t="e">
        <f t="shared" si="23"/>
        <v>#DIV/0!</v>
      </c>
      <c r="X72" s="43">
        <f>SUMIFS(DATA!J:J,DATA!A:A,Table1[[#This Row],[Name]],DATA!F:F,"Semi")</f>
        <v>0</v>
      </c>
      <c r="Y72" s="43">
        <f>SUMIFS(DATA!K:K,DATA!A:A,Table1[[#This Row],[Name]],DATA!F:F,"Semi")</f>
        <v>0</v>
      </c>
      <c r="Z72" s="44" t="e">
        <f t="shared" si="24"/>
        <v>#DIV/0!</v>
      </c>
      <c r="AA72" s="43">
        <f>SUMIFS(DATA!J:J,DATA!A:A,Table1[[#This Row],[Name]],DATA!F:F,"COnA")</f>
        <v>0</v>
      </c>
      <c r="AB72" s="43">
        <f>SUMIFS(DATA!K:K,DATA!A:A,Table1[[#This Row],[Name]],DATA!F:F,"ConA")</f>
        <v>0</v>
      </c>
      <c r="AC72" s="44" t="e">
        <f t="shared" si="25"/>
        <v>#DIV/0!</v>
      </c>
      <c r="AD72" s="43">
        <f>SUMIFS(DATA!J:J,DATA!A:A,Table1[[#This Row],[Name]],DATA!F:F,"ConB")</f>
        <v>0</v>
      </c>
      <c r="AE72" s="43">
        <f>SUMIFS(DATA!K:K,DATA!A:A,Table1[[#This Row],[Name]],DATA!F:F,"ConB")</f>
        <v>0</v>
      </c>
      <c r="AF72" s="44" t="e">
        <f t="shared" si="26"/>
        <v>#DIV/0!</v>
      </c>
    </row>
    <row r="73" spans="1:32" x14ac:dyDescent="0.2">
      <c r="A73" s="42">
        <v>76</v>
      </c>
      <c r="B73" s="42" t="s">
        <v>188</v>
      </c>
      <c r="C73" s="42" t="s">
        <v>90</v>
      </c>
      <c r="D73" s="43">
        <f>COUNTIF(DATA!$A$2:$A$9731,B73)</f>
        <v>44</v>
      </c>
      <c r="E73" s="43">
        <f>SUMIF(DATA!$A$2:$A$9077,B73,DATA!$J$2:$J$9077)</f>
        <v>7</v>
      </c>
      <c r="F73" s="43">
        <f>SUMIF(DATA!$A$2:$A$9077,B73,DATA!$K$2:$K$9077)</f>
        <v>9</v>
      </c>
      <c r="G73" s="38">
        <f t="shared" si="18"/>
        <v>16</v>
      </c>
      <c r="H73" s="39">
        <f t="shared" si="19"/>
        <v>0.4375</v>
      </c>
      <c r="I73" s="49">
        <f t="shared" si="20"/>
        <v>0</v>
      </c>
      <c r="J73" s="50">
        <f>Table1[[#This Row],[Correct]]/Table1[[#This Row],['#Quizzes]]</f>
        <v>0.15909090909090909</v>
      </c>
      <c r="K73" s="43">
        <f>SUMIF(DATA!$A$2:$A$9077,B73,DATA!$L$2:$L$9077)</f>
        <v>0</v>
      </c>
      <c r="L73" s="43">
        <f>SUMIF(DATA!$A$2:$A$9077,B73,DATA!$M$2:$M$79077)</f>
        <v>3</v>
      </c>
      <c r="M73" s="43">
        <f>SUMIF(DATA!$A$2:$A$9077,B73,DATA!$N$2:$N$9077)</f>
        <v>1</v>
      </c>
      <c r="N73" s="43">
        <f>SUMIF(DATA!$A$2:$A$9101,B73,DATA!$O$2:$O$9101)</f>
        <v>4</v>
      </c>
      <c r="O73" s="43">
        <f>SUMIF(DATA!$A$2:$A$9101,B73,DATA!$P$2:$P$9101)</f>
        <v>1</v>
      </c>
      <c r="P73" s="43">
        <f>SUMIF(DATA!$A$2:$A$9101,B73,DATA!$Q$2:$Q$9101)</f>
        <v>0</v>
      </c>
      <c r="Q73" s="43">
        <f>SUMIF(DATA!$A$2:$A$9078,B73,DATA!$R$2:$R$9078)</f>
        <v>0</v>
      </c>
      <c r="R73" s="45">
        <f t="shared" si="21"/>
        <v>0</v>
      </c>
      <c r="S73" s="43">
        <f>SUMIF(DATA!$A$2:$A$9078,B73,DATA!$S$2:$S$9078)</f>
        <v>0</v>
      </c>
      <c r="T73" s="45">
        <f t="shared" si="22"/>
        <v>0</v>
      </c>
      <c r="U73" s="43">
        <f>SUMIFS(DATA!J:J,DATA!A:A,Table1[[#This Row],[Name]],DATA!F:F,"Pre")</f>
        <v>6</v>
      </c>
      <c r="V73" s="43">
        <f>SUMIFS(DATA!K:K,DATA!A:A,Table1[[#This Row],[Name]],DATA!F:F,"Pre")</f>
        <v>6</v>
      </c>
      <c r="W73" s="44">
        <f t="shared" si="23"/>
        <v>0.5</v>
      </c>
      <c r="X73" s="43">
        <f>SUMIFS(DATA!J:J,DATA!A:A,Table1[[#This Row],[Name]],DATA!F:F,"Semi")</f>
        <v>0</v>
      </c>
      <c r="Y73" s="43">
        <f>SUMIFS(DATA!K:K,DATA!A:A,Table1[[#This Row],[Name]],DATA!F:F,"Semi")</f>
        <v>0</v>
      </c>
      <c r="Z73" s="44" t="e">
        <f t="shared" si="24"/>
        <v>#DIV/0!</v>
      </c>
      <c r="AA73" s="43">
        <f>SUMIFS(DATA!J:J,DATA!A:A,Table1[[#This Row],[Name]],DATA!F:F,"COnA")</f>
        <v>1</v>
      </c>
      <c r="AB73" s="43">
        <f>SUMIFS(DATA!K:K,DATA!A:A,Table1[[#This Row],[Name]],DATA!F:F,"ConA")</f>
        <v>3</v>
      </c>
      <c r="AC73" s="44">
        <f t="shared" si="25"/>
        <v>0.25</v>
      </c>
      <c r="AD73" s="43">
        <f>SUMIFS(DATA!J:J,DATA!A:A,Table1[[#This Row],[Name]],DATA!F:F,"ConB")</f>
        <v>0</v>
      </c>
      <c r="AE73" s="43">
        <f>SUMIFS(DATA!K:K,DATA!A:A,Table1[[#This Row],[Name]],DATA!F:F,"ConB")</f>
        <v>0</v>
      </c>
      <c r="AF73" s="44" t="e">
        <f t="shared" si="26"/>
        <v>#DIV/0!</v>
      </c>
    </row>
    <row r="74" spans="1:32" x14ac:dyDescent="0.2">
      <c r="A74" s="42">
        <v>75</v>
      </c>
      <c r="B74" s="42" t="s">
        <v>193</v>
      </c>
      <c r="C74" s="42" t="s">
        <v>89</v>
      </c>
      <c r="D74" s="43">
        <f>COUNTIF(DATA!$A$2:$A$9731,B74)</f>
        <v>47</v>
      </c>
      <c r="E74" s="43">
        <f>SUMIF(DATA!$A$2:$A$9077,B74,DATA!$J$2:$J$9077)</f>
        <v>13</v>
      </c>
      <c r="F74" s="43">
        <f>SUMIF(DATA!$A$2:$A$9077,B74,DATA!$K$2:$K$9077)</f>
        <v>9</v>
      </c>
      <c r="G74" s="38">
        <f t="shared" si="18"/>
        <v>22</v>
      </c>
      <c r="H74" s="39">
        <f t="shared" si="19"/>
        <v>0.59090909090909094</v>
      </c>
      <c r="I74" s="49">
        <f t="shared" si="20"/>
        <v>0</v>
      </c>
      <c r="J74" s="50">
        <f>Table1[[#This Row],[Correct]]/Table1[[#This Row],['#Quizzes]]</f>
        <v>0.27659574468085107</v>
      </c>
      <c r="K74" s="43">
        <f>SUMIF(DATA!$A$2:$A$9077,B74,DATA!$L$2:$L$9077)</f>
        <v>7</v>
      </c>
      <c r="L74" s="43">
        <f>SUMIF(DATA!$A$2:$A$9077,B74,DATA!$M$2:$M$79077)</f>
        <v>3</v>
      </c>
      <c r="M74" s="43">
        <f>SUMIF(DATA!$A$2:$A$9077,B74,DATA!$N$2:$N$9077)</f>
        <v>0</v>
      </c>
      <c r="N74" s="43">
        <f>SUMIF(DATA!$A$2:$A$9101,B74,DATA!$O$2:$O$9101)</f>
        <v>2</v>
      </c>
      <c r="O74" s="43">
        <f>SUMIF(DATA!$A$2:$A$9101,B74,DATA!$P$2:$P$9101)</f>
        <v>0</v>
      </c>
      <c r="P74" s="43">
        <f>SUMIF(DATA!$A$2:$A$9101,B74,DATA!$Q$2:$Q$9101)</f>
        <v>0</v>
      </c>
      <c r="Q74" s="43">
        <f>SUMIF(DATA!$A$2:$A$9078,B74,DATA!$R$2:$R$9078)</f>
        <v>0</v>
      </c>
      <c r="R74" s="45">
        <f t="shared" si="21"/>
        <v>0</v>
      </c>
      <c r="S74" s="43">
        <f>SUMIF(DATA!$A$2:$A$9078,B74,DATA!$S$2:$S$9078)</f>
        <v>0</v>
      </c>
      <c r="T74" s="45">
        <f t="shared" si="22"/>
        <v>0</v>
      </c>
      <c r="U74" s="43">
        <f>SUMIFS(DATA!J:J,DATA!A:A,Table1[[#This Row],[Name]],DATA!F:F,"Pre")</f>
        <v>6</v>
      </c>
      <c r="V74" s="43">
        <f>SUMIFS(DATA!K:K,DATA!A:A,Table1[[#This Row],[Name]],DATA!F:F,"Pre")</f>
        <v>6</v>
      </c>
      <c r="W74" s="44">
        <f t="shared" si="23"/>
        <v>0.5</v>
      </c>
      <c r="X74" s="43">
        <f>SUMIFS(DATA!J:J,DATA!A:A,Table1[[#This Row],[Name]],DATA!F:F,"Semi")</f>
        <v>0</v>
      </c>
      <c r="Y74" s="43">
        <f>SUMIFS(DATA!K:K,DATA!A:A,Table1[[#This Row],[Name]],DATA!F:F,"Semi")</f>
        <v>0</v>
      </c>
      <c r="Z74" s="44" t="e">
        <f t="shared" si="24"/>
        <v>#DIV/0!</v>
      </c>
      <c r="AA74" s="43">
        <f>SUMIFS(DATA!J:J,DATA!A:A,Table1[[#This Row],[Name]],DATA!F:F,"COnA")</f>
        <v>4</v>
      </c>
      <c r="AB74" s="43">
        <f>SUMIFS(DATA!K:K,DATA!A:A,Table1[[#This Row],[Name]],DATA!F:F,"ConA")</f>
        <v>2</v>
      </c>
      <c r="AC74" s="44">
        <f t="shared" si="25"/>
        <v>0.66666666666666663</v>
      </c>
      <c r="AD74" s="43">
        <f>SUMIFS(DATA!J:J,DATA!A:A,Table1[[#This Row],[Name]],DATA!F:F,"ConB")</f>
        <v>3</v>
      </c>
      <c r="AE74" s="43">
        <f>SUMIFS(DATA!K:K,DATA!A:A,Table1[[#This Row],[Name]],DATA!F:F,"ConB")</f>
        <v>1</v>
      </c>
      <c r="AF74" s="44">
        <f t="shared" si="26"/>
        <v>0.75</v>
      </c>
    </row>
    <row r="75" spans="1:32" x14ac:dyDescent="0.2">
      <c r="A75" s="42">
        <v>64</v>
      </c>
      <c r="B75" s="42" t="s">
        <v>31</v>
      </c>
      <c r="C75" s="42" t="s">
        <v>93</v>
      </c>
      <c r="D75" s="43">
        <f>COUNTIF(DATA!$A$2:$A$9731,B75)</f>
        <v>42</v>
      </c>
      <c r="E75" s="43">
        <f>SUMIF(DATA!$A$2:$A$9077,B75,DATA!$J$2:$J$9077)</f>
        <v>15</v>
      </c>
      <c r="F75" s="43">
        <f>SUMIF(DATA!$A$2:$A$9077,B75,DATA!$K$2:$K$9077)</f>
        <v>16</v>
      </c>
      <c r="G75" s="38">
        <f t="shared" si="18"/>
        <v>31</v>
      </c>
      <c r="H75" s="39">
        <f t="shared" si="19"/>
        <v>0.4838709677419355</v>
      </c>
      <c r="I75" s="49">
        <f t="shared" si="20"/>
        <v>-2.3809523809523808E-2</v>
      </c>
      <c r="J75" s="50">
        <f>Table1[[#This Row],[Correct]]/Table1[[#This Row],['#Quizzes]]</f>
        <v>0.35714285714285715</v>
      </c>
      <c r="K75" s="43">
        <f>SUMIF(DATA!$A$2:$A$9077,B75,DATA!$L$2:$L$9077)</f>
        <v>0</v>
      </c>
      <c r="L75" s="43">
        <f>SUMIF(DATA!$A$2:$A$9077,B75,DATA!$M$2:$M$79077)</f>
        <v>4</v>
      </c>
      <c r="M75" s="43">
        <f>SUMIF(DATA!$A$2:$A$9077,B75,DATA!$N$2:$N$9077)</f>
        <v>4</v>
      </c>
      <c r="N75" s="43">
        <f>SUMIF(DATA!$A$2:$A$9101,B75,DATA!$O$2:$O$9101)</f>
        <v>3</v>
      </c>
      <c r="O75" s="43">
        <f>SUMIF(DATA!$A$2:$A$9101,B75,DATA!$P$2:$P$9101)</f>
        <v>0</v>
      </c>
      <c r="P75" s="43">
        <f>SUMIF(DATA!$A$2:$A$9101,B75,DATA!$Q$2:$Q$9101)</f>
        <v>0</v>
      </c>
      <c r="Q75" s="43">
        <f>SUMIF(DATA!$A$2:$A$9078,B75,DATA!$R$2:$R$9078)</f>
        <v>0</v>
      </c>
      <c r="R75" s="45">
        <f t="shared" si="21"/>
        <v>0</v>
      </c>
      <c r="S75" s="43">
        <f>SUMIF(DATA!$A$2:$A$9078,B75,DATA!$S$2:$S$9078)</f>
        <v>0</v>
      </c>
      <c r="T75" s="45">
        <f t="shared" si="22"/>
        <v>0</v>
      </c>
      <c r="U75" s="43">
        <f>SUMIFS(DATA!J:J,DATA!A:A,Table1[[#This Row],[Name]],DATA!F:F,"Pre")</f>
        <v>10</v>
      </c>
      <c r="V75" s="43">
        <f>SUMIFS(DATA!K:K,DATA!A:A,Table1[[#This Row],[Name]],DATA!F:F,"Pre")</f>
        <v>10</v>
      </c>
      <c r="W75" s="44">
        <f t="shared" si="23"/>
        <v>0.5</v>
      </c>
      <c r="X75" s="43">
        <f>SUMIFS(DATA!J:J,DATA!A:A,Table1[[#This Row],[Name]],DATA!F:F,"Semi")</f>
        <v>0</v>
      </c>
      <c r="Y75" s="43">
        <f>SUMIFS(DATA!K:K,DATA!A:A,Table1[[#This Row],[Name]],DATA!F:F,"Semi")</f>
        <v>0</v>
      </c>
      <c r="Z75" s="44" t="e">
        <f t="shared" si="24"/>
        <v>#DIV/0!</v>
      </c>
      <c r="AA75" s="43">
        <f>SUMIFS(DATA!J:J,DATA!A:A,Table1[[#This Row],[Name]],DATA!F:F,"COnA")</f>
        <v>1</v>
      </c>
      <c r="AB75" s="43">
        <f>SUMIFS(DATA!K:K,DATA!A:A,Table1[[#This Row],[Name]],DATA!F:F,"ConA")</f>
        <v>3</v>
      </c>
      <c r="AC75" s="44">
        <f t="shared" si="25"/>
        <v>0.25</v>
      </c>
      <c r="AD75" s="43">
        <f>SUMIFS(DATA!J:J,DATA!A:A,Table1[[#This Row],[Name]],DATA!F:F,"ConB")</f>
        <v>4</v>
      </c>
      <c r="AE75" s="43">
        <f>SUMIFS(DATA!K:K,DATA!A:A,Table1[[#This Row],[Name]],DATA!F:F,"ConB")</f>
        <v>3</v>
      </c>
      <c r="AF75" s="44">
        <f t="shared" si="26"/>
        <v>0.5714285714285714</v>
      </c>
    </row>
    <row r="76" spans="1:32" x14ac:dyDescent="0.2">
      <c r="A76" s="42">
        <v>78</v>
      </c>
      <c r="B76" s="42" t="s">
        <v>198</v>
      </c>
      <c r="C76" s="42" t="s">
        <v>89</v>
      </c>
      <c r="D76" s="43">
        <f>COUNTIF(DATA!$A$2:$A$9731,B76)</f>
        <v>49</v>
      </c>
      <c r="E76" s="43">
        <f>SUMIF(DATA!$A$2:$A$9077,B76,DATA!$J$2:$J$9077)</f>
        <v>2</v>
      </c>
      <c r="F76" s="43">
        <f>SUMIF(DATA!$A$2:$A$9077,B76,DATA!$K$2:$K$9077)</f>
        <v>4</v>
      </c>
      <c r="G76" s="38">
        <f t="shared" si="18"/>
        <v>6</v>
      </c>
      <c r="H76" s="39">
        <f t="shared" si="19"/>
        <v>0.33333333333333331</v>
      </c>
      <c r="I76" s="49">
        <f t="shared" si="20"/>
        <v>-4.0816326530612242E-2</v>
      </c>
      <c r="J76" s="50">
        <f>Table1[[#This Row],[Correct]]/Table1[[#This Row],['#Quizzes]]</f>
        <v>4.0816326530612242E-2</v>
      </c>
      <c r="K76" s="43">
        <f>SUMIF(DATA!$A$2:$A$9077,B76,DATA!$L$2:$L$9077)</f>
        <v>1</v>
      </c>
      <c r="L76" s="43">
        <f>SUMIF(DATA!$A$2:$A$9077,B76,DATA!$M$2:$M$79077)</f>
        <v>1</v>
      </c>
      <c r="M76" s="43">
        <f>SUMIF(DATA!$A$2:$A$9077,B76,DATA!$N$2:$N$9077)</f>
        <v>0</v>
      </c>
      <c r="N76" s="43">
        <f>SUMIF(DATA!$A$2:$A$9101,B76,DATA!$O$2:$O$9101)</f>
        <v>1</v>
      </c>
      <c r="O76" s="43">
        <f>SUMIF(DATA!$A$2:$A$9101,B76,DATA!$P$2:$P$9101)</f>
        <v>1</v>
      </c>
      <c r="P76" s="43">
        <f>SUMIF(DATA!$A$2:$A$9101,B76,DATA!$Q$2:$Q$9101)</f>
        <v>0</v>
      </c>
      <c r="Q76" s="43">
        <f>SUMIF(DATA!$A$2:$A$9078,B76,DATA!$R$2:$R$9078)</f>
        <v>0</v>
      </c>
      <c r="R76" s="45">
        <f t="shared" si="21"/>
        <v>0</v>
      </c>
      <c r="S76" s="43">
        <f>SUMIF(DATA!$A$2:$A$9078,B76,DATA!$S$2:$S$9078)</f>
        <v>0</v>
      </c>
      <c r="T76" s="45">
        <f t="shared" si="22"/>
        <v>0</v>
      </c>
      <c r="U76" s="43">
        <f>SUMIFS(DATA!J:J,DATA!A:A,Table1[[#This Row],[Name]],DATA!F:F,"Pre")</f>
        <v>1</v>
      </c>
      <c r="V76" s="43">
        <f>SUMIFS(DATA!K:K,DATA!A:A,Table1[[#This Row],[Name]],DATA!F:F,"Pre")</f>
        <v>3</v>
      </c>
      <c r="W76" s="44">
        <f t="shared" si="23"/>
        <v>0.25</v>
      </c>
      <c r="X76" s="43">
        <f>SUMIFS(DATA!J:J,DATA!A:A,Table1[[#This Row],[Name]],DATA!F:F,"Semi")</f>
        <v>0</v>
      </c>
      <c r="Y76" s="43">
        <f>SUMIFS(DATA!K:K,DATA!A:A,Table1[[#This Row],[Name]],DATA!F:F,"Semi")</f>
        <v>0</v>
      </c>
      <c r="Z76" s="44" t="e">
        <f t="shared" si="24"/>
        <v>#DIV/0!</v>
      </c>
      <c r="AA76" s="43">
        <f>SUMIFS(DATA!J:J,DATA!A:A,Table1[[#This Row],[Name]],DATA!F:F,"COnA")</f>
        <v>1</v>
      </c>
      <c r="AB76" s="43">
        <f>SUMIFS(DATA!K:K,DATA!A:A,Table1[[#This Row],[Name]],DATA!F:F,"ConA")</f>
        <v>1</v>
      </c>
      <c r="AC76" s="44">
        <f t="shared" si="25"/>
        <v>0.5</v>
      </c>
      <c r="AD76" s="43">
        <f>SUMIFS(DATA!J:J,DATA!A:A,Table1[[#This Row],[Name]],DATA!F:F,"ConB")</f>
        <v>0</v>
      </c>
      <c r="AE76" s="43">
        <f>SUMIFS(DATA!K:K,DATA!A:A,Table1[[#This Row],[Name]],DATA!F:F,"ConB")</f>
        <v>0</v>
      </c>
      <c r="AF76" s="44" t="e">
        <f t="shared" si="26"/>
        <v>#DIV/0!</v>
      </c>
    </row>
    <row r="77" spans="1:32" x14ac:dyDescent="0.2">
      <c r="A77" s="42">
        <v>79</v>
      </c>
      <c r="B77" s="42" t="s">
        <v>144</v>
      </c>
      <c r="C77" s="42" t="s">
        <v>88</v>
      </c>
      <c r="D77" s="43">
        <f>COUNTIF(DATA!$A$2:$A$9731,B77)</f>
        <v>45</v>
      </c>
      <c r="E77" s="43">
        <f>SUMIF(DATA!$A$2:$A$9077,B77,DATA!$J$2:$J$9077)</f>
        <v>3</v>
      </c>
      <c r="F77" s="43">
        <f>SUMIF(DATA!$A$2:$A$9077,B77,DATA!$K$2:$K$9077)</f>
        <v>0</v>
      </c>
      <c r="G77" s="38">
        <f t="shared" si="18"/>
        <v>3</v>
      </c>
      <c r="H77" s="39">
        <f t="shared" si="19"/>
        <v>1</v>
      </c>
      <c r="I77" s="49">
        <f t="shared" si="20"/>
        <v>-4.4444444444444446E-2</v>
      </c>
      <c r="J77" s="50">
        <f>Table1[[#This Row],[Correct]]/Table1[[#This Row],['#Quizzes]]</f>
        <v>6.6666666666666666E-2</v>
      </c>
      <c r="K77" s="43">
        <f>SUMIF(DATA!$A$2:$A$9077,B77,DATA!$L$2:$L$9077)</f>
        <v>0</v>
      </c>
      <c r="L77" s="43">
        <f>SUMIF(DATA!$A$2:$A$9077,B77,DATA!$M$2:$M$79077)</f>
        <v>1</v>
      </c>
      <c r="M77" s="43">
        <f>SUMIF(DATA!$A$2:$A$9077,B77,DATA!$N$2:$N$9077)</f>
        <v>6</v>
      </c>
      <c r="N77" s="43">
        <f>SUMIF(DATA!$A$2:$A$9101,B77,DATA!$O$2:$O$9101)</f>
        <v>0</v>
      </c>
      <c r="O77" s="43">
        <f>SUMIF(DATA!$A$2:$A$9101,B77,DATA!$P$2:$P$9101)</f>
        <v>0</v>
      </c>
      <c r="P77" s="43">
        <f>SUMIF(DATA!$A$2:$A$9101,B77,DATA!$Q$2:$Q$9101)</f>
        <v>0</v>
      </c>
      <c r="Q77" s="43">
        <f>SUMIF(DATA!$A$2:$A$9078,B77,DATA!$R$2:$R$9078)</f>
        <v>0</v>
      </c>
      <c r="R77" s="45">
        <f t="shared" si="21"/>
        <v>0</v>
      </c>
      <c r="S77" s="43">
        <f>SUMIF(DATA!$A$2:$A$9078,B77,DATA!$S$2:$S$9078)</f>
        <v>0</v>
      </c>
      <c r="T77" s="45">
        <f t="shared" si="22"/>
        <v>0</v>
      </c>
      <c r="U77" s="43">
        <f>SUMIFS(DATA!J:J,DATA!A:A,Table1[[#This Row],[Name]],DATA!F:F,"Pre")</f>
        <v>1</v>
      </c>
      <c r="V77" s="43">
        <f>SUMIFS(DATA!K:K,DATA!A:A,Table1[[#This Row],[Name]],DATA!F:F,"Pre")</f>
        <v>0</v>
      </c>
      <c r="W77" s="44">
        <f t="shared" si="23"/>
        <v>1</v>
      </c>
      <c r="X77" s="43">
        <f>SUMIFS(DATA!J:J,DATA!A:A,Table1[[#This Row],[Name]],DATA!F:F,"Semi")</f>
        <v>0</v>
      </c>
      <c r="Y77" s="43">
        <f>SUMIFS(DATA!K:K,DATA!A:A,Table1[[#This Row],[Name]],DATA!F:F,"Semi")</f>
        <v>0</v>
      </c>
      <c r="Z77" s="44" t="e">
        <f t="shared" si="24"/>
        <v>#DIV/0!</v>
      </c>
      <c r="AA77" s="43">
        <f>SUMIFS(DATA!J:J,DATA!A:A,Table1[[#This Row],[Name]],DATA!F:F,"COnA")</f>
        <v>1</v>
      </c>
      <c r="AB77" s="43">
        <f>SUMIFS(DATA!K:K,DATA!A:A,Table1[[#This Row],[Name]],DATA!F:F,"ConA")</f>
        <v>0</v>
      </c>
      <c r="AC77" s="44">
        <f t="shared" si="25"/>
        <v>1</v>
      </c>
      <c r="AD77" s="43">
        <f>SUMIFS(DATA!J:J,DATA!A:A,Table1[[#This Row],[Name]],DATA!F:F,"ConB")</f>
        <v>1</v>
      </c>
      <c r="AE77" s="43">
        <f>SUMIFS(DATA!K:K,DATA!A:A,Table1[[#This Row],[Name]],DATA!F:F,"ConB")</f>
        <v>0</v>
      </c>
      <c r="AF77" s="44">
        <f t="shared" si="26"/>
        <v>1</v>
      </c>
    </row>
    <row r="78" spans="1:32" x14ac:dyDescent="0.2">
      <c r="A78" s="42">
        <v>80</v>
      </c>
      <c r="B78" s="42" t="s">
        <v>205</v>
      </c>
      <c r="C78" s="42" t="s">
        <v>54</v>
      </c>
      <c r="D78" s="43">
        <f>COUNTIF(DATA!$A$2:$A$9731,B78)</f>
        <v>45</v>
      </c>
      <c r="E78" s="43">
        <f>SUMIF(DATA!$A$2:$A$9077,B78,DATA!$J$2:$J$9077)</f>
        <v>1</v>
      </c>
      <c r="F78" s="43">
        <f>SUMIF(DATA!$A$2:$A$9077,B78,DATA!$K$2:$K$9077)</f>
        <v>3</v>
      </c>
      <c r="G78" s="38">
        <f t="shared" si="18"/>
        <v>4</v>
      </c>
      <c r="H78" s="39">
        <f t="shared" si="19"/>
        <v>0.25</v>
      </c>
      <c r="I78" s="49">
        <f t="shared" si="20"/>
        <v>-6.6666666666666666E-2</v>
      </c>
      <c r="J78" s="50">
        <f>Table1[[#This Row],[Correct]]/Table1[[#This Row],['#Quizzes]]</f>
        <v>2.2222222222222223E-2</v>
      </c>
      <c r="K78" s="43">
        <f>SUMIF(DATA!$A$2:$A$9077,B78,DATA!$L$2:$L$9077)</f>
        <v>1</v>
      </c>
      <c r="L78" s="43">
        <f>SUMIF(DATA!$A$2:$A$9077,B78,DATA!$M$2:$M$79077)</f>
        <v>0</v>
      </c>
      <c r="M78" s="43">
        <f>SUMIF(DATA!$A$2:$A$9077,B78,DATA!$N$2:$N$9077)</f>
        <v>0</v>
      </c>
      <c r="N78" s="43">
        <f>SUMIF(DATA!$A$2:$A$9101,B78,DATA!$O$2:$O$9101)</f>
        <v>0</v>
      </c>
      <c r="O78" s="43">
        <f>SUMIF(DATA!$A$2:$A$9101,B78,DATA!$P$2:$P$9101)</f>
        <v>0</v>
      </c>
      <c r="P78" s="43">
        <f>SUMIF(DATA!$A$2:$A$9101,B78,DATA!$Q$2:$Q$9101)</f>
        <v>0</v>
      </c>
      <c r="Q78" s="43">
        <f>SUMIF(DATA!$A$2:$A$9078,B78,DATA!$R$2:$R$9078)</f>
        <v>0</v>
      </c>
      <c r="R78" s="45">
        <f t="shared" si="21"/>
        <v>0</v>
      </c>
      <c r="S78" s="43">
        <f>SUMIF(DATA!$A$2:$A$9078,B78,DATA!$S$2:$S$9078)</f>
        <v>0</v>
      </c>
      <c r="T78" s="45">
        <f t="shared" si="22"/>
        <v>0</v>
      </c>
      <c r="U78" s="43">
        <f>SUMIFS(DATA!J:J,DATA!A:A,Table1[[#This Row],[Name]],DATA!F:F,"Pre")</f>
        <v>0</v>
      </c>
      <c r="V78" s="43">
        <f>SUMIFS(DATA!K:K,DATA!A:A,Table1[[#This Row],[Name]],DATA!F:F,"Pre")</f>
        <v>2</v>
      </c>
      <c r="W78" s="44">
        <f t="shared" si="23"/>
        <v>0</v>
      </c>
      <c r="X78" s="43">
        <f>SUMIFS(DATA!J:J,DATA!A:A,Table1[[#This Row],[Name]],DATA!F:F,"Semi")</f>
        <v>0</v>
      </c>
      <c r="Y78" s="43">
        <f>SUMIFS(DATA!K:K,DATA!A:A,Table1[[#This Row],[Name]],DATA!F:F,"Semi")</f>
        <v>0</v>
      </c>
      <c r="Z78" s="44" t="e">
        <f t="shared" si="24"/>
        <v>#DIV/0!</v>
      </c>
      <c r="AA78" s="43">
        <f>SUMIFS(DATA!J:J,DATA!A:A,Table1[[#This Row],[Name]],DATA!F:F,"COnA")</f>
        <v>0</v>
      </c>
      <c r="AB78" s="43">
        <f>SUMIFS(DATA!K:K,DATA!A:A,Table1[[#This Row],[Name]],DATA!F:F,"ConA")</f>
        <v>0</v>
      </c>
      <c r="AC78" s="44" t="e">
        <f t="shared" si="25"/>
        <v>#DIV/0!</v>
      </c>
      <c r="AD78" s="43">
        <f>SUMIFS(DATA!J:J,DATA!A:A,Table1[[#This Row],[Name]],DATA!F:F,"ConB")</f>
        <v>1</v>
      </c>
      <c r="AE78" s="43">
        <f>SUMIFS(DATA!K:K,DATA!A:A,Table1[[#This Row],[Name]],DATA!F:F,"ConB")</f>
        <v>1</v>
      </c>
      <c r="AF78" s="44">
        <f t="shared" si="26"/>
        <v>0.5</v>
      </c>
    </row>
    <row r="79" spans="1:32" x14ac:dyDescent="0.2">
      <c r="A79" s="42">
        <v>68</v>
      </c>
      <c r="B79" s="42" t="s">
        <v>133</v>
      </c>
      <c r="C79" s="42" t="s">
        <v>89</v>
      </c>
      <c r="D79" s="43">
        <f>COUNTIF(DATA!$A$2:$A$9731,B79)</f>
        <v>44</v>
      </c>
      <c r="E79" s="43">
        <f>SUMIF(DATA!$A$2:$A$9077,B79,DATA!$J$2:$J$9077)</f>
        <v>53</v>
      </c>
      <c r="F79" s="43">
        <f>SUMIF(DATA!$A$2:$A$9077,B79,DATA!$K$2:$K$9077)</f>
        <v>50</v>
      </c>
      <c r="G79" s="38">
        <f t="shared" si="18"/>
        <v>103</v>
      </c>
      <c r="H79" s="39">
        <f t="shared" si="19"/>
        <v>0.5145631067961165</v>
      </c>
      <c r="I79" s="49">
        <f t="shared" si="20"/>
        <v>4.5454545454545456E-2</v>
      </c>
      <c r="J79" s="50">
        <f>Table1[[#This Row],[Correct]]/Table1[[#This Row],['#Quizzes]]</f>
        <v>1.2045454545454546</v>
      </c>
      <c r="K79" s="43">
        <f>SUMIF(DATA!$A$2:$A$9077,B79,DATA!$L$2:$L$9077)</f>
        <v>2</v>
      </c>
      <c r="L79" s="43">
        <f>SUMIF(DATA!$A$2:$A$9077,B79,DATA!$M$2:$M$79077)</f>
        <v>2</v>
      </c>
      <c r="M79" s="43">
        <f>SUMIF(DATA!$A$2:$A$9077,B79,DATA!$N$2:$N$9077)</f>
        <v>1</v>
      </c>
      <c r="N79" s="43">
        <f>SUMIF(DATA!$A$2:$A$9101,B79,DATA!$O$2:$O$9101)</f>
        <v>2</v>
      </c>
      <c r="O79" s="43">
        <f>SUMIF(DATA!$A$2:$A$9101,B79,DATA!$P$2:$P$9101)</f>
        <v>0</v>
      </c>
      <c r="P79" s="43">
        <f>SUMIF(DATA!$A$2:$A$9101,B79,DATA!$Q$2:$Q$9101)</f>
        <v>0</v>
      </c>
      <c r="Q79" s="43">
        <f>SUMIF(DATA!$A$2:$A$9078,B79,DATA!$R$2:$R$9078)</f>
        <v>2</v>
      </c>
      <c r="R79" s="45">
        <f t="shared" si="21"/>
        <v>4.5454545454545456E-2</v>
      </c>
      <c r="S79" s="43">
        <f>SUMIF(DATA!$A$2:$A$9078,B79,DATA!$S$2:$S$9078)</f>
        <v>5</v>
      </c>
      <c r="T79" s="45">
        <f t="shared" si="22"/>
        <v>0.11363636363636363</v>
      </c>
      <c r="U79" s="43">
        <f>SUMIFS(DATA!J:J,DATA!A:A,Table1[[#This Row],[Name]],DATA!F:F,"Pre")</f>
        <v>25</v>
      </c>
      <c r="V79" s="43">
        <f>SUMIFS(DATA!K:K,DATA!A:A,Table1[[#This Row],[Name]],DATA!F:F,"Pre")</f>
        <v>34</v>
      </c>
      <c r="W79" s="44">
        <f t="shared" si="23"/>
        <v>0.42372881355932202</v>
      </c>
      <c r="X79" s="43">
        <f>SUMIFS(DATA!J:J,DATA!A:A,Table1[[#This Row],[Name]],DATA!F:F,"Semi")</f>
        <v>0</v>
      </c>
      <c r="Y79" s="43">
        <f>SUMIFS(DATA!K:K,DATA!A:A,Table1[[#This Row],[Name]],DATA!F:F,"Semi")</f>
        <v>0</v>
      </c>
      <c r="Z79" s="44" t="e">
        <f t="shared" si="24"/>
        <v>#DIV/0!</v>
      </c>
      <c r="AA79" s="43">
        <f>SUMIFS(DATA!J:J,DATA!A:A,Table1[[#This Row],[Name]],DATA!F:F,"COnA")</f>
        <v>19</v>
      </c>
      <c r="AB79" s="43">
        <f>SUMIFS(DATA!K:K,DATA!A:A,Table1[[#This Row],[Name]],DATA!F:F,"ConA")</f>
        <v>12</v>
      </c>
      <c r="AC79" s="44">
        <f t="shared" si="25"/>
        <v>0.61290322580645162</v>
      </c>
      <c r="AD79" s="43">
        <f>SUMIFS(DATA!J:J,DATA!A:A,Table1[[#This Row],[Name]],DATA!F:F,"ConB")</f>
        <v>9</v>
      </c>
      <c r="AE79" s="43">
        <f>SUMIFS(DATA!K:K,DATA!A:A,Table1[[#This Row],[Name]],DATA!F:F,"ConB")</f>
        <v>4</v>
      </c>
      <c r="AF79" s="44">
        <f t="shared" si="26"/>
        <v>0.69230769230769229</v>
      </c>
    </row>
    <row r="80" spans="1:32" x14ac:dyDescent="0.2">
      <c r="A80" s="42">
        <v>77</v>
      </c>
      <c r="B80" s="42" t="s">
        <v>153</v>
      </c>
      <c r="C80" s="42" t="s">
        <v>96</v>
      </c>
      <c r="D80" s="43">
        <f>COUNTIF(DATA!$A$2:$A$9731,B80)</f>
        <v>57</v>
      </c>
      <c r="E80" s="43">
        <f>SUMIF(DATA!$A$2:$A$9077,B80,DATA!$J$2:$J$9077)</f>
        <v>0</v>
      </c>
      <c r="F80" s="43">
        <f>SUMIF(DATA!$A$2:$A$9077,B80,DATA!$K$2:$K$9077)</f>
        <v>3</v>
      </c>
      <c r="G80" s="38">
        <f t="shared" si="18"/>
        <v>3</v>
      </c>
      <c r="H80" s="39">
        <f t="shared" si="19"/>
        <v>0</v>
      </c>
      <c r="I80" s="49">
        <f t="shared" si="20"/>
        <v>-5.2631578947368418E-2</v>
      </c>
      <c r="J80" s="50">
        <f>Table1[[#This Row],[Correct]]/Table1[[#This Row],['#Quizzes]]</f>
        <v>0</v>
      </c>
      <c r="K80" s="43">
        <f>SUMIF(DATA!$A$2:$A$9077,B80,DATA!$L$2:$L$9077)</f>
        <v>0</v>
      </c>
      <c r="L80" s="43">
        <f>SUMIF(DATA!$A$2:$A$9077,B80,DATA!$M$2:$M$79077)</f>
        <v>1</v>
      </c>
      <c r="M80" s="43">
        <f>SUMIF(DATA!$A$2:$A$9077,B80,DATA!$N$2:$N$9077)</f>
        <v>1</v>
      </c>
      <c r="N80" s="43">
        <f>SUMIF(DATA!$A$2:$A$9101,B80,DATA!$O$2:$O$9101)</f>
        <v>0</v>
      </c>
      <c r="O80" s="43">
        <f>SUMIF(DATA!$A$2:$A$9101,B80,DATA!$P$2:$P$9101)</f>
        <v>0</v>
      </c>
      <c r="P80" s="43">
        <f>SUMIF(DATA!$A$2:$A$9101,B80,DATA!$Q$2:$Q$9101)</f>
        <v>0</v>
      </c>
      <c r="Q80" s="43">
        <f>SUMIF(DATA!$A$2:$A$9078,B80,DATA!$R$2:$R$9078)</f>
        <v>0</v>
      </c>
      <c r="R80" s="45">
        <f t="shared" si="21"/>
        <v>0</v>
      </c>
      <c r="S80" s="43">
        <f>SUMIF(DATA!$A$2:$A$9078,B80,DATA!$S$2:$S$9078)</f>
        <v>0</v>
      </c>
      <c r="T80" s="45">
        <f t="shared" si="22"/>
        <v>0</v>
      </c>
      <c r="U80" s="43">
        <f>SUMIFS(DATA!J:J,DATA!A:A,Table1[[#This Row],[Name]],DATA!F:F,"Pre")</f>
        <v>0</v>
      </c>
      <c r="V80" s="43">
        <f>SUMIFS(DATA!K:K,DATA!A:A,Table1[[#This Row],[Name]],DATA!F:F,"Pre")</f>
        <v>3</v>
      </c>
      <c r="W80" s="44">
        <f t="shared" si="23"/>
        <v>0</v>
      </c>
      <c r="X80" s="43">
        <f>SUMIFS(DATA!J:J,DATA!A:A,Table1[[#This Row],[Name]],DATA!F:F,"Semi")</f>
        <v>0</v>
      </c>
      <c r="Y80" s="43">
        <f>SUMIFS(DATA!K:K,DATA!A:A,Table1[[#This Row],[Name]],DATA!F:F,"Semi")</f>
        <v>0</v>
      </c>
      <c r="Z80" s="44" t="e">
        <f t="shared" si="24"/>
        <v>#DIV/0!</v>
      </c>
      <c r="AA80" s="43">
        <f>SUMIFS(DATA!J:J,DATA!A:A,Table1[[#This Row],[Name]],DATA!F:F,"COnA")</f>
        <v>0</v>
      </c>
      <c r="AB80" s="43">
        <f>SUMIFS(DATA!K:K,DATA!A:A,Table1[[#This Row],[Name]],DATA!F:F,"ConA")</f>
        <v>0</v>
      </c>
      <c r="AC80" s="44" t="e">
        <f t="shared" si="25"/>
        <v>#DIV/0!</v>
      </c>
      <c r="AD80" s="43">
        <f>SUMIFS(DATA!J:J,DATA!A:A,Table1[[#This Row],[Name]],DATA!F:F,"ConB")</f>
        <v>0</v>
      </c>
      <c r="AE80" s="43">
        <f>SUMIFS(DATA!K:K,DATA!A:A,Table1[[#This Row],[Name]],DATA!F:F,"ConB")</f>
        <v>0</v>
      </c>
      <c r="AF80" s="44" t="e">
        <f t="shared" si="26"/>
        <v>#DIV/0!</v>
      </c>
    </row>
    <row r="81" spans="1:32" x14ac:dyDescent="0.2">
      <c r="A81" s="42">
        <v>82</v>
      </c>
      <c r="B81" s="42" t="s">
        <v>182</v>
      </c>
      <c r="C81" s="42" t="s">
        <v>93</v>
      </c>
      <c r="D81" s="43">
        <f>COUNTIF(DATA!$A$2:$A$9731,B81)</f>
        <v>49</v>
      </c>
      <c r="E81" s="43">
        <f>SUMIF(DATA!$A$2:$A$9077,B81,DATA!$J$2:$J$9077)</f>
        <v>21</v>
      </c>
      <c r="F81" s="43">
        <f>SUMIF(DATA!$A$2:$A$9077,B81,DATA!$K$2:$K$9077)</f>
        <v>19</v>
      </c>
      <c r="G81" s="38">
        <f t="shared" si="18"/>
        <v>40</v>
      </c>
      <c r="H81" s="39">
        <f t="shared" si="19"/>
        <v>0.52500000000000002</v>
      </c>
      <c r="I81" s="49">
        <f t="shared" si="20"/>
        <v>-4.0816326530612242E-2</v>
      </c>
      <c r="J81" s="50">
        <f>Table1[[#This Row],[Correct]]/Table1[[#This Row],['#Quizzes]]</f>
        <v>0.42857142857142855</v>
      </c>
      <c r="K81" s="43">
        <f>SUMIF(DATA!$A$2:$A$9077,B81,DATA!$L$2:$L$9077)</f>
        <v>2</v>
      </c>
      <c r="L81" s="43">
        <f>SUMIF(DATA!$A$2:$A$9077,B81,DATA!$M$2:$M$79077)</f>
        <v>2</v>
      </c>
      <c r="M81" s="43">
        <f>SUMIF(DATA!$A$2:$A$9077,B81,DATA!$N$2:$N$9077)</f>
        <v>4</v>
      </c>
      <c r="N81" s="43">
        <f>SUMIF(DATA!$A$2:$A$9101,B81,DATA!$O$2:$O$9101)</f>
        <v>1</v>
      </c>
      <c r="O81" s="43">
        <f>SUMIF(DATA!$A$2:$A$9101,B81,DATA!$P$2:$P$9101)</f>
        <v>3</v>
      </c>
      <c r="P81" s="43">
        <f>SUMIF(DATA!$A$2:$A$9101,B81,DATA!$Q$2:$Q$9101)</f>
        <v>0</v>
      </c>
      <c r="Q81" s="43">
        <f>SUMIF(DATA!$A$2:$A$9078,B81,DATA!$R$2:$R$9078)</f>
        <v>0</v>
      </c>
      <c r="R81" s="45">
        <f t="shared" si="21"/>
        <v>0</v>
      </c>
      <c r="S81" s="43">
        <f>SUMIF(DATA!$A$2:$A$9078,B81,DATA!$S$2:$S$9078)</f>
        <v>1</v>
      </c>
      <c r="T81" s="45">
        <f t="shared" si="22"/>
        <v>2.0408163265306121E-2</v>
      </c>
      <c r="U81" s="43">
        <f>SUMIFS(DATA!J:J,DATA!A:A,Table1[[#This Row],[Name]],DATA!F:F,"Pre")</f>
        <v>9</v>
      </c>
      <c r="V81" s="43">
        <f>SUMIFS(DATA!K:K,DATA!A:A,Table1[[#This Row],[Name]],DATA!F:F,"Pre")</f>
        <v>12</v>
      </c>
      <c r="W81" s="44">
        <f t="shared" si="23"/>
        <v>0.42857142857142855</v>
      </c>
      <c r="X81" s="43">
        <f>SUMIFS(DATA!J:J,DATA!A:A,Table1[[#This Row],[Name]],DATA!F:F,"Semi")</f>
        <v>0</v>
      </c>
      <c r="Y81" s="43">
        <f>SUMIFS(DATA!K:K,DATA!A:A,Table1[[#This Row],[Name]],DATA!F:F,"Semi")</f>
        <v>0</v>
      </c>
      <c r="Z81" s="44" t="e">
        <f t="shared" si="24"/>
        <v>#DIV/0!</v>
      </c>
      <c r="AA81" s="43">
        <f>SUMIFS(DATA!J:J,DATA!A:A,Table1[[#This Row],[Name]],DATA!F:F,"COnA")</f>
        <v>6</v>
      </c>
      <c r="AB81" s="43">
        <f>SUMIFS(DATA!K:K,DATA!A:A,Table1[[#This Row],[Name]],DATA!F:F,"ConA")</f>
        <v>4</v>
      </c>
      <c r="AC81" s="44">
        <f t="shared" si="25"/>
        <v>0.6</v>
      </c>
      <c r="AD81" s="43">
        <f>SUMIFS(DATA!J:J,DATA!A:A,Table1[[#This Row],[Name]],DATA!F:F,"ConB")</f>
        <v>6</v>
      </c>
      <c r="AE81" s="43">
        <f>SUMIFS(DATA!K:K,DATA!A:A,Table1[[#This Row],[Name]],DATA!F:F,"ConB")</f>
        <v>3</v>
      </c>
      <c r="AF81" s="44">
        <f t="shared" si="26"/>
        <v>0.66666666666666663</v>
      </c>
    </row>
    <row r="82" spans="1:32" x14ac:dyDescent="0.2">
      <c r="A82" s="42">
        <v>74</v>
      </c>
      <c r="B82" s="42" t="s">
        <v>20</v>
      </c>
      <c r="C82" s="42" t="s">
        <v>91</v>
      </c>
      <c r="D82" s="43">
        <f>COUNTIF(DATA!$A$2:$A$9731,B82)</f>
        <v>48</v>
      </c>
      <c r="E82" s="43">
        <f>SUMIF(DATA!$A$2:$A$9077,B82,DATA!$J$2:$J$9077)</f>
        <v>36</v>
      </c>
      <c r="F82" s="43">
        <f>SUMIF(DATA!$A$2:$A$9077,B82,DATA!$K$2:$K$9077)</f>
        <v>40</v>
      </c>
      <c r="G82" s="38">
        <f t="shared" si="18"/>
        <v>76</v>
      </c>
      <c r="H82" s="39">
        <f t="shared" si="19"/>
        <v>0.47368421052631576</v>
      </c>
      <c r="I82" s="49">
        <f t="shared" si="20"/>
        <v>-0.10416666666666667</v>
      </c>
      <c r="J82" s="50">
        <f>Table1[[#This Row],[Correct]]/Table1[[#This Row],['#Quizzes]]</f>
        <v>0.75</v>
      </c>
      <c r="K82" s="43">
        <f>SUMIF(DATA!$A$2:$A$9077,B82,DATA!$L$2:$L$9077)</f>
        <v>0</v>
      </c>
      <c r="L82" s="43">
        <f>SUMIF(DATA!$A$2:$A$9077,B82,DATA!$M$2:$M$79077)</f>
        <v>1</v>
      </c>
      <c r="M82" s="43">
        <f>SUMIF(DATA!$A$2:$A$9077,B82,DATA!$N$2:$N$9077)</f>
        <v>2</v>
      </c>
      <c r="N82" s="43">
        <f>SUMIF(DATA!$A$2:$A$9101,B82,DATA!$O$2:$O$9101)</f>
        <v>6</v>
      </c>
      <c r="O82" s="43">
        <f>SUMIF(DATA!$A$2:$A$9101,B82,DATA!$P$2:$P$9101)</f>
        <v>0</v>
      </c>
      <c r="P82" s="43">
        <f>SUMIF(DATA!$A$2:$A$9101,B82,DATA!$Q$2:$Q$9101)</f>
        <v>0</v>
      </c>
      <c r="Q82" s="43">
        <f>SUMIF(DATA!$A$2:$A$9078,B82,DATA!$R$2:$R$9078)</f>
        <v>3</v>
      </c>
      <c r="R82" s="45">
        <f t="shared" si="21"/>
        <v>6.25E-2</v>
      </c>
      <c r="S82" s="43">
        <f>SUMIF(DATA!$A$2:$A$9078,B82,DATA!$S$2:$S$9078)</f>
        <v>0</v>
      </c>
      <c r="T82" s="45">
        <f t="shared" si="22"/>
        <v>0</v>
      </c>
      <c r="U82" s="43">
        <f>SUMIFS(DATA!J:J,DATA!A:A,Table1[[#This Row],[Name]],DATA!F:F,"Pre")</f>
        <v>23</v>
      </c>
      <c r="V82" s="43">
        <f>SUMIFS(DATA!K:K,DATA!A:A,Table1[[#This Row],[Name]],DATA!F:F,"Pre")</f>
        <v>26</v>
      </c>
      <c r="W82" s="44">
        <f t="shared" si="23"/>
        <v>0.46938775510204084</v>
      </c>
      <c r="X82" s="43">
        <f>SUMIFS(DATA!J:J,DATA!A:A,Table1[[#This Row],[Name]],DATA!F:F,"Semi")</f>
        <v>2</v>
      </c>
      <c r="Y82" s="43">
        <f>SUMIFS(DATA!K:K,DATA!A:A,Table1[[#This Row],[Name]],DATA!F:F,"Semi")</f>
        <v>1</v>
      </c>
      <c r="Z82" s="44">
        <f t="shared" si="24"/>
        <v>0.66666666666666663</v>
      </c>
      <c r="AA82" s="43">
        <f>SUMIFS(DATA!J:J,DATA!A:A,Table1[[#This Row],[Name]],DATA!F:F,"COnA")</f>
        <v>5</v>
      </c>
      <c r="AB82" s="43">
        <f>SUMIFS(DATA!K:K,DATA!A:A,Table1[[#This Row],[Name]],DATA!F:F,"ConA")</f>
        <v>10</v>
      </c>
      <c r="AC82" s="44">
        <f t="shared" si="25"/>
        <v>0.33333333333333331</v>
      </c>
      <c r="AD82" s="43">
        <f>SUMIFS(DATA!J:J,DATA!A:A,Table1[[#This Row],[Name]],DATA!F:F,"ConB")</f>
        <v>6</v>
      </c>
      <c r="AE82" s="43">
        <f>SUMIFS(DATA!K:K,DATA!A:A,Table1[[#This Row],[Name]],DATA!F:F,"ConB")</f>
        <v>3</v>
      </c>
      <c r="AF82" s="44">
        <f t="shared" si="26"/>
        <v>0.66666666666666663</v>
      </c>
    </row>
    <row r="83" spans="1:32" x14ac:dyDescent="0.2">
      <c r="A83" s="42">
        <v>84</v>
      </c>
      <c r="B83" s="42" t="s">
        <v>173</v>
      </c>
      <c r="C83" s="42" t="s">
        <v>93</v>
      </c>
      <c r="D83" s="43">
        <f>COUNTIF(DATA!$A$2:$A$9731,B83)</f>
        <v>42</v>
      </c>
      <c r="E83" s="43">
        <f>SUMIF(DATA!$A$2:$A$9077,B83,DATA!$J$2:$J$9077)</f>
        <v>7</v>
      </c>
      <c r="F83" s="43">
        <f>SUMIF(DATA!$A$2:$A$9077,B83,DATA!$K$2:$K$9077)</f>
        <v>10</v>
      </c>
      <c r="G83" s="38">
        <f t="shared" si="18"/>
        <v>17</v>
      </c>
      <c r="H83" s="39">
        <f t="shared" si="19"/>
        <v>0.41176470588235292</v>
      </c>
      <c r="I83" s="49">
        <f t="shared" si="20"/>
        <v>-9.5238095238095233E-2</v>
      </c>
      <c r="J83" s="50">
        <f>Table1[[#This Row],[Correct]]/Table1[[#This Row],['#Quizzes]]</f>
        <v>0.16666666666666666</v>
      </c>
      <c r="K83" s="43">
        <f>SUMIF(DATA!$A$2:$A$9077,B83,DATA!$L$2:$L$9077)</f>
        <v>1</v>
      </c>
      <c r="L83" s="43">
        <f>SUMIF(DATA!$A$2:$A$9077,B83,DATA!$M$2:$M$79077)</f>
        <v>2</v>
      </c>
      <c r="M83" s="43">
        <f>SUMIF(DATA!$A$2:$A$9077,B83,DATA!$N$2:$N$9077)</f>
        <v>2</v>
      </c>
      <c r="N83" s="43">
        <f>SUMIF(DATA!$A$2:$A$9101,B83,DATA!$O$2:$O$9101)</f>
        <v>0</v>
      </c>
      <c r="O83" s="43">
        <f>SUMIF(DATA!$A$2:$A$9101,B83,DATA!$P$2:$P$9101)</f>
        <v>0</v>
      </c>
      <c r="P83" s="43">
        <f>SUMIF(DATA!$A$2:$A$9101,B83,DATA!$Q$2:$Q$9101)</f>
        <v>0</v>
      </c>
      <c r="Q83" s="43">
        <f>SUMIF(DATA!$A$2:$A$9078,B83,DATA!$R$2:$R$9078)</f>
        <v>0</v>
      </c>
      <c r="R83" s="45">
        <f t="shared" si="21"/>
        <v>0</v>
      </c>
      <c r="S83" s="43">
        <f>SUMIF(DATA!$A$2:$A$9078,B83,DATA!$S$2:$S$9078)</f>
        <v>0</v>
      </c>
      <c r="T83" s="45">
        <f t="shared" si="22"/>
        <v>0</v>
      </c>
      <c r="U83" s="43">
        <f>SUMIFS(DATA!J:J,DATA!A:A,Table1[[#This Row],[Name]],DATA!F:F,"Pre")</f>
        <v>5</v>
      </c>
      <c r="V83" s="43">
        <f>SUMIFS(DATA!K:K,DATA!A:A,Table1[[#This Row],[Name]],DATA!F:F,"Pre")</f>
        <v>8</v>
      </c>
      <c r="W83" s="44">
        <f t="shared" si="23"/>
        <v>0.38461538461538464</v>
      </c>
      <c r="X83" s="43">
        <f>SUMIFS(DATA!J:J,DATA!A:A,Table1[[#This Row],[Name]],DATA!F:F,"Semi")</f>
        <v>0</v>
      </c>
      <c r="Y83" s="43">
        <f>SUMIFS(DATA!K:K,DATA!A:A,Table1[[#This Row],[Name]],DATA!F:F,"Semi")</f>
        <v>0</v>
      </c>
      <c r="Z83" s="44" t="e">
        <f t="shared" si="24"/>
        <v>#DIV/0!</v>
      </c>
      <c r="AA83" s="43">
        <f>SUMIFS(DATA!J:J,DATA!A:A,Table1[[#This Row],[Name]],DATA!F:F,"COnA")</f>
        <v>1</v>
      </c>
      <c r="AB83" s="43">
        <f>SUMIFS(DATA!K:K,DATA!A:A,Table1[[#This Row],[Name]],DATA!F:F,"ConA")</f>
        <v>1</v>
      </c>
      <c r="AC83" s="44">
        <f t="shared" si="25"/>
        <v>0.5</v>
      </c>
      <c r="AD83" s="43">
        <f>SUMIFS(DATA!J:J,DATA!A:A,Table1[[#This Row],[Name]],DATA!F:F,"ConB")</f>
        <v>1</v>
      </c>
      <c r="AE83" s="43">
        <f>SUMIFS(DATA!K:K,DATA!A:A,Table1[[#This Row],[Name]],DATA!F:F,"ConB")</f>
        <v>1</v>
      </c>
      <c r="AF83" s="44">
        <f t="shared" si="26"/>
        <v>0.5</v>
      </c>
    </row>
    <row r="84" spans="1:32" x14ac:dyDescent="0.2">
      <c r="A84" s="42">
        <v>81</v>
      </c>
      <c r="B84" s="42" t="s">
        <v>190</v>
      </c>
      <c r="C84" s="42" t="s">
        <v>95</v>
      </c>
      <c r="D84" s="43">
        <f>COUNTIF(DATA!$A$2:$A$9731,B84)</f>
        <v>49</v>
      </c>
      <c r="E84" s="43">
        <f>SUMIF(DATA!$A$2:$A$9077,B84,DATA!$J$2:$J$9077)</f>
        <v>7</v>
      </c>
      <c r="F84" s="43">
        <f>SUMIF(DATA!$A$2:$A$9077,B84,DATA!$K$2:$K$9077)</f>
        <v>8</v>
      </c>
      <c r="G84" s="38">
        <f t="shared" si="18"/>
        <v>15</v>
      </c>
      <c r="H84" s="39">
        <f t="shared" si="19"/>
        <v>0.46666666666666667</v>
      </c>
      <c r="I84" s="49">
        <f t="shared" si="20"/>
        <v>-8.1632653061224483E-2</v>
      </c>
      <c r="J84" s="50">
        <f>Table1[[#This Row],[Correct]]/Table1[[#This Row],['#Quizzes]]</f>
        <v>0.14285714285714285</v>
      </c>
      <c r="K84" s="43">
        <f>SUMIF(DATA!$A$2:$A$9077,B84,DATA!$L$2:$L$9077)</f>
        <v>2</v>
      </c>
      <c r="L84" s="43">
        <f>SUMIF(DATA!$A$2:$A$9077,B84,DATA!$M$2:$M$79077)</f>
        <v>1</v>
      </c>
      <c r="M84" s="43">
        <f>SUMIF(DATA!$A$2:$A$9077,B84,DATA!$N$2:$N$9077)</f>
        <v>2</v>
      </c>
      <c r="N84" s="43">
        <f>SUMIF(DATA!$A$2:$A$9101,B84,DATA!$O$2:$O$9101)</f>
        <v>1</v>
      </c>
      <c r="O84" s="43">
        <f>SUMIF(DATA!$A$2:$A$9101,B84,DATA!$P$2:$P$9101)</f>
        <v>2</v>
      </c>
      <c r="P84" s="43">
        <f>SUMIF(DATA!$A$2:$A$9101,B84,DATA!$Q$2:$Q$9101)</f>
        <v>0</v>
      </c>
      <c r="Q84" s="43">
        <f>SUMIF(DATA!$A$2:$A$9078,B84,DATA!$R$2:$R$9078)</f>
        <v>0</v>
      </c>
      <c r="R84" s="45">
        <f t="shared" si="21"/>
        <v>0</v>
      </c>
      <c r="S84" s="43">
        <f>SUMIF(DATA!$A$2:$A$9078,B84,DATA!$S$2:$S$9078)</f>
        <v>0</v>
      </c>
      <c r="T84" s="45">
        <f t="shared" si="22"/>
        <v>0</v>
      </c>
      <c r="U84" s="43">
        <f>SUMIFS(DATA!J:J,DATA!A:A,Table1[[#This Row],[Name]],DATA!F:F,"Pre")</f>
        <v>1</v>
      </c>
      <c r="V84" s="43">
        <f>SUMIFS(DATA!K:K,DATA!A:A,Table1[[#This Row],[Name]],DATA!F:F,"Pre")</f>
        <v>4</v>
      </c>
      <c r="W84" s="44">
        <f t="shared" si="23"/>
        <v>0.2</v>
      </c>
      <c r="X84" s="43">
        <f>SUMIFS(DATA!J:J,DATA!A:A,Table1[[#This Row],[Name]],DATA!F:F,"Semi")</f>
        <v>0</v>
      </c>
      <c r="Y84" s="43">
        <f>SUMIFS(DATA!K:K,DATA!A:A,Table1[[#This Row],[Name]],DATA!F:F,"Semi")</f>
        <v>0</v>
      </c>
      <c r="Z84" s="44" t="e">
        <f t="shared" si="24"/>
        <v>#DIV/0!</v>
      </c>
      <c r="AA84" s="43">
        <f>SUMIFS(DATA!J:J,DATA!A:A,Table1[[#This Row],[Name]],DATA!F:F,"COnA")</f>
        <v>1</v>
      </c>
      <c r="AB84" s="43">
        <f>SUMIFS(DATA!K:K,DATA!A:A,Table1[[#This Row],[Name]],DATA!F:F,"ConA")</f>
        <v>0</v>
      </c>
      <c r="AC84" s="44">
        <f t="shared" si="25"/>
        <v>1</v>
      </c>
      <c r="AD84" s="43">
        <f>SUMIFS(DATA!J:J,DATA!A:A,Table1[[#This Row],[Name]],DATA!F:F,"ConB")</f>
        <v>5</v>
      </c>
      <c r="AE84" s="43">
        <f>SUMIFS(DATA!K:K,DATA!A:A,Table1[[#This Row],[Name]],DATA!F:F,"ConB")</f>
        <v>4</v>
      </c>
      <c r="AF84" s="44">
        <f t="shared" si="26"/>
        <v>0.55555555555555558</v>
      </c>
    </row>
    <row r="85" spans="1:32" x14ac:dyDescent="0.2">
      <c r="A85" s="42">
        <v>83</v>
      </c>
      <c r="B85" s="38" t="s">
        <v>216</v>
      </c>
      <c r="C85" s="38" t="s">
        <v>90</v>
      </c>
      <c r="D85" s="51">
        <f>COUNTIF(DATA!$A$2:$A$9731,B85)</f>
        <v>26</v>
      </c>
      <c r="E85" s="51">
        <f>SUMIF(DATA!$A$2:$A$9077,B85,DATA!$J$2:$J$9077)</f>
        <v>1</v>
      </c>
      <c r="F85" s="51">
        <f>SUMIF(DATA!$A$2:$A$9077,B85,DATA!$K$2:$K$9077)</f>
        <v>4</v>
      </c>
      <c r="G85" s="38">
        <f t="shared" si="18"/>
        <v>5</v>
      </c>
      <c r="H85" s="39">
        <f t="shared" si="19"/>
        <v>0.2</v>
      </c>
      <c r="I85" s="49">
        <f t="shared" si="20"/>
        <v>-0.11538461538461539</v>
      </c>
      <c r="J85" s="49">
        <f>Table1[[#This Row],[Correct]]/Table1[[#This Row],['#Quizzes]]</f>
        <v>3.8461538461538464E-2</v>
      </c>
      <c r="K85" s="51">
        <f>SUMIF(DATA!$A$2:$A$9077,B85,DATA!$L$2:$L$9077)</f>
        <v>0</v>
      </c>
      <c r="L85" s="51">
        <f>SUMIF(DATA!$A$2:$A$9077,B85,DATA!$M$2:$M$79077)</f>
        <v>0</v>
      </c>
      <c r="M85" s="51">
        <f>SUMIF(DATA!$A$2:$A$9077,B85,DATA!$N$2:$N$9077)</f>
        <v>0</v>
      </c>
      <c r="N85" s="51">
        <f>SUMIF(DATA!$A$2:$A$9101,B85,DATA!$O$2:$O$9101)</f>
        <v>1</v>
      </c>
      <c r="O85" s="51">
        <f>SUMIF(DATA!$A$2:$A$9101,B85,DATA!$P$2:$P$9101)</f>
        <v>0</v>
      </c>
      <c r="P85" s="51">
        <f>SUMIF(DATA!$A$2:$A$9101,B85,DATA!$Q$2:$Q$9101)</f>
        <v>0</v>
      </c>
      <c r="Q85" s="51">
        <f>SUMIF(DATA!$A$2:$A$9078,B85,DATA!$R$2:$R$9078)</f>
        <v>0</v>
      </c>
      <c r="R85" s="40">
        <f t="shared" si="21"/>
        <v>0</v>
      </c>
      <c r="S85" s="51">
        <f>SUMIF(DATA!$A$2:$A$9078,B85,DATA!$S$2:$S$9078)</f>
        <v>0</v>
      </c>
      <c r="T85" s="40">
        <f t="shared" si="22"/>
        <v>0</v>
      </c>
      <c r="U85" s="51">
        <f>SUMIFS(DATA!J:J,DATA!A:A,Table1[[#This Row],[Name]],DATA!F:F,"Pre")</f>
        <v>1</v>
      </c>
      <c r="V85" s="51">
        <f>SUMIFS(DATA!K:K,DATA!A:A,Table1[[#This Row],[Name]],DATA!F:F,"Pre")</f>
        <v>2</v>
      </c>
      <c r="W85" s="39">
        <f t="shared" si="23"/>
        <v>0.33333333333333331</v>
      </c>
      <c r="X85" s="51">
        <f>SUMIFS(DATA!J:J,DATA!A:A,Table1[[#This Row],[Name]],DATA!F:F,"Semi")</f>
        <v>0</v>
      </c>
      <c r="Y85" s="51">
        <f>SUMIFS(DATA!K:K,DATA!A:A,Table1[[#This Row],[Name]],DATA!F:F,"Semi")</f>
        <v>2</v>
      </c>
      <c r="Z85" s="39">
        <f t="shared" si="24"/>
        <v>0</v>
      </c>
      <c r="AA85" s="51">
        <f>SUMIFS(DATA!J:J,DATA!A:A,Table1[[#This Row],[Name]],DATA!F:F,"COnA")</f>
        <v>0</v>
      </c>
      <c r="AB85" s="51">
        <f>SUMIFS(DATA!K:K,DATA!A:A,Table1[[#This Row],[Name]],DATA!F:F,"ConA")</f>
        <v>0</v>
      </c>
      <c r="AC85" s="39" t="e">
        <f t="shared" si="25"/>
        <v>#DIV/0!</v>
      </c>
      <c r="AD85" s="51">
        <f>SUMIFS(DATA!J:J,DATA!A:A,Table1[[#This Row],[Name]],DATA!F:F,"ConB")</f>
        <v>0</v>
      </c>
      <c r="AE85" s="51">
        <f>SUMIFS(DATA!K:K,DATA!A:A,Table1[[#This Row],[Name]],DATA!F:F,"ConB")</f>
        <v>0</v>
      </c>
      <c r="AF85" s="39" t="e">
        <f t="shared" si="26"/>
        <v>#DIV/0!</v>
      </c>
    </row>
    <row r="86" spans="1:32" x14ac:dyDescent="0.2">
      <c r="A86" s="42">
        <v>86</v>
      </c>
      <c r="B86" s="42" t="s">
        <v>40</v>
      </c>
      <c r="C86" s="42" t="s">
        <v>95</v>
      </c>
      <c r="D86" s="43">
        <f>COUNTIF(DATA!$A$2:$A$9731,B86)</f>
        <v>49</v>
      </c>
      <c r="E86" s="43">
        <f>SUMIF(DATA!$A$2:$A$9077,B86,DATA!$J$2:$J$9077)</f>
        <v>6</v>
      </c>
      <c r="F86" s="43">
        <f>SUMIF(DATA!$A$2:$A$9077,B86,DATA!$K$2:$K$9077)</f>
        <v>11</v>
      </c>
      <c r="G86" s="38">
        <f t="shared" si="18"/>
        <v>17</v>
      </c>
      <c r="H86" s="39">
        <f t="shared" si="19"/>
        <v>0.35294117647058826</v>
      </c>
      <c r="I86" s="49">
        <f t="shared" si="20"/>
        <v>-0.20408163265306123</v>
      </c>
      <c r="J86" s="50">
        <f>Table1[[#This Row],[Correct]]/Table1[[#This Row],['#Quizzes]]</f>
        <v>0.12244897959183673</v>
      </c>
      <c r="K86" s="43">
        <f>SUMIF(DATA!$A$2:$A$9077,B86,DATA!$L$2:$L$9077)</f>
        <v>4</v>
      </c>
      <c r="L86" s="43">
        <f>SUMIF(DATA!$A$2:$A$9077,B86,DATA!$M$2:$M$79077)</f>
        <v>0</v>
      </c>
      <c r="M86" s="43">
        <f>SUMIF(DATA!$A$2:$A$9077,B86,DATA!$N$2:$N$9077)</f>
        <v>1</v>
      </c>
      <c r="N86" s="43">
        <f>SUMIF(DATA!$A$2:$A$9101,B86,DATA!$O$2:$O$9101)</f>
        <v>2</v>
      </c>
      <c r="O86" s="43">
        <f>SUMIF(DATA!$A$2:$A$9101,B86,DATA!$P$2:$P$9101)</f>
        <v>0</v>
      </c>
      <c r="P86" s="43">
        <f>SUMIF(DATA!$A$2:$A$9101,B86,DATA!$Q$2:$Q$9101)</f>
        <v>0</v>
      </c>
      <c r="Q86" s="43">
        <f>SUMIF(DATA!$A$2:$A$9078,B86,DATA!$R$2:$R$9078)</f>
        <v>0</v>
      </c>
      <c r="R86" s="45">
        <f t="shared" si="21"/>
        <v>0</v>
      </c>
      <c r="S86" s="43">
        <f>SUMIF(DATA!$A$2:$A$9078,B86,DATA!$S$2:$S$9078)</f>
        <v>0</v>
      </c>
      <c r="T86" s="45">
        <f t="shared" si="22"/>
        <v>0</v>
      </c>
      <c r="U86" s="43">
        <f>SUMIFS(DATA!J:J,DATA!A:A,Table1[[#This Row],[Name]],DATA!F:F,"Pre")</f>
        <v>2</v>
      </c>
      <c r="V86" s="43">
        <f>SUMIFS(DATA!K:K,DATA!A:A,Table1[[#This Row],[Name]],DATA!F:F,"Pre")</f>
        <v>8</v>
      </c>
      <c r="W86" s="44">
        <f t="shared" si="23"/>
        <v>0.2</v>
      </c>
      <c r="X86" s="43">
        <f>SUMIFS(DATA!J:J,DATA!A:A,Table1[[#This Row],[Name]],DATA!F:F,"Semi")</f>
        <v>0</v>
      </c>
      <c r="Y86" s="43">
        <f>SUMIFS(DATA!K:K,DATA!A:A,Table1[[#This Row],[Name]],DATA!F:F,"Semi")</f>
        <v>0</v>
      </c>
      <c r="Z86" s="44" t="e">
        <f t="shared" si="24"/>
        <v>#DIV/0!</v>
      </c>
      <c r="AA86" s="43">
        <f>SUMIFS(DATA!J:J,DATA!A:A,Table1[[#This Row],[Name]],DATA!F:F,"COnA")</f>
        <v>1</v>
      </c>
      <c r="AB86" s="43">
        <f>SUMIFS(DATA!K:K,DATA!A:A,Table1[[#This Row],[Name]],DATA!F:F,"ConA")</f>
        <v>2</v>
      </c>
      <c r="AC86" s="44">
        <f t="shared" si="25"/>
        <v>0.33333333333333331</v>
      </c>
      <c r="AD86" s="43">
        <f>SUMIFS(DATA!J:J,DATA!A:A,Table1[[#This Row],[Name]],DATA!F:F,"ConB")</f>
        <v>3</v>
      </c>
      <c r="AE86" s="43">
        <f>SUMIFS(DATA!K:K,DATA!A:A,Table1[[#This Row],[Name]],DATA!F:F,"ConB")</f>
        <v>1</v>
      </c>
      <c r="AF86" s="44">
        <f t="shared" si="26"/>
        <v>0.75</v>
      </c>
    </row>
    <row r="87" spans="1:32" x14ac:dyDescent="0.2">
      <c r="A87" s="42">
        <v>88</v>
      </c>
      <c r="B87" s="42" t="s">
        <v>192</v>
      </c>
      <c r="C87" s="42" t="s">
        <v>92</v>
      </c>
      <c r="D87" s="43">
        <f>COUNTIF(DATA!$A$2:$A$9731,B87)</f>
        <v>37</v>
      </c>
      <c r="E87" s="43">
        <f>SUMIF(DATA!$A$2:$A$9077,B87,DATA!$J$2:$J$9077)</f>
        <v>1</v>
      </c>
      <c r="F87" s="43">
        <f>SUMIF(DATA!$A$2:$A$9077,B87,DATA!$K$2:$K$9077)</f>
        <v>9</v>
      </c>
      <c r="G87" s="38">
        <f t="shared" si="18"/>
        <v>10</v>
      </c>
      <c r="H87" s="39">
        <f t="shared" si="19"/>
        <v>0.1</v>
      </c>
      <c r="I87" s="49">
        <f t="shared" si="20"/>
        <v>-0.24324324324324326</v>
      </c>
      <c r="J87" s="50">
        <f>Table1[[#This Row],[Correct]]/Table1[[#This Row],['#Quizzes]]</f>
        <v>2.7027027027027029E-2</v>
      </c>
      <c r="K87" s="43">
        <f>SUMIF(DATA!$A$2:$A$9077,B87,DATA!$L$2:$L$9077)</f>
        <v>1</v>
      </c>
      <c r="L87" s="43">
        <f>SUMIF(DATA!$A$2:$A$9077,B87,DATA!$M$2:$M$79077)</f>
        <v>0</v>
      </c>
      <c r="M87" s="43">
        <f>SUMIF(DATA!$A$2:$A$9077,B87,DATA!$N$2:$N$9077)</f>
        <v>0</v>
      </c>
      <c r="N87" s="43">
        <f>SUMIF(DATA!$A$2:$A$9101,B87,DATA!$O$2:$O$9101)</f>
        <v>0</v>
      </c>
      <c r="O87" s="43">
        <f>SUMIF(DATA!$A$2:$A$9101,B87,DATA!$P$2:$P$9101)</f>
        <v>0</v>
      </c>
      <c r="P87" s="43">
        <f>SUMIF(DATA!$A$2:$A$9101,B87,DATA!$Q$2:$Q$9101)</f>
        <v>0</v>
      </c>
      <c r="Q87" s="43">
        <f>SUMIF(DATA!$A$2:$A$9078,B87,DATA!$R$2:$R$9078)</f>
        <v>0</v>
      </c>
      <c r="R87" s="45">
        <f t="shared" si="21"/>
        <v>0</v>
      </c>
      <c r="S87" s="43">
        <f>SUMIF(DATA!$A$2:$A$9078,B87,DATA!$S$2:$S$9078)</f>
        <v>0</v>
      </c>
      <c r="T87" s="45">
        <f t="shared" si="22"/>
        <v>0</v>
      </c>
      <c r="U87" s="43">
        <f>SUMIFS(DATA!J:J,DATA!A:A,Table1[[#This Row],[Name]],DATA!F:F,"Pre")</f>
        <v>1</v>
      </c>
      <c r="V87" s="43">
        <f>SUMIFS(DATA!K:K,DATA!A:A,Table1[[#This Row],[Name]],DATA!F:F,"Pre")</f>
        <v>7</v>
      </c>
      <c r="W87" s="44">
        <f t="shared" si="23"/>
        <v>0.125</v>
      </c>
      <c r="X87" s="43">
        <f>SUMIFS(DATA!J:J,DATA!A:A,Table1[[#This Row],[Name]],DATA!F:F,"Semi")</f>
        <v>0</v>
      </c>
      <c r="Y87" s="43">
        <f>SUMIFS(DATA!K:K,DATA!A:A,Table1[[#This Row],[Name]],DATA!F:F,"Semi")</f>
        <v>0</v>
      </c>
      <c r="Z87" s="44" t="e">
        <f t="shared" si="24"/>
        <v>#DIV/0!</v>
      </c>
      <c r="AA87" s="43">
        <f>SUMIFS(DATA!J:J,DATA!A:A,Table1[[#This Row],[Name]],DATA!F:F,"COnA")</f>
        <v>0</v>
      </c>
      <c r="AB87" s="43">
        <f>SUMIFS(DATA!K:K,DATA!A:A,Table1[[#This Row],[Name]],DATA!F:F,"ConA")</f>
        <v>2</v>
      </c>
      <c r="AC87" s="44">
        <f t="shared" si="25"/>
        <v>0</v>
      </c>
      <c r="AD87" s="43">
        <f>SUMIFS(DATA!J:J,DATA!A:A,Table1[[#This Row],[Name]],DATA!F:F,"ConB")</f>
        <v>0</v>
      </c>
      <c r="AE87" s="43">
        <f>SUMIFS(DATA!K:K,DATA!A:A,Table1[[#This Row],[Name]],DATA!F:F,"ConB")</f>
        <v>0</v>
      </c>
      <c r="AF87" s="44" t="e">
        <f t="shared" si="26"/>
        <v>#DIV/0!</v>
      </c>
    </row>
    <row r="88" spans="1:32" x14ac:dyDescent="0.2">
      <c r="A88" s="42">
        <v>87</v>
      </c>
      <c r="B88" s="42" t="s">
        <v>189</v>
      </c>
      <c r="C88" s="42" t="s">
        <v>89</v>
      </c>
      <c r="D88" s="43">
        <f>COUNTIF(DATA!$A$2:$A$9731,B88)</f>
        <v>40</v>
      </c>
      <c r="E88" s="43">
        <f>SUMIF(DATA!$A$2:$A$9077,B88,DATA!$J$2:$J$9077)</f>
        <v>14</v>
      </c>
      <c r="F88" s="43">
        <f>SUMIF(DATA!$A$2:$A$9077,B88,DATA!$K$2:$K$9077)</f>
        <v>24</v>
      </c>
      <c r="G88" s="38">
        <f t="shared" si="18"/>
        <v>38</v>
      </c>
      <c r="H88" s="39">
        <f t="shared" si="19"/>
        <v>0.36842105263157893</v>
      </c>
      <c r="I88" s="49">
        <f t="shared" si="20"/>
        <v>-0.25</v>
      </c>
      <c r="J88" s="50">
        <f>Table1[[#This Row],[Correct]]/Table1[[#This Row],['#Quizzes]]</f>
        <v>0.35</v>
      </c>
      <c r="K88" s="43">
        <f>SUMIF(DATA!$A$2:$A$9077,B88,DATA!$L$2:$L$9077)</f>
        <v>1</v>
      </c>
      <c r="L88" s="43">
        <f>SUMIF(DATA!$A$2:$A$9077,B88,DATA!$M$2:$M$79077)</f>
        <v>1</v>
      </c>
      <c r="M88" s="43">
        <f>SUMIF(DATA!$A$2:$A$9077,B88,DATA!$N$2:$N$9077)</f>
        <v>0</v>
      </c>
      <c r="N88" s="43">
        <f>SUMIF(DATA!$A$2:$A$9101,B88,DATA!$O$2:$O$9101)</f>
        <v>2</v>
      </c>
      <c r="O88" s="43">
        <f>SUMIF(DATA!$A$2:$A$9101,B88,DATA!$P$2:$P$9101)</f>
        <v>1</v>
      </c>
      <c r="P88" s="43">
        <f>SUMIF(DATA!$A$2:$A$9101,B88,DATA!$Q$2:$Q$9101)</f>
        <v>0</v>
      </c>
      <c r="Q88" s="43">
        <f>SUMIF(DATA!$A$2:$A$9078,B88,DATA!$R$2:$R$9078)</f>
        <v>0</v>
      </c>
      <c r="R88" s="45">
        <f t="shared" si="21"/>
        <v>0</v>
      </c>
      <c r="S88" s="43">
        <f>SUMIF(DATA!$A$2:$A$9078,B88,DATA!$S$2:$S$9078)</f>
        <v>0</v>
      </c>
      <c r="T88" s="45">
        <f t="shared" si="22"/>
        <v>0</v>
      </c>
      <c r="U88" s="43">
        <f>SUMIFS(DATA!J:J,DATA!A:A,Table1[[#This Row],[Name]],DATA!F:F,"Pre")</f>
        <v>4</v>
      </c>
      <c r="V88" s="43">
        <f>SUMIFS(DATA!K:K,DATA!A:A,Table1[[#This Row],[Name]],DATA!F:F,"Pre")</f>
        <v>12</v>
      </c>
      <c r="W88" s="44">
        <f t="shared" si="23"/>
        <v>0.25</v>
      </c>
      <c r="X88" s="43">
        <f>SUMIFS(DATA!J:J,DATA!A:A,Table1[[#This Row],[Name]],DATA!F:F,"Semi")</f>
        <v>0</v>
      </c>
      <c r="Y88" s="43">
        <f>SUMIFS(DATA!K:K,DATA!A:A,Table1[[#This Row],[Name]],DATA!F:F,"Semi")</f>
        <v>0</v>
      </c>
      <c r="Z88" s="44" t="e">
        <f t="shared" si="24"/>
        <v>#DIV/0!</v>
      </c>
      <c r="AA88" s="43">
        <f>SUMIFS(DATA!J:J,DATA!A:A,Table1[[#This Row],[Name]],DATA!F:F,"COnA")</f>
        <v>10</v>
      </c>
      <c r="AB88" s="43">
        <f>SUMIFS(DATA!K:K,DATA!A:A,Table1[[#This Row],[Name]],DATA!F:F,"ConA")</f>
        <v>12</v>
      </c>
      <c r="AC88" s="44">
        <f t="shared" si="25"/>
        <v>0.45454545454545453</v>
      </c>
      <c r="AD88" s="43">
        <f>SUMIFS(DATA!J:J,DATA!A:A,Table1[[#This Row],[Name]],DATA!F:F,"ConB")</f>
        <v>0</v>
      </c>
      <c r="AE88" s="43">
        <f>SUMIFS(DATA!K:K,DATA!A:A,Table1[[#This Row],[Name]],DATA!F:F,"ConB")</f>
        <v>0</v>
      </c>
      <c r="AF88" s="44" t="e">
        <f t="shared" si="26"/>
        <v>#DIV/0!</v>
      </c>
    </row>
    <row r="89" spans="1:32" x14ac:dyDescent="0.2">
      <c r="A89" s="42">
        <v>85</v>
      </c>
      <c r="B89" s="42" t="s">
        <v>44</v>
      </c>
      <c r="C89" s="42" t="s">
        <v>89</v>
      </c>
      <c r="D89" s="43">
        <f>COUNTIF(DATA!$A$2:$A$9731,B89)</f>
        <v>47</v>
      </c>
      <c r="E89" s="43">
        <f>SUMIF(DATA!$A$2:$A$9077,B89,DATA!$J$2:$J$9077)</f>
        <v>10</v>
      </c>
      <c r="F89" s="43">
        <f>SUMIF(DATA!$A$2:$A$9077,B89,DATA!$K$2:$K$9077)</f>
        <v>20</v>
      </c>
      <c r="G89" s="38">
        <f t="shared" si="18"/>
        <v>30</v>
      </c>
      <c r="H89" s="39">
        <f t="shared" si="19"/>
        <v>0.33333333333333331</v>
      </c>
      <c r="I89" s="49">
        <f t="shared" si="20"/>
        <v>-0.25531914893617019</v>
      </c>
      <c r="J89" s="50">
        <f>Table1[[#This Row],[Correct]]/Table1[[#This Row],['#Quizzes]]</f>
        <v>0.21276595744680851</v>
      </c>
      <c r="K89" s="43">
        <f>SUMIF(DATA!$A$2:$A$9077,B89,DATA!$L$2:$L$9077)</f>
        <v>2</v>
      </c>
      <c r="L89" s="43">
        <f>SUMIF(DATA!$A$2:$A$9077,B89,DATA!$M$2:$M$79077)</f>
        <v>0</v>
      </c>
      <c r="M89" s="43">
        <f>SUMIF(DATA!$A$2:$A$9077,B89,DATA!$N$2:$N$9077)</f>
        <v>0</v>
      </c>
      <c r="N89" s="43">
        <f>SUMIF(DATA!$A$2:$A$9101,B89,DATA!$O$2:$O$9101)</f>
        <v>3</v>
      </c>
      <c r="O89" s="43">
        <f>SUMIF(DATA!$A$2:$A$9101,B89,DATA!$P$2:$P$9101)</f>
        <v>0</v>
      </c>
      <c r="P89" s="43">
        <f>SUMIF(DATA!$A$2:$A$9101,B89,DATA!$Q$2:$Q$9101)</f>
        <v>0</v>
      </c>
      <c r="Q89" s="43">
        <f>SUMIF(DATA!$A$2:$A$9078,B89,DATA!$R$2:$R$9078)</f>
        <v>0</v>
      </c>
      <c r="R89" s="45">
        <f t="shared" si="21"/>
        <v>0</v>
      </c>
      <c r="S89" s="43">
        <f>SUMIF(DATA!$A$2:$A$9078,B89,DATA!$S$2:$S$9078)</f>
        <v>0</v>
      </c>
      <c r="T89" s="45">
        <f t="shared" si="22"/>
        <v>0</v>
      </c>
      <c r="U89" s="43">
        <f>SUMIFS(DATA!J:J,DATA!A:A,Table1[[#This Row],[Name]],DATA!F:F,"Pre")</f>
        <v>6</v>
      </c>
      <c r="V89" s="43">
        <f>SUMIFS(DATA!K:K,DATA!A:A,Table1[[#This Row],[Name]],DATA!F:F,"Pre")</f>
        <v>13</v>
      </c>
      <c r="W89" s="44">
        <f t="shared" si="23"/>
        <v>0.31578947368421051</v>
      </c>
      <c r="X89" s="43">
        <f>SUMIFS(DATA!J:J,DATA!A:A,Table1[[#This Row],[Name]],DATA!F:F,"Semi")</f>
        <v>0</v>
      </c>
      <c r="Y89" s="43">
        <f>SUMIFS(DATA!K:K,DATA!A:A,Table1[[#This Row],[Name]],DATA!F:F,"Semi")</f>
        <v>0</v>
      </c>
      <c r="Z89" s="44" t="e">
        <f t="shared" si="24"/>
        <v>#DIV/0!</v>
      </c>
      <c r="AA89" s="43">
        <f>SUMIFS(DATA!J:J,DATA!A:A,Table1[[#This Row],[Name]],DATA!F:F,"COnA")</f>
        <v>1</v>
      </c>
      <c r="AB89" s="43">
        <f>SUMIFS(DATA!K:K,DATA!A:A,Table1[[#This Row],[Name]],DATA!F:F,"ConA")</f>
        <v>4</v>
      </c>
      <c r="AC89" s="44">
        <f t="shared" si="25"/>
        <v>0.2</v>
      </c>
      <c r="AD89" s="43">
        <f>SUMIFS(DATA!J:J,DATA!A:A,Table1[[#This Row],[Name]],DATA!F:F,"ConB")</f>
        <v>3</v>
      </c>
      <c r="AE89" s="43">
        <f>SUMIFS(DATA!K:K,DATA!A:A,Table1[[#This Row],[Name]],DATA!F:F,"ConB")</f>
        <v>3</v>
      </c>
      <c r="AF89" s="44">
        <f t="shared" si="26"/>
        <v>0.5</v>
      </c>
    </row>
    <row r="90" spans="1:32" x14ac:dyDescent="0.2">
      <c r="A90" s="42">
        <v>89</v>
      </c>
      <c r="B90" s="42" t="s">
        <v>184</v>
      </c>
      <c r="C90" s="42" t="s">
        <v>88</v>
      </c>
      <c r="D90" s="43">
        <f>COUNTIF(DATA!$A$2:$A$9731,B90)</f>
        <v>48</v>
      </c>
      <c r="E90" s="43">
        <f>SUMIF(DATA!$A$2:$A$9077,B90,DATA!$J$2:$J$9077)</f>
        <v>34</v>
      </c>
      <c r="F90" s="43">
        <f>SUMIF(DATA!$A$2:$A$9077,B90,DATA!$K$2:$K$9077)</f>
        <v>54</v>
      </c>
      <c r="G90" s="38">
        <f t="shared" si="18"/>
        <v>88</v>
      </c>
      <c r="H90" s="39">
        <f t="shared" si="19"/>
        <v>0.38636363636363635</v>
      </c>
      <c r="I90" s="49">
        <f t="shared" si="20"/>
        <v>-0.375</v>
      </c>
      <c r="J90" s="50">
        <f>Table1[[#This Row],[Correct]]/Table1[[#This Row],['#Quizzes]]</f>
        <v>0.70833333333333337</v>
      </c>
      <c r="K90" s="43">
        <f>SUMIF(DATA!$A$2:$A$9077,B90,DATA!$L$2:$L$9077)</f>
        <v>1</v>
      </c>
      <c r="L90" s="43">
        <f>SUMIF(DATA!$A$2:$A$9077,B90,DATA!$M$2:$M$79077)</f>
        <v>7</v>
      </c>
      <c r="M90" s="43">
        <f>SUMIF(DATA!$A$2:$A$9077,B90,DATA!$N$2:$N$9077)</f>
        <v>4</v>
      </c>
      <c r="N90" s="43">
        <f>SUMIF(DATA!$A$2:$A$9101,B90,DATA!$O$2:$O$9101)</f>
        <v>3</v>
      </c>
      <c r="O90" s="43">
        <f>SUMIF(DATA!$A$2:$A$9101,B90,DATA!$P$2:$P$9101)</f>
        <v>0</v>
      </c>
      <c r="P90" s="43">
        <f>SUMIF(DATA!$A$2:$A$9101,B90,DATA!$Q$2:$Q$9101)</f>
        <v>0</v>
      </c>
      <c r="Q90" s="43">
        <f>SUMIF(DATA!$A$2:$A$9078,B90,DATA!$R$2:$R$9078)</f>
        <v>0</v>
      </c>
      <c r="R90" s="45">
        <f t="shared" si="21"/>
        <v>0</v>
      </c>
      <c r="S90" s="43">
        <f>SUMIF(DATA!$A$2:$A$9078,B90,DATA!$S$2:$S$9078)</f>
        <v>6</v>
      </c>
      <c r="T90" s="45">
        <f t="shared" si="22"/>
        <v>0.125</v>
      </c>
      <c r="U90" s="43">
        <f>SUMIFS(DATA!J:J,DATA!A:A,Table1[[#This Row],[Name]],DATA!F:F,"Pre")</f>
        <v>14</v>
      </c>
      <c r="V90" s="43">
        <f>SUMIFS(DATA!K:K,DATA!A:A,Table1[[#This Row],[Name]],DATA!F:F,"Pre")</f>
        <v>32</v>
      </c>
      <c r="W90" s="44">
        <f t="shared" si="23"/>
        <v>0.30434782608695654</v>
      </c>
      <c r="X90" s="43">
        <f>SUMIFS(DATA!J:J,DATA!A:A,Table1[[#This Row],[Name]],DATA!F:F,"Semi")</f>
        <v>0</v>
      </c>
      <c r="Y90" s="43">
        <f>SUMIFS(DATA!K:K,DATA!A:A,Table1[[#This Row],[Name]],DATA!F:F,"Semi")</f>
        <v>0</v>
      </c>
      <c r="Z90" s="44" t="e">
        <f t="shared" si="24"/>
        <v>#DIV/0!</v>
      </c>
      <c r="AA90" s="43">
        <f>SUMIFS(DATA!J:J,DATA!A:A,Table1[[#This Row],[Name]],DATA!F:F,"COnA")</f>
        <v>11</v>
      </c>
      <c r="AB90" s="43">
        <f>SUMIFS(DATA!K:K,DATA!A:A,Table1[[#This Row],[Name]],DATA!F:F,"ConA")</f>
        <v>14</v>
      </c>
      <c r="AC90" s="44">
        <f t="shared" si="25"/>
        <v>0.44</v>
      </c>
      <c r="AD90" s="43">
        <f>SUMIFS(DATA!J:J,DATA!A:A,Table1[[#This Row],[Name]],DATA!F:F,"ConB")</f>
        <v>9</v>
      </c>
      <c r="AE90" s="43">
        <f>SUMIFS(DATA!K:K,DATA!A:A,Table1[[#This Row],[Name]],DATA!F:F,"ConB")</f>
        <v>8</v>
      </c>
      <c r="AF90" s="44">
        <f t="shared" si="26"/>
        <v>0.52941176470588236</v>
      </c>
    </row>
    <row r="91" spans="1:32" x14ac:dyDescent="0.2">
      <c r="A91" s="42">
        <v>90</v>
      </c>
      <c r="B91" s="42" t="s">
        <v>199</v>
      </c>
      <c r="C91" s="42" t="s">
        <v>90</v>
      </c>
      <c r="D91" s="43">
        <f>COUNTIF(DATA!$A$2:$A$9731,B91)</f>
        <v>22</v>
      </c>
      <c r="E91" s="43">
        <f>SUMIF(DATA!$A$2:$A$9077,B91,DATA!$J$2:$J$9077)</f>
        <v>1</v>
      </c>
      <c r="F91" s="43">
        <f>SUMIF(DATA!$A$2:$A$9077,B91,DATA!$K$2:$K$9077)</f>
        <v>8</v>
      </c>
      <c r="G91" s="38">
        <f t="shared" si="18"/>
        <v>9</v>
      </c>
      <c r="H91" s="39">
        <f t="shared" si="19"/>
        <v>0.1111111111111111</v>
      </c>
      <c r="I91" s="49">
        <f t="shared" si="20"/>
        <v>-0.36363636363636365</v>
      </c>
      <c r="J91" s="50">
        <f>Table1[[#This Row],[Correct]]/Table1[[#This Row],['#Quizzes]]</f>
        <v>4.5454545454545456E-2</v>
      </c>
      <c r="K91" s="43">
        <f>SUMIF(DATA!$A$2:$A$9077,B91,DATA!$L$2:$L$9077)</f>
        <v>0</v>
      </c>
      <c r="L91" s="43">
        <f>SUMIF(DATA!$A$2:$A$9077,B91,DATA!$M$2:$M$79077)</f>
        <v>0</v>
      </c>
      <c r="M91" s="43">
        <f>SUMIF(DATA!$A$2:$A$9077,B91,DATA!$N$2:$N$9077)</f>
        <v>1</v>
      </c>
      <c r="N91" s="43">
        <f>SUMIF(DATA!$A$2:$A$9101,B91,DATA!$O$2:$O$9101)</f>
        <v>1</v>
      </c>
      <c r="O91" s="43">
        <f>SUMIF(DATA!$A$2:$A$9101,B91,DATA!$P$2:$P$9101)</f>
        <v>0</v>
      </c>
      <c r="P91" s="43">
        <f>SUMIF(DATA!$A$2:$A$9101,B91,DATA!$Q$2:$Q$9101)</f>
        <v>0</v>
      </c>
      <c r="Q91" s="43">
        <f>SUMIF(DATA!$A$2:$A$9078,B91,DATA!$R$2:$R$9078)</f>
        <v>0</v>
      </c>
      <c r="R91" s="45">
        <f t="shared" si="21"/>
        <v>0</v>
      </c>
      <c r="S91" s="43">
        <f>SUMIF(DATA!$A$2:$A$9078,B91,DATA!$S$2:$S$9078)</f>
        <v>0</v>
      </c>
      <c r="T91" s="45">
        <f t="shared" si="22"/>
        <v>0</v>
      </c>
      <c r="U91" s="43">
        <f>SUMIFS(DATA!J:J,DATA!A:A,Table1[[#This Row],[Name]],DATA!F:F,"Pre")</f>
        <v>1</v>
      </c>
      <c r="V91" s="43">
        <f>SUMIFS(DATA!K:K,DATA!A:A,Table1[[#This Row],[Name]],DATA!F:F,"Pre")</f>
        <v>7</v>
      </c>
      <c r="W91" s="44">
        <f t="shared" si="23"/>
        <v>0.125</v>
      </c>
      <c r="X91" s="43">
        <f>SUMIFS(DATA!J:J,DATA!A:A,Table1[[#This Row],[Name]],DATA!F:F,"Semi")</f>
        <v>0</v>
      </c>
      <c r="Y91" s="43">
        <f>SUMIFS(DATA!K:K,DATA!A:A,Table1[[#This Row],[Name]],DATA!F:F,"Semi")</f>
        <v>1</v>
      </c>
      <c r="Z91" s="44">
        <f t="shared" si="24"/>
        <v>0</v>
      </c>
      <c r="AA91" s="43">
        <f>SUMIFS(DATA!J:J,DATA!A:A,Table1[[#This Row],[Name]],DATA!F:F,"COnA")</f>
        <v>0</v>
      </c>
      <c r="AB91" s="43">
        <f>SUMIFS(DATA!K:K,DATA!A:A,Table1[[#This Row],[Name]],DATA!F:F,"ConA")</f>
        <v>0</v>
      </c>
      <c r="AC91" s="44" t="e">
        <f t="shared" si="25"/>
        <v>#DIV/0!</v>
      </c>
      <c r="AD91" s="43">
        <f>SUMIFS(DATA!J:J,DATA!A:A,Table1[[#This Row],[Name]],DATA!F:F,"ConB")</f>
        <v>0</v>
      </c>
      <c r="AE91" s="43">
        <f>SUMIFS(DATA!K:K,DATA!A:A,Table1[[#This Row],[Name]],DATA!F:F,"ConB")</f>
        <v>0</v>
      </c>
      <c r="AF91" s="44" t="e">
        <f t="shared" si="26"/>
        <v>#DIV/0!</v>
      </c>
    </row>
    <row r="92" spans="1:32" x14ac:dyDescent="0.2">
      <c r="A92" s="42">
        <v>91</v>
      </c>
      <c r="B92" s="42" t="s">
        <v>194</v>
      </c>
      <c r="C92" s="42" t="s">
        <v>93</v>
      </c>
      <c r="D92" s="43">
        <f>COUNTIF(DATA!$A$2:$A$9731,B92)</f>
        <v>9</v>
      </c>
      <c r="E92" s="43">
        <f>SUMIF(DATA!$A$2:$A$9077,B92,DATA!$J$2:$J$9077)</f>
        <v>1</v>
      </c>
      <c r="F92" s="43">
        <f>SUMIF(DATA!$A$2:$A$9077,B92,DATA!$K$2:$K$9077)</f>
        <v>4</v>
      </c>
      <c r="G92" s="38">
        <f t="shared" si="18"/>
        <v>5</v>
      </c>
      <c r="H92" s="39">
        <f t="shared" si="19"/>
        <v>0.2</v>
      </c>
      <c r="I92" s="49">
        <f t="shared" si="20"/>
        <v>-0.66666666666666663</v>
      </c>
      <c r="J92" s="50">
        <f>Table1[[#This Row],[Correct]]/Table1[[#This Row],['#Quizzes]]</f>
        <v>0.1111111111111111</v>
      </c>
      <c r="K92" s="43">
        <f>SUMIF(DATA!$A$2:$A$9077,B92,DATA!$L$2:$L$9077)</f>
        <v>2</v>
      </c>
      <c r="L92" s="43">
        <f>SUMIF(DATA!$A$2:$A$9077,B92,DATA!$M$2:$M$79077)</f>
        <v>0</v>
      </c>
      <c r="M92" s="43">
        <f>SUMIF(DATA!$A$2:$A$9077,B92,DATA!$N$2:$N$9077)</f>
        <v>1</v>
      </c>
      <c r="N92" s="43">
        <f>SUMIF(DATA!$A$2:$A$9101,B92,DATA!$O$2:$O$9101)</f>
        <v>0</v>
      </c>
      <c r="O92" s="43">
        <f>SUMIF(DATA!$A$2:$A$9101,B92,DATA!$P$2:$P$9101)</f>
        <v>0</v>
      </c>
      <c r="P92" s="43">
        <f>SUMIF(DATA!$A$2:$A$9101,B92,DATA!$Q$2:$Q$9101)</f>
        <v>0</v>
      </c>
      <c r="Q92" s="43">
        <f>SUMIF(DATA!$A$2:$A$9078,B92,DATA!$R$2:$R$9078)</f>
        <v>0</v>
      </c>
      <c r="R92" s="45">
        <f t="shared" si="21"/>
        <v>0</v>
      </c>
      <c r="S92" s="43">
        <f>SUMIF(DATA!$A$2:$A$9078,B92,DATA!$S$2:$S$9078)</f>
        <v>0</v>
      </c>
      <c r="T92" s="45">
        <f t="shared" si="22"/>
        <v>0</v>
      </c>
      <c r="U92" s="43">
        <f>SUMIFS(DATA!J:J,DATA!A:A,Table1[[#This Row],[Name]],DATA!F:F,"Pre")</f>
        <v>1</v>
      </c>
      <c r="V92" s="43">
        <f>SUMIFS(DATA!K:K,DATA!A:A,Table1[[#This Row],[Name]],DATA!F:F,"Pre")</f>
        <v>2</v>
      </c>
      <c r="W92" s="44">
        <f t="shared" si="23"/>
        <v>0.33333333333333331</v>
      </c>
      <c r="X92" s="43">
        <f>SUMIFS(DATA!J:J,DATA!A:A,Table1[[#This Row],[Name]],DATA!F:F,"Semi")</f>
        <v>0</v>
      </c>
      <c r="Y92" s="43">
        <f>SUMIFS(DATA!K:K,DATA!A:A,Table1[[#This Row],[Name]],DATA!F:F,"Semi")</f>
        <v>0</v>
      </c>
      <c r="Z92" s="44" t="e">
        <f t="shared" si="24"/>
        <v>#DIV/0!</v>
      </c>
      <c r="AA92" s="43">
        <f>SUMIFS(DATA!J:J,DATA!A:A,Table1[[#This Row],[Name]],DATA!F:F,"COnA")</f>
        <v>0</v>
      </c>
      <c r="AB92" s="43">
        <f>SUMIFS(DATA!K:K,DATA!A:A,Table1[[#This Row],[Name]],DATA!F:F,"ConA")</f>
        <v>0</v>
      </c>
      <c r="AC92" s="44" t="e">
        <f t="shared" si="25"/>
        <v>#DIV/0!</v>
      </c>
      <c r="AD92" s="43">
        <f>SUMIFS(DATA!J:J,DATA!A:A,Table1[[#This Row],[Name]],DATA!F:F,"ConB")</f>
        <v>0</v>
      </c>
      <c r="AE92" s="43">
        <f>SUMIFS(DATA!K:K,DATA!A:A,Table1[[#This Row],[Name]],DATA!F:F,"ConB")</f>
        <v>2</v>
      </c>
      <c r="AF92" s="44">
        <f t="shared" si="26"/>
        <v>0</v>
      </c>
    </row>
  </sheetData>
  <conditionalFormatting sqref="Z2:Z92 AC2:AC92 AF2:AF92">
    <cfRule type="cellIs" dxfId="69" priority="9" operator="between">
      <formula>0.81</formula>
      <formula>0.99</formula>
    </cfRule>
    <cfRule type="cellIs" dxfId="68" priority="10" operator="between">
      <formula>0.01</formula>
      <formula>0.68</formula>
    </cfRule>
  </conditionalFormatting>
  <conditionalFormatting sqref="G1:G1048576">
    <cfRule type="top10" dxfId="67" priority="4" percent="1" rank="35"/>
  </conditionalFormatting>
  <conditionalFormatting sqref="Z1:Z1048576">
    <cfRule type="cellIs" dxfId="66" priority="3" operator="between">
      <formula>0.7</formula>
      <formula>0.99</formula>
    </cfRule>
  </conditionalFormatting>
  <conditionalFormatting sqref="H1:H1048576">
    <cfRule type="top10" dxfId="65" priority="1" percent="1" bottom="1" rank="20"/>
    <cfRule type="top10" dxfId="64" priority="2" percent="1" rank="20"/>
  </conditionalFormatting>
  <pageMargins left="0" right="0" top="0" bottom="0" header="0" footer="0"/>
  <pageSetup scale="55" fitToHeight="0" orientation="landscape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D33"/>
  <sheetViews>
    <sheetView workbookViewId="0"/>
  </sheetViews>
  <sheetFormatPr defaultColWidth="8.85546875" defaultRowHeight="15" x14ac:dyDescent="0.25"/>
  <cols>
    <col min="2" max="2" width="5" style="1" bestFit="1" customWidth="1"/>
    <col min="3" max="3" width="7.42578125" style="14" bestFit="1" customWidth="1"/>
    <col min="4" max="4" width="5.28515625" style="14" bestFit="1" customWidth="1"/>
    <col min="5" max="5" width="8.7109375" style="28" bestFit="1" customWidth="1"/>
    <col min="6" max="6" width="2.28515625" customWidth="1"/>
    <col min="7" max="7" width="3.42578125" customWidth="1"/>
    <col min="8" max="8" width="15.42578125" bestFit="1" customWidth="1"/>
    <col min="9" max="9" width="7.42578125" style="21" bestFit="1" customWidth="1"/>
    <col min="10" max="10" width="5.28515625" style="21" bestFit="1" customWidth="1"/>
    <col min="11" max="11" width="8.7109375" style="26" bestFit="1" customWidth="1"/>
    <col min="12" max="12" width="5.7109375" bestFit="1" customWidth="1"/>
    <col min="13" max="13" width="15.42578125" bestFit="1" customWidth="1"/>
    <col min="19" max="19" width="9.7109375" style="1" bestFit="1" customWidth="1"/>
    <col min="20" max="20" width="5.7109375" style="1" bestFit="1" customWidth="1"/>
    <col min="21" max="21" width="4.42578125" style="1" bestFit="1" customWidth="1"/>
    <col min="22" max="22" width="5.42578125" style="1" bestFit="1" customWidth="1"/>
    <col min="23" max="23" width="5.7109375" style="1" bestFit="1" customWidth="1"/>
    <col min="24" max="24" width="5.42578125" style="1" bestFit="1" customWidth="1"/>
    <col min="25" max="25" width="5" style="1" bestFit="1" customWidth="1"/>
    <col min="26" max="27" width="9.5703125" style="1" bestFit="1" customWidth="1"/>
    <col min="28" max="30" width="9.5703125" bestFit="1" customWidth="1"/>
  </cols>
  <sheetData>
    <row r="1" spans="2:30" ht="15.75" thickBot="1" x14ac:dyDescent="0.3">
      <c r="B1" s="2" t="s">
        <v>99</v>
      </c>
      <c r="C1" s="29" t="s">
        <v>6</v>
      </c>
      <c r="D1" s="17" t="s">
        <v>7</v>
      </c>
      <c r="E1" s="27" t="s">
        <v>15</v>
      </c>
      <c r="H1" s="13" t="s">
        <v>100</v>
      </c>
      <c r="I1" s="18" t="s">
        <v>6</v>
      </c>
      <c r="J1" s="18" t="s">
        <v>7</v>
      </c>
      <c r="K1" s="25" t="s">
        <v>15</v>
      </c>
      <c r="M1" s="3" t="s">
        <v>100</v>
      </c>
      <c r="N1" s="17" t="s">
        <v>108</v>
      </c>
      <c r="S1" s="2" t="s">
        <v>2</v>
      </c>
      <c r="T1" s="3" t="s">
        <v>3</v>
      </c>
      <c r="U1" s="33" t="s">
        <v>60</v>
      </c>
      <c r="V1" s="3" t="s">
        <v>61</v>
      </c>
      <c r="W1" s="33" t="s">
        <v>62</v>
      </c>
      <c r="X1" s="3" t="s">
        <v>63</v>
      </c>
      <c r="Y1" s="33" t="s">
        <v>105</v>
      </c>
      <c r="Z1" s="3" t="s">
        <v>106</v>
      </c>
      <c r="AA1" s="3" t="s">
        <v>107</v>
      </c>
      <c r="AB1" s="3" t="s">
        <v>77</v>
      </c>
      <c r="AC1" s="3" t="s">
        <v>109</v>
      </c>
      <c r="AD1" s="3" t="s">
        <v>65</v>
      </c>
    </row>
    <row r="2" spans="2:30" x14ac:dyDescent="0.25">
      <c r="B2" s="2" t="s">
        <v>68</v>
      </c>
      <c r="C2" s="29">
        <f>SUMIF(DATA!$H$2:$H$9077,B2,DATA!$J$2:$J$9093)</f>
        <v>69</v>
      </c>
      <c r="D2" s="17">
        <f>SUMIF(DATA!$H$2:$H$9093,B2,DATA!$K$2:$K$9093)</f>
        <v>27</v>
      </c>
      <c r="E2" s="10">
        <f t="shared" ref="E2:E21" si="0">C2/(C2+D2)</f>
        <v>0.71875</v>
      </c>
      <c r="H2" s="4" t="s">
        <v>116</v>
      </c>
      <c r="I2" s="19">
        <f>SUMIF(DATA!$I$2:$I$9732,H2,DATA!$J$2:$J$9732)</f>
        <v>714</v>
      </c>
      <c r="J2" s="19">
        <f>SUMIF(DATA!$I$2:$I$9732,H2,DATA!$K$2:$K$9732)</f>
        <v>308</v>
      </c>
      <c r="K2" s="6">
        <f t="shared" ref="K2:K7" si="1">I2/(I2+J2)</f>
        <v>0.69863013698630139</v>
      </c>
      <c r="M2" s="3" t="s">
        <v>101</v>
      </c>
      <c r="N2" s="17">
        <f>SUMIF(DATA!$I$2:$I$9732,M2,DATA!$L$2:$L$9732)</f>
        <v>31</v>
      </c>
      <c r="S2" s="2" t="s">
        <v>59</v>
      </c>
      <c r="T2" s="3">
        <v>1</v>
      </c>
      <c r="U2" s="33">
        <v>54</v>
      </c>
      <c r="V2" s="3">
        <v>12</v>
      </c>
      <c r="W2" s="33">
        <v>10</v>
      </c>
      <c r="X2" s="3">
        <v>10</v>
      </c>
      <c r="Y2" s="33">
        <v>86</v>
      </c>
      <c r="Z2" s="29">
        <v>216</v>
      </c>
      <c r="AA2" s="29">
        <v>8</v>
      </c>
      <c r="AB2" s="29"/>
      <c r="AC2" s="29"/>
      <c r="AD2" s="29"/>
    </row>
    <row r="3" spans="2:30" x14ac:dyDescent="0.25">
      <c r="B3" s="4" t="s">
        <v>70</v>
      </c>
      <c r="C3" s="19">
        <f>SUMIF(DATA!$H$2:$H$9077,B3,DATA!$J$2:$J$9093)</f>
        <v>71</v>
      </c>
      <c r="D3" s="15">
        <f>SUMIF(DATA!$H$2:$H$9093,B3,DATA!$K$2:$K$9093)</f>
        <v>32</v>
      </c>
      <c r="E3" s="6">
        <f t="shared" si="0"/>
        <v>0.68932038834951459</v>
      </c>
      <c r="H3" s="4" t="s">
        <v>102</v>
      </c>
      <c r="I3" s="19">
        <f>SUMIF(DATA!$I$2:$I$9732,H3,DATA!$J$2:$J$9732)</f>
        <v>1279</v>
      </c>
      <c r="J3" s="19">
        <f>SUMIF(DATA!$I$2:$I$9732,H3,DATA!$K$2:$K$9732)</f>
        <v>558</v>
      </c>
      <c r="K3" s="6">
        <f t="shared" si="1"/>
        <v>0.69624387588459447</v>
      </c>
      <c r="M3" s="5" t="s">
        <v>127</v>
      </c>
      <c r="N3" s="15">
        <f>SUMIF(DATA!$I$2:$I$9732,M3,DATA!$L$2:$L$9732)</f>
        <v>20</v>
      </c>
      <c r="S3" s="4" t="s">
        <v>59</v>
      </c>
      <c r="T3" s="5">
        <v>2</v>
      </c>
      <c r="U3" s="32">
        <v>54</v>
      </c>
      <c r="V3" s="5">
        <v>12</v>
      </c>
      <c r="W3" s="32">
        <v>10</v>
      </c>
      <c r="X3" s="5">
        <v>10</v>
      </c>
      <c r="Y3" s="32">
        <v>86</v>
      </c>
      <c r="Z3" s="19">
        <v>192</v>
      </c>
      <c r="AA3" s="19">
        <v>18</v>
      </c>
      <c r="AB3" s="19"/>
      <c r="AC3" s="19"/>
      <c r="AD3" s="19"/>
    </row>
    <row r="4" spans="2:30" x14ac:dyDescent="0.25">
      <c r="B4" s="4" t="s">
        <v>69</v>
      </c>
      <c r="C4" s="19">
        <f>SUMIF(DATA!$H$2:$H$9077,B4,DATA!$J$2:$J$9093)</f>
        <v>65</v>
      </c>
      <c r="D4" s="15">
        <f>SUMIF(DATA!$H$2:$H$9093,B4,DATA!$K$2:$K$9093)</f>
        <v>36</v>
      </c>
      <c r="E4" s="6">
        <f t="shared" si="0"/>
        <v>0.64356435643564358</v>
      </c>
      <c r="H4" s="4" t="s">
        <v>219</v>
      </c>
      <c r="I4" s="19">
        <f>SUMIF(DATA!$I$2:$I$9732,H4,DATA!$J$2:$J$9732)</f>
        <v>134</v>
      </c>
      <c r="J4" s="19">
        <f>SUMIF(DATA!$I$2:$I$9732,H4,DATA!$K$2:$K$9732)</f>
        <v>68</v>
      </c>
      <c r="K4" s="6">
        <f t="shared" si="1"/>
        <v>0.6633663366336634</v>
      </c>
      <c r="M4" s="5" t="s">
        <v>116</v>
      </c>
      <c r="N4" s="15">
        <f>SUMIF(DATA!$I$2:$I$9732,M4,DATA!$L$2:$L$9732)</f>
        <v>15</v>
      </c>
      <c r="S4" s="4" t="s">
        <v>59</v>
      </c>
      <c r="T4" s="5">
        <v>3</v>
      </c>
      <c r="U4" s="32">
        <v>52</v>
      </c>
      <c r="V4" s="5">
        <v>12</v>
      </c>
      <c r="W4" s="32">
        <v>10</v>
      </c>
      <c r="X4" s="5">
        <v>9</v>
      </c>
      <c r="Y4" s="32">
        <v>83</v>
      </c>
      <c r="Z4" s="19">
        <v>180</v>
      </c>
      <c r="AA4" s="19">
        <v>21</v>
      </c>
      <c r="AB4" s="19"/>
      <c r="AC4" s="19"/>
      <c r="AD4" s="19"/>
    </row>
    <row r="5" spans="2:30" x14ac:dyDescent="0.25">
      <c r="B5" s="4" t="s">
        <v>74</v>
      </c>
      <c r="C5" s="19">
        <f>SUMIF(DATA!$H$2:$H$9077,B5,DATA!$J$2:$J$9093)</f>
        <v>64</v>
      </c>
      <c r="D5" s="15">
        <f>SUMIF(DATA!$H$2:$H$9093,B5,DATA!$K$2:$K$9093)</f>
        <v>36</v>
      </c>
      <c r="E5" s="6">
        <f t="shared" si="0"/>
        <v>0.64</v>
      </c>
      <c r="H5" s="4" t="s">
        <v>159</v>
      </c>
      <c r="I5" s="19">
        <f>SUMIF(DATA!$I$2:$I$9732,H5,DATA!$J$2:$J$9732)</f>
        <v>287</v>
      </c>
      <c r="J5" s="19">
        <f>SUMIF(DATA!$I$2:$I$9732,H5,DATA!$K$2:$K$9732)</f>
        <v>143</v>
      </c>
      <c r="K5" s="6">
        <f t="shared" si="1"/>
        <v>0.66744186046511633</v>
      </c>
      <c r="M5" s="5" t="s">
        <v>102</v>
      </c>
      <c r="N5" s="15">
        <f>SUMIF(DATA!$I$2:$I$9732,M5,DATA!$L$2:$L$9732)</f>
        <v>14</v>
      </c>
      <c r="S5" s="4" t="s">
        <v>59</v>
      </c>
      <c r="T5" s="5">
        <v>4</v>
      </c>
      <c r="U5" s="32">
        <v>48</v>
      </c>
      <c r="V5" s="5">
        <v>12</v>
      </c>
      <c r="W5" s="32">
        <v>10</v>
      </c>
      <c r="X5" s="5">
        <v>7</v>
      </c>
      <c r="Y5" s="32">
        <v>77</v>
      </c>
      <c r="Z5" s="19">
        <v>178</v>
      </c>
      <c r="AA5" s="19">
        <v>21</v>
      </c>
      <c r="AB5" s="19"/>
      <c r="AC5" s="19"/>
      <c r="AD5" s="19"/>
    </row>
    <row r="6" spans="2:30" x14ac:dyDescent="0.25">
      <c r="B6" s="4" t="s">
        <v>78</v>
      </c>
      <c r="C6" s="19">
        <f>SUMIF(DATA!$H$2:$H$9077,B6,DATA!$J$2:$J$9093)</f>
        <v>178</v>
      </c>
      <c r="D6" s="15">
        <f>SUMIF(DATA!$H$2:$H$9093,B6,DATA!$K$2:$K$9093)</f>
        <v>102</v>
      </c>
      <c r="E6" s="6">
        <f t="shared" si="0"/>
        <v>0.63571428571428568</v>
      </c>
      <c r="H6" s="4" t="s">
        <v>101</v>
      </c>
      <c r="I6" s="19">
        <f>SUMIF(DATA!$I$2:$I$9732,H6,DATA!$J$2:$J$9732)</f>
        <v>1481</v>
      </c>
      <c r="J6" s="19">
        <f>SUMIF(DATA!$I$2:$I$9732,H6,DATA!$K$2:$K$9732)</f>
        <v>742</v>
      </c>
      <c r="K6" s="6">
        <f t="shared" si="1"/>
        <v>0.66621682411156091</v>
      </c>
      <c r="M6" s="5" t="s">
        <v>159</v>
      </c>
      <c r="N6" s="15">
        <f>SUMIF(DATA!$I$2:$I$9732,M6,DATA!$L$2:$L$9732)</f>
        <v>2</v>
      </c>
      <c r="S6" s="4" t="s">
        <v>59</v>
      </c>
      <c r="T6" s="5">
        <v>5</v>
      </c>
      <c r="U6" s="32">
        <v>50</v>
      </c>
      <c r="V6" s="5">
        <v>12</v>
      </c>
      <c r="W6" s="32">
        <v>10</v>
      </c>
      <c r="X6" s="5">
        <v>8</v>
      </c>
      <c r="Y6" s="32">
        <v>80</v>
      </c>
      <c r="Z6" s="19">
        <v>162</v>
      </c>
      <c r="AA6" s="19">
        <v>31</v>
      </c>
      <c r="AB6" s="19"/>
      <c r="AC6" s="19"/>
      <c r="AD6" s="19"/>
    </row>
    <row r="7" spans="2:30" ht="15.75" thickBot="1" x14ac:dyDescent="0.3">
      <c r="B7" s="4" t="s">
        <v>75</v>
      </c>
      <c r="C7" s="19">
        <f>SUMIF(DATA!$H$2:$H$9077,B7,DATA!$J$2:$J$9093)</f>
        <v>65</v>
      </c>
      <c r="D7" s="15">
        <f>SUMIF(DATA!$H$2:$H$9093,B7,DATA!$K$2:$K$9093)</f>
        <v>38</v>
      </c>
      <c r="E7" s="6">
        <f t="shared" si="0"/>
        <v>0.6310679611650486</v>
      </c>
      <c r="H7" s="7" t="s">
        <v>127</v>
      </c>
      <c r="I7" s="20">
        <f>SUMIF(DATA!$I$2:$I$9732,H7,DATA!$J$2:$J$9732)</f>
        <v>1218</v>
      </c>
      <c r="J7" s="20">
        <f>SUMIF(DATA!$I$2:$I$9732,H7,DATA!$K$2:$K$9732)</f>
        <v>665</v>
      </c>
      <c r="K7" s="9">
        <f t="shared" si="1"/>
        <v>0.64684014869888473</v>
      </c>
      <c r="M7" s="8" t="s">
        <v>219</v>
      </c>
      <c r="N7" s="16">
        <f>SUMIF(DATA!$I$2:$I$9732,M7,DATA!$L$2:$L$9732)</f>
        <v>1</v>
      </c>
      <c r="S7" s="7" t="s">
        <v>59</v>
      </c>
      <c r="T7" s="8" t="s">
        <v>104</v>
      </c>
      <c r="U7" s="34">
        <v>48</v>
      </c>
      <c r="V7" s="8">
        <v>11</v>
      </c>
      <c r="W7" s="34">
        <v>10</v>
      </c>
      <c r="X7" s="8">
        <v>0</v>
      </c>
      <c r="Y7" s="34">
        <v>69</v>
      </c>
      <c r="Z7" s="20">
        <v>157</v>
      </c>
      <c r="AA7" s="20">
        <v>26</v>
      </c>
      <c r="AB7" s="20"/>
      <c r="AC7" s="20"/>
      <c r="AD7" s="20"/>
    </row>
    <row r="8" spans="2:30" ht="15.75" thickBot="1" x14ac:dyDescent="0.3">
      <c r="B8" s="4" t="s">
        <v>71</v>
      </c>
      <c r="C8" s="19">
        <f>SUMIF(DATA!$H$2:$H$9077,B8,DATA!$J$2:$J$9093)</f>
        <v>65</v>
      </c>
      <c r="D8" s="15">
        <f>SUMIF(DATA!$H$2:$H$9093,B8,DATA!$K$2:$K$9093)</f>
        <v>38</v>
      </c>
      <c r="E8" s="6">
        <f t="shared" si="0"/>
        <v>0.6310679611650486</v>
      </c>
      <c r="S8" s="2" t="s">
        <v>114</v>
      </c>
      <c r="T8" s="3">
        <v>1</v>
      </c>
      <c r="U8" s="33">
        <v>58</v>
      </c>
      <c r="V8" s="3">
        <v>12</v>
      </c>
      <c r="W8" s="33">
        <v>10</v>
      </c>
      <c r="X8" s="3">
        <v>12</v>
      </c>
      <c r="Y8" s="33">
        <v>92</v>
      </c>
      <c r="Z8" s="3">
        <v>203</v>
      </c>
      <c r="AA8" s="3">
        <v>30</v>
      </c>
      <c r="AB8" s="3"/>
      <c r="AC8" s="3"/>
      <c r="AD8" s="3"/>
    </row>
    <row r="9" spans="2:30" ht="15.75" thickBot="1" x14ac:dyDescent="0.3">
      <c r="B9" s="4" t="s">
        <v>67</v>
      </c>
      <c r="C9" s="19">
        <f>SUMIF(DATA!$H$2:$H$9077,B9,DATA!$J$2:$J$9093)</f>
        <v>64</v>
      </c>
      <c r="D9" s="15">
        <f>SUMIF(DATA!$H$2:$H$9093,B9,DATA!$K$2:$K$9093)</f>
        <v>43</v>
      </c>
      <c r="E9" s="6">
        <f t="shared" si="0"/>
        <v>0.59813084112149528</v>
      </c>
      <c r="H9" s="13" t="s">
        <v>13</v>
      </c>
      <c r="I9" s="22" t="s">
        <v>6</v>
      </c>
      <c r="J9" s="18" t="s">
        <v>7</v>
      </c>
      <c r="K9" s="25" t="s">
        <v>15</v>
      </c>
      <c r="L9" s="22" t="s">
        <v>108</v>
      </c>
      <c r="M9" s="22" t="s">
        <v>77</v>
      </c>
      <c r="N9" s="22" t="s">
        <v>109</v>
      </c>
      <c r="O9" s="22" t="s">
        <v>10</v>
      </c>
      <c r="P9" s="22" t="s">
        <v>11</v>
      </c>
      <c r="Q9" s="18" t="s">
        <v>12</v>
      </c>
      <c r="S9" s="4" t="s">
        <v>114</v>
      </c>
      <c r="T9" s="5">
        <v>2</v>
      </c>
      <c r="U9" s="32">
        <v>54</v>
      </c>
      <c r="V9" s="5">
        <v>12</v>
      </c>
      <c r="W9" s="32">
        <v>10</v>
      </c>
      <c r="X9" s="5">
        <v>10</v>
      </c>
      <c r="Y9" s="32">
        <v>86</v>
      </c>
      <c r="Z9" s="19">
        <v>149</v>
      </c>
      <c r="AA9" s="19">
        <v>38</v>
      </c>
      <c r="AB9" s="19"/>
      <c r="AC9" s="19"/>
      <c r="AD9" s="19"/>
    </row>
    <row r="10" spans="2:30" x14ac:dyDescent="0.25">
      <c r="B10" s="4" t="s">
        <v>66</v>
      </c>
      <c r="C10" s="19">
        <f>SUMIF(DATA!$H$2:$H$9077,B10,DATA!$J$2:$J$9093)</f>
        <v>59</v>
      </c>
      <c r="D10" s="15">
        <f>SUMIF(DATA!$H$2:$H$9093,B10,DATA!$K$2:$K$9093)</f>
        <v>44</v>
      </c>
      <c r="E10" s="6">
        <f t="shared" si="0"/>
        <v>0.57281553398058249</v>
      </c>
      <c r="H10" s="4" t="s">
        <v>96</v>
      </c>
      <c r="I10" s="23">
        <f>SUMIF(DATA!$C$2:$C$9731,H10,DATA!$J$2:$J$9731)</f>
        <v>307</v>
      </c>
      <c r="J10" s="19">
        <f>SUMIF(DATA!$C$2:$C$9732,H10,DATA!$K$2:$K$9732)</f>
        <v>79</v>
      </c>
      <c r="K10" s="6">
        <f t="shared" ref="K10:K19" si="2">I10/(I10+J10)</f>
        <v>0.79533678756476689</v>
      </c>
      <c r="L10" s="23">
        <f>SUMIF(DATA!$C$2:$C$9732,H10,DATA!$L$2:$L$9732)</f>
        <v>0</v>
      </c>
      <c r="M10" s="23">
        <f>SUMIF(DATA!$C$2:$C$9732,H10,DATA!$M$2:$M$9732)</f>
        <v>28</v>
      </c>
      <c r="N10" s="23">
        <f>SUMIF(DATA!$C$2:$C$9732,H10,DATA!$N$2:$N$9732)</f>
        <v>4</v>
      </c>
      <c r="O10" s="23">
        <f>SUMIF(DATA!$C$2:$C$9732,H10,DATA!$O$2:$O$9732)</f>
        <v>1</v>
      </c>
      <c r="P10" s="23">
        <f>SUMIF(DATA!$C$2:$C$9732,H10,DATA!$P$2:$P$9732)</f>
        <v>0</v>
      </c>
      <c r="Q10" s="19">
        <f>SUMIF(DATA!$C$2:$C$9732,H10,DATA!$Q$2:$Q$9732)</f>
        <v>0</v>
      </c>
      <c r="S10" s="4" t="s">
        <v>114</v>
      </c>
      <c r="T10" s="5">
        <v>3</v>
      </c>
      <c r="U10" s="32">
        <v>54</v>
      </c>
      <c r="V10" s="5">
        <v>12</v>
      </c>
      <c r="W10" s="32">
        <v>10</v>
      </c>
      <c r="X10" s="5">
        <v>10</v>
      </c>
      <c r="Y10" s="32">
        <v>86</v>
      </c>
      <c r="Z10" s="19">
        <v>153</v>
      </c>
      <c r="AA10" s="19">
        <v>38</v>
      </c>
      <c r="AB10" s="19"/>
      <c r="AC10" s="19"/>
      <c r="AD10" s="19"/>
    </row>
    <row r="11" spans="2:30" ht="15.75" thickBot="1" x14ac:dyDescent="0.3">
      <c r="B11" s="7" t="s">
        <v>76</v>
      </c>
      <c r="C11" s="20">
        <f>SUMIF(DATA!$H$2:$H$9077,B11,DATA!$J$2:$J$9093)</f>
        <v>59</v>
      </c>
      <c r="D11" s="16">
        <f>SUMIF(DATA!$H$2:$H$9093,B11,DATA!$K$2:$K$9093)</f>
        <v>44</v>
      </c>
      <c r="E11" s="9">
        <f t="shared" si="0"/>
        <v>0.57281553398058249</v>
      </c>
      <c r="H11" s="4" t="s">
        <v>95</v>
      </c>
      <c r="I11" s="23">
        <f>SUMIF(DATA!$C$2:$C$9731,H11,DATA!$J$2:$J$9731)</f>
        <v>369</v>
      </c>
      <c r="J11" s="19">
        <f>SUMIF(DATA!$C$2:$C$9732,H11,DATA!$K$2:$K$9732)</f>
        <v>144</v>
      </c>
      <c r="K11" s="6">
        <f t="shared" si="2"/>
        <v>0.7192982456140351</v>
      </c>
      <c r="L11" s="23">
        <f>SUMIF(DATA!$C$2:$C$9732,H11,DATA!$L$2:$L$9732)</f>
        <v>8</v>
      </c>
      <c r="M11" s="23">
        <f>SUMIF(DATA!$C$2:$C$9732,H11,DATA!$M$2:$M$9732)</f>
        <v>16</v>
      </c>
      <c r="N11" s="23">
        <f>SUMIF(DATA!$C$2:$C$9732,H11,DATA!$N$2:$N$9732)</f>
        <v>14</v>
      </c>
      <c r="O11" s="23">
        <f>SUMIF(DATA!$C$2:$C$9732,H11,DATA!$O$2:$O$9732)</f>
        <v>13</v>
      </c>
      <c r="P11" s="23">
        <f>SUMIF(DATA!$C$2:$C$9732,H11,DATA!$P$2:$P$9732)</f>
        <v>2</v>
      </c>
      <c r="Q11" s="19">
        <f>SUMIF(DATA!$C$2:$C$9732,H11,DATA!$Q$2:$Q$9732)</f>
        <v>0</v>
      </c>
      <c r="S11" s="4" t="s">
        <v>114</v>
      </c>
      <c r="T11" s="5">
        <v>4</v>
      </c>
      <c r="U11" s="32">
        <v>54</v>
      </c>
      <c r="V11" s="5">
        <v>11</v>
      </c>
      <c r="W11" s="32">
        <v>10</v>
      </c>
      <c r="X11" s="5">
        <v>10</v>
      </c>
      <c r="Y11" s="32">
        <v>85</v>
      </c>
      <c r="Z11" s="19">
        <v>153</v>
      </c>
      <c r="AA11" s="19">
        <v>42</v>
      </c>
      <c r="AB11" s="19"/>
      <c r="AC11" s="19"/>
      <c r="AD11" s="19"/>
    </row>
    <row r="12" spans="2:30" x14ac:dyDescent="0.25">
      <c r="B12" s="2" t="s">
        <v>85</v>
      </c>
      <c r="C12" s="29">
        <f>SUMIF(DATA!$H$2:$H$9077,B12,DATA!$J$2:$J$9093)</f>
        <v>66</v>
      </c>
      <c r="D12" s="17">
        <f>SUMIF(DATA!$H$2:$H$9093,B12,DATA!$K$2:$K$9093)</f>
        <v>22</v>
      </c>
      <c r="E12" s="10">
        <f t="shared" si="0"/>
        <v>0.75</v>
      </c>
      <c r="H12" s="4" t="s">
        <v>92</v>
      </c>
      <c r="I12" s="23">
        <f>SUMIF(DATA!$C$2:$C$9731,H12,DATA!$J$2:$J$9731)</f>
        <v>548</v>
      </c>
      <c r="J12" s="19">
        <f>SUMIF(DATA!$C$2:$C$9732,H12,DATA!$K$2:$K$9732)</f>
        <v>249</v>
      </c>
      <c r="K12" s="6">
        <f t="shared" si="2"/>
        <v>0.68757841907151818</v>
      </c>
      <c r="L12" s="23">
        <f>SUMIF(DATA!$C$2:$C$9732,H12,DATA!$L$2:$L$9732)</f>
        <v>10</v>
      </c>
      <c r="M12" s="23">
        <f>SUMIF(DATA!$C$2:$C$9732,H12,DATA!$M$2:$M$9732)</f>
        <v>19</v>
      </c>
      <c r="N12" s="23">
        <f>SUMIF(DATA!$C$2:$C$9732,H12,DATA!$N$2:$N$9732)</f>
        <v>7</v>
      </c>
      <c r="O12" s="23">
        <f>SUMIF(DATA!$C$2:$C$9732,H12,DATA!$O$2:$O$9732)</f>
        <v>15</v>
      </c>
      <c r="P12" s="23">
        <f>SUMIF(DATA!$C$2:$C$9732,H12,DATA!$P$2:$P$9732)</f>
        <v>0</v>
      </c>
      <c r="Q12" s="19">
        <f>SUMIF(DATA!$C$2:$C$9732,H12,DATA!$Q$2:$Q$9732)</f>
        <v>0</v>
      </c>
      <c r="S12" s="4" t="s">
        <v>114</v>
      </c>
      <c r="T12" s="5">
        <v>5</v>
      </c>
      <c r="U12" s="32">
        <v>54</v>
      </c>
      <c r="V12" s="5">
        <v>9</v>
      </c>
      <c r="W12" s="32">
        <v>10</v>
      </c>
      <c r="X12" s="5">
        <v>10</v>
      </c>
      <c r="Y12" s="32">
        <v>83</v>
      </c>
      <c r="Z12" s="19">
        <v>143</v>
      </c>
      <c r="AA12" s="19">
        <v>51</v>
      </c>
      <c r="AB12" s="19"/>
      <c r="AC12" s="19"/>
      <c r="AD12" s="19"/>
    </row>
    <row r="13" spans="2:30" ht="15.75" thickBot="1" x14ac:dyDescent="0.3">
      <c r="B13" s="4" t="s">
        <v>79</v>
      </c>
      <c r="C13" s="19">
        <f>SUMIF(DATA!$H$2:$H$9077,B13,DATA!$J$2:$J$9093)</f>
        <v>74</v>
      </c>
      <c r="D13" s="15">
        <f>SUMIF(DATA!$H$2:$H$9093,B13,DATA!$K$2:$K$9093)</f>
        <v>25</v>
      </c>
      <c r="E13" s="6">
        <f t="shared" si="0"/>
        <v>0.74747474747474751</v>
      </c>
      <c r="H13" s="4" t="s">
        <v>90</v>
      </c>
      <c r="I13" s="23">
        <f>SUMIF(DATA!$C$2:$C$9731,H13,DATA!$J$2:$J$9731)</f>
        <v>976</v>
      </c>
      <c r="J13" s="19">
        <f>SUMIF(DATA!$C$2:$C$9732,H13,DATA!$K$2:$K$9732)</f>
        <v>460</v>
      </c>
      <c r="K13" s="6">
        <f t="shared" si="2"/>
        <v>0.67966573816155984</v>
      </c>
      <c r="L13" s="23">
        <f>SUMIF(DATA!$C$2:$C$9732,H13,DATA!$L$2:$L$9732)</f>
        <v>2</v>
      </c>
      <c r="M13" s="23">
        <f>SUMIF(DATA!$C$2:$C$9732,H13,DATA!$M$2:$M$9732)</f>
        <v>56</v>
      </c>
      <c r="N13" s="23">
        <f>SUMIF(DATA!$C$2:$C$9732,H13,DATA!$N$2:$N$9732)</f>
        <v>21</v>
      </c>
      <c r="O13" s="23">
        <f>SUMIF(DATA!$C$2:$C$9732,H13,DATA!$O$2:$O$9732)</f>
        <v>22</v>
      </c>
      <c r="P13" s="23">
        <f>SUMIF(DATA!$C$2:$C$9732,H13,DATA!$P$2:$P$9732)</f>
        <v>2</v>
      </c>
      <c r="Q13" s="19">
        <f>SUMIF(DATA!$C$2:$C$9732,H13,DATA!$Q$2:$Q$9732)</f>
        <v>0</v>
      </c>
      <c r="S13" s="7" t="s">
        <v>114</v>
      </c>
      <c r="T13" s="8" t="s">
        <v>104</v>
      </c>
      <c r="U13" s="34">
        <v>48</v>
      </c>
      <c r="V13" s="8">
        <v>12</v>
      </c>
      <c r="W13" s="34">
        <v>9</v>
      </c>
      <c r="X13" s="8">
        <v>0</v>
      </c>
      <c r="Y13" s="34">
        <v>69</v>
      </c>
      <c r="Z13" s="20">
        <v>140</v>
      </c>
      <c r="AA13" s="20">
        <v>32</v>
      </c>
      <c r="AB13" s="20"/>
      <c r="AC13" s="20"/>
      <c r="AD13" s="20"/>
    </row>
    <row r="14" spans="2:30" x14ac:dyDescent="0.25">
      <c r="B14" s="4" t="s">
        <v>87</v>
      </c>
      <c r="C14" s="19">
        <f>SUMIF(DATA!$H$2:$H$9077,B14,DATA!$J$2:$J$9093)</f>
        <v>70</v>
      </c>
      <c r="D14" s="15">
        <f>SUMIF(DATA!$H$2:$H$9093,B14,DATA!$K$2:$K$9093)</f>
        <v>31</v>
      </c>
      <c r="E14" s="6">
        <f t="shared" si="0"/>
        <v>0.69306930693069302</v>
      </c>
      <c r="H14" s="4" t="s">
        <v>88</v>
      </c>
      <c r="I14" s="23">
        <f>SUMIF(DATA!$C$2:$C$9731,H14,DATA!$J$2:$J$9731)</f>
        <v>1174</v>
      </c>
      <c r="J14" s="19">
        <f>SUMIF(DATA!$C$2:$C$9732,H14,DATA!$K$2:$K$9732)</f>
        <v>567</v>
      </c>
      <c r="K14" s="6">
        <f t="shared" si="2"/>
        <v>0.67432510051694428</v>
      </c>
      <c r="L14" s="23">
        <f>SUMIF(DATA!$C$2:$C$9732,H14,DATA!$L$2:$L$9732)</f>
        <v>17</v>
      </c>
      <c r="M14" s="23">
        <f>SUMIF(DATA!$C$2:$C$9732,H14,DATA!$M$2:$M$9732)</f>
        <v>76</v>
      </c>
      <c r="N14" s="23">
        <f>SUMIF(DATA!$C$2:$C$9732,H14,DATA!$N$2:$N$9732)</f>
        <v>38</v>
      </c>
      <c r="O14" s="23">
        <f>SUMIF(DATA!$C$2:$C$9732,H14,DATA!$O$2:$O$9732)</f>
        <v>67</v>
      </c>
      <c r="P14" s="23">
        <f>SUMIF(DATA!$C$2:$C$9732,H14,DATA!$P$2:$P$9732)</f>
        <v>0</v>
      </c>
      <c r="Q14" s="19">
        <f>SUMIF(DATA!$C$2:$C$9732,H14,DATA!$Q$2:$Q$9732)</f>
        <v>0</v>
      </c>
      <c r="S14" s="2" t="s">
        <v>145</v>
      </c>
      <c r="T14" s="3">
        <v>1</v>
      </c>
      <c r="U14" s="33">
        <v>60</v>
      </c>
      <c r="V14" s="3">
        <v>12</v>
      </c>
      <c r="W14" s="33">
        <v>10</v>
      </c>
      <c r="X14" s="3">
        <v>13</v>
      </c>
      <c r="Y14" s="33">
        <v>95</v>
      </c>
      <c r="Z14" s="29">
        <v>229</v>
      </c>
      <c r="AA14" s="29">
        <v>29</v>
      </c>
      <c r="AB14" s="29"/>
      <c r="AC14" s="29"/>
      <c r="AD14" s="29"/>
    </row>
    <row r="15" spans="2:30" x14ac:dyDescent="0.25">
      <c r="B15" s="4" t="s">
        <v>81</v>
      </c>
      <c r="C15" s="19">
        <f>SUMIF(DATA!$H$2:$H$9077,B15,DATA!$J$2:$J$9093)</f>
        <v>62</v>
      </c>
      <c r="D15" s="15">
        <f>SUMIF(DATA!$H$2:$H$9093,B15,DATA!$K$2:$K$9093)</f>
        <v>28</v>
      </c>
      <c r="E15" s="6">
        <f t="shared" si="0"/>
        <v>0.68888888888888888</v>
      </c>
      <c r="H15" s="4" t="s">
        <v>54</v>
      </c>
      <c r="I15" s="23">
        <f>SUMIF(DATA!$C$2:$C$9731,H15,DATA!$J$2:$J$9731)</f>
        <v>374</v>
      </c>
      <c r="J15" s="19">
        <f>SUMIF(DATA!$C$2:$C$9732,H15,DATA!$K$2:$K$9732)</f>
        <v>190</v>
      </c>
      <c r="K15" s="6">
        <f t="shared" si="2"/>
        <v>0.66312056737588654</v>
      </c>
      <c r="L15" s="23">
        <f>SUMIF(DATA!$C$2:$C$9732,H15,DATA!$L$2:$L$9732)</f>
        <v>6</v>
      </c>
      <c r="M15" s="23">
        <f>SUMIF(DATA!$C$2:$C$9732,H15,DATA!$M$2:$M$9732)</f>
        <v>20</v>
      </c>
      <c r="N15" s="23">
        <f>SUMIF(DATA!$C$2:$C$9732,H15,DATA!$N$2:$N$9732)</f>
        <v>7</v>
      </c>
      <c r="O15" s="23">
        <f>SUMIF(DATA!$C$2:$C$9732,H15,DATA!$O$2:$O$9732)</f>
        <v>16</v>
      </c>
      <c r="P15" s="23">
        <f>SUMIF(DATA!$C$2:$C$9732,H15,DATA!$P$2:$P$9732)</f>
        <v>0</v>
      </c>
      <c r="Q15" s="19">
        <f>SUMIF(DATA!$C$2:$C$9732,H15,DATA!$Q$2:$Q$9732)</f>
        <v>0</v>
      </c>
      <c r="S15" s="4" t="s">
        <v>145</v>
      </c>
      <c r="T15" s="5">
        <v>2</v>
      </c>
      <c r="U15" s="32">
        <v>58</v>
      </c>
      <c r="V15" s="5">
        <v>12</v>
      </c>
      <c r="W15" s="32">
        <v>10</v>
      </c>
      <c r="X15" s="5">
        <v>12</v>
      </c>
      <c r="Y15" s="32">
        <v>92</v>
      </c>
      <c r="Z15" s="19">
        <v>193</v>
      </c>
      <c r="AA15" s="19">
        <v>33</v>
      </c>
      <c r="AB15" s="19"/>
      <c r="AC15" s="19"/>
      <c r="AD15" s="19"/>
    </row>
    <row r="16" spans="2:30" x14ac:dyDescent="0.25">
      <c r="B16" s="4" t="s">
        <v>64</v>
      </c>
      <c r="C16" s="19">
        <f>SUMIF(DATA!$H$2:$H$9077,B16,DATA!$J$2:$J$9093)</f>
        <v>61</v>
      </c>
      <c r="D16" s="15">
        <f>SUMIF(DATA!$H$2:$H$9093,B16,DATA!$K$2:$K$9093)</f>
        <v>32</v>
      </c>
      <c r="E16" s="6">
        <f t="shared" si="0"/>
        <v>0.65591397849462363</v>
      </c>
      <c r="H16" s="4" t="s">
        <v>93</v>
      </c>
      <c r="I16" s="23">
        <f>SUMIF(DATA!$C$2:$C$9731,H16,DATA!$J$2:$J$9731)</f>
        <v>739</v>
      </c>
      <c r="J16" s="19">
        <f>SUMIF(DATA!$C$2:$C$9732,H16,DATA!$K$2:$K$9732)</f>
        <v>392</v>
      </c>
      <c r="K16" s="6">
        <f t="shared" si="2"/>
        <v>0.65340406719717059</v>
      </c>
      <c r="L16" s="23">
        <f>SUMIF(DATA!$C$2:$C$9732,H16,DATA!$L$2:$L$9732)</f>
        <v>23</v>
      </c>
      <c r="M16" s="23">
        <f>SUMIF(DATA!$C$2:$C$9732,H16,DATA!$M$2:$M$9732)</f>
        <v>53</v>
      </c>
      <c r="N16" s="23">
        <f>SUMIF(DATA!$C$2:$C$9732,H16,DATA!$N$2:$N$9732)</f>
        <v>54</v>
      </c>
      <c r="O16" s="23">
        <f>SUMIF(DATA!$C$2:$C$9732,H16,DATA!$O$2:$O$9732)</f>
        <v>57</v>
      </c>
      <c r="P16" s="23">
        <f>SUMIF(DATA!$C$2:$C$9732,H16,DATA!$P$2:$P$9732)</f>
        <v>11</v>
      </c>
      <c r="Q16" s="19">
        <f>SUMIF(DATA!$C$2:$C$9732,H16,DATA!$Q$2:$Q$9732)</f>
        <v>0</v>
      </c>
      <c r="S16" s="4" t="s">
        <v>145</v>
      </c>
      <c r="T16" s="5">
        <v>3</v>
      </c>
      <c r="U16" s="32">
        <v>56</v>
      </c>
      <c r="V16" s="5">
        <v>12</v>
      </c>
      <c r="W16" s="32">
        <v>10</v>
      </c>
      <c r="X16" s="5">
        <v>11</v>
      </c>
      <c r="Y16" s="32">
        <v>89</v>
      </c>
      <c r="Z16" s="19">
        <v>144</v>
      </c>
      <c r="AA16" s="19">
        <v>27</v>
      </c>
      <c r="AB16" s="19"/>
      <c r="AC16" s="19"/>
      <c r="AD16" s="19"/>
    </row>
    <row r="17" spans="2:30" x14ac:dyDescent="0.25">
      <c r="B17" s="4" t="s">
        <v>86</v>
      </c>
      <c r="C17" s="19">
        <f>SUMIF(DATA!$H$2:$H$9077,B17,DATA!$J$2:$J$9093)</f>
        <v>67</v>
      </c>
      <c r="D17" s="15">
        <f>SUMIF(DATA!$H$2:$H$9093,B17,DATA!$K$2:$K$9093)</f>
        <v>35</v>
      </c>
      <c r="E17" s="6">
        <f t="shared" si="0"/>
        <v>0.65686274509803921</v>
      </c>
      <c r="H17" s="4" t="s">
        <v>91</v>
      </c>
      <c r="I17" s="23">
        <f>SUMIF(DATA!$C$2:$C$9731,H17,DATA!$J$2:$J$9731)</f>
        <v>184</v>
      </c>
      <c r="J17" s="19">
        <f>SUMIF(DATA!$C$2:$C$9732,H17,DATA!$K$2:$K$9732)</f>
        <v>118</v>
      </c>
      <c r="K17" s="6">
        <f t="shared" si="2"/>
        <v>0.60927152317880795</v>
      </c>
      <c r="L17" s="23">
        <f>SUMIF(DATA!$C$2:$C$9732,H17,DATA!$L$2:$L$9732)</f>
        <v>1</v>
      </c>
      <c r="M17" s="23">
        <f>SUMIF(DATA!$C$2:$C$9732,H17,DATA!$M$2:$M$9732)</f>
        <v>16</v>
      </c>
      <c r="N17" s="23">
        <f>SUMIF(DATA!$C$2:$C$9732,H17,DATA!$N$2:$N$9732)</f>
        <v>11</v>
      </c>
      <c r="O17" s="23">
        <f>SUMIF(DATA!$C$2:$C$9732,H17,DATA!$O$2:$O$9732)</f>
        <v>11</v>
      </c>
      <c r="P17" s="23">
        <f>SUMIF(DATA!$C$2:$C$9732,H17,DATA!$P$2:$P$9732)</f>
        <v>0</v>
      </c>
      <c r="Q17" s="19">
        <f>SUMIF(DATA!$C$2:$C$9732,H17,DATA!$Q$2:$Q$9732)</f>
        <v>0</v>
      </c>
      <c r="S17" s="4" t="s">
        <v>145</v>
      </c>
      <c r="T17" s="5">
        <v>4</v>
      </c>
      <c r="U17" s="32">
        <v>50</v>
      </c>
      <c r="V17" s="5">
        <v>11</v>
      </c>
      <c r="W17" s="32">
        <v>10</v>
      </c>
      <c r="X17" s="5">
        <v>8</v>
      </c>
      <c r="Y17" s="32">
        <v>79</v>
      </c>
      <c r="Z17" s="19">
        <v>128</v>
      </c>
      <c r="AA17" s="19">
        <v>37</v>
      </c>
      <c r="AB17" s="19"/>
      <c r="AC17" s="19"/>
      <c r="AD17" s="19"/>
    </row>
    <row r="18" spans="2:30" x14ac:dyDescent="0.25">
      <c r="B18" s="4" t="s">
        <v>80</v>
      </c>
      <c r="C18" s="19">
        <f>SUMIF(DATA!$H$2:$H$9077,B18,DATA!$J$2:$J$9093)</f>
        <v>62</v>
      </c>
      <c r="D18" s="15">
        <f>SUMIF(DATA!$H$2:$H$9093,B18,DATA!$K$2:$K$9093)</f>
        <v>34</v>
      </c>
      <c r="E18" s="6">
        <f t="shared" si="0"/>
        <v>0.64583333333333337</v>
      </c>
      <c r="H18" s="4" t="s">
        <v>94</v>
      </c>
      <c r="I18" s="23">
        <f>SUMIF(DATA!$C$2:$C$9731,H18,DATA!$J$2:$J$9731)</f>
        <v>84</v>
      </c>
      <c r="J18" s="19">
        <f>SUMIF(DATA!$C$2:$C$9732,H18,DATA!$K$2:$K$9732)</f>
        <v>55</v>
      </c>
      <c r="K18" s="6">
        <f t="shared" si="2"/>
        <v>0.60431654676258995</v>
      </c>
      <c r="L18" s="23">
        <f>SUMIF(DATA!$C$2:$C$9732,H18,DATA!$L$2:$L$9732)</f>
        <v>0</v>
      </c>
      <c r="M18" s="23">
        <f>SUMIF(DATA!$C$2:$C$9732,H18,DATA!$M$2:$M$9732)</f>
        <v>7</v>
      </c>
      <c r="N18" s="23">
        <f>SUMIF(DATA!$C$2:$C$9732,H18,DATA!$N$2:$N$9732)</f>
        <v>16</v>
      </c>
      <c r="O18" s="23">
        <f>SUMIF(DATA!$C$2:$C$9732,H18,DATA!$O$2:$O$9732)</f>
        <v>0</v>
      </c>
      <c r="P18" s="23">
        <f>SUMIF(DATA!$C$2:$C$9732,H18,DATA!$P$2:$P$9732)</f>
        <v>0</v>
      </c>
      <c r="Q18" s="19">
        <f>SUMIF(DATA!$C$2:$C$9732,H18,DATA!$Q$2:$Q$9732)</f>
        <v>0</v>
      </c>
      <c r="S18" s="4" t="s">
        <v>145</v>
      </c>
      <c r="T18" s="5">
        <v>5</v>
      </c>
      <c r="U18" s="32">
        <v>54</v>
      </c>
      <c r="V18" s="5">
        <v>11</v>
      </c>
      <c r="W18" s="32">
        <v>10</v>
      </c>
      <c r="X18" s="5">
        <v>10</v>
      </c>
      <c r="Y18" s="32">
        <v>85</v>
      </c>
      <c r="Z18" s="19">
        <v>150</v>
      </c>
      <c r="AA18" s="19">
        <v>33</v>
      </c>
      <c r="AB18" s="19"/>
      <c r="AC18" s="19"/>
      <c r="AD18" s="19"/>
    </row>
    <row r="19" spans="2:30" ht="15.75" thickBot="1" x14ac:dyDescent="0.3">
      <c r="B19" s="4" t="s">
        <v>83</v>
      </c>
      <c r="C19" s="19">
        <f>SUMIF(DATA!$H$2:$H$9077,B19,DATA!$J$2:$J$9093)</f>
        <v>65</v>
      </c>
      <c r="D19" s="15">
        <f>SUMIF(DATA!$H$2:$H$9093,B19,DATA!$K$2:$K$9093)</f>
        <v>38</v>
      </c>
      <c r="E19" s="6">
        <f t="shared" si="0"/>
        <v>0.6310679611650486</v>
      </c>
      <c r="H19" s="7" t="s">
        <v>89</v>
      </c>
      <c r="I19" s="24">
        <f>SUMIF(DATA!$C$2:$C$9731,H19,DATA!$J$2:$J$9731)</f>
        <v>358</v>
      </c>
      <c r="J19" s="20">
        <f>SUMIF(DATA!$C$2:$C$9732,H19,DATA!$K$2:$K$9732)</f>
        <v>230</v>
      </c>
      <c r="K19" s="9">
        <f t="shared" si="2"/>
        <v>0.608843537414966</v>
      </c>
      <c r="L19" s="24">
        <f>SUMIF(DATA!$C$2:$C$9732,H19,DATA!$L$2:$L$9732)</f>
        <v>16</v>
      </c>
      <c r="M19" s="24">
        <f>SUMIF(DATA!$C$2:$C$9732,H19,DATA!$M$2:$M$9732)</f>
        <v>18</v>
      </c>
      <c r="N19" s="24">
        <f>SUMIF(DATA!$C$2:$C$9732,H19,DATA!$N$2:$N$9732)</f>
        <v>14</v>
      </c>
      <c r="O19" s="24">
        <f>SUMIF(DATA!$C$2:$C$9732,H19,DATA!$O$2:$O$9732)</f>
        <v>14</v>
      </c>
      <c r="P19" s="24">
        <f>SUMIF(DATA!$C$2:$C$9732,H19,DATA!$P$2:$P$9732)</f>
        <v>2</v>
      </c>
      <c r="Q19" s="20">
        <f>SUMIF(DATA!$C$2:$C$9732,H19,DATA!$Q$2:$Q$9732)</f>
        <v>0</v>
      </c>
      <c r="S19" s="7" t="s">
        <v>145</v>
      </c>
      <c r="T19" s="8" t="s">
        <v>104</v>
      </c>
      <c r="U19" s="34">
        <v>48</v>
      </c>
      <c r="V19" s="8">
        <v>13</v>
      </c>
      <c r="W19" s="34">
        <v>10</v>
      </c>
      <c r="X19" s="8">
        <v>0</v>
      </c>
      <c r="Y19" s="34">
        <v>71</v>
      </c>
      <c r="Z19" s="20">
        <v>125</v>
      </c>
      <c r="AA19" s="20">
        <v>31</v>
      </c>
      <c r="AB19" s="20"/>
      <c r="AC19" s="20"/>
      <c r="AD19" s="20"/>
    </row>
    <row r="20" spans="2:30" ht="15.75" thickBot="1" x14ac:dyDescent="0.3">
      <c r="B20" s="4" t="s">
        <v>84</v>
      </c>
      <c r="C20" s="19">
        <f>SUMIF(DATA!$H$2:$H$9077,B20,DATA!$J$2:$J$9093)</f>
        <v>56</v>
      </c>
      <c r="D20" s="15">
        <f>SUMIF(DATA!$H$2:$H$9093,B20,DATA!$K$2:$K$9093)</f>
        <v>36</v>
      </c>
      <c r="E20" s="6">
        <f t="shared" si="0"/>
        <v>0.60869565217391308</v>
      </c>
      <c r="S20" s="2" t="s">
        <v>178</v>
      </c>
      <c r="T20" s="3">
        <v>1</v>
      </c>
      <c r="U20" s="33">
        <v>50</v>
      </c>
      <c r="V20" s="3">
        <v>13</v>
      </c>
      <c r="W20" s="33">
        <v>10</v>
      </c>
      <c r="X20" s="3">
        <v>8</v>
      </c>
      <c r="Y20" s="33">
        <f t="shared" ref="Y20:Y25" si="3">SUM(U20:X20)</f>
        <v>81</v>
      </c>
      <c r="Z20" s="29">
        <f>SUMIF(DATA!$E$2:$E$2293,T20,DATA!$R$2:$R$2293)</f>
        <v>100</v>
      </c>
      <c r="AA20" s="29">
        <f>SUMIF(DATA!$E$2:$E$2293,T20,DATA!$S$2:$S$2293)</f>
        <v>16</v>
      </c>
      <c r="AB20" s="29">
        <f>SUMIF(DATA!E:E,1,DATA!M:M)</f>
        <v>66</v>
      </c>
      <c r="AC20" s="29">
        <f>SUMIF(DATA!E:E,1,DATA!N:N)</f>
        <v>29</v>
      </c>
      <c r="AD20" s="29">
        <f>SUMIF(DATA!E:E,1,DATA!L:L)</f>
        <v>25</v>
      </c>
    </row>
    <row r="21" spans="2:30" ht="15.75" thickBot="1" x14ac:dyDescent="0.3">
      <c r="B21" s="7" t="s">
        <v>82</v>
      </c>
      <c r="C21" s="20">
        <f>SUMIF(DATA!$H$2:$H$9077,B21,DATA!$J$2:$J$9093)</f>
        <v>54</v>
      </c>
      <c r="D21" s="16">
        <f>SUMIF(DATA!$H$2:$H$9093,B21,DATA!$K$2:$K$9093)</f>
        <v>37</v>
      </c>
      <c r="E21" s="9">
        <f t="shared" si="0"/>
        <v>0.59340659340659341</v>
      </c>
      <c r="H21" s="13" t="s">
        <v>97</v>
      </c>
      <c r="I21" s="18" t="s">
        <v>6</v>
      </c>
      <c r="J21" s="18" t="s">
        <v>7</v>
      </c>
      <c r="K21" s="25" t="s">
        <v>15</v>
      </c>
      <c r="M21" s="30" t="s">
        <v>13</v>
      </c>
      <c r="N21" s="31" t="s">
        <v>128</v>
      </c>
      <c r="S21" s="4" t="s">
        <v>178</v>
      </c>
      <c r="T21" s="5">
        <v>2</v>
      </c>
      <c r="U21" s="32">
        <v>50</v>
      </c>
      <c r="V21" s="5">
        <v>11</v>
      </c>
      <c r="W21" s="32">
        <v>10</v>
      </c>
      <c r="X21" s="5">
        <v>8</v>
      </c>
      <c r="Y21" s="32">
        <f t="shared" si="3"/>
        <v>79</v>
      </c>
      <c r="Z21" s="19">
        <f>SUMIF(DATA!$E$2:$E$9265,T21,DATA!$R$2:$R$9265)</f>
        <v>121</v>
      </c>
      <c r="AA21" s="19">
        <f>SUMIF(DATA!$E$2:$E$9265,T21,DATA!$S$2:$S$9265)</f>
        <v>43</v>
      </c>
      <c r="AB21" s="19">
        <f>SUMIF(DATA!E:E,2,DATA!M:M)</f>
        <v>87</v>
      </c>
      <c r="AC21" s="19">
        <f>SUMIF(DATA!E:E,2,DATA!N:N)</f>
        <v>31</v>
      </c>
      <c r="AD21" s="19">
        <f>SUMIF(DATA!E:E,2,DATA!L:L)</f>
        <v>30</v>
      </c>
    </row>
    <row r="22" spans="2:30" x14ac:dyDescent="0.25">
      <c r="H22" s="4" t="s">
        <v>98</v>
      </c>
      <c r="I22" s="19">
        <f>SUMIF(DATA!$F$2:$F$9732,H22,DATA!$J$2:$J$9732)</f>
        <v>0</v>
      </c>
      <c r="J22" s="19">
        <f>SUMIF(DATA!$F$2:$F$9732,H22,DATA!$K$2:$K$9732)</f>
        <v>0</v>
      </c>
      <c r="K22" s="6" t="e">
        <f>I22/(I22+J22)</f>
        <v>#DIV/0!</v>
      </c>
      <c r="M22" s="3" t="s">
        <v>88</v>
      </c>
      <c r="N22" s="41">
        <v>227</v>
      </c>
      <c r="P22" s="37"/>
      <c r="S22" s="4" t="s">
        <v>178</v>
      </c>
      <c r="T22" s="5">
        <v>3</v>
      </c>
      <c r="U22" s="32">
        <v>50</v>
      </c>
      <c r="V22" s="5">
        <v>11</v>
      </c>
      <c r="W22" s="32">
        <v>10</v>
      </c>
      <c r="X22" s="5">
        <v>8</v>
      </c>
      <c r="Y22" s="32">
        <f t="shared" si="3"/>
        <v>79</v>
      </c>
      <c r="Z22" s="19">
        <f>SUMIF(DATA!$E$2:$E$9265,T22,DATA!$R$2:$R$9265)</f>
        <v>110</v>
      </c>
      <c r="AA22" s="19">
        <f>SUMIF(DATA!$E$2:$E$9265,T22,DATA!$S$2:$S$9265)</f>
        <v>34</v>
      </c>
      <c r="AB22" s="19">
        <f>SUMIF(DATA!E:E,3,DATA!M:M)</f>
        <v>60</v>
      </c>
      <c r="AC22" s="19">
        <f>SUMIF(DATA!E:E,3,DATA!N:N)</f>
        <v>39</v>
      </c>
      <c r="AD22" s="19">
        <f>SUMIF(DATA!E:E,3,DATA!L:L)</f>
        <v>5</v>
      </c>
    </row>
    <row r="23" spans="2:30" x14ac:dyDescent="0.25">
      <c r="H23" s="4" t="s">
        <v>60</v>
      </c>
      <c r="I23" s="19">
        <f>SUMIF(DATA!$F$2:$F$9732,H23,DATA!$J$2:$J$9732)</f>
        <v>3252</v>
      </c>
      <c r="J23" s="19">
        <f>SUMIF(DATA!$F$2:$F$9732,H23,DATA!$K$2:$K$9732)</f>
        <v>1495</v>
      </c>
      <c r="K23" s="6">
        <f>I23/(I23+J23)</f>
        <v>0.6850642511059617</v>
      </c>
      <c r="M23" s="5" t="s">
        <v>93</v>
      </c>
      <c r="N23" s="11">
        <v>224</v>
      </c>
      <c r="P23" s="37"/>
      <c r="S23" s="4" t="s">
        <v>178</v>
      </c>
      <c r="T23" s="5">
        <v>4</v>
      </c>
      <c r="U23" s="32">
        <v>50</v>
      </c>
      <c r="V23" s="5">
        <v>12</v>
      </c>
      <c r="W23" s="32">
        <v>10</v>
      </c>
      <c r="X23" s="5">
        <v>8</v>
      </c>
      <c r="Y23" s="32">
        <f t="shared" si="3"/>
        <v>80</v>
      </c>
      <c r="Z23" s="19">
        <f>SUMIF(DATA!$E$2:$E$9265,T23,DATA!$R$2:$R$9265)</f>
        <v>90</v>
      </c>
      <c r="AA23" s="19">
        <f>SUMIF(DATA!$E$2:$E$9265,T23,DATA!$S$2:$S$9265)</f>
        <v>40</v>
      </c>
      <c r="AB23" s="19">
        <f>SUMIF(DATA!E:E,4,DATA!M:M)</f>
        <v>56</v>
      </c>
      <c r="AC23" s="19">
        <f>SUMIF(DATA!E:E,4,DATA!N:N)</f>
        <v>48</v>
      </c>
      <c r="AD23" s="19">
        <f>SUMIF(DATA!E:E,4,DATA!L:L)</f>
        <v>15</v>
      </c>
    </row>
    <row r="24" spans="2:30" x14ac:dyDescent="0.25">
      <c r="H24" s="4" t="s">
        <v>62</v>
      </c>
      <c r="I24" s="19">
        <f>SUMIF(DATA!$F$2:$F$9732,H24,DATA!$J$2:$J$9732)</f>
        <v>637</v>
      </c>
      <c r="J24" s="19">
        <f>SUMIF(DATA!$F$2:$F$9732,H24,DATA!$K$2:$K$9732)</f>
        <v>318</v>
      </c>
      <c r="K24" s="6">
        <f>I24/(I24+J24)</f>
        <v>0.66701570680628275</v>
      </c>
      <c r="M24" s="5" t="s">
        <v>90</v>
      </c>
      <c r="N24" s="11">
        <v>182</v>
      </c>
      <c r="P24" s="37"/>
      <c r="S24" s="4" t="s">
        <v>178</v>
      </c>
      <c r="T24" s="5">
        <v>5</v>
      </c>
      <c r="U24" s="32">
        <v>50</v>
      </c>
      <c r="V24" s="5">
        <v>11</v>
      </c>
      <c r="W24" s="32">
        <v>10</v>
      </c>
      <c r="X24" s="5">
        <v>8</v>
      </c>
      <c r="Y24" s="32">
        <f t="shared" si="3"/>
        <v>79</v>
      </c>
      <c r="Z24" s="19">
        <f>SUMIF(DATA!$E$2:$E$9265,T24,DATA!$R$2:$R$9265)</f>
        <v>114</v>
      </c>
      <c r="AA24" s="19">
        <f>SUMIF(DATA!$E$2:$E$9265,T24,DATA!$S$2:$S$9265)</f>
        <v>31</v>
      </c>
      <c r="AB24" s="19">
        <f>SUMIF(DATA!E:E,5,DATA!M:M)</f>
        <v>40</v>
      </c>
      <c r="AC24" s="19">
        <f>SUMIF(DATA!E:E,5,DATA!N:N)</f>
        <v>39</v>
      </c>
      <c r="AD24" s="19">
        <f>SUMIF(DATA!E:E,5,DATA!L:L)</f>
        <v>8</v>
      </c>
    </row>
    <row r="25" spans="2:30" ht="15.75" thickBot="1" x14ac:dyDescent="0.3">
      <c r="H25" s="4" t="s">
        <v>63</v>
      </c>
      <c r="I25" s="19">
        <f>SUMIF(DATA!$F$2:$F$9732,H25,DATA!$J$2:$J$9732)</f>
        <v>465</v>
      </c>
      <c r="J25" s="19">
        <f>SUMIF(DATA!$F$2:$F$9732,H25,DATA!$K$2:$K$9732)</f>
        <v>231</v>
      </c>
      <c r="K25" s="6">
        <f>I25/(I25+J25)</f>
        <v>0.6681034482758621</v>
      </c>
      <c r="M25" s="5" t="s">
        <v>92</v>
      </c>
      <c r="N25" s="11">
        <v>89</v>
      </c>
      <c r="P25" s="37"/>
      <c r="S25" s="7" t="s">
        <v>178</v>
      </c>
      <c r="T25" s="8" t="s">
        <v>104</v>
      </c>
      <c r="U25" s="34"/>
      <c r="V25" s="8"/>
      <c r="W25" s="34"/>
      <c r="X25" s="8"/>
      <c r="Y25" s="34">
        <f t="shared" si="3"/>
        <v>0</v>
      </c>
      <c r="Z25" s="20">
        <f>SUMIF(DATA!$E$2:$E$9265,T25,DATA!$R$2:$R$9265)</f>
        <v>0</v>
      </c>
      <c r="AA25" s="20">
        <f>SUMIF(DATA!$E$2:$E$9265,T25,DATA!$S$2:$S$9265)</f>
        <v>0</v>
      </c>
      <c r="AB25" s="20"/>
      <c r="AC25" s="20"/>
      <c r="AD25" s="20"/>
    </row>
    <row r="26" spans="2:30" ht="15.75" thickBot="1" x14ac:dyDescent="0.3">
      <c r="H26" s="7" t="s">
        <v>61</v>
      </c>
      <c r="I26" s="20">
        <f>SUMIF(DATA!$F$2:$F$9732,H26,DATA!$J$2:$J$9732)</f>
        <v>759</v>
      </c>
      <c r="J26" s="20">
        <f>SUMIF(DATA!$F$2:$F$9732,H26,DATA!$K$2:$K$9732)</f>
        <v>440</v>
      </c>
      <c r="K26" s="9">
        <f>I26/(I26+J26)</f>
        <v>0.6330275229357798</v>
      </c>
      <c r="M26" s="5" t="s">
        <v>89</v>
      </c>
      <c r="N26" s="11">
        <v>94</v>
      </c>
      <c r="P26" s="37"/>
      <c r="S26" s="35"/>
      <c r="T26" s="35"/>
    </row>
    <row r="27" spans="2:30" x14ac:dyDescent="0.25">
      <c r="M27" s="5" t="s">
        <v>95</v>
      </c>
      <c r="N27" s="11">
        <v>91</v>
      </c>
      <c r="P27" s="37"/>
      <c r="S27" s="35"/>
      <c r="T27" s="35"/>
    </row>
    <row r="28" spans="2:30" x14ac:dyDescent="0.25">
      <c r="M28" s="5" t="s">
        <v>54</v>
      </c>
      <c r="N28" s="11">
        <v>88</v>
      </c>
      <c r="P28" s="37"/>
      <c r="S28" s="36"/>
      <c r="T28" s="36"/>
    </row>
    <row r="29" spans="2:30" x14ac:dyDescent="0.25">
      <c r="M29" s="5" t="s">
        <v>96</v>
      </c>
      <c r="N29" s="11">
        <v>50</v>
      </c>
      <c r="P29" s="37"/>
      <c r="S29" s="36"/>
      <c r="T29" s="36"/>
      <c r="AB29" s="1"/>
      <c r="AC29" s="1"/>
      <c r="AD29" s="1"/>
    </row>
    <row r="30" spans="2:30" x14ac:dyDescent="0.25">
      <c r="M30" s="5" t="s">
        <v>91</v>
      </c>
      <c r="N30" s="11">
        <v>47</v>
      </c>
      <c r="P30" s="37"/>
      <c r="S30" s="36"/>
      <c r="T30" s="36"/>
      <c r="AB30" s="1"/>
      <c r="AC30" s="1"/>
      <c r="AD30" s="1"/>
    </row>
    <row r="31" spans="2:30" ht="15.75" thickBot="1" x14ac:dyDescent="0.3">
      <c r="M31" s="8" t="s">
        <v>94</v>
      </c>
      <c r="N31" s="12">
        <v>45</v>
      </c>
      <c r="P31" s="37"/>
      <c r="S31" s="36"/>
      <c r="T31" s="36"/>
      <c r="Z31" s="53"/>
      <c r="AA31" s="53"/>
      <c r="AB31" s="53"/>
      <c r="AC31" s="53"/>
      <c r="AD31" s="53"/>
    </row>
    <row r="32" spans="2:30" x14ac:dyDescent="0.25">
      <c r="P32" s="37"/>
      <c r="S32" s="36"/>
      <c r="T32" s="36"/>
      <c r="Z32" s="53"/>
      <c r="AA32" s="53"/>
      <c r="AB32" s="53"/>
      <c r="AC32" s="53"/>
      <c r="AD32" s="53"/>
    </row>
    <row r="33" spans="26:30" x14ac:dyDescent="0.25">
      <c r="Z33" s="55"/>
      <c r="AA33" s="55"/>
      <c r="AB33" s="55"/>
      <c r="AC33" s="55"/>
      <c r="AD33" s="55"/>
    </row>
  </sheetData>
  <sortState ref="B12:E21">
    <sortCondition descending="1" ref="E12"/>
  </sortState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DATA</vt:lpstr>
      <vt:lpstr>Accuracy</vt:lpstr>
      <vt:lpstr>Reports</vt:lpstr>
      <vt:lpstr>DATA</vt:lpstr>
    </vt:vector>
  </TitlesOfParts>
  <Company>Expeditors International of Washington,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Peterson</dc:creator>
  <cp:lastModifiedBy>Scott Peterson</cp:lastModifiedBy>
  <cp:lastPrinted>2014-01-07T23:12:06Z</cp:lastPrinted>
  <dcterms:created xsi:type="dcterms:W3CDTF">2013-06-25T20:33:25Z</dcterms:created>
  <dcterms:modified xsi:type="dcterms:W3CDTF">2015-03-23T19:03:35Z</dcterms:modified>
</cp:coreProperties>
</file>